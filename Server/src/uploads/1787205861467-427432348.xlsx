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drawings/drawing2.xml" ContentType="application/vnd.openxmlformats-officedocument.drawing+xml"/>
  <Override PartName="/xl/ink/ink26.xml" ContentType="application/inkml+xml"/>
  <Override PartName="/xl/ink/ink27.xml" ContentType="application/inkml+xml"/>
  <Override PartName="/xl/ink/ink28.xml" ContentType="application/inkml+xml"/>
  <Override PartName="/xl/drawings/drawing3.xml" ContentType="application/vnd.openxmlformats-officedocument.drawing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drawings/drawing5.xml" ContentType="application/vnd.openxmlformats-officedocument.drawing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drawings/drawing6.xml" ContentType="application/vnd.openxmlformats-officedocument.drawing+xml"/>
  <Override PartName="/xl/ink/ink59.xml" ContentType="application/inkml+xml"/>
  <Override PartName="/xl/drawings/drawing7.xml" ContentType="application/vnd.openxmlformats-officedocument.drawing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ink/ink82.xml" ContentType="application/inkml+xml"/>
  <Override PartName="/xl/ink/ink83.xml" ContentType="application/inkml+xml"/>
  <Override PartName="/xl/drawings/drawing9.xml" ContentType="application/vnd.openxmlformats-officedocument.drawing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drawings/drawing10.xml" ContentType="application/vnd.openxmlformats-officedocument.drawing+xml"/>
  <Override PartName="/xl/ink/ink97.xml" ContentType="application/inkml+xml"/>
  <Override PartName="/xl/ink/ink98.xml" ContentType="application/inkml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99.xml" ContentType="application/inkml+xml"/>
  <Override PartName="/xl/ink/ink100.xml" ContentType="application/inkml+xml"/>
  <Override PartName="/xl/drawings/drawing12.xml" ContentType="application/vnd.openxmlformats-officedocument.drawing+xml"/>
  <Override PartName="/xl/ink/ink101.xml" ContentType="application/inkml+xml"/>
  <Override PartName="/xl/ink/ink102.xml" ContentType="application/inkml+xml"/>
  <Override PartName="/xl/tables/table3.xml" ContentType="application/vnd.openxmlformats-officedocument.spreadsheetml.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ink/ink103.xml" ContentType="application/inkml+xml"/>
  <Override PartName="/xl/ink/ink104.xml" ContentType="application/inkml+xml"/>
  <Override PartName="/xl/drawings/drawing15.xml" ContentType="application/vnd.openxmlformats-officedocument.drawing+xml"/>
  <Override PartName="/xl/ink/ink105.xml" ContentType="application/inkml+xml"/>
  <Override PartName="/xl/drawings/drawing16.xml" ContentType="application/vnd.openxmlformats-officedocument.drawing+xml"/>
  <Override PartName="/xl/ink/ink106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nis\Desktop\PW EARNERS\Live Session Resources\"/>
    </mc:Choice>
  </mc:AlternateContent>
  <xr:revisionPtr revIDLastSave="0" documentId="13_ncr:1_{3AF57978-A688-4823-B7B3-F4B56EF849A8}" xr6:coauthVersionLast="47" xr6:coauthVersionMax="47" xr10:uidLastSave="{00000000-0000-0000-0000-000000000000}"/>
  <bookViews>
    <workbookView xWindow="-108" yWindow="-108" windowWidth="23256" windowHeight="12456" firstSheet="18" activeTab="20" xr2:uid="{E6FE70A6-2C3C-4ABA-AFDA-126815D2E5F9}"/>
  </bookViews>
  <sheets>
    <sheet name="Sheet1" sheetId="1" r:id="rId1"/>
    <sheet name="Formatting" sheetId="2" r:id="rId2"/>
    <sheet name="Data Types" sheetId="3" r:id="rId3"/>
    <sheet name="Sorting of Data" sheetId="4" r:id="rId4"/>
    <sheet name="Basic formulas and functions" sheetId="5" r:id="rId5"/>
    <sheet name="Filtering of Data" sheetId="10" r:id="rId6"/>
    <sheet name="Cell referencing and Percentage" sheetId="6" r:id="rId7"/>
    <sheet name="TEXT functions" sheetId="7" r:id="rId8"/>
    <sheet name="Date Time functions" sheetId="8" r:id="rId9"/>
    <sheet name="IF and IFs" sheetId="9" r:id="rId10"/>
    <sheet name="Logical operators" sheetId="11" r:id="rId11"/>
    <sheet name="Logical functions" sheetId="12" r:id="rId12"/>
    <sheet name="HLOOKUP" sheetId="13" r:id="rId13"/>
    <sheet name="VLOOKUP" sheetId="14" r:id="rId14"/>
    <sheet name="SWITCH function" sheetId="17" r:id="rId15"/>
    <sheet name="LOOKUP" sheetId="15" r:id="rId16"/>
    <sheet name="XLOOKUP" sheetId="16" r:id="rId17"/>
    <sheet name="Index Match" sheetId="18" r:id="rId18"/>
    <sheet name="Paste Special" sheetId="20" r:id="rId19"/>
    <sheet name="Data Validation" sheetId="19" r:id="rId20"/>
    <sheet name="Conditional Formatting" sheetId="21" r:id="rId21"/>
    <sheet name="Scenario manager" sheetId="23" r:id="rId22"/>
    <sheet name="Goal seek - 1" sheetId="24" r:id="rId23"/>
    <sheet name="Goal Seek - 2" sheetId="25" r:id="rId24"/>
    <sheet name="Data Table" sheetId="26" r:id="rId25"/>
    <sheet name="Basic Charts" sheetId="27" r:id="rId26"/>
    <sheet name="Table - Slicers" sheetId="28" r:id="rId27"/>
    <sheet name="Data for Pivot table and chart" sheetId="29" r:id="rId28"/>
  </sheets>
  <externalReferences>
    <externalReference r:id="rId29"/>
    <externalReference r:id="rId30"/>
  </externalReferences>
  <definedNames>
    <definedName name="antennas">'Scenario manager'!$C$9</definedName>
    <definedName name="B">'Scenario manager'!#REF!</definedName>
    <definedName name="button">'[1]Scenario manager'!#REF!</definedName>
    <definedName name="charg.port">'Scenario manager'!$C$8</definedName>
    <definedName name="cooling">'Scenario manager'!$C$13</definedName>
    <definedName name="Digitizer">'Scenario manager'!$C$4</definedName>
    <definedName name="GRADES">'[1]Data for dropdown'!$F$4:$F$10</definedName>
    <definedName name="mic">'Scenario manager'!$C$6</definedName>
    <definedName name="Motherboard">'Scenario manager'!$C$4</definedName>
    <definedName name="NativeTimeline_Date">#REF!</definedName>
    <definedName name="Sale_Values">[2]Sheet6!$C$20:$C$30</definedName>
    <definedName name="Sales">#REF!</definedName>
    <definedName name="Sceen">'[1]Scenario manager'!#REF!</definedName>
    <definedName name="screen">'Scenario manager'!$C$3</definedName>
    <definedName name="simtray">'Scenario manager'!$C$10</definedName>
    <definedName name="Slicer_Products">#REF!</definedName>
    <definedName name="Slicer_Region">#REF!</definedName>
    <definedName name="speaker">'Scenario manager'!$C$5</definedName>
    <definedName name="Total">'[1]Data Table'!#REF!</definedName>
    <definedName name="Type_of_data">'[1]Dependent dropdown'!#REF!</definedName>
    <definedName name="vibr.motor">'Scenario manager'!$C$12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67" i="27" l="1"/>
  <c r="L46" i="26" l="1"/>
  <c r="D42" i="26"/>
  <c r="C29" i="26"/>
  <c r="C14" i="26"/>
  <c r="D15" i="25"/>
  <c r="D6" i="25"/>
  <c r="C14" i="24"/>
  <c r="C14" i="23"/>
  <c r="G17" i="18" l="1"/>
  <c r="G18" i="18"/>
  <c r="G16" i="18"/>
  <c r="G15" i="18"/>
  <c r="I12" i="18" a="1"/>
  <c r="I12" i="18" s="1"/>
  <c r="J12" i="18" a="1"/>
  <c r="J12" i="18" s="1"/>
  <c r="K12" i="18" a="1"/>
  <c r="K12" i="18" s="1"/>
  <c r="H12" i="18" a="1"/>
  <c r="H12" i="18" s="1"/>
  <c r="H10" i="18" a="1"/>
  <c r="H10" i="18" s="1"/>
  <c r="I11" i="18" a="1"/>
  <c r="I11" i="18"/>
  <c r="J11" i="18" a="1"/>
  <c r="J11" i="18" s="1"/>
  <c r="K11" i="18" a="1"/>
  <c r="K11" i="18"/>
  <c r="H11" i="18" a="1"/>
  <c r="H11" i="18" s="1"/>
  <c r="I10" i="18" a="1"/>
  <c r="I10" i="18" s="1"/>
  <c r="J10" i="18" a="1"/>
  <c r="J10" i="18"/>
  <c r="K10" i="18" a="1"/>
  <c r="K10" i="18" s="1"/>
  <c r="I4" i="18"/>
  <c r="J4" i="18"/>
  <c r="K4" i="18"/>
  <c r="L4" i="18"/>
  <c r="H4" i="18"/>
  <c r="D2" i="17" a="1"/>
  <c r="D2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/>
  <c r="D21" i="17" a="1"/>
  <c r="D21" i="17" s="1"/>
  <c r="D22" i="17" a="1"/>
  <c r="D22" i="17" s="1"/>
  <c r="D4" i="17" a="1"/>
  <c r="D4" i="17" s="1"/>
  <c r="D5" i="17" a="1"/>
  <c r="D5" i="17" s="1"/>
  <c r="D6" i="17" a="1"/>
  <c r="D6" i="17" s="1"/>
  <c r="D7" i="17" a="1"/>
  <c r="D7" i="17"/>
  <c r="D8" i="17" a="1"/>
  <c r="D8" i="17"/>
  <c r="D9" i="17" a="1"/>
  <c r="D9" i="17"/>
  <c r="D10" i="17" a="1"/>
  <c r="D10" i="17"/>
  <c r="D11" i="17" a="1"/>
  <c r="D11" i="17" s="1"/>
  <c r="D12" i="17" a="1"/>
  <c r="D12" i="17" s="1"/>
  <c r="D13" i="17" a="1"/>
  <c r="D13" i="17" s="1"/>
  <c r="D14" i="17" a="1"/>
  <c r="D14" i="17"/>
  <c r="D3" i="17" a="1"/>
  <c r="D3" i="17" s="1"/>
  <c r="I70" i="16" a="1"/>
  <c r="I70" i="16"/>
  <c r="I71" i="16" a="1"/>
  <c r="I71" i="16" s="1"/>
  <c r="I72" i="16" a="1"/>
  <c r="I72" i="16" s="1"/>
  <c r="I73" i="16" a="1"/>
  <c r="I73" i="16" s="1"/>
  <c r="I74" i="16" a="1"/>
  <c r="I74" i="16" s="1"/>
  <c r="I75" i="16" a="1"/>
  <c r="I75" i="16"/>
  <c r="I69" i="16" a="1"/>
  <c r="I69" i="16" s="1"/>
  <c r="H60" i="16" a="1"/>
  <c r="H60" i="16" s="1"/>
  <c r="H58" i="16" a="1"/>
  <c r="H58" i="16" s="1"/>
  <c r="H59" i="16" a="1"/>
  <c r="H59" i="16" s="1"/>
  <c r="H57" i="16" a="1"/>
  <c r="H57" i="16" s="1"/>
  <c r="H61" i="16" a="1"/>
  <c r="H61" i="16" s="1"/>
  <c r="H56" i="16" a="1"/>
  <c r="H56" i="16" s="1"/>
  <c r="I51" i="16"/>
  <c r="I52" i="16"/>
  <c r="I50" i="16"/>
  <c r="I49" i="16"/>
  <c r="I48" i="16"/>
  <c r="I47" i="16"/>
  <c r="H52" i="16"/>
  <c r="H51" i="16"/>
  <c r="H50" i="16"/>
  <c r="H49" i="16"/>
  <c r="H48" i="16"/>
  <c r="H47" i="16"/>
  <c r="D36" i="16"/>
  <c r="D35" i="16"/>
  <c r="D34" i="16"/>
  <c r="D32" i="16"/>
  <c r="D30" i="16"/>
  <c r="D28" i="16"/>
  <c r="D29" i="16"/>
  <c r="D31" i="16"/>
  <c r="D33" i="16"/>
  <c r="D37" i="16"/>
  <c r="C35" i="16"/>
  <c r="C34" i="16"/>
  <c r="C36" i="16"/>
  <c r="C33" i="16"/>
  <c r="C32" i="16"/>
  <c r="C30" i="16"/>
  <c r="C31" i="16"/>
  <c r="C37" i="16"/>
  <c r="C29" i="16"/>
  <c r="C28" i="16"/>
  <c r="I12" i="16"/>
  <c r="I10" i="16"/>
  <c r="I7" i="16"/>
  <c r="I6" i="16"/>
  <c r="I5" i="16"/>
  <c r="I8" i="16"/>
  <c r="I9" i="16"/>
  <c r="I11" i="16"/>
  <c r="I13" i="16"/>
  <c r="H13" i="16"/>
  <c r="H11" i="16"/>
  <c r="H8" i="16"/>
  <c r="H9" i="16"/>
  <c r="H10" i="16"/>
  <c r="H12" i="16"/>
  <c r="H7" i="16"/>
  <c r="H6" i="16"/>
  <c r="H5" i="16"/>
  <c r="E12" i="13"/>
  <c r="E13" i="13"/>
  <c r="E14" i="13"/>
  <c r="E15" i="13"/>
  <c r="E16" i="13"/>
  <c r="E17" i="13"/>
  <c r="E18" i="13"/>
  <c r="E11" i="13"/>
  <c r="L36" i="15"/>
  <c r="L37" i="15"/>
  <c r="L38" i="15"/>
  <c r="L39" i="15"/>
  <c r="L40" i="15"/>
  <c r="L41" i="15"/>
  <c r="L35" i="15"/>
  <c r="K36" i="15"/>
  <c r="K37" i="15"/>
  <c r="K38" i="15"/>
  <c r="K39" i="15"/>
  <c r="K40" i="15"/>
  <c r="K41" i="15"/>
  <c r="K35" i="15"/>
  <c r="J36" i="15"/>
  <c r="J37" i="15"/>
  <c r="J38" i="15"/>
  <c r="J39" i="15"/>
  <c r="J40" i="15"/>
  <c r="J41" i="15"/>
  <c r="J35" i="15"/>
  <c r="I36" i="15"/>
  <c r="I37" i="15"/>
  <c r="I38" i="15"/>
  <c r="I39" i="15"/>
  <c r="I40" i="15"/>
  <c r="I41" i="15"/>
  <c r="I35" i="15"/>
  <c r="H36" i="15"/>
  <c r="H37" i="15"/>
  <c r="H38" i="15"/>
  <c r="H39" i="15"/>
  <c r="H40" i="15"/>
  <c r="H41" i="15"/>
  <c r="H35" i="15"/>
  <c r="H6" i="15"/>
  <c r="H7" i="15"/>
  <c r="H8" i="15"/>
  <c r="H9" i="15"/>
  <c r="H10" i="15"/>
  <c r="H5" i="15"/>
  <c r="G6" i="15"/>
  <c r="G7" i="15"/>
  <c r="G8" i="15"/>
  <c r="G9" i="15"/>
  <c r="G10" i="15"/>
  <c r="G5" i="15"/>
  <c r="I6" i="14"/>
  <c r="J6" i="14"/>
  <c r="K6" i="14"/>
  <c r="L6" i="14"/>
  <c r="M6" i="14"/>
  <c r="N6" i="14"/>
  <c r="O6" i="14"/>
  <c r="H6" i="14"/>
  <c r="I5" i="14"/>
  <c r="J5" i="14"/>
  <c r="K5" i="14"/>
  <c r="L5" i="14"/>
  <c r="M5" i="14"/>
  <c r="N5" i="14"/>
  <c r="O5" i="14"/>
  <c r="H5" i="14"/>
  <c r="I4" i="14"/>
  <c r="J4" i="14"/>
  <c r="K4" i="14"/>
  <c r="L4" i="14"/>
  <c r="M4" i="14"/>
  <c r="N4" i="14"/>
  <c r="O4" i="14"/>
  <c r="H4" i="14"/>
  <c r="D12" i="13"/>
  <c r="D13" i="13"/>
  <c r="D14" i="13"/>
  <c r="D15" i="13"/>
  <c r="D16" i="13"/>
  <c r="D17" i="13"/>
  <c r="D18" i="13"/>
  <c r="D11" i="13"/>
  <c r="C12" i="13"/>
  <c r="C13" i="13"/>
  <c r="C14" i="13"/>
  <c r="C15" i="13"/>
  <c r="C16" i="13"/>
  <c r="C17" i="13"/>
  <c r="C18" i="13"/>
  <c r="C11" i="13"/>
  <c r="C23" i="12"/>
  <c r="E22" i="12"/>
  <c r="E21" i="12"/>
  <c r="H6" i="12" a="1"/>
  <c r="H6" i="12" s="1"/>
  <c r="E20" i="12"/>
  <c r="C22" i="12"/>
  <c r="C21" i="12"/>
  <c r="C20" i="12"/>
  <c r="C19" i="12"/>
  <c r="K20" i="12"/>
  <c r="K15" i="12"/>
  <c r="K16" i="12"/>
  <c r="K14" i="12"/>
  <c r="K11" i="12"/>
  <c r="K12" i="12"/>
  <c r="K10" i="12"/>
  <c r="K7" i="12"/>
  <c r="K8" i="12"/>
  <c r="K6" i="12"/>
  <c r="J15" i="12"/>
  <c r="J16" i="12"/>
  <c r="J14" i="12"/>
  <c r="J11" i="12"/>
  <c r="J12" i="12"/>
  <c r="J10" i="12"/>
  <c r="J7" i="12"/>
  <c r="J8" i="12"/>
  <c r="H15" i="12"/>
  <c r="H16" i="12"/>
  <c r="H14" i="12"/>
  <c r="H11" i="12"/>
  <c r="H12" i="12"/>
  <c r="H10" i="12"/>
  <c r="H8" i="12"/>
  <c r="H7" i="12"/>
  <c r="I27" i="11"/>
  <c r="I26" i="11"/>
  <c r="I25" i="11"/>
  <c r="C20" i="11"/>
  <c r="C19" i="11"/>
  <c r="E20" i="11"/>
  <c r="E19" i="11"/>
  <c r="G2" i="12"/>
  <c r="E19" i="12" l="1"/>
  <c r="J6" i="12"/>
  <c r="C60" i="9"/>
  <c r="F47" i="9"/>
  <c r="F44" i="9"/>
  <c r="F42" i="9"/>
  <c r="F40" i="9"/>
  <c r="I8" i="9" a="1"/>
  <c r="I8" i="9" s="1"/>
  <c r="I9" i="9" a="1"/>
  <c r="I9" i="9" s="1"/>
  <c r="I7" i="9" a="1"/>
  <c r="I7" i="9" s="1"/>
  <c r="I4" i="9" a="1"/>
  <c r="I4" i="9"/>
  <c r="I5" i="9" a="1"/>
  <c r="I5" i="9" s="1"/>
  <c r="I3" i="9" a="1"/>
  <c r="I3" i="9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" i="9"/>
  <c r="H63" i="8"/>
  <c r="H62" i="8"/>
  <c r="G63" i="8"/>
  <c r="G62" i="8"/>
  <c r="H61" i="8"/>
  <c r="H60" i="8"/>
  <c r="G61" i="8"/>
  <c r="G60" i="8"/>
  <c r="H43" i="7"/>
  <c r="H40" i="7"/>
  <c r="G43" i="7"/>
  <c r="H41" i="7"/>
  <c r="H42" i="7"/>
  <c r="G40" i="7"/>
  <c r="G41" i="7"/>
  <c r="G42" i="7"/>
  <c r="H56" i="8"/>
  <c r="G56" i="8"/>
  <c r="C56" i="8"/>
  <c r="D56" i="8"/>
  <c r="E56" i="8"/>
  <c r="F56" i="8"/>
  <c r="I43" i="8"/>
  <c r="I44" i="8"/>
  <c r="I45" i="8"/>
  <c r="I42" i="8"/>
  <c r="H43" i="8"/>
  <c r="H44" i="8"/>
  <c r="H45" i="8"/>
  <c r="H42" i="8"/>
  <c r="E43" i="8"/>
  <c r="E44" i="8"/>
  <c r="E45" i="8"/>
  <c r="E42" i="8"/>
  <c r="E37" i="8"/>
  <c r="E38" i="8"/>
  <c r="E39" i="8"/>
  <c r="E36" i="8"/>
  <c r="E31" i="8"/>
  <c r="E32" i="8"/>
  <c r="E33" i="8"/>
  <c r="E34" i="8"/>
  <c r="E27" i="8"/>
  <c r="E28" i="8"/>
  <c r="E29" i="8"/>
  <c r="E26" i="8"/>
  <c r="F22" i="8"/>
  <c r="F23" i="8"/>
  <c r="F24" i="8"/>
  <c r="F21" i="8"/>
  <c r="E24" i="8"/>
  <c r="E23" i="8"/>
  <c r="J12" i="8"/>
  <c r="I15" i="8"/>
  <c r="I14" i="8"/>
  <c r="I13" i="8"/>
  <c r="I12" i="8"/>
  <c r="I9" i="8"/>
  <c r="I8" i="8"/>
  <c r="I7" i="8"/>
  <c r="I5" i="8"/>
  <c r="H5" i="8"/>
  <c r="G5" i="8"/>
  <c r="H23" i="10" l="1"/>
  <c r="J62" i="8"/>
  <c r="I48" i="8"/>
  <c r="E22" i="8"/>
  <c r="E21" i="8"/>
  <c r="H39" i="7"/>
  <c r="G39" i="7"/>
  <c r="E29" i="7"/>
  <c r="E28" i="7"/>
  <c r="E27" i="7"/>
  <c r="D29" i="7"/>
  <c r="D28" i="7"/>
  <c r="D27" i="7"/>
  <c r="G16" i="7"/>
  <c r="G15" i="7"/>
  <c r="F16" i="7"/>
  <c r="D15" i="7"/>
  <c r="E15" i="7" s="1"/>
  <c r="E16" i="7"/>
  <c r="D16" i="7"/>
  <c r="D17" i="7"/>
  <c r="F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C16" i="7"/>
  <c r="C17" i="7"/>
  <c r="C18" i="7"/>
  <c r="C19" i="7"/>
  <c r="C20" i="7"/>
  <c r="C21" i="7"/>
  <c r="C22" i="7"/>
  <c r="C23" i="7"/>
  <c r="C15" i="7"/>
  <c r="H4" i="7"/>
  <c r="H5" i="7"/>
  <c r="H6" i="7"/>
  <c r="H7" i="7"/>
  <c r="H8" i="7"/>
  <c r="H9" i="7"/>
  <c r="H10" i="7"/>
  <c r="H3" i="7"/>
  <c r="H2" i="7"/>
  <c r="G4" i="7"/>
  <c r="G5" i="7"/>
  <c r="G6" i="7"/>
  <c r="G7" i="7"/>
  <c r="G8" i="7"/>
  <c r="G9" i="7"/>
  <c r="G10" i="7"/>
  <c r="G3" i="7"/>
  <c r="G2" i="7"/>
  <c r="F4" i="7"/>
  <c r="F5" i="7"/>
  <c r="F6" i="7"/>
  <c r="F7" i="7"/>
  <c r="F8" i="7"/>
  <c r="F9" i="7"/>
  <c r="F10" i="7"/>
  <c r="F3" i="7"/>
  <c r="F2" i="7"/>
  <c r="D3" i="7"/>
  <c r="D4" i="7"/>
  <c r="D5" i="7"/>
  <c r="D6" i="7"/>
  <c r="D7" i="7"/>
  <c r="D8" i="7"/>
  <c r="D9" i="7"/>
  <c r="D10" i="7"/>
  <c r="D2" i="7"/>
  <c r="C3" i="7"/>
  <c r="E3" i="7" s="1"/>
  <c r="C4" i="7"/>
  <c r="E4" i="7" s="1"/>
  <c r="C5" i="7"/>
  <c r="E5" i="7" s="1"/>
  <c r="C6" i="7"/>
  <c r="E6" i="7" s="1"/>
  <c r="C7" i="7"/>
  <c r="E7" i="7" s="1"/>
  <c r="C8" i="7"/>
  <c r="E8" i="7" s="1"/>
  <c r="C9" i="7"/>
  <c r="E9" i="7" s="1"/>
  <c r="C10" i="7"/>
  <c r="E10" i="7" s="1"/>
  <c r="C2" i="7"/>
  <c r="E2" i="7" s="1"/>
  <c r="G24" i="6"/>
  <c r="G25" i="6"/>
  <c r="G26" i="6"/>
  <c r="G23" i="6"/>
  <c r="F24" i="6"/>
  <c r="F25" i="6"/>
  <c r="F26" i="6"/>
  <c r="F2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3" i="6"/>
  <c r="G5" i="5"/>
  <c r="C23" i="5"/>
  <c r="G23" i="5"/>
  <c r="G22" i="5"/>
  <c r="G21" i="5"/>
  <c r="G20" i="5"/>
  <c r="G19" i="5"/>
  <c r="G17" i="5"/>
  <c r="G14" i="5"/>
  <c r="G13" i="5"/>
  <c r="G9" i="5"/>
  <c r="G7" i="5"/>
  <c r="G4" i="5"/>
  <c r="C26" i="5"/>
  <c r="C30" i="5"/>
  <c r="C29" i="5"/>
  <c r="C28" i="5"/>
  <c r="C27" i="5"/>
  <c r="C25" i="5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17" i="7" l="1"/>
  <c r="E17" i="7"/>
  <c r="F15" i="7"/>
  <c r="F48" i="8"/>
  <c r="F49" i="8"/>
  <c r="F4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tc={A4FE2F15-1CBB-4B12-B801-8AF6B03F1615}</author>
    <author>tc={9ECCF742-20E3-4C1F-B589-F76BB00C03A6}</author>
    <author>tc={5F1C008E-F25C-4A3E-ADFD-DD3E5F051863}</author>
  </authors>
  <commentList>
    <comment ref="Q4" authorId="0" shapeId="0" xr:uid="{A4FE2F15-1CBB-4B12-B801-8AF6B03F1615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checck the value</t>
      </text>
    </comment>
    <comment ref="C5" authorId="1" shapeId="0" xr:uid="{9ECCF742-20E3-4C1F-B589-F76BB00C0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checck the value</t>
      </text>
    </comment>
    <comment ref="K5" authorId="2" shapeId="0" xr:uid="{5F1C008E-F25C-4A3E-ADFD-DD3E5F051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checck the value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<sst xmlns="http://schemas.openxmlformats.org/spreadsheetml/2006/main" count="1863" uniqueCount="419">
  <si>
    <t>Excel in Data Analytics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</si>
  <si>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</si>
  <si>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</si>
  <si>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</si>
  <si>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</si>
  <si>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</si>
  <si>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</si>
  <si>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</si>
  <si>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</si>
  <si>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</si>
  <si>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</si>
  <si>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</si>
  <si>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</si>
  <si>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</si>
  <si>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</si>
  <si>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</si>
  <si>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</si>
  <si>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</si>
  <si>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</si>
  <si>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</si>
  <si>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Multiples of 10</t>
  </si>
  <si>
    <t>Multiples of 3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</si>
  <si>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</si>
  <si>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</si>
  <si>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</si>
  <si>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</si>
  <si>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</si>
  <si>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</si>
  <si>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</si>
  <si>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</si>
  <si>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</si>
  <si>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</si>
  <si>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</si>
  <si>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</t>
  </si>
  <si>
    <t>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</si>
  <si>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</si>
  <si>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</si>
  <si>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</si>
  <si>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</si>
  <si>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</si>
  <si>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</si>
  <si>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</si>
  <si>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</si>
  <si>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</si>
  <si>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</si>
  <si>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</si>
  <si>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</si>
  <si>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NISHTHA</t>
  </si>
  <si>
    <t>PW Excel</t>
  </si>
  <si>
    <t>Actions - 55</t>
  </si>
  <si>
    <t>EXCEL</t>
  </si>
  <si>
    <t>PW</t>
  </si>
  <si>
    <t>MS OFFICE</t>
  </si>
  <si>
    <t>M365</t>
  </si>
  <si>
    <t>TEXT DATA TYPE</t>
  </si>
  <si>
    <t>esiofjsdk gnvskdlgvsldknb skdnbslkdng sknbsmmbl;dfbmkldnlsdmv</t>
  </si>
  <si>
    <t>DATA ANALYTICS</t>
  </si>
  <si>
    <t>Abhijit</t>
  </si>
  <si>
    <t>Manisha</t>
  </si>
  <si>
    <t>Divya</t>
  </si>
  <si>
    <t>Khushi</t>
  </si>
  <si>
    <t>Vishal</t>
  </si>
  <si>
    <t>Manan</t>
  </si>
  <si>
    <t>LOW TO HIGH</t>
  </si>
  <si>
    <t>HIGH TO LOW</t>
  </si>
  <si>
    <t>Items</t>
  </si>
  <si>
    <t>Prices</t>
  </si>
  <si>
    <t>Dates</t>
  </si>
  <si>
    <t>Regions</t>
  </si>
  <si>
    <t>Sum, Average, Min, Max, Product</t>
  </si>
  <si>
    <t>Beauty products</t>
  </si>
  <si>
    <t>South</t>
  </si>
  <si>
    <t>Mobile Accessories</t>
  </si>
  <si>
    <t>East</t>
  </si>
  <si>
    <t>Sum of prices till C9</t>
  </si>
  <si>
    <t>Home décor</t>
  </si>
  <si>
    <t>Kitchen ware</t>
  </si>
  <si>
    <t>Smart watch</t>
  </si>
  <si>
    <t>West</t>
  </si>
  <si>
    <t>Sum of all prices</t>
  </si>
  <si>
    <t>Baby products</t>
  </si>
  <si>
    <t>North</t>
  </si>
  <si>
    <t>PRODUCT of prices till C9</t>
  </si>
  <si>
    <t>Jewellery</t>
  </si>
  <si>
    <t>Perfumes</t>
  </si>
  <si>
    <t>Personal care</t>
  </si>
  <si>
    <t>Wrist Watch</t>
  </si>
  <si>
    <t>Subtraction</t>
  </si>
  <si>
    <t>Bass Headphones</t>
  </si>
  <si>
    <t>Pet supplies</t>
  </si>
  <si>
    <t>Health &amp; wellness</t>
  </si>
  <si>
    <t>Beverages</t>
  </si>
  <si>
    <t>Average</t>
  </si>
  <si>
    <t>Books</t>
  </si>
  <si>
    <t>Min</t>
  </si>
  <si>
    <t>Max</t>
  </si>
  <si>
    <t>*$^</t>
  </si>
  <si>
    <t>Count</t>
  </si>
  <si>
    <t>Counta</t>
  </si>
  <si>
    <t>Sum of all prices (using autosum function)</t>
  </si>
  <si>
    <t>Countblank</t>
  </si>
  <si>
    <t>S. No.</t>
  </si>
  <si>
    <t>Student Names</t>
  </si>
  <si>
    <t>Science</t>
  </si>
  <si>
    <t>Mathematics</t>
  </si>
  <si>
    <t>Social Studies</t>
  </si>
  <si>
    <t>Total Marks</t>
  </si>
  <si>
    <t>Max. Marks</t>
  </si>
  <si>
    <t>Percentage (data format)</t>
  </si>
  <si>
    <t>Percentage</t>
  </si>
  <si>
    <t>Arshad</t>
  </si>
  <si>
    <t>Amina</t>
  </si>
  <si>
    <t>Chetan</t>
  </si>
  <si>
    <t>Chanchal</t>
  </si>
  <si>
    <t>Erina</t>
  </si>
  <si>
    <t>Deepak</t>
  </si>
  <si>
    <t>Deepti</t>
  </si>
  <si>
    <t>Harshad</t>
  </si>
  <si>
    <t>Jane</t>
  </si>
  <si>
    <t>Imli</t>
  </si>
  <si>
    <t>Keshav</t>
  </si>
  <si>
    <t>Kajal</t>
  </si>
  <si>
    <t>Kriti</t>
  </si>
  <si>
    <t>Naman</t>
  </si>
  <si>
    <t>5000+6000+7000+8000+9000</t>
  </si>
  <si>
    <t>B25+B26+B27+B28+B29</t>
  </si>
  <si>
    <t>FORMULAS</t>
  </si>
  <si>
    <t>B26-B27</t>
  </si>
  <si>
    <t>B26/B25</t>
  </si>
  <si>
    <t>B25*B26</t>
  </si>
  <si>
    <t>B25*B26*B28</t>
  </si>
  <si>
    <t>Formula Bar / Background</t>
  </si>
  <si>
    <t>NAMES</t>
  </si>
  <si>
    <t>UPPER</t>
  </si>
  <si>
    <t>LOWER</t>
  </si>
  <si>
    <t>PROPER</t>
  </si>
  <si>
    <t>LEFT</t>
  </si>
  <si>
    <t>RIGHT</t>
  </si>
  <si>
    <t>MID</t>
  </si>
  <si>
    <t>Ananya Shroff</t>
  </si>
  <si>
    <t>Arohi Sharma</t>
  </si>
  <si>
    <t>Mohandas Karamchand Gandhi</t>
  </si>
  <si>
    <t>Milind Kumar Kalra</t>
  </si>
  <si>
    <t>Anshu Poonawala</t>
  </si>
  <si>
    <t>Rahul Singh Sharma</t>
  </si>
  <si>
    <t>Neil Armstrong</t>
  </si>
  <si>
    <t>Avnish Agrawal</t>
  </si>
  <si>
    <t>Shashank Khan</t>
  </si>
  <si>
    <t>LENGTH</t>
  </si>
  <si>
    <t>TRIM</t>
  </si>
  <si>
    <t>FIND</t>
  </si>
  <si>
    <t>SEARCH</t>
  </si>
  <si>
    <t>Ananya     Pandey</t>
  </si>
  <si>
    <t xml:space="preserve">       Arohi Sharma</t>
  </si>
  <si>
    <t>Mohandas    Karamchand G    andhi</t>
  </si>
  <si>
    <t xml:space="preserve">           Milind     Kalra</t>
  </si>
  <si>
    <t xml:space="preserve">Anshu          Poonawala      </t>
  </si>
  <si>
    <t xml:space="preserve">Rahul Singh Sharma      </t>
  </si>
  <si>
    <t xml:space="preserve">  Neil   Armstrong</t>
  </si>
  <si>
    <t xml:space="preserve">     Shashank Khan</t>
  </si>
  <si>
    <t>SUBSTITUTE</t>
  </si>
  <si>
    <t>REPLACE</t>
  </si>
  <si>
    <t>Ananya Pandey</t>
  </si>
  <si>
    <t>Batty bought a bit of butter</t>
  </si>
  <si>
    <t>abc</t>
  </si>
  <si>
    <t>xyz</t>
  </si>
  <si>
    <t>def</t>
  </si>
  <si>
    <t>uvw</t>
  </si>
  <si>
    <t>Multiply By</t>
  </si>
  <si>
    <t>Constant</t>
  </si>
  <si>
    <t>FUNCTIONS</t>
  </si>
  <si>
    <t>Today</t>
  </si>
  <si>
    <t>Now</t>
  </si>
  <si>
    <t>Y</t>
  </si>
  <si>
    <t>Date</t>
  </si>
  <si>
    <t>Current date</t>
  </si>
  <si>
    <t>Current time</t>
  </si>
  <si>
    <t>DATE</t>
  </si>
  <si>
    <t>Day, Month, Year</t>
  </si>
  <si>
    <t>Add/Subtract days</t>
  </si>
  <si>
    <t>Add/Subtract months</t>
  </si>
  <si>
    <t>Day</t>
  </si>
  <si>
    <t>Dates to days</t>
  </si>
  <si>
    <t>month</t>
  </si>
  <si>
    <t>Edate</t>
  </si>
  <si>
    <t>Year</t>
  </si>
  <si>
    <t>EOMonth</t>
  </si>
  <si>
    <t>Weekday</t>
  </si>
  <si>
    <t>Start date</t>
  </si>
  <si>
    <t>End date</t>
  </si>
  <si>
    <t>No. of Months</t>
  </si>
  <si>
    <t>No. of Days</t>
  </si>
  <si>
    <t>Weeknum</t>
  </si>
  <si>
    <t>Days</t>
  </si>
  <si>
    <t>Datedif</t>
  </si>
  <si>
    <t>Calculate age</t>
  </si>
  <si>
    <t>Networkdays</t>
  </si>
  <si>
    <t>Networkdays.intl</t>
  </si>
  <si>
    <t>Months</t>
  </si>
  <si>
    <t>DATES</t>
  </si>
  <si>
    <t>DAY Names</t>
  </si>
  <si>
    <t>Edate (add/subtract)</t>
  </si>
  <si>
    <t>Dates to Days</t>
  </si>
  <si>
    <t>Last day / date of the month</t>
  </si>
  <si>
    <t>EOMONTH</t>
  </si>
  <si>
    <t>Which day of the week ?</t>
  </si>
  <si>
    <t>Which week number in that year?</t>
  </si>
  <si>
    <t>Months' Difference</t>
  </si>
  <si>
    <t>Days' Difference</t>
  </si>
  <si>
    <t>Years' Difference</t>
  </si>
  <si>
    <t>DOB</t>
  </si>
  <si>
    <t>Years</t>
  </si>
  <si>
    <t>AGE</t>
  </si>
  <si>
    <t>TODAY</t>
  </si>
  <si>
    <t>Datedifference</t>
  </si>
  <si>
    <t>HOMEWORK</t>
  </si>
  <si>
    <t>Units</t>
  </si>
  <si>
    <t>MD</t>
  </si>
  <si>
    <t>YM</t>
  </si>
  <si>
    <t>YD</t>
  </si>
  <si>
    <t>Answer</t>
  </si>
  <si>
    <t>Overall difference in years</t>
  </si>
  <si>
    <t>Overall difference in months</t>
  </si>
  <si>
    <t>Without Holidays</t>
  </si>
  <si>
    <t>With Holidays</t>
  </si>
  <si>
    <t>Overall difference in days</t>
  </si>
  <si>
    <t>Exact difference in days, ignores months and years</t>
  </si>
  <si>
    <t>For just one week off, ex. - Sunday Only</t>
  </si>
  <si>
    <t>Exact difference in months, ignores days and years</t>
  </si>
  <si>
    <t>Exact difference in days, ignores years</t>
  </si>
  <si>
    <t>Republic day</t>
  </si>
  <si>
    <t>&lt;-- Does not work the same for foreign countries</t>
  </si>
  <si>
    <t>Washington's birthday</t>
  </si>
  <si>
    <t>National Holidays - USA</t>
  </si>
  <si>
    <t>Independence Day</t>
  </si>
  <si>
    <t>Gandhi Jayanti</t>
  </si>
  <si>
    <t>Labor day</t>
  </si>
  <si>
    <t>Names</t>
  </si>
  <si>
    <t>Total Scores</t>
  </si>
  <si>
    <t>RESULT</t>
  </si>
  <si>
    <t>Criteria - Scores &gt;= 180, Excellent</t>
  </si>
  <si>
    <t>2 conditions</t>
  </si>
  <si>
    <t>Ifs function</t>
  </si>
  <si>
    <t>3 conditions</t>
  </si>
  <si>
    <t>4 conditions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</si>
  <si>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</si>
  <si>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</si>
  <si>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</si>
  <si>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</si>
  <si>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</si>
  <si>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</si>
  <si>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</si>
  <si>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</si>
  <si>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</si>
  <si>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</si>
  <si>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</si>
  <si>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AB</t>
  </si>
  <si>
    <t>BC</t>
  </si>
  <si>
    <t>CD</t>
  </si>
  <si>
    <t>DE</t>
  </si>
  <si>
    <t>EF</t>
  </si>
  <si>
    <t>FG</t>
  </si>
  <si>
    <t>GH</t>
  </si>
  <si>
    <t>SUMIF</t>
  </si>
  <si>
    <t>AVERAGEIF</t>
  </si>
  <si>
    <t>TOTAL</t>
  </si>
  <si>
    <t>Days added / subtracted</t>
  </si>
  <si>
    <t>Add / Subtract Months</t>
  </si>
  <si>
    <t>CONCATENATE (with spaces)</t>
  </si>
  <si>
    <t>CONCATENATE (with spaces and symbols)</t>
  </si>
  <si>
    <t>National Holidays - INDIA</t>
  </si>
  <si>
    <t>Total</t>
  </si>
  <si>
    <t>CRITERIA</t>
  </si>
  <si>
    <t>Scores &gt; 70</t>
  </si>
  <si>
    <t>Condition 1</t>
  </si>
  <si>
    <t>Condition 2</t>
  </si>
  <si>
    <t>Condition 3</t>
  </si>
  <si>
    <t>OR - Either this or that</t>
  </si>
  <si>
    <t>AND - Both this and that</t>
  </si>
  <si>
    <t>XOR - TRUE FALSE depends on the no. of arguments</t>
  </si>
  <si>
    <t>OR function</t>
  </si>
  <si>
    <t>Student A</t>
  </si>
  <si>
    <t>AND function</t>
  </si>
  <si>
    <t>Student C</t>
  </si>
  <si>
    <t>Student B</t>
  </si>
  <si>
    <t>Student D</t>
  </si>
  <si>
    <t>If even number of conditions are meeting the set criteria, the answer will be FALSE !</t>
  </si>
  <si>
    <t>If odd number of conditions are meeting the set criteria, the answer will be TRUE !</t>
  </si>
  <si>
    <t>NOT</t>
  </si>
  <si>
    <t>The exact opposite</t>
  </si>
  <si>
    <t>STUDENT NAMES</t>
  </si>
  <si>
    <t>Logical functions with IF</t>
  </si>
  <si>
    <t>OR</t>
  </si>
  <si>
    <t>AND</t>
  </si>
  <si>
    <t>XOR</t>
  </si>
  <si>
    <t>LOGICAL TESTS</t>
  </si>
  <si>
    <t>Real-world use case of XOR Function</t>
  </si>
  <si>
    <t>Bonus for an employee to be decided on the basis of EITHER the Beverages OR the Skincare Products he/she has sold and the sale has been &gt; 1000 ; but NOT BOTH.</t>
  </si>
  <si>
    <t>Criteria - Sale &gt;1000</t>
  </si>
  <si>
    <t>Region</t>
  </si>
  <si>
    <t>Footwear</t>
  </si>
  <si>
    <t>Mobile</t>
  </si>
  <si>
    <t>Smartwatch</t>
  </si>
  <si>
    <t>Beard trimmer</t>
  </si>
  <si>
    <t>Deodarant</t>
  </si>
  <si>
    <t>Shaving cream</t>
  </si>
  <si>
    <t>Wrist watch</t>
  </si>
  <si>
    <t>Price</t>
  </si>
  <si>
    <t>Lookup values</t>
  </si>
  <si>
    <t>Earbuds</t>
  </si>
  <si>
    <t>Jackets</t>
  </si>
  <si>
    <t>Price, using only the Array</t>
  </si>
  <si>
    <t>Price (with lookup and result vectors)</t>
  </si>
  <si>
    <t>Price (using only the arrays)</t>
  </si>
  <si>
    <t>Region (with lookup and result vectors)</t>
  </si>
  <si>
    <t>Date (using only the arrays)</t>
  </si>
  <si>
    <t>Bass headphones</t>
  </si>
  <si>
    <t>Homework</t>
  </si>
  <si>
    <t>Vertically arranged data</t>
  </si>
  <si>
    <t>Bottom to top</t>
  </si>
  <si>
    <t>Horizontally arranged data</t>
  </si>
  <si>
    <t>Right to Left</t>
  </si>
  <si>
    <t>Perfume</t>
  </si>
  <si>
    <t>Hair spray</t>
  </si>
  <si>
    <t>Men's Deodarant</t>
  </si>
  <si>
    <t>Women's Deodarant</t>
  </si>
  <si>
    <t>Men's deodarant</t>
  </si>
  <si>
    <t>Women's deodarant</t>
  </si>
  <si>
    <t>Shaving</t>
  </si>
  <si>
    <t>Shaving brush</t>
  </si>
  <si>
    <t>Year wise prices</t>
  </si>
  <si>
    <t>Lookup Value - 1</t>
  </si>
  <si>
    <t>Lookup Value - 2</t>
  </si>
  <si>
    <t>Deodarant for men</t>
  </si>
  <si>
    <t>Deodarant for women</t>
  </si>
  <si>
    <t>CRITERIA - score &gt;=50 in Science, Math and / or Social Studies</t>
  </si>
  <si>
    <t>Wildcard</t>
  </si>
  <si>
    <t>Excel</t>
  </si>
  <si>
    <t>Power BI</t>
  </si>
  <si>
    <t>Tableau</t>
  </si>
  <si>
    <t>NOT examples</t>
  </si>
  <si>
    <t>Skincare Products</t>
  </si>
  <si>
    <t>Criteria for BONUS</t>
  </si>
  <si>
    <t>ISBLANK</t>
  </si>
  <si>
    <t>ISERROR</t>
  </si>
  <si>
    <t>IFERROR</t>
  </si>
  <si>
    <t>IFNA</t>
  </si>
  <si>
    <t>IFERROR (for a blank cell)</t>
  </si>
  <si>
    <t>Regions (using only the arrays)</t>
  </si>
  <si>
    <t>Regions (with lookup and result vectors)</t>
  </si>
  <si>
    <t>Prices (using only the arrays)</t>
  </si>
  <si>
    <t>Prices (with lookup and result vectors)</t>
  </si>
  <si>
    <t>Dates (using only the arrays)</t>
  </si>
  <si>
    <t>2-D data (nested Xlookup)</t>
  </si>
  <si>
    <t>Salesperson</t>
  </si>
  <si>
    <t>Ratings</t>
  </si>
  <si>
    <t>Description</t>
  </si>
  <si>
    <t>Positions from Match function</t>
  </si>
  <si>
    <t>Column numbers</t>
  </si>
  <si>
    <t>Row numbers</t>
  </si>
  <si>
    <t>Values from Index function - 1D</t>
  </si>
  <si>
    <t>Values from Index function - 2D</t>
  </si>
  <si>
    <t>DATA VALIDATION G2:J6</t>
  </si>
  <si>
    <t>DATA VALIDATION - using paste special</t>
  </si>
  <si>
    <t>Index + Match Functions</t>
  </si>
  <si>
    <t>NE</t>
  </si>
  <si>
    <t>South-west</t>
  </si>
  <si>
    <t>tyhygjfhdg</t>
  </si>
  <si>
    <t>dryugjfhdc</t>
  </si>
  <si>
    <t>dthjukjfh</t>
  </si>
  <si>
    <t>\4</t>
  </si>
  <si>
    <t>1iut</t>
  </si>
  <si>
    <t>ADD</t>
  </si>
  <si>
    <t>SUBTRACT</t>
  </si>
  <si>
    <t>Cost Price</t>
  </si>
  <si>
    <t>Pens</t>
  </si>
  <si>
    <t>Colors</t>
  </si>
  <si>
    <t>Highlighters</t>
  </si>
  <si>
    <t>Scales/Rulers</t>
  </si>
  <si>
    <t>Novels</t>
  </si>
  <si>
    <t>Magazines</t>
  </si>
  <si>
    <t>Pencils</t>
  </si>
  <si>
    <t>Laptop Production</t>
  </si>
  <si>
    <t>Parts</t>
  </si>
  <si>
    <t>Costing</t>
  </si>
  <si>
    <t>Motherboards</t>
  </si>
  <si>
    <t>RAM Modules</t>
  </si>
  <si>
    <t>Speakers</t>
  </si>
  <si>
    <t>Cooling fans</t>
  </si>
  <si>
    <t>Batteries and Adapters</t>
  </si>
  <si>
    <t>CPU</t>
  </si>
  <si>
    <t>Toouchpad</t>
  </si>
  <si>
    <t>Display screen</t>
  </si>
  <si>
    <t>Storage (HDD)</t>
  </si>
  <si>
    <t>Keyboard</t>
  </si>
  <si>
    <t>Laptop Price</t>
  </si>
  <si>
    <t>Item</t>
  </si>
  <si>
    <t>Samsung Galaxy S25 Ultra</t>
  </si>
  <si>
    <t>Down Payment</t>
  </si>
  <si>
    <t>Tenure</t>
  </si>
  <si>
    <t>EMI</t>
  </si>
  <si>
    <t>NO !</t>
  </si>
  <si>
    <t>YES !</t>
  </si>
  <si>
    <t>Total Costing</t>
  </si>
  <si>
    <t>Sales</t>
  </si>
  <si>
    <t>Unit Price</t>
  </si>
  <si>
    <t>Total Sales</t>
  </si>
  <si>
    <t>Scores</t>
  </si>
  <si>
    <t>Clustered Column Chart</t>
  </si>
  <si>
    <t>3D Bar Chart</t>
  </si>
  <si>
    <t>2D Line Chart</t>
  </si>
  <si>
    <t>3D Line Chart</t>
  </si>
  <si>
    <t>Total of Prices</t>
  </si>
  <si>
    <t>-</t>
  </si>
  <si>
    <t>Semester 1</t>
  </si>
  <si>
    <t>Semester 2</t>
  </si>
  <si>
    <t>Semester 3</t>
  </si>
  <si>
    <t>Homework (Line Chart)</t>
  </si>
  <si>
    <t>Cost Price2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</si>
</sst>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₹&quot;\ #,##0"/>
    <numFmt numFmtId="165" formatCode="0.0000"/>
    <numFmt numFmtId="166" formatCode="[$-F800]dddd\,\ mmmm\ dd\,\ yyyy"/>
    <numFmt numFmtId="167" formatCode="[$-14009]yyyy/mm/dd;@"/>
    <numFmt numFmtId="168" formatCode="&quot;₹&quot;\ #,##0.00"/>
    <numFmt numFmtId="169" formatCode="&quot;₹&quot;\ #,##0.000"/>
    <numFmt numFmtId="170" formatCode="[$-10409]hh:mm:ss\ AM/PM"/>
    <numFmt numFmtId="171" formatCode="[$-14009]dd/mm/yyyy"/>
    <numFmt numFmtId="172" formatCode="dddd"/>
    <numFmt numFmtId="173" formatCode="dd\/mm\/yyyy"/>
  </numFmts>
  <fonts count="16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Bookman Old Style"/>
      <family val="1"/>
    </font>
    <font>
      <sz val="16"/>
      <color theme="1"/>
      <name val="Aptos Narrow"/>
      <family val="2"/>
      <scheme val="minor"/>
    </font>
    <font>
      <b/>
      <i/>
      <u/>
      <sz val="14"/>
      <color theme="3" tint="0.249977111117893"/>
      <name val="Bookman Old Style"/>
      <family val="1"/>
    </font>
    <font>
      <b/>
      <i/>
      <u/>
      <sz val="14"/>
      <color theme="9" tint="-0.249977111117893"/>
      <name val="Bookman Old Style"/>
      <family val="1"/>
    </font>
    <font>
      <b/>
      <sz val="18"/>
      <color theme="9" tint="-0.249977111117893"/>
      <name val="Algerian"/>
      <family val="5"/>
    </font>
    <font>
      <sz val="11"/>
      <color theme="1"/>
      <name val="Aptos Narrow"/>
      <family val="2"/>
      <scheme val="minor"/>
    </font>
    <font>
      <b/>
      <i/>
      <sz val="12"/>
      <color theme="1"/>
      <name val="Amasis MT Pro Medium"/>
      <family val="1"/>
    </font>
    <font>
      <sz val="14"/>
      <color theme="1"/>
      <name val="Aptos Narrow"/>
      <family val="2"/>
      <scheme val="minor"/>
    </font>
    <font>
      <b/>
      <i/>
      <u/>
      <sz val="20"/>
      <color theme="6" tint="-0.249977111117893"/>
      <name val="Algerian"/>
      <family val="5"/>
    </font>
    <font>
      <b/>
      <sz val="14"/>
      <color theme="1"/>
      <name val="Aptos Narrow"/>
      <family val="2"/>
      <scheme val="minor"/>
    </font>
    <font>
      <b/>
      <sz val="14"/>
      <color theme="1"/>
      <name val="Cambria Math"/>
      <family val="1"/>
    </font>
    <font>
      <b/>
      <sz val="16"/>
      <color theme="1"/>
      <name val="Aptos Narrow"/>
      <family val="2"/>
      <scheme val="minor"/>
    </font>
    <font>
      <sz val="14"/>
      <color theme="1"/>
      <name val="Amasis MT Pro"/>
      <family val="1"/>
    </font>
    <font>
      <b/>
      <sz val="14"/>
      <color theme="0"/>
      <name val="Amasis MT Pro"/>
      <family val="1"/>
    </font>
    <font>
      <b/>
      <sz val="14"/>
      <color theme="1"/>
      <name val="Amasis MT Pro"/>
      <family val="1"/>
    </font>
    <font>
      <sz val="12"/>
      <color theme="1"/>
      <name val="Aptos Narrow"/>
      <family val="2"/>
      <scheme val="minor"/>
    </font>
    <font>
      <b/>
      <u/>
      <sz val="12"/>
      <color theme="1"/>
      <name val="Book Antiqua"/>
      <family val="1"/>
    </font>
    <font>
      <sz val="12"/>
      <color theme="1"/>
      <name val="Book Antiqua"/>
      <family val="1"/>
    </font>
    <font>
      <b/>
      <u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0"/>
      <color rgb="FFFF0000"/>
      <name val="Bookman Old Style"/>
      <family val="1"/>
    </font>
    <font>
      <b/>
      <i/>
      <u/>
      <sz val="10"/>
      <color theme="1"/>
      <name val="Bookman Old Style"/>
      <family val="1"/>
    </font>
    <font>
      <b/>
      <u/>
      <sz val="10"/>
      <color rgb="FFC00000"/>
      <name val="Bookman Old Style"/>
      <family val="1"/>
    </font>
    <font>
      <b/>
      <i/>
      <sz val="10"/>
      <color rgb="FFC00000"/>
      <name val="Bookman Old Style"/>
      <family val="1"/>
    </font>
    <font>
      <b/>
      <u/>
      <sz val="10"/>
      <color theme="8" tint="-0.249977111117893"/>
      <name val="Algerian"/>
      <family val="5"/>
    </font>
    <font>
      <b/>
      <sz val="10"/>
      <color rgb="FFC00000"/>
      <name val="Bookman Old Style"/>
      <family val="1"/>
    </font>
    <font>
      <sz val="14"/>
      <color theme="1"/>
      <name val="Cambria"/>
      <family val="1"/>
    </font>
    <font>
      <b/>
      <i/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Amasis MT Pro"/>
      <family val="1"/>
    </font>
    <font>
      <b/>
      <i/>
      <u/>
      <sz val="12"/>
      <color theme="1"/>
      <name val="Amasis MT Pro"/>
      <family val="1"/>
    </font>
    <font>
      <sz val="12"/>
      <color theme="1"/>
      <name val="Amasis MT Pro"/>
      <family val="1"/>
    </font>
    <font>
      <sz val="12"/>
      <name val="Calibri"/>
      <family val="2"/>
    </font>
    <font>
      <b/>
      <u/>
      <sz val="12"/>
      <color theme="1"/>
      <name val="Amasis MT Pro"/>
      <family val="1"/>
    </font>
    <font>
      <b/>
      <u/>
      <sz val="12"/>
      <color theme="0"/>
      <name val="Amasis MT Pro"/>
      <family val="1"/>
    </font>
    <font>
      <b/>
      <sz val="12"/>
      <name val="Calibri"/>
      <family val="2"/>
    </font>
    <font>
      <b/>
      <u/>
      <sz val="16"/>
      <color rgb="FFFF0000"/>
      <name val="Amasis MT Pro"/>
      <family val="1"/>
    </font>
    <font>
      <b/>
      <u/>
      <sz val="14"/>
      <color theme="1"/>
      <name val="Amasis MT Pro"/>
      <family val="1"/>
    </font>
    <font>
      <b/>
      <i/>
      <u/>
      <sz val="14"/>
      <color rgb="FFFF0000"/>
      <name val="Amasis MT Pro"/>
      <family val="1"/>
    </font>
    <font>
      <sz val="12"/>
      <color theme="1"/>
      <name val="Bookman Old Style"/>
      <family val="1"/>
    </font>
    <font>
      <b/>
      <sz val="12"/>
      <color rgb="FFFF0000"/>
      <name val="Bookman Old Style"/>
      <family val="1"/>
    </font>
    <font>
      <b/>
      <u/>
      <sz val="14"/>
      <color theme="1"/>
      <name val="Bookman Old Style"/>
      <family val="1"/>
    </font>
    <font>
      <b/>
      <i/>
      <u/>
      <sz val="12"/>
      <color rgb="FFFF0000"/>
      <name val="Amasis MT Pro"/>
      <family val="1"/>
    </font>
    <font>
      <b/>
      <sz val="12"/>
      <color theme="1"/>
      <name val="Aptos Narrow"/>
      <family val="2"/>
      <scheme val="minor"/>
    </font>
    <font>
      <b/>
      <u/>
      <sz val="13"/>
      <color theme="1"/>
      <name val="Book Antiqua"/>
      <family val="1"/>
    </font>
    <font>
      <sz val="13"/>
      <color theme="1"/>
      <name val="Book Antiqua"/>
      <family val="1"/>
    </font>
    <font>
      <b/>
      <i/>
      <sz val="15"/>
      <color theme="1"/>
      <name val="Cambria"/>
      <family val="1"/>
    </font>
    <font>
      <sz val="15"/>
      <color theme="1"/>
      <name val="Cambria"/>
      <family val="1"/>
    </font>
    <font>
      <b/>
      <sz val="16"/>
      <color theme="1"/>
      <name val="Cambria"/>
      <family val="1"/>
    </font>
    <font>
      <b/>
      <sz val="20"/>
      <color rgb="FFC00000"/>
      <name val="Cambria"/>
      <family val="1"/>
    </font>
    <font>
      <b/>
      <sz val="19"/>
      <color rgb="FFC00000"/>
      <name val="Cambria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sz val="15"/>
      <color theme="1"/>
      <name val="Amasis MT Pro"/>
      <family val="1"/>
    </font>
    <font>
      <b/>
      <sz val="15"/>
      <color theme="1"/>
      <name val="Amasis MT Pro"/>
      <family val="1"/>
    </font>
    <font>
      <b/>
      <sz val="15"/>
      <name val="Calibri"/>
      <family val="2"/>
    </font>
    <font>
      <b/>
      <i/>
      <u/>
      <sz val="14"/>
      <color theme="1"/>
      <name val="Amasis MT Pro"/>
      <family val="1"/>
    </font>
    <font>
      <b/>
      <sz val="18"/>
      <color theme="1"/>
      <name val="Amasis MT Pro"/>
      <family val="1"/>
    </font>
    <font>
      <b/>
      <sz val="12"/>
      <color theme="1"/>
      <name val="Bookman Old Style"/>
      <family val="1"/>
    </font>
    <font>
      <sz val="18"/>
      <color theme="1"/>
      <name val="Aptos Narrow"/>
      <family val="2"/>
      <scheme val="minor"/>
    </font>
    <font>
      <sz val="16"/>
      <color theme="1"/>
      <name val="Algerian"/>
      <family val="5"/>
    </font>
    <font>
      <b/>
      <u/>
      <sz val="18"/>
      <color theme="3" tint="0.249977111117893"/>
      <name val="Algerian"/>
      <family val="5"/>
    </font>
    <font>
      <sz val="11"/>
      <color theme="1"/>
      <name val="Bookman Old Style"/>
      <family val="1"/>
    </font>
    <font>
      <b/>
      <sz val="14"/>
      <color theme="1"/>
      <name val="Baskerville Old Face"/>
      <family val="1"/>
    </font>
    <font>
      <sz val="11"/>
      <color theme="1"/>
      <name val="Comic Sans MS"/>
      <family val="4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sz val="14"/>
      <color rgb="FF0C0C0C"/>
      <name val="Amasis MT Pro"/>
      <family val="1"/>
    </font>
    <font>
      <b/>
      <u/>
      <sz val="14"/>
      <color theme="0"/>
      <name val="Amasis MT Pro"/>
      <family val="1"/>
    </font>
    <font>
      <b/>
      <sz val="14"/>
      <color rgb="FF0C0C0C"/>
      <name val="Amasis MT Pro"/>
      <family val="1"/>
    </font>
    <font>
      <b/>
      <sz val="13"/>
      <color theme="1"/>
      <name val="Amasis MT Pro"/>
      <family val="1"/>
    </font>
    <font>
      <sz val="15"/>
      <color theme="1"/>
      <name val="Book Antiqua"/>
      <family val="1"/>
    </font>
    <font>
      <b/>
      <sz val="15"/>
      <color theme="1"/>
      <name val="Book Antiqua"/>
      <family val="1"/>
    </font>
    <font>
      <b/>
      <u/>
      <sz val="16"/>
      <color theme="1"/>
      <name val="Book Antiqua"/>
      <family val="1"/>
    </font>
    <font>
      <sz val="16"/>
      <color theme="1"/>
      <name val="Book Antiqua"/>
      <family val="1"/>
    </font>
    <font>
      <b/>
      <sz val="16"/>
      <color theme="1"/>
      <name val="Book Antiqua"/>
      <family val="1"/>
    </font>
    <font>
      <b/>
      <sz val="16"/>
      <color theme="0"/>
      <name val="Book Antiqua"/>
      <family val="1"/>
    </font>
    <font>
      <b/>
      <i/>
      <u/>
      <sz val="20"/>
      <color theme="0"/>
      <name val="Book Antiqua"/>
      <family val="1"/>
    </font>
    <font>
      <b/>
      <u/>
      <sz val="18"/>
      <name val="Book Antiqua"/>
      <family val="1"/>
    </font>
    <font>
      <b/>
      <u/>
      <sz val="28"/>
      <color rgb="FFFF0000"/>
      <name val="Aptos Narrow"/>
      <family val="2"/>
      <scheme val="minor"/>
    </font>
    <font>
      <sz val="14"/>
      <color theme="1"/>
      <name val="Book Antiqua"/>
      <family val="1"/>
    </font>
    <font>
      <b/>
      <sz val="14"/>
      <color theme="1"/>
      <name val="Book Antiqua"/>
      <family val="1"/>
    </font>
    <font>
      <b/>
      <sz val="14"/>
      <color theme="0"/>
      <name val="Book Antiqua"/>
      <family val="1"/>
    </font>
    <font>
      <sz val="14"/>
      <color rgb="FF0C0C0C"/>
      <name val="Book Antiqua"/>
      <family val="1"/>
    </font>
    <font>
      <b/>
      <u/>
      <sz val="14"/>
      <color theme="1"/>
      <name val="Book Antiqua"/>
      <family val="1"/>
    </font>
    <font>
      <b/>
      <sz val="14"/>
      <color rgb="FF0C0C0C"/>
      <name val="Book Antiqua"/>
      <family val="1"/>
    </font>
    <font>
      <b/>
      <i/>
      <u/>
      <sz val="16"/>
      <color theme="1"/>
      <name val="Book Antiqua"/>
      <family val="1"/>
    </font>
    <font>
      <b/>
      <u/>
      <sz val="16"/>
      <color theme="0"/>
      <name val="Book Antiqua"/>
      <family val="1"/>
    </font>
    <font>
      <b/>
      <u/>
      <sz val="20"/>
      <color theme="1"/>
      <name val="Book Antiqua"/>
      <family val="1"/>
    </font>
    <font>
      <b/>
      <u/>
      <sz val="16"/>
      <color rgb="FF0C0C0C"/>
      <name val="Book Antiqua"/>
      <family val="1"/>
    </font>
    <font>
      <u/>
      <sz val="16"/>
      <name val="Book Antiqua"/>
      <family val="1"/>
    </font>
    <font>
      <b/>
      <u/>
      <sz val="15"/>
      <color theme="0"/>
      <name val="Bookman Old Style"/>
      <family val="1"/>
    </font>
    <font>
      <b/>
      <i/>
      <u/>
      <sz val="13"/>
      <color theme="1"/>
      <name val="Amasis MT Pro"/>
      <family val="1"/>
    </font>
    <font>
      <sz val="13"/>
      <color theme="1"/>
      <name val="Amasis MT Pro"/>
      <family val="1"/>
    </font>
    <font>
      <b/>
      <sz val="13"/>
      <color rgb="FFC00000"/>
      <name val="Amasis MT Pro"/>
      <family val="1"/>
    </font>
    <font>
      <b/>
      <i/>
      <sz val="13"/>
      <color theme="1"/>
      <name val="Book Antiqua"/>
      <family val="1"/>
    </font>
    <font>
      <i/>
      <sz val="14"/>
      <color theme="1"/>
      <name val="Aptos Narrow"/>
      <family val="2"/>
      <scheme val="minor"/>
    </font>
    <font>
      <b/>
      <i/>
      <sz val="14"/>
      <color theme="1"/>
      <name val="Amasis MT Pro"/>
      <family val="1"/>
    </font>
    <font>
      <i/>
      <sz val="14"/>
      <color theme="1"/>
      <name val="Amasis MT Pro"/>
      <family val="1"/>
    </font>
    <font>
      <sz val="16"/>
      <color theme="1"/>
      <name val="Amasis MT Pro"/>
      <family val="1"/>
    </font>
    <font>
      <b/>
      <i/>
      <sz val="14"/>
      <color rgb="FFC00000"/>
      <name val="Amasis MT Pro"/>
      <family val="1"/>
    </font>
    <font>
      <i/>
      <sz val="18"/>
      <color theme="1"/>
      <name val="Book Antiqua"/>
      <family val="1"/>
    </font>
    <font>
      <b/>
      <sz val="22"/>
      <name val="Book Antiqua"/>
      <family val="1"/>
    </font>
    <font>
      <b/>
      <sz val="20"/>
      <color theme="0"/>
      <name val="Book Antiqua"/>
      <family val="1"/>
    </font>
    <font>
      <b/>
      <i/>
      <sz val="18"/>
      <color theme="0"/>
      <name val="Book Antiqua"/>
      <family val="1"/>
    </font>
    <font>
      <b/>
      <i/>
      <sz val="24"/>
      <color theme="0"/>
      <name val="Book Antiqua"/>
      <family val="1"/>
    </font>
    <font>
      <b/>
      <i/>
      <sz val="22"/>
      <color theme="0"/>
      <name val="Book Antiqua"/>
      <family val="1"/>
    </font>
    <font>
      <b/>
      <i/>
      <sz val="26"/>
      <color theme="0"/>
      <name val="Book Antiqua"/>
      <family val="1"/>
    </font>
    <font>
      <b/>
      <i/>
      <u/>
      <sz val="14"/>
      <color theme="0"/>
      <name val="Comic Sans MS"/>
      <family val="4"/>
    </font>
    <font>
      <sz val="14"/>
      <color theme="1"/>
      <name val="Comic Sans MS"/>
      <family val="4"/>
    </font>
    <font>
      <b/>
      <i/>
      <u/>
      <sz val="15"/>
      <color theme="1"/>
      <name val="Comic Sans MS"/>
      <family val="4"/>
    </font>
    <font>
      <b/>
      <i/>
      <u/>
      <sz val="15"/>
      <color theme="2"/>
      <name val="Comic Sans MS"/>
      <family val="4"/>
    </font>
    <font>
      <b/>
      <i/>
      <u/>
      <sz val="18"/>
      <color theme="0"/>
      <name val="Amasis MT Pro"/>
      <family val="1"/>
    </font>
    <font>
      <b/>
      <u/>
      <sz val="18"/>
      <color theme="1"/>
      <name val="Book Antiqua"/>
      <family val="1"/>
    </font>
    <font>
      <b/>
      <u/>
      <sz val="22"/>
      <color theme="1"/>
      <name val="Book Antiqua"/>
      <family val="1"/>
    </font>
    <font>
      <i/>
      <u/>
      <sz val="16"/>
      <color theme="1"/>
      <name val="Book Antiqua"/>
      <family val="1"/>
    </font>
    <font>
      <b/>
      <i/>
      <u/>
      <sz val="50"/>
      <color theme="0"/>
      <name val="Book Antiqua"/>
      <family val="1"/>
    </font>
    <font>
      <b/>
      <i/>
      <u/>
      <sz val="36"/>
      <color theme="0"/>
      <name val="Book Antiqua"/>
      <family val="1"/>
    </font>
    <font>
      <b/>
      <i/>
      <u/>
      <sz val="16"/>
      <color theme="1"/>
      <name val="Amasis MT Pro"/>
      <family val="1"/>
    </font>
    <font>
      <b/>
      <i/>
      <sz val="13"/>
      <color theme="1"/>
      <name val="Amasis MT Pro Medium"/>
      <family val="1"/>
    </font>
    <font>
      <sz val="11"/>
      <color theme="1"/>
      <name val="Amasis MT Pro Medium"/>
      <family val="1"/>
    </font>
    <font>
      <b/>
      <sz val="13"/>
      <color theme="1"/>
      <name val="Amasis MT Pro Medium"/>
      <family val="1"/>
    </font>
    <font>
      <sz val="13"/>
      <color theme="1"/>
      <name val="Amasis MT Pro Medium"/>
      <family val="1"/>
    </font>
    <font>
      <b/>
      <sz val="16"/>
      <color theme="1"/>
      <name val="Amasis MT Pro Medium"/>
      <family val="1"/>
    </font>
    <font>
      <sz val="14"/>
      <color theme="1"/>
      <name val="Arial Narrow"/>
      <family val="2"/>
    </font>
    <font>
      <b/>
      <sz val="14"/>
      <color rgb="FFC00000"/>
      <name val="Arial Narrow"/>
      <family val="2"/>
    </font>
    <font>
      <b/>
      <sz val="14"/>
      <color theme="1"/>
      <name val="Arial Narrow"/>
      <family val="2"/>
    </font>
    <font>
      <b/>
      <i/>
      <u/>
      <sz val="16"/>
      <color theme="1"/>
      <name val="Amasis MT Pro Medium"/>
      <family val="1"/>
    </font>
    <font>
      <b/>
      <i/>
      <sz val="16"/>
      <color theme="1"/>
      <name val="Amasis MT Pro Medium"/>
      <family val="1"/>
    </font>
    <font>
      <b/>
      <u/>
      <sz val="13"/>
      <color theme="1"/>
      <name val="Bookman Old Style"/>
      <family val="1"/>
    </font>
    <font>
      <b/>
      <sz val="13"/>
      <color theme="1"/>
      <name val="Bookman Old Style"/>
      <family val="1"/>
    </font>
    <font>
      <sz val="13"/>
      <color theme="1"/>
      <name val="Bookman Old Style"/>
      <family val="1"/>
    </font>
    <font>
      <b/>
      <i/>
      <sz val="17"/>
      <color theme="1"/>
      <name val="Amasis MT Pro"/>
      <family val="1"/>
    </font>
    <font>
      <i/>
      <u/>
      <sz val="14"/>
      <color theme="1"/>
      <name val="Algerian"/>
      <family val="5"/>
    </font>
    <font>
      <b/>
      <sz val="17"/>
      <color theme="1"/>
      <name val="Amasis MT Pro"/>
      <family val="1"/>
    </font>
    <font>
      <sz val="13"/>
      <color theme="1"/>
      <name val="Aptos Narrow"/>
      <family val="2"/>
      <scheme val="minor"/>
    </font>
    <font>
      <b/>
      <sz val="13"/>
      <color theme="0"/>
      <name val="Amasis MT Pro"/>
      <family val="1"/>
    </font>
    <font>
      <sz val="12"/>
      <color theme="1"/>
      <name val="Arial"/>
      <family val="2"/>
    </font>
    <font>
      <b/>
      <sz val="14"/>
      <color theme="1"/>
      <name val="Bookman Old Style"/>
      <family val="1"/>
    </font>
    <font>
      <b/>
      <sz val="13"/>
      <color theme="1"/>
      <name val="Arial"/>
      <family val="2"/>
    </font>
    <font>
      <sz val="14"/>
      <name val="Bookman Old Style"/>
      <family val="1"/>
    </font>
    <font>
      <b/>
      <sz val="14"/>
      <color rgb="FFFF0000"/>
      <name val="Bookman Old Style"/>
      <family val="1"/>
    </font>
    <font>
      <b/>
      <sz val="18"/>
      <color rgb="FFFF0000"/>
      <name val="Bookman Old Style"/>
      <family val="1"/>
    </font>
    <font>
      <b/>
      <u/>
      <sz val="14"/>
      <color theme="1"/>
      <name val="Comic Sans MS"/>
      <family val="4"/>
    </font>
    <font>
      <b/>
      <sz val="13"/>
      <color theme="1"/>
      <name val="Comic Sans MS"/>
      <family val="4"/>
    </font>
    <font>
      <b/>
      <sz val="14"/>
      <color theme="1"/>
      <name val="Comic Sans MS"/>
      <family val="4"/>
    </font>
    <font>
      <sz val="11"/>
      <name val="Calibri"/>
      <family val="2"/>
    </font>
    <font>
      <b/>
      <u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12"/>
      <color theme="1"/>
      <name val="Bookman Old Style"/>
      <family val="1"/>
    </font>
    <font>
      <b/>
      <u/>
      <sz val="20"/>
      <color rgb="FFFF0000"/>
      <name val="Aptos Narrow"/>
      <family val="2"/>
      <scheme val="minor"/>
    </font>
    <font>
      <b/>
      <u/>
      <sz val="14"/>
      <name val="Bookman Old Style"/>
      <family val="1"/>
    </font>
    <font>
      <b/>
      <sz val="14"/>
      <name val="Bookman Old Style"/>
      <family val="1"/>
    </font>
    <font>
      <b/>
      <sz val="20"/>
      <color theme="1"/>
      <name val="Aptos Narrow"/>
      <family val="2"/>
      <scheme val="minor"/>
    </font>
    <font>
      <b/>
      <sz val="13"/>
      <name val="Amasis MT Pro"/>
      <family val="1"/>
    </font>
    <font>
      <sz val="13"/>
      <name val="Amasis MT Pro"/>
      <family val="1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5" tint="0.59999389629810485"/>
        <bgColor rgb="FFC5E0B3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BE4D5"/>
      </patternFill>
    </fill>
    <fill>
      <patternFill patternType="solid">
        <fgColor rgb="FF2F5496"/>
        <bgColor rgb="FF2F549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2" tint="-9.9978637043366805E-2"/>
        <bgColor rgb="FFFBE4D5"/>
      </patternFill>
    </fill>
    <fill>
      <patternFill patternType="solid">
        <fgColor theme="3" tint="0.749992370372631"/>
        <bgColor rgb="FFB4C6E7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theme="7" tint="0.59999389629810485"/>
        <bgColor rgb="FFFFE598"/>
      </patternFill>
    </fill>
    <fill>
      <patternFill patternType="solid">
        <fgColor theme="0"/>
        <bgColor theme="1"/>
      </patternFill>
    </fill>
    <fill>
      <patternFill patternType="solid">
        <fgColor theme="0"/>
        <bgColor theme="4" tint="-0.249977111117893"/>
      </patternFill>
    </fill>
    <fill>
      <patternFill patternType="solid">
        <fgColor theme="0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indexed="64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indexed="64"/>
      </right>
      <top/>
      <bottom/>
      <diagonal/>
    </border>
    <border>
      <left style="thin">
        <color theme="3" tint="0.499984740745262"/>
      </left>
      <right style="thin">
        <color indexed="64"/>
      </right>
      <top/>
      <bottom style="thin">
        <color theme="3" tint="0.499984740745262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707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7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3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2" fillId="0" borderId="3" xfId="0" applyFont="1" applyBorder="1"/>
    <xf numFmtId="0" fontId="14" fillId="0" borderId="3" xfId="0" applyFont="1" applyBorder="1"/>
    <xf numFmtId="14" fontId="12" fillId="0" borderId="3" xfId="0" applyNumberFormat="1" applyFont="1" applyBorder="1"/>
    <xf numFmtId="49" fontId="12" fillId="0" borderId="3" xfId="0" applyNumberFormat="1" applyFont="1" applyBorder="1"/>
    <xf numFmtId="164" fontId="12" fillId="0" borderId="3" xfId="0" applyNumberFormat="1" applyFont="1" applyBorder="1"/>
    <xf numFmtId="165" fontId="12" fillId="0" borderId="3" xfId="0" applyNumberFormat="1" applyFont="1" applyBorder="1"/>
    <xf numFmtId="9" fontId="12" fillId="0" borderId="3" xfId="1" applyFont="1" applyBorder="1"/>
    <xf numFmtId="166" fontId="12" fillId="0" borderId="3" xfId="0" applyNumberFormat="1" applyFont="1" applyBorder="1"/>
    <xf numFmtId="167" fontId="12" fillId="0" borderId="3" xfId="0" applyNumberFormat="1" applyFont="1" applyBorder="1"/>
    <xf numFmtId="0" fontId="15" fillId="0" borderId="0" xfId="0" applyFont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9" fontId="17" fillId="0" borderId="4" xfId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16" fillId="7" borderId="3" xfId="0" applyNumberFormat="1" applyFont="1" applyFill="1" applyBorder="1" applyAlignment="1">
      <alignment horizontal="center" vertical="center"/>
    </xf>
    <xf numFmtId="14" fontId="14" fillId="0" borderId="3" xfId="0" applyNumberFormat="1" applyFont="1" applyBorder="1"/>
    <xf numFmtId="0" fontId="19" fillId="3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" fontId="20" fillId="0" borderId="1" xfId="3" applyNumberFormat="1" applyFont="1" applyBorder="1" applyAlignment="1">
      <alignment horizontal="center" vertical="center" wrapText="1"/>
    </xf>
    <xf numFmtId="2" fontId="2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8" borderId="1" xfId="2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7" borderId="1" xfId="2" applyFont="1" applyFill="1" applyBorder="1" applyAlignment="1">
      <alignment horizontal="center" vertical="center" wrapText="1"/>
    </xf>
    <xf numFmtId="168" fontId="22" fillId="8" borderId="1" xfId="2" applyNumberFormat="1" applyFont="1" applyFill="1" applyBorder="1" applyAlignment="1">
      <alignment horizontal="center" vertical="center" wrapText="1"/>
    </xf>
    <xf numFmtId="166" fontId="22" fillId="7" borderId="1" xfId="2" applyNumberFormat="1" applyFont="1" applyFill="1" applyBorder="1" applyAlignment="1">
      <alignment horizontal="center" vertical="center" wrapText="1"/>
    </xf>
    <xf numFmtId="164" fontId="24" fillId="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4" fontId="24" fillId="8" borderId="0" xfId="0" applyNumberFormat="1" applyFont="1" applyFill="1" applyAlignment="1">
      <alignment horizontal="center" vertical="center" wrapText="1"/>
    </xf>
    <xf numFmtId="164" fontId="24" fillId="7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168" fontId="22" fillId="7" borderId="1" xfId="2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 wrapText="1"/>
    </xf>
    <xf numFmtId="168" fontId="22" fillId="7" borderId="5" xfId="2" applyNumberFormat="1" applyFont="1" applyFill="1" applyBorder="1" applyAlignment="1">
      <alignment horizontal="center" vertical="center" wrapText="1"/>
    </xf>
    <xf numFmtId="0" fontId="22" fillId="7" borderId="7" xfId="2" applyFont="1" applyFill="1" applyBorder="1" applyAlignment="1">
      <alignment horizontal="center" vertical="center" wrapText="1"/>
    </xf>
    <xf numFmtId="0" fontId="22" fillId="7" borderId="8" xfId="2" applyFont="1" applyFill="1" applyBorder="1" applyAlignment="1">
      <alignment horizontal="center" vertical="center" wrapText="1"/>
    </xf>
    <xf numFmtId="166" fontId="22" fillId="7" borderId="2" xfId="2" applyNumberFormat="1" applyFont="1" applyFill="1" applyBorder="1" applyAlignment="1">
      <alignment horizontal="center" vertical="center" wrapText="1"/>
    </xf>
    <xf numFmtId="168" fontId="22" fillId="7" borderId="6" xfId="2" applyNumberFormat="1" applyFont="1" applyFill="1" applyBorder="1" applyAlignment="1">
      <alignment horizontal="center" vertical="center" wrapText="1"/>
    </xf>
    <xf numFmtId="166" fontId="22" fillId="7" borderId="5" xfId="2" applyNumberFormat="1" applyFont="1" applyFill="1" applyBorder="1" applyAlignment="1">
      <alignment horizontal="center" vertical="center" wrapText="1"/>
    </xf>
    <xf numFmtId="0" fontId="22" fillId="7" borderId="5" xfId="2" applyFont="1" applyFill="1" applyBorder="1" applyAlignment="1">
      <alignment horizontal="center" vertical="center" wrapText="1"/>
    </xf>
    <xf numFmtId="0" fontId="25" fillId="7" borderId="8" xfId="2" applyFont="1" applyFill="1" applyBorder="1" applyAlignment="1">
      <alignment horizontal="center" vertical="center" wrapText="1"/>
    </xf>
    <xf numFmtId="166" fontId="22" fillId="7" borderId="9" xfId="2" applyNumberFormat="1" applyFont="1" applyFill="1" applyBorder="1" applyAlignment="1">
      <alignment horizontal="center" vertical="center" wrapText="1"/>
    </xf>
    <xf numFmtId="0" fontId="22" fillId="7" borderId="10" xfId="2" applyFont="1" applyFill="1" applyBorder="1" applyAlignment="1">
      <alignment horizontal="center" vertical="center" wrapText="1"/>
    </xf>
    <xf numFmtId="166" fontId="22" fillId="7" borderId="10" xfId="2" applyNumberFormat="1" applyFont="1" applyFill="1" applyBorder="1" applyAlignment="1">
      <alignment horizontal="center" vertical="center" wrapText="1"/>
    </xf>
    <xf numFmtId="0" fontId="26" fillId="8" borderId="1" xfId="2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8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168" fontId="26" fillId="8" borderId="1" xfId="0" applyNumberFormat="1" applyFont="1" applyFill="1" applyBorder="1" applyAlignment="1">
      <alignment horizontal="center" vertical="center" wrapText="1"/>
    </xf>
    <xf numFmtId="0" fontId="32" fillId="9" borderId="1" xfId="4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center" vertical="center" wrapText="1"/>
    </xf>
    <xf numFmtId="0" fontId="32" fillId="9" borderId="6" xfId="4" applyFont="1" applyFill="1" applyBorder="1" applyAlignment="1">
      <alignment horizontal="center" vertical="center" wrapText="1"/>
    </xf>
    <xf numFmtId="0" fontId="31" fillId="10" borderId="1" xfId="4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20" fillId="0" borderId="1" xfId="1" applyFont="1" applyBorder="1" applyAlignment="1">
      <alignment horizontal="center" vertical="center" wrapText="1"/>
    </xf>
    <xf numFmtId="0" fontId="19" fillId="2" borderId="1" xfId="3" applyFont="1" applyFill="1" applyBorder="1" applyAlignment="1">
      <alignment horizontal="center" vertical="center" wrapText="1"/>
    </xf>
    <xf numFmtId="2" fontId="20" fillId="2" borderId="1" xfId="1" applyNumberFormat="1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left" vertical="center" wrapText="1"/>
    </xf>
    <xf numFmtId="0" fontId="31" fillId="0" borderId="0" xfId="4" applyFont="1" applyAlignment="1">
      <alignment horizontal="left" vertical="center" wrapText="1"/>
    </xf>
    <xf numFmtId="0" fontId="32" fillId="9" borderId="1" xfId="4" applyFont="1" applyFill="1" applyBorder="1" applyAlignment="1">
      <alignment horizontal="left" vertical="center" wrapText="1"/>
    </xf>
    <xf numFmtId="0" fontId="31" fillId="0" borderId="12" xfId="4" applyFont="1" applyBorder="1" applyAlignment="1">
      <alignment horizontal="left" vertical="center" wrapText="1"/>
    </xf>
    <xf numFmtId="0" fontId="31" fillId="10" borderId="1" xfId="4" applyFont="1" applyFill="1" applyBorder="1" applyAlignment="1">
      <alignment horizontal="left" vertical="center" wrapText="1"/>
    </xf>
    <xf numFmtId="0" fontId="33" fillId="0" borderId="1" xfId="4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4" fillId="2" borderId="1" xfId="5" applyFont="1" applyFill="1" applyBorder="1" applyAlignment="1">
      <alignment horizontal="center" vertical="center" wrapText="1"/>
    </xf>
    <xf numFmtId="14" fontId="34" fillId="0" borderId="0" xfId="5" applyNumberFormat="1" applyFont="1" applyAlignment="1">
      <alignment horizontal="center" vertical="center" wrapText="1"/>
    </xf>
    <xf numFmtId="0" fontId="34" fillId="0" borderId="0" xfId="5" applyFont="1" applyAlignment="1">
      <alignment horizontal="center" vertical="center" wrapText="1"/>
    </xf>
    <xf numFmtId="0" fontId="36" fillId="0" borderId="0" xfId="5" applyFont="1" applyAlignment="1">
      <alignment horizontal="center" vertical="center" wrapText="1"/>
    </xf>
    <xf numFmtId="0" fontId="36" fillId="0" borderId="13" xfId="5" applyFont="1" applyBorder="1" applyAlignment="1">
      <alignment horizontal="center" vertical="center" wrapText="1"/>
    </xf>
    <xf numFmtId="14" fontId="36" fillId="0" borderId="13" xfId="5" applyNumberFormat="1" applyFont="1" applyBorder="1" applyAlignment="1">
      <alignment horizontal="center" vertical="center" wrapText="1"/>
    </xf>
    <xf numFmtId="14" fontId="36" fillId="0" borderId="14" xfId="5" applyNumberFormat="1" applyFont="1" applyBorder="1" applyAlignment="1">
      <alignment horizontal="center" vertical="center" wrapText="1"/>
    </xf>
    <xf numFmtId="0" fontId="34" fillId="0" borderId="13" xfId="5" applyFont="1" applyBorder="1" applyAlignment="1">
      <alignment horizontal="center" vertical="center" wrapText="1"/>
    </xf>
    <xf numFmtId="0" fontId="34" fillId="0" borderId="14" xfId="5" applyFont="1" applyBorder="1" applyAlignment="1">
      <alignment horizontal="center" vertical="center" wrapText="1"/>
    </xf>
    <xf numFmtId="0" fontId="39" fillId="14" borderId="1" xfId="5" applyFont="1" applyFill="1" applyBorder="1" applyAlignment="1">
      <alignment horizontal="center" vertical="center" wrapText="1"/>
    </xf>
    <xf numFmtId="0" fontId="18" fillId="0" borderId="0" xfId="0" applyFont="1"/>
    <xf numFmtId="0" fontId="34" fillId="11" borderId="13" xfId="5" applyFont="1" applyFill="1" applyBorder="1" applyAlignment="1">
      <alignment horizontal="center" vertical="center" wrapText="1"/>
    </xf>
    <xf numFmtId="0" fontId="36" fillId="11" borderId="13" xfId="5" applyFont="1" applyFill="1" applyBorder="1" applyAlignment="1">
      <alignment horizontal="center" vertical="center" wrapText="1"/>
    </xf>
    <xf numFmtId="0" fontId="36" fillId="11" borderId="14" xfId="5" applyFont="1" applyFill="1" applyBorder="1" applyAlignment="1">
      <alignment horizontal="center" vertical="center" wrapText="1"/>
    </xf>
    <xf numFmtId="14" fontId="36" fillId="0" borderId="0" xfId="5" applyNumberFormat="1" applyFont="1" applyAlignment="1">
      <alignment horizontal="center" vertical="center" wrapText="1"/>
    </xf>
    <xf numFmtId="49" fontId="36" fillId="0" borderId="0" xfId="5" applyNumberFormat="1" applyFont="1" applyAlignment="1">
      <alignment horizontal="center" vertical="center" wrapText="1"/>
    </xf>
    <xf numFmtId="1" fontId="36" fillId="0" borderId="0" xfId="5" applyNumberFormat="1" applyFont="1" applyAlignment="1">
      <alignment horizontal="center" vertical="center" wrapText="1"/>
    </xf>
    <xf numFmtId="0" fontId="34" fillId="0" borderId="15" xfId="5" applyFont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14" fontId="36" fillId="0" borderId="15" xfId="5" applyNumberFormat="1" applyFont="1" applyBorder="1" applyAlignment="1">
      <alignment horizontal="center" vertical="center" wrapText="1"/>
    </xf>
    <xf numFmtId="170" fontId="36" fillId="0" borderId="14" xfId="5" applyNumberFormat="1" applyFont="1" applyBorder="1" applyAlignment="1">
      <alignment horizontal="center" vertical="center" wrapText="1"/>
    </xf>
    <xf numFmtId="14" fontId="36" fillId="0" borderId="1" xfId="5" applyNumberFormat="1" applyFont="1" applyBorder="1" applyAlignment="1">
      <alignment horizontal="center" vertical="center" wrapText="1"/>
    </xf>
    <xf numFmtId="22" fontId="36" fillId="0" borderId="1" xfId="5" applyNumberFormat="1" applyFont="1" applyBorder="1" applyAlignment="1">
      <alignment horizontal="center" vertical="center" wrapText="1"/>
    </xf>
    <xf numFmtId="171" fontId="36" fillId="0" borderId="13" xfId="5" applyNumberFormat="1" applyFont="1" applyBorder="1" applyAlignment="1">
      <alignment horizontal="center" vertical="center" wrapText="1"/>
    </xf>
    <xf numFmtId="1" fontId="36" fillId="0" borderId="13" xfId="5" applyNumberFormat="1" applyFont="1" applyBorder="1" applyAlignment="1">
      <alignment horizontal="center" vertical="center" wrapText="1"/>
    </xf>
    <xf numFmtId="0" fontId="34" fillId="8" borderId="1" xfId="5" applyFont="1" applyFill="1" applyBorder="1" applyAlignment="1">
      <alignment horizontal="center" vertical="center" wrapText="1"/>
    </xf>
    <xf numFmtId="0" fontId="34" fillId="8" borderId="17" xfId="5" applyFont="1" applyFill="1" applyBorder="1" applyAlignment="1">
      <alignment horizontal="center" vertical="center" wrapText="1"/>
    </xf>
    <xf numFmtId="0" fontId="34" fillId="8" borderId="18" xfId="5" applyFont="1" applyFill="1" applyBorder="1" applyAlignment="1">
      <alignment horizontal="center" vertical="center" wrapText="1"/>
    </xf>
    <xf numFmtId="0" fontId="34" fillId="8" borderId="19" xfId="5" applyFont="1" applyFill="1" applyBorder="1" applyAlignment="1">
      <alignment horizontal="center" vertical="center" wrapText="1"/>
    </xf>
    <xf numFmtId="0" fontId="36" fillId="0" borderId="20" xfId="5" applyFont="1" applyBorder="1" applyAlignment="1">
      <alignment horizontal="center" vertical="center" wrapText="1"/>
    </xf>
    <xf numFmtId="172" fontId="36" fillId="0" borderId="13" xfId="5" applyNumberFormat="1" applyFont="1" applyBorder="1" applyAlignment="1">
      <alignment horizontal="center" vertical="center" wrapText="1"/>
    </xf>
    <xf numFmtId="172" fontId="36" fillId="0" borderId="0" xfId="5" applyNumberFormat="1" applyFont="1" applyAlignment="1">
      <alignment horizontal="center" vertical="center" wrapText="1"/>
    </xf>
    <xf numFmtId="0" fontId="36" fillId="0" borderId="29" xfId="5" applyFont="1" applyBorder="1" applyAlignment="1">
      <alignment horizontal="center" vertical="center" wrapText="1"/>
    </xf>
    <xf numFmtId="0" fontId="38" fillId="0" borderId="1" xfId="5" applyFont="1" applyBorder="1" applyAlignment="1">
      <alignment horizontal="center" vertical="center" wrapText="1"/>
    </xf>
    <xf numFmtId="0" fontId="36" fillId="0" borderId="1" xfId="5" applyFont="1" applyBorder="1" applyAlignment="1">
      <alignment horizontal="center" vertical="center" wrapText="1"/>
    </xf>
    <xf numFmtId="171" fontId="36" fillId="0" borderId="1" xfId="5" applyNumberFormat="1" applyFont="1" applyBorder="1" applyAlignment="1">
      <alignment horizontal="center" vertical="center" wrapText="1"/>
    </xf>
    <xf numFmtId="0" fontId="34" fillId="12" borderId="13" xfId="5" applyFont="1" applyFill="1" applyBorder="1" applyAlignment="1">
      <alignment horizontal="center" vertical="center" wrapText="1"/>
    </xf>
    <xf numFmtId="0" fontId="36" fillId="0" borderId="14" xfId="5" applyFont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14" fontId="34" fillId="0" borderId="13" xfId="5" applyNumberFormat="1" applyFont="1" applyBorder="1" applyAlignment="1">
      <alignment horizontal="center" vertical="center" wrapText="1"/>
    </xf>
    <xf numFmtId="14" fontId="34" fillId="13" borderId="1" xfId="5" applyNumberFormat="1" applyFont="1" applyFill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173" fontId="36" fillId="2" borderId="1" xfId="5" applyNumberFormat="1" applyFont="1" applyFill="1" applyBorder="1" applyAlignment="1">
      <alignment horizontal="center" vertical="center" wrapText="1"/>
    </xf>
    <xf numFmtId="0" fontId="36" fillId="2" borderId="1" xfId="5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36" fillId="15" borderId="13" xfId="5" applyFont="1" applyFill="1" applyBorder="1" applyAlignment="1">
      <alignment horizontal="center" vertical="center" wrapText="1"/>
    </xf>
    <xf numFmtId="173" fontId="36" fillId="16" borderId="1" xfId="5" applyNumberFormat="1" applyFont="1" applyFill="1" applyBorder="1" applyAlignment="1">
      <alignment horizontal="center" vertical="center" wrapText="1"/>
    </xf>
    <xf numFmtId="0" fontId="36" fillId="16" borderId="1" xfId="5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42" fillId="8" borderId="1" xfId="0" applyFont="1" applyFill="1" applyBorder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42" fillId="7" borderId="0" xfId="0" applyFont="1" applyFill="1" applyAlignment="1">
      <alignment vertical="center" wrapText="1"/>
    </xf>
    <xf numFmtId="0" fontId="44" fillId="7" borderId="1" xfId="2" applyFont="1" applyFill="1" applyBorder="1" applyAlignment="1">
      <alignment horizontal="center" vertical="center" wrapText="1"/>
    </xf>
    <xf numFmtId="168" fontId="44" fillId="8" borderId="1" xfId="2" applyNumberFormat="1" applyFont="1" applyFill="1" applyBorder="1" applyAlignment="1">
      <alignment horizontal="center" vertical="center" wrapText="1"/>
    </xf>
    <xf numFmtId="166" fontId="44" fillId="7" borderId="1" xfId="2" applyNumberFormat="1" applyFont="1" applyFill="1" applyBorder="1" applyAlignment="1">
      <alignment horizontal="center" vertical="center" wrapText="1"/>
    </xf>
    <xf numFmtId="168" fontId="44" fillId="7" borderId="1" xfId="2" applyNumberFormat="1" applyFont="1" applyFill="1" applyBorder="1" applyAlignment="1">
      <alignment horizontal="center" vertical="center" wrapText="1"/>
    </xf>
    <xf numFmtId="168" fontId="44" fillId="7" borderId="5" xfId="2" applyNumberFormat="1" applyFont="1" applyFill="1" applyBorder="1" applyAlignment="1">
      <alignment horizontal="center" vertical="center" wrapText="1"/>
    </xf>
    <xf numFmtId="0" fontId="44" fillId="7" borderId="7" xfId="2" applyFont="1" applyFill="1" applyBorder="1" applyAlignment="1">
      <alignment horizontal="center" vertical="center" wrapText="1"/>
    </xf>
    <xf numFmtId="0" fontId="44" fillId="7" borderId="8" xfId="2" applyFont="1" applyFill="1" applyBorder="1" applyAlignment="1">
      <alignment horizontal="center" vertical="center" wrapText="1"/>
    </xf>
    <xf numFmtId="166" fontId="44" fillId="7" borderId="2" xfId="2" applyNumberFormat="1" applyFont="1" applyFill="1" applyBorder="1" applyAlignment="1">
      <alignment horizontal="center" vertical="center" wrapText="1"/>
    </xf>
    <xf numFmtId="168" fontId="44" fillId="7" borderId="6" xfId="2" applyNumberFormat="1" applyFont="1" applyFill="1" applyBorder="1" applyAlignment="1">
      <alignment horizontal="center" vertical="center" wrapText="1"/>
    </xf>
    <xf numFmtId="166" fontId="44" fillId="7" borderId="5" xfId="2" applyNumberFormat="1" applyFont="1" applyFill="1" applyBorder="1" applyAlignment="1">
      <alignment horizontal="center" vertical="center" wrapText="1"/>
    </xf>
    <xf numFmtId="0" fontId="44" fillId="7" borderId="5" xfId="2" applyFont="1" applyFill="1" applyBorder="1" applyAlignment="1">
      <alignment horizontal="center" vertical="center" wrapText="1"/>
    </xf>
    <xf numFmtId="0" fontId="45" fillId="7" borderId="8" xfId="2" applyFont="1" applyFill="1" applyBorder="1" applyAlignment="1">
      <alignment horizontal="center" vertical="center" wrapText="1"/>
    </xf>
    <xf numFmtId="166" fontId="44" fillId="7" borderId="9" xfId="2" applyNumberFormat="1" applyFont="1" applyFill="1" applyBorder="1" applyAlignment="1">
      <alignment horizontal="center" vertical="center" wrapText="1"/>
    </xf>
    <xf numFmtId="0" fontId="44" fillId="7" borderId="10" xfId="2" applyFont="1" applyFill="1" applyBorder="1" applyAlignment="1">
      <alignment horizontal="center" vertical="center" wrapText="1"/>
    </xf>
    <xf numFmtId="166" fontId="44" fillId="7" borderId="10" xfId="2" applyNumberFormat="1" applyFont="1" applyFill="1" applyBorder="1" applyAlignment="1">
      <alignment horizontal="center" vertical="center" wrapText="1"/>
    </xf>
    <xf numFmtId="0" fontId="46" fillId="7" borderId="1" xfId="2" applyFont="1" applyFill="1" applyBorder="1" applyAlignment="1">
      <alignment horizontal="center" vertical="center" wrapText="1"/>
    </xf>
    <xf numFmtId="0" fontId="46" fillId="0" borderId="38" xfId="2" applyFont="1" applyBorder="1" applyAlignment="1">
      <alignment horizontal="center" vertical="center" wrapText="1"/>
    </xf>
    <xf numFmtId="0" fontId="46" fillId="0" borderId="6" xfId="2" applyFont="1" applyBorder="1" applyAlignment="1">
      <alignment horizontal="center" vertical="center" wrapText="1"/>
    </xf>
    <xf numFmtId="0" fontId="44" fillId="0" borderId="2" xfId="2" applyFont="1" applyBorder="1" applyAlignment="1">
      <alignment horizontal="center" vertical="center" wrapText="1"/>
    </xf>
    <xf numFmtId="168" fontId="44" fillId="0" borderId="1" xfId="2" applyNumberFormat="1" applyFont="1" applyBorder="1" applyAlignment="1">
      <alignment horizontal="center" vertical="center" wrapText="1"/>
    </xf>
    <xf numFmtId="166" fontId="44" fillId="0" borderId="1" xfId="2" applyNumberFormat="1" applyFont="1" applyBorder="1" applyAlignment="1">
      <alignment horizontal="center" vertical="center" wrapText="1"/>
    </xf>
    <xf numFmtId="0" fontId="44" fillId="0" borderId="1" xfId="2" applyFont="1" applyBorder="1" applyAlignment="1">
      <alignment horizontal="center" vertical="center" wrapText="1"/>
    </xf>
    <xf numFmtId="168" fontId="44" fillId="0" borderId="5" xfId="2" applyNumberFormat="1" applyFont="1" applyBorder="1" applyAlignment="1">
      <alignment horizontal="center" vertical="center" wrapText="1"/>
    </xf>
    <xf numFmtId="0" fontId="44" fillId="0" borderId="35" xfId="2" applyFont="1" applyBorder="1" applyAlignment="1">
      <alignment horizontal="center" vertical="center" wrapText="1"/>
    </xf>
    <xf numFmtId="0" fontId="44" fillId="0" borderId="8" xfId="2" applyFont="1" applyBorder="1" applyAlignment="1">
      <alignment horizontal="center" vertical="center" wrapText="1"/>
    </xf>
    <xf numFmtId="166" fontId="44" fillId="0" borderId="2" xfId="2" applyNumberFormat="1" applyFont="1" applyBorder="1" applyAlignment="1">
      <alignment horizontal="center" vertical="center" wrapText="1"/>
    </xf>
    <xf numFmtId="168" fontId="44" fillId="0" borderId="6" xfId="2" applyNumberFormat="1" applyFont="1" applyBorder="1" applyAlignment="1">
      <alignment horizontal="center" vertical="center" wrapText="1"/>
    </xf>
    <xf numFmtId="166" fontId="44" fillId="0" borderId="5" xfId="2" applyNumberFormat="1" applyFont="1" applyBorder="1" applyAlignment="1">
      <alignment horizontal="center" vertical="center" wrapText="1"/>
    </xf>
    <xf numFmtId="0" fontId="44" fillId="0" borderId="5" xfId="2" applyFont="1" applyBorder="1" applyAlignment="1">
      <alignment horizontal="center" vertical="center" wrapText="1"/>
    </xf>
    <xf numFmtId="0" fontId="45" fillId="0" borderId="8" xfId="2" applyFont="1" applyBorder="1" applyAlignment="1">
      <alignment horizontal="center" vertical="center" wrapText="1"/>
    </xf>
    <xf numFmtId="166" fontId="44" fillId="0" borderId="9" xfId="2" applyNumberFormat="1" applyFont="1" applyBorder="1" applyAlignment="1">
      <alignment horizontal="center" vertical="center" wrapText="1"/>
    </xf>
    <xf numFmtId="0" fontId="44" fillId="0" borderId="10" xfId="2" applyFont="1" applyBorder="1" applyAlignment="1">
      <alignment horizontal="center" vertical="center" wrapText="1"/>
    </xf>
    <xf numFmtId="166" fontId="44" fillId="0" borderId="10" xfId="2" applyNumberFormat="1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168" fontId="44" fillId="0" borderId="11" xfId="0" applyNumberFormat="1" applyFont="1" applyBorder="1" applyAlignment="1">
      <alignment horizontal="center" vertical="center" wrapText="1"/>
    </xf>
    <xf numFmtId="0" fontId="17" fillId="2" borderId="1" xfId="5" applyFont="1" applyFill="1" applyBorder="1" applyAlignment="1">
      <alignment horizontal="center" vertical="center" wrapText="1"/>
    </xf>
    <xf numFmtId="171" fontId="47" fillId="0" borderId="0" xfId="5" applyNumberFormat="1" applyFont="1" applyAlignment="1">
      <alignment horizontal="center" vertical="center" wrapText="1"/>
    </xf>
    <xf numFmtId="0" fontId="48" fillId="0" borderId="1" xfId="5" applyFont="1" applyBorder="1" applyAlignment="1">
      <alignment horizontal="center" vertical="center" wrapText="1"/>
    </xf>
    <xf numFmtId="0" fontId="49" fillId="3" borderId="1" xfId="3" applyFont="1" applyFill="1" applyBorder="1" applyAlignment="1">
      <alignment horizontal="center" vertical="center" wrapText="1"/>
    </xf>
    <xf numFmtId="1" fontId="50" fillId="0" borderId="1" xfId="3" applyNumberFormat="1" applyFont="1" applyBorder="1" applyAlignment="1">
      <alignment horizontal="center" vertical="center" wrapText="1"/>
    </xf>
    <xf numFmtId="10" fontId="50" fillId="0" borderId="1" xfId="1" applyNumberFormat="1" applyFont="1" applyBorder="1" applyAlignment="1">
      <alignment horizontal="center" vertical="center" wrapText="1"/>
    </xf>
    <xf numFmtId="2" fontId="50" fillId="0" borderId="1" xfId="1" applyNumberFormat="1" applyFont="1" applyBorder="1" applyAlignment="1">
      <alignment horizontal="center" vertical="center" wrapText="1"/>
    </xf>
    <xf numFmtId="0" fontId="31" fillId="0" borderId="5" xfId="4" applyFont="1" applyBorder="1" applyAlignment="1">
      <alignment horizontal="left" vertical="center" wrapText="1"/>
    </xf>
    <xf numFmtId="0" fontId="31" fillId="7" borderId="0" xfId="4" applyFont="1" applyFill="1" applyAlignment="1">
      <alignment horizontal="left" vertical="center" wrapText="1"/>
    </xf>
    <xf numFmtId="0" fontId="31" fillId="7" borderId="40" xfId="4" applyFont="1" applyFill="1" applyBorder="1" applyAlignment="1">
      <alignment horizontal="left" vertical="center" wrapText="1"/>
    </xf>
    <xf numFmtId="0" fontId="51" fillId="9" borderId="1" xfId="4" applyFont="1" applyFill="1" applyBorder="1" applyAlignment="1">
      <alignment horizontal="center" vertical="center" wrapText="1"/>
    </xf>
    <xf numFmtId="0" fontId="52" fillId="0" borderId="1" xfId="4" applyFont="1" applyBorder="1" applyAlignment="1">
      <alignment horizontal="center" vertical="center" wrapText="1"/>
    </xf>
    <xf numFmtId="2" fontId="52" fillId="0" borderId="1" xfId="4" applyNumberFormat="1" applyFont="1" applyBorder="1" applyAlignment="1">
      <alignment horizontal="center" vertical="center" wrapText="1"/>
    </xf>
    <xf numFmtId="0" fontId="52" fillId="0" borderId="5" xfId="4" applyFont="1" applyBorder="1" applyAlignment="1">
      <alignment horizontal="center" vertical="center" wrapText="1"/>
    </xf>
    <xf numFmtId="0" fontId="53" fillId="2" borderId="1" xfId="4" applyFont="1" applyFill="1" applyBorder="1" applyAlignment="1">
      <alignment horizontal="center" vertical="center" wrapText="1"/>
    </xf>
    <xf numFmtId="0" fontId="31" fillId="10" borderId="7" xfId="4" applyFont="1" applyFill="1" applyBorder="1" applyAlignment="1">
      <alignment horizontal="left" vertical="center" wrapText="1"/>
    </xf>
    <xf numFmtId="0" fontId="34" fillId="0" borderId="7" xfId="5" applyFont="1" applyBorder="1" applyAlignment="1">
      <alignment horizontal="center" vertical="center" wrapText="1"/>
    </xf>
    <xf numFmtId="173" fontId="36" fillId="15" borderId="15" xfId="5" applyNumberFormat="1" applyFont="1" applyFill="1" applyBorder="1" applyAlignment="1">
      <alignment horizontal="center" vertical="center" wrapText="1"/>
    </xf>
    <xf numFmtId="173" fontId="36" fillId="0" borderId="15" xfId="5" applyNumberFormat="1" applyFont="1" applyBorder="1" applyAlignment="1">
      <alignment horizontal="center" vertical="center" wrapText="1"/>
    </xf>
    <xf numFmtId="171" fontId="15" fillId="17" borderId="13" xfId="5" applyNumberFormat="1" applyFont="1" applyFill="1" applyBorder="1" applyAlignment="1">
      <alignment horizontal="center" vertical="center" wrapText="1"/>
    </xf>
    <xf numFmtId="171" fontId="15" fillId="17" borderId="14" xfId="5" applyNumberFormat="1" applyFont="1" applyFill="1" applyBorder="1" applyAlignment="1">
      <alignment horizontal="center" vertical="center" wrapText="1"/>
    </xf>
    <xf numFmtId="1" fontId="15" fillId="17" borderId="7" xfId="5" applyNumberFormat="1" applyFont="1" applyFill="1" applyBorder="1" applyAlignment="1">
      <alignment horizontal="center" vertical="center" wrapText="1"/>
    </xf>
    <xf numFmtId="1" fontId="15" fillId="17" borderId="34" xfId="5" applyNumberFormat="1" applyFont="1" applyFill="1" applyBorder="1" applyAlignment="1">
      <alignment horizontal="center" vertical="center" wrapText="1"/>
    </xf>
    <xf numFmtId="171" fontId="15" fillId="19" borderId="13" xfId="5" applyNumberFormat="1" applyFont="1" applyFill="1" applyBorder="1" applyAlignment="1">
      <alignment horizontal="center" vertical="center" wrapText="1"/>
    </xf>
    <xf numFmtId="171" fontId="15" fillId="19" borderId="14" xfId="5" applyNumberFormat="1" applyFont="1" applyFill="1" applyBorder="1" applyAlignment="1">
      <alignment horizontal="center" vertical="center" wrapText="1"/>
    </xf>
    <xf numFmtId="171" fontId="58" fillId="5" borderId="13" xfId="5" applyNumberFormat="1" applyFont="1" applyFill="1" applyBorder="1" applyAlignment="1">
      <alignment horizontal="center" vertical="center" wrapText="1"/>
    </xf>
    <xf numFmtId="171" fontId="58" fillId="5" borderId="14" xfId="5" applyNumberFormat="1" applyFont="1" applyFill="1" applyBorder="1" applyAlignment="1">
      <alignment horizontal="center" vertical="center" wrapText="1"/>
    </xf>
    <xf numFmtId="1" fontId="58" fillId="5" borderId="7" xfId="5" applyNumberFormat="1" applyFont="1" applyFill="1" applyBorder="1" applyAlignment="1">
      <alignment horizontal="center" vertical="center" wrapText="1"/>
    </xf>
    <xf numFmtId="1" fontId="58" fillId="5" borderId="32" xfId="5" applyNumberFormat="1" applyFont="1" applyFill="1" applyBorder="1" applyAlignment="1">
      <alignment horizontal="center" vertical="center" wrapText="1"/>
    </xf>
    <xf numFmtId="0" fontId="61" fillId="8" borderId="13" xfId="5" applyFont="1" applyFill="1" applyBorder="1" applyAlignment="1">
      <alignment horizontal="center" vertical="center" wrapText="1"/>
    </xf>
    <xf numFmtId="0" fontId="61" fillId="8" borderId="14" xfId="5" applyFont="1" applyFill="1" applyBorder="1" applyAlignment="1">
      <alignment horizontal="center" vertical="center" wrapText="1"/>
    </xf>
    <xf numFmtId="0" fontId="61" fillId="6" borderId="1" xfId="5" applyFont="1" applyFill="1" applyBorder="1" applyAlignment="1">
      <alignment horizontal="center" vertical="center" wrapText="1"/>
    </xf>
    <xf numFmtId="0" fontId="61" fillId="6" borderId="5" xfId="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3" fillId="0" borderId="2" xfId="2" applyFont="1" applyBorder="1" applyAlignment="1">
      <alignment horizontal="center" vertical="center" wrapText="1"/>
    </xf>
    <xf numFmtId="168" fontId="63" fillId="0" borderId="1" xfId="2" applyNumberFormat="1" applyFont="1" applyBorder="1" applyAlignment="1">
      <alignment horizontal="center" vertical="center" wrapText="1"/>
    </xf>
    <xf numFmtId="166" fontId="63" fillId="0" borderId="1" xfId="2" applyNumberFormat="1" applyFont="1" applyBorder="1" applyAlignment="1">
      <alignment horizontal="center" vertical="center" wrapText="1"/>
    </xf>
    <xf numFmtId="168" fontId="63" fillId="0" borderId="5" xfId="2" applyNumberFormat="1" applyFont="1" applyBorder="1" applyAlignment="1">
      <alignment horizontal="center" vertical="center" wrapText="1"/>
    </xf>
    <xf numFmtId="0" fontId="63" fillId="0" borderId="35" xfId="2" applyFont="1" applyBorder="1" applyAlignment="1">
      <alignment horizontal="center" vertical="center" wrapText="1"/>
    </xf>
    <xf numFmtId="0" fontId="63" fillId="0" borderId="8" xfId="2" applyFont="1" applyBorder="1" applyAlignment="1">
      <alignment horizontal="center" vertical="center" wrapText="1"/>
    </xf>
    <xf numFmtId="166" fontId="63" fillId="0" borderId="2" xfId="2" applyNumberFormat="1" applyFont="1" applyBorder="1" applyAlignment="1">
      <alignment horizontal="center" vertical="center" wrapText="1"/>
    </xf>
    <xf numFmtId="168" fontId="63" fillId="0" borderId="6" xfId="2" applyNumberFormat="1" applyFont="1" applyBorder="1" applyAlignment="1">
      <alignment horizontal="center" vertical="center" wrapText="1"/>
    </xf>
    <xf numFmtId="166" fontId="63" fillId="0" borderId="5" xfId="2" applyNumberFormat="1" applyFont="1" applyBorder="1" applyAlignment="1">
      <alignment horizontal="center" vertical="center" wrapText="1"/>
    </xf>
    <xf numFmtId="166" fontId="63" fillId="0" borderId="9" xfId="2" applyNumberFormat="1" applyFont="1" applyBorder="1" applyAlignment="1">
      <alignment horizontal="center" vertical="center" wrapText="1"/>
    </xf>
    <xf numFmtId="166" fontId="63" fillId="0" borderId="10" xfId="2" applyNumberFormat="1" applyFont="1" applyBorder="1" applyAlignment="1">
      <alignment horizontal="center" vertical="center" wrapText="1"/>
    </xf>
    <xf numFmtId="0" fontId="63" fillId="0" borderId="39" xfId="0" applyFont="1" applyBorder="1" applyAlignment="1">
      <alignment horizontal="center" vertical="center" wrapText="1"/>
    </xf>
    <xf numFmtId="0" fontId="56" fillId="0" borderId="0" xfId="0" applyFont="1"/>
    <xf numFmtId="168" fontId="63" fillId="0" borderId="11" xfId="0" applyNumberFormat="1" applyFont="1" applyBorder="1" applyAlignment="1">
      <alignment horizontal="center" vertical="center" wrapText="1"/>
    </xf>
    <xf numFmtId="0" fontId="63" fillId="0" borderId="7" xfId="2" applyFont="1" applyBorder="1" applyAlignment="1">
      <alignment horizontal="center" vertical="center" wrapText="1"/>
    </xf>
    <xf numFmtId="0" fontId="63" fillId="0" borderId="17" xfId="2" applyFont="1" applyBorder="1" applyAlignment="1">
      <alignment horizontal="center" vertical="center" wrapText="1"/>
    </xf>
    <xf numFmtId="0" fontId="63" fillId="0" borderId="41" xfId="2" applyFont="1" applyBorder="1" applyAlignment="1">
      <alignment horizontal="center" vertical="center" wrapText="1"/>
    </xf>
    <xf numFmtId="0" fontId="64" fillId="0" borderId="1" xfId="0" applyFont="1" applyBorder="1"/>
    <xf numFmtId="0" fontId="65" fillId="0" borderId="1" xfId="0" applyFont="1" applyBorder="1"/>
    <xf numFmtId="0" fontId="66" fillId="0" borderId="1" xfId="0" applyFont="1" applyBorder="1" applyAlignment="1">
      <alignment horizontal="center" vertical="center"/>
    </xf>
    <xf numFmtId="0" fontId="18" fillId="0" borderId="0" xfId="3" applyAlignment="1">
      <alignment horizontal="center" vertical="center" wrapText="1"/>
    </xf>
    <xf numFmtId="0" fontId="48" fillId="0" borderId="0" xfId="3" applyFont="1" applyAlignment="1">
      <alignment horizontal="center" vertical="center" wrapText="1"/>
    </xf>
    <xf numFmtId="0" fontId="67" fillId="7" borderId="1" xfId="4" applyFont="1" applyFill="1" applyBorder="1" applyAlignment="1">
      <alignment horizontal="center" vertical="center" wrapText="1"/>
    </xf>
    <xf numFmtId="14" fontId="67" fillId="7" borderId="1" xfId="4" applyNumberFormat="1" applyFont="1" applyFill="1" applyBorder="1" applyAlignment="1">
      <alignment horizontal="center" vertical="center" wrapText="1"/>
    </xf>
    <xf numFmtId="164" fontId="67" fillId="7" borderId="1" xfId="4" applyNumberFormat="1" applyFont="1" applyFill="1" applyBorder="1" applyAlignment="1">
      <alignment horizontal="center" vertical="center" wrapText="1"/>
    </xf>
    <xf numFmtId="0" fontId="17" fillId="2" borderId="1" xfId="3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 vertical="center" wrapText="1"/>
    </xf>
    <xf numFmtId="0" fontId="68" fillId="23" borderId="5" xfId="3" applyFont="1" applyFill="1" applyBorder="1" applyAlignment="1">
      <alignment horizontal="center" vertical="center" wrapText="1"/>
    </xf>
    <xf numFmtId="164" fontId="68" fillId="23" borderId="1" xfId="4" applyNumberFormat="1" applyFont="1" applyFill="1" applyBorder="1" applyAlignment="1">
      <alignment horizontal="center" vertical="center" wrapText="1"/>
    </xf>
    <xf numFmtId="0" fontId="68" fillId="23" borderId="1" xfId="3" applyFont="1" applyFill="1" applyBorder="1" applyAlignment="1">
      <alignment horizontal="center" vertical="center" wrapText="1"/>
    </xf>
    <xf numFmtId="0" fontId="67" fillId="7" borderId="7" xfId="4" applyFont="1" applyFill="1" applyBorder="1" applyAlignment="1">
      <alignment horizontal="center" vertical="center" wrapText="1"/>
    </xf>
    <xf numFmtId="0" fontId="68" fillId="7" borderId="40" xfId="3" applyFont="1" applyFill="1" applyBorder="1" applyAlignment="1">
      <alignment vertical="center" wrapText="1"/>
    </xf>
    <xf numFmtId="164" fontId="68" fillId="7" borderId="40" xfId="4" applyNumberFormat="1" applyFont="1" applyFill="1" applyBorder="1" applyAlignment="1">
      <alignment horizontal="center" vertical="center" wrapText="1"/>
    </xf>
    <xf numFmtId="0" fontId="68" fillId="7" borderId="40" xfId="3" applyFont="1" applyFill="1" applyBorder="1" applyAlignment="1">
      <alignment horizontal="center" vertical="center" wrapText="1"/>
    </xf>
    <xf numFmtId="14" fontId="67" fillId="7" borderId="6" xfId="4" applyNumberFormat="1" applyFont="1" applyFill="1" applyBorder="1" applyAlignment="1">
      <alignment horizontal="center" vertical="center" wrapText="1"/>
    </xf>
    <xf numFmtId="164" fontId="67" fillId="7" borderId="6" xfId="4" applyNumberFormat="1" applyFont="1" applyFill="1" applyBorder="1" applyAlignment="1">
      <alignment horizontal="center" vertical="center" wrapText="1"/>
    </xf>
    <xf numFmtId="0" fontId="69" fillId="0" borderId="0" xfId="4" applyFont="1" applyAlignment="1">
      <alignment horizontal="center" vertical="center"/>
    </xf>
    <xf numFmtId="0" fontId="69" fillId="0" borderId="0" xfId="4" applyFont="1"/>
    <xf numFmtId="14" fontId="70" fillId="11" borderId="13" xfId="4" applyNumberFormat="1" applyFont="1" applyFill="1" applyBorder="1" applyAlignment="1">
      <alignment horizontal="center" vertical="center"/>
    </xf>
    <xf numFmtId="0" fontId="70" fillId="11" borderId="13" xfId="4" applyFont="1" applyFill="1" applyBorder="1" applyAlignment="1">
      <alignment horizontal="center" vertical="center"/>
    </xf>
    <xf numFmtId="168" fontId="70" fillId="11" borderId="13" xfId="4" applyNumberFormat="1" applyFont="1" applyFill="1" applyBorder="1" applyAlignment="1">
      <alignment horizontal="center" vertical="center"/>
    </xf>
    <xf numFmtId="168" fontId="70" fillId="26" borderId="13" xfId="4" applyNumberFormat="1" applyFont="1" applyFill="1" applyBorder="1" applyAlignment="1">
      <alignment horizontal="center" vertical="center"/>
    </xf>
    <xf numFmtId="14" fontId="70" fillId="26" borderId="13" xfId="4" applyNumberFormat="1" applyFont="1" applyFill="1" applyBorder="1" applyAlignment="1">
      <alignment horizontal="center" vertical="center"/>
    </xf>
    <xf numFmtId="0" fontId="72" fillId="0" borderId="0" xfId="4" applyFont="1" applyAlignment="1">
      <alignment horizontal="center" vertical="center"/>
    </xf>
    <xf numFmtId="0" fontId="15" fillId="0" borderId="0" xfId="4" applyFont="1"/>
    <xf numFmtId="0" fontId="73" fillId="25" borderId="13" xfId="4" applyFont="1" applyFill="1" applyBorder="1" applyAlignment="1">
      <alignment horizontal="center" vertical="center"/>
    </xf>
    <xf numFmtId="0" fontId="72" fillId="11" borderId="13" xfId="4" applyFont="1" applyFill="1" applyBorder="1" applyAlignment="1">
      <alignment horizontal="center" vertical="center"/>
    </xf>
    <xf numFmtId="168" fontId="72" fillId="11" borderId="13" xfId="4" applyNumberFormat="1" applyFont="1" applyFill="1" applyBorder="1" applyAlignment="1">
      <alignment horizontal="center" vertical="center"/>
    </xf>
    <xf numFmtId="14" fontId="72" fillId="11" borderId="13" xfId="4" applyNumberFormat="1" applyFont="1" applyFill="1" applyBorder="1" applyAlignment="1">
      <alignment horizontal="center" vertical="center"/>
    </xf>
    <xf numFmtId="0" fontId="74" fillId="28" borderId="13" xfId="4" applyFont="1" applyFill="1" applyBorder="1" applyAlignment="1">
      <alignment horizontal="center" vertical="center"/>
    </xf>
    <xf numFmtId="0" fontId="74" fillId="26" borderId="13" xfId="4" applyFont="1" applyFill="1" applyBorder="1" applyAlignment="1">
      <alignment horizontal="center" vertical="center"/>
    </xf>
    <xf numFmtId="0" fontId="17" fillId="26" borderId="13" xfId="4" applyFont="1" applyFill="1" applyBorder="1" applyAlignment="1">
      <alignment horizontal="center" vertical="center"/>
    </xf>
    <xf numFmtId="0" fontId="17" fillId="0" borderId="13" xfId="4" applyFont="1" applyBorder="1" applyAlignment="1">
      <alignment horizontal="center" vertical="center"/>
    </xf>
    <xf numFmtId="168" fontId="72" fillId="26" borderId="13" xfId="4" applyNumberFormat="1" applyFont="1" applyFill="1" applyBorder="1" applyAlignment="1">
      <alignment horizontal="center" vertical="center"/>
    </xf>
    <xf numFmtId="14" fontId="72" fillId="26" borderId="13" xfId="4" applyNumberFormat="1" applyFont="1" applyFill="1" applyBorder="1" applyAlignment="1">
      <alignment horizontal="center" vertical="center"/>
    </xf>
    <xf numFmtId="0" fontId="15" fillId="11" borderId="13" xfId="4" applyFont="1" applyFill="1" applyBorder="1" applyAlignment="1">
      <alignment horizontal="center" vertical="center"/>
    </xf>
    <xf numFmtId="168" fontId="15" fillId="11" borderId="13" xfId="4" applyNumberFormat="1" applyFont="1" applyFill="1" applyBorder="1" applyAlignment="1">
      <alignment horizontal="center" vertical="center"/>
    </xf>
    <xf numFmtId="14" fontId="15" fillId="11" borderId="13" xfId="4" applyNumberFormat="1" applyFont="1" applyFill="1" applyBorder="1" applyAlignment="1">
      <alignment horizontal="center" vertical="center"/>
    </xf>
    <xf numFmtId="14" fontId="74" fillId="28" borderId="13" xfId="4" applyNumberFormat="1" applyFont="1" applyFill="1" applyBorder="1" applyAlignment="1">
      <alignment horizontal="center" vertical="center"/>
    </xf>
    <xf numFmtId="0" fontId="72" fillId="26" borderId="0" xfId="4" applyFont="1" applyFill="1" applyAlignment="1">
      <alignment horizontal="center" vertical="center"/>
    </xf>
    <xf numFmtId="14" fontId="72" fillId="26" borderId="0" xfId="4" applyNumberFormat="1" applyFont="1" applyFill="1" applyAlignment="1">
      <alignment horizontal="center" vertical="center"/>
    </xf>
    <xf numFmtId="0" fontId="15" fillId="11" borderId="16" xfId="4" applyFont="1" applyFill="1" applyBorder="1" applyAlignment="1">
      <alignment horizontal="center" vertical="center"/>
    </xf>
    <xf numFmtId="14" fontId="72" fillId="11" borderId="16" xfId="4" applyNumberFormat="1" applyFont="1" applyFill="1" applyBorder="1" applyAlignment="1">
      <alignment horizontal="center" vertical="center"/>
    </xf>
    <xf numFmtId="14" fontId="15" fillId="11" borderId="16" xfId="4" applyNumberFormat="1" applyFont="1" applyFill="1" applyBorder="1" applyAlignment="1">
      <alignment horizontal="center" vertical="center"/>
    </xf>
    <xf numFmtId="0" fontId="72" fillId="11" borderId="10" xfId="4" applyFont="1" applyFill="1" applyBorder="1" applyAlignment="1">
      <alignment horizontal="center" vertical="center"/>
    </xf>
    <xf numFmtId="14" fontId="72" fillId="11" borderId="10" xfId="4" applyNumberFormat="1" applyFont="1" applyFill="1" applyBorder="1" applyAlignment="1">
      <alignment horizontal="center" vertical="center"/>
    </xf>
    <xf numFmtId="0" fontId="15" fillId="0" borderId="0" xfId="4" applyFont="1" applyAlignment="1">
      <alignment horizontal="center" vertical="center" wrapText="1"/>
    </xf>
    <xf numFmtId="0" fontId="15" fillId="0" borderId="0" xfId="4" applyFont="1" applyAlignment="1">
      <alignment wrapText="1"/>
    </xf>
    <xf numFmtId="0" fontId="72" fillId="26" borderId="0" xfId="4" applyFont="1" applyFill="1" applyAlignment="1">
      <alignment horizontal="center" vertical="center" wrapText="1"/>
    </xf>
    <xf numFmtId="2" fontId="72" fillId="11" borderId="13" xfId="4" applyNumberFormat="1" applyFont="1" applyFill="1" applyBorder="1" applyAlignment="1">
      <alignment horizontal="center" vertical="center" wrapText="1"/>
    </xf>
    <xf numFmtId="168" fontId="72" fillId="11" borderId="13" xfId="4" applyNumberFormat="1" applyFont="1" applyFill="1" applyBorder="1" applyAlignment="1">
      <alignment horizontal="center" vertical="center" wrapText="1"/>
    </xf>
    <xf numFmtId="0" fontId="17" fillId="28" borderId="13" xfId="4" applyFont="1" applyFill="1" applyBorder="1" applyAlignment="1">
      <alignment horizontal="center" vertical="center" wrapText="1"/>
    </xf>
    <xf numFmtId="0" fontId="17" fillId="30" borderId="13" xfId="4" applyFont="1" applyFill="1" applyBorder="1" applyAlignment="1">
      <alignment horizontal="center" vertical="center" wrapText="1"/>
    </xf>
    <xf numFmtId="168" fontId="15" fillId="26" borderId="13" xfId="4" applyNumberFormat="1" applyFont="1" applyFill="1" applyBorder="1" applyAlignment="1">
      <alignment horizontal="center" vertical="center" wrapText="1"/>
    </xf>
    <xf numFmtId="0" fontId="15" fillId="26" borderId="0" xfId="4" applyFont="1" applyFill="1" applyAlignment="1">
      <alignment horizontal="center" vertical="center" wrapText="1"/>
    </xf>
    <xf numFmtId="2" fontId="74" fillId="11" borderId="13" xfId="4" applyNumberFormat="1" applyFont="1" applyFill="1" applyBorder="1" applyAlignment="1">
      <alignment horizontal="center" vertical="center" wrapText="1"/>
    </xf>
    <xf numFmtId="168" fontId="74" fillId="11" borderId="13" xfId="4" applyNumberFormat="1" applyFont="1" applyFill="1" applyBorder="1" applyAlignment="1">
      <alignment horizontal="center" vertical="center" wrapText="1"/>
    </xf>
    <xf numFmtId="0" fontId="15" fillId="7" borderId="0" xfId="4" applyFont="1" applyFill="1" applyAlignment="1">
      <alignment wrapText="1"/>
    </xf>
    <xf numFmtId="2" fontId="72" fillId="31" borderId="0" xfId="4" applyNumberFormat="1" applyFont="1" applyFill="1" applyAlignment="1">
      <alignment horizontal="center" vertical="center" wrapText="1"/>
    </xf>
    <xf numFmtId="168" fontId="72" fillId="31" borderId="0" xfId="4" applyNumberFormat="1" applyFont="1" applyFill="1" applyAlignment="1">
      <alignment horizontal="center" vertical="center" wrapText="1"/>
    </xf>
    <xf numFmtId="0" fontId="16" fillId="29" borderId="13" xfId="4" applyFont="1" applyFill="1" applyBorder="1" applyAlignment="1">
      <alignment horizontal="center" vertical="center" wrapText="1"/>
    </xf>
    <xf numFmtId="0" fontId="75" fillId="30" borderId="13" xfId="4" applyFont="1" applyFill="1" applyBorder="1" applyAlignment="1">
      <alignment horizontal="center" vertical="center" wrapText="1"/>
    </xf>
    <xf numFmtId="0" fontId="72" fillId="11" borderId="13" xfId="4" applyFont="1" applyFill="1" applyBorder="1" applyAlignment="1">
      <alignment horizontal="center" vertical="center" wrapText="1"/>
    </xf>
    <xf numFmtId="14" fontId="72" fillId="11" borderId="13" xfId="4" applyNumberFormat="1" applyFont="1" applyFill="1" applyBorder="1" applyAlignment="1">
      <alignment horizontal="center" vertical="center" wrapText="1"/>
    </xf>
    <xf numFmtId="14" fontId="15" fillId="26" borderId="13" xfId="4" applyNumberFormat="1" applyFont="1" applyFill="1" applyBorder="1" applyAlignment="1">
      <alignment horizontal="center" vertical="center" wrapText="1"/>
    </xf>
    <xf numFmtId="14" fontId="72" fillId="11" borderId="16" xfId="4" applyNumberFormat="1" applyFont="1" applyFill="1" applyBorder="1" applyAlignment="1">
      <alignment horizontal="center" vertical="center" wrapText="1"/>
    </xf>
    <xf numFmtId="14" fontId="72" fillId="11" borderId="10" xfId="4" applyNumberFormat="1" applyFont="1" applyFill="1" applyBorder="1" applyAlignment="1">
      <alignment horizontal="center" vertical="center" wrapText="1"/>
    </xf>
    <xf numFmtId="14" fontId="72" fillId="26" borderId="0" xfId="4" applyNumberFormat="1" applyFont="1" applyFill="1" applyAlignment="1">
      <alignment horizontal="center" vertical="center" wrapText="1"/>
    </xf>
    <xf numFmtId="168" fontId="72" fillId="26" borderId="0" xfId="4" applyNumberFormat="1" applyFont="1" applyFill="1" applyAlignment="1">
      <alignment horizontal="center" vertical="center" wrapText="1"/>
    </xf>
    <xf numFmtId="0" fontId="74" fillId="11" borderId="13" xfId="4" applyFont="1" applyFill="1" applyBorder="1" applyAlignment="1">
      <alignment horizontal="center" vertical="center" wrapText="1"/>
    </xf>
    <xf numFmtId="0" fontId="74" fillId="11" borderId="16" xfId="4" applyFont="1" applyFill="1" applyBorder="1" applyAlignment="1">
      <alignment horizontal="center" vertical="center" wrapText="1"/>
    </xf>
    <xf numFmtId="0" fontId="74" fillId="11" borderId="10" xfId="4" applyFont="1" applyFill="1" applyBorder="1" applyAlignment="1">
      <alignment horizontal="center" vertical="center" wrapText="1"/>
    </xf>
    <xf numFmtId="0" fontId="78" fillId="3" borderId="1" xfId="3" applyFont="1" applyFill="1" applyBorder="1" applyAlignment="1">
      <alignment horizontal="center" vertical="center" wrapText="1"/>
    </xf>
    <xf numFmtId="0" fontId="80" fillId="13" borderId="1" xfId="3" applyFont="1" applyFill="1" applyBorder="1" applyAlignment="1">
      <alignment horizontal="center" vertical="center" wrapText="1"/>
    </xf>
    <xf numFmtId="0" fontId="80" fillId="0" borderId="0" xfId="3" applyFont="1" applyAlignment="1">
      <alignment horizontal="center" vertical="center" wrapText="1"/>
    </xf>
    <xf numFmtId="0" fontId="78" fillId="24" borderId="1" xfId="3" applyFont="1" applyFill="1" applyBorder="1" applyAlignment="1">
      <alignment horizontal="center" vertical="center" wrapText="1"/>
    </xf>
    <xf numFmtId="0" fontId="80" fillId="2" borderId="1" xfId="3" applyFont="1" applyFill="1" applyBorder="1" applyAlignment="1">
      <alignment horizontal="center" vertical="center" wrapText="1"/>
    </xf>
    <xf numFmtId="0" fontId="79" fillId="0" borderId="1" xfId="3" applyFont="1" applyBorder="1" applyAlignment="1">
      <alignment horizontal="center" vertical="center" wrapText="1"/>
    </xf>
    <xf numFmtId="1" fontId="79" fillId="0" borderId="1" xfId="3" applyNumberFormat="1" applyFont="1" applyBorder="1" applyAlignment="1">
      <alignment horizontal="center" vertical="center" wrapText="1"/>
    </xf>
    <xf numFmtId="0" fontId="79" fillId="7" borderId="1" xfId="3" applyFont="1" applyFill="1" applyBorder="1" applyAlignment="1">
      <alignment horizontal="center" vertical="center" wrapText="1"/>
    </xf>
    <xf numFmtId="1" fontId="79" fillId="7" borderId="1" xfId="3" applyNumberFormat="1" applyFont="1" applyFill="1" applyBorder="1" applyAlignment="1">
      <alignment horizontal="center" vertical="center" wrapText="1"/>
    </xf>
    <xf numFmtId="0" fontId="78" fillId="24" borderId="0" xfId="3" applyFont="1" applyFill="1" applyAlignment="1">
      <alignment horizontal="center" vertical="center" wrapText="1"/>
    </xf>
    <xf numFmtId="0" fontId="80" fillId="0" borderId="1" xfId="3" applyFont="1" applyBorder="1" applyAlignment="1">
      <alignment horizontal="center" vertical="center" wrapText="1"/>
    </xf>
    <xf numFmtId="0" fontId="80" fillId="7" borderId="1" xfId="3" applyFont="1" applyFill="1" applyBorder="1" applyAlignment="1">
      <alignment horizontal="center" vertical="center" wrapText="1"/>
    </xf>
    <xf numFmtId="0" fontId="79" fillId="13" borderId="1" xfId="3" applyFont="1" applyFill="1" applyBorder="1" applyAlignment="1">
      <alignment horizontal="center" vertical="center" wrapText="1"/>
    </xf>
    <xf numFmtId="0" fontId="79" fillId="23" borderId="1" xfId="3" applyFont="1" applyFill="1" applyBorder="1" applyAlignment="1">
      <alignment horizontal="center" vertical="center" wrapText="1"/>
    </xf>
    <xf numFmtId="0" fontId="79" fillId="2" borderId="1" xfId="3" applyFont="1" applyFill="1" applyBorder="1" applyAlignment="1">
      <alignment horizontal="center" vertical="center" wrapText="1"/>
    </xf>
    <xf numFmtId="0" fontId="83" fillId="13" borderId="1" xfId="3" applyFont="1" applyFill="1" applyBorder="1" applyAlignment="1">
      <alignment horizontal="center" vertical="center" wrapText="1"/>
    </xf>
    <xf numFmtId="0" fontId="76" fillId="0" borderId="0" xfId="4" applyFont="1" applyAlignment="1">
      <alignment horizontal="center" vertical="center" wrapText="1"/>
    </xf>
    <xf numFmtId="0" fontId="77" fillId="2" borderId="1" xfId="4" applyFont="1" applyFill="1" applyBorder="1" applyAlignment="1">
      <alignment horizontal="center" vertical="center" wrapText="1"/>
    </xf>
    <xf numFmtId="0" fontId="85" fillId="0" borderId="0" xfId="4" applyFont="1" applyAlignment="1">
      <alignment horizontal="center" vertical="center" wrapText="1"/>
    </xf>
    <xf numFmtId="14" fontId="88" fillId="11" borderId="15" xfId="4" applyNumberFormat="1" applyFont="1" applyFill="1" applyBorder="1" applyAlignment="1">
      <alignment horizontal="center" vertical="center" wrapText="1"/>
    </xf>
    <xf numFmtId="0" fontId="88" fillId="11" borderId="13" xfId="4" applyFont="1" applyFill="1" applyBorder="1" applyAlignment="1">
      <alignment horizontal="center" vertical="center" wrapText="1"/>
    </xf>
    <xf numFmtId="2" fontId="88" fillId="11" borderId="13" xfId="4" applyNumberFormat="1" applyFont="1" applyFill="1" applyBorder="1" applyAlignment="1">
      <alignment horizontal="center" vertical="center" wrapText="1"/>
    </xf>
    <xf numFmtId="0" fontId="85" fillId="6" borderId="13" xfId="4" applyFont="1" applyFill="1" applyBorder="1" applyAlignment="1">
      <alignment horizontal="center" vertical="center" wrapText="1"/>
    </xf>
    <xf numFmtId="14" fontId="85" fillId="0" borderId="13" xfId="4" applyNumberFormat="1" applyFont="1" applyBorder="1" applyAlignment="1">
      <alignment horizontal="center" vertical="center" wrapText="1"/>
    </xf>
    <xf numFmtId="2" fontId="85" fillId="0" borderId="13" xfId="4" applyNumberFormat="1" applyFont="1" applyBorder="1" applyAlignment="1">
      <alignment horizontal="center" vertical="center" wrapText="1"/>
    </xf>
    <xf numFmtId="2" fontId="88" fillId="11" borderId="14" xfId="4" applyNumberFormat="1" applyFont="1" applyFill="1" applyBorder="1" applyAlignment="1">
      <alignment horizontal="center" vertical="center" wrapText="1"/>
    </xf>
    <xf numFmtId="0" fontId="89" fillId="8" borderId="1" xfId="4" applyFont="1" applyFill="1" applyBorder="1" applyAlignment="1">
      <alignment horizontal="center" vertical="center" wrapText="1"/>
    </xf>
    <xf numFmtId="0" fontId="85" fillId="6" borderId="15" xfId="4" applyFont="1" applyFill="1" applyBorder="1" applyAlignment="1">
      <alignment horizontal="center" vertical="center" wrapText="1"/>
    </xf>
    <xf numFmtId="0" fontId="85" fillId="6" borderId="33" xfId="4" applyFont="1" applyFill="1" applyBorder="1" applyAlignment="1">
      <alignment horizontal="center" vertical="center" wrapText="1"/>
    </xf>
    <xf numFmtId="0" fontId="85" fillId="6" borderId="1" xfId="4" applyFont="1" applyFill="1" applyBorder="1" applyAlignment="1">
      <alignment horizontal="center" vertical="center" wrapText="1"/>
    </xf>
    <xf numFmtId="14" fontId="88" fillId="11" borderId="33" xfId="4" applyNumberFormat="1" applyFont="1" applyFill="1" applyBorder="1" applyAlignment="1">
      <alignment horizontal="center" vertical="center" wrapText="1"/>
    </xf>
    <xf numFmtId="0" fontId="88" fillId="11" borderId="16" xfId="4" applyFont="1" applyFill="1" applyBorder="1" applyAlignment="1">
      <alignment horizontal="center" vertical="center" wrapText="1"/>
    </xf>
    <xf numFmtId="2" fontId="88" fillId="11" borderId="16" xfId="4" applyNumberFormat="1" applyFont="1" applyFill="1" applyBorder="1" applyAlignment="1">
      <alignment horizontal="center" vertical="center" wrapText="1"/>
    </xf>
    <xf numFmtId="0" fontId="85" fillId="0" borderId="40" xfId="4" applyFont="1" applyBorder="1" applyAlignment="1">
      <alignment horizontal="center" vertical="center" wrapText="1"/>
    </xf>
    <xf numFmtId="168" fontId="85" fillId="0" borderId="40" xfId="4" applyNumberFormat="1" applyFont="1" applyBorder="1" applyAlignment="1">
      <alignment horizontal="center" vertical="center" wrapText="1"/>
    </xf>
    <xf numFmtId="14" fontId="88" fillId="11" borderId="2" xfId="4" applyNumberFormat="1" applyFont="1" applyFill="1" applyBorder="1" applyAlignment="1">
      <alignment horizontal="center" vertical="center" wrapText="1"/>
    </xf>
    <xf numFmtId="0" fontId="88" fillId="11" borderId="1" xfId="4" applyFont="1" applyFill="1" applyBorder="1" applyAlignment="1">
      <alignment horizontal="center" vertical="center" wrapText="1"/>
    </xf>
    <xf numFmtId="2" fontId="88" fillId="11" borderId="1" xfId="4" applyNumberFormat="1" applyFont="1" applyFill="1" applyBorder="1" applyAlignment="1">
      <alignment horizontal="center" vertical="center" wrapText="1"/>
    </xf>
    <xf numFmtId="168" fontId="85" fillId="0" borderId="0" xfId="4" applyNumberFormat="1" applyFont="1" applyAlignment="1">
      <alignment horizontal="center" vertical="center" wrapText="1"/>
    </xf>
    <xf numFmtId="0" fontId="88" fillId="11" borderId="10" xfId="4" applyFont="1" applyFill="1" applyBorder="1" applyAlignment="1">
      <alignment horizontal="center" vertical="center" wrapText="1"/>
    </xf>
    <xf numFmtId="14" fontId="88" fillId="11" borderId="13" xfId="4" applyNumberFormat="1" applyFont="1" applyFill="1" applyBorder="1" applyAlignment="1">
      <alignment horizontal="center" vertical="center" wrapText="1"/>
    </xf>
    <xf numFmtId="14" fontId="88" fillId="11" borderId="16" xfId="4" applyNumberFormat="1" applyFont="1" applyFill="1" applyBorder="1" applyAlignment="1">
      <alignment horizontal="center" vertical="center" wrapText="1"/>
    </xf>
    <xf numFmtId="14" fontId="88" fillId="11" borderId="10" xfId="4" applyNumberFormat="1" applyFont="1" applyFill="1" applyBorder="1" applyAlignment="1">
      <alignment horizontal="center" vertical="center" wrapText="1"/>
    </xf>
    <xf numFmtId="168" fontId="88" fillId="11" borderId="16" xfId="4" applyNumberFormat="1" applyFont="1" applyFill="1" applyBorder="1" applyAlignment="1">
      <alignment horizontal="center" vertical="center" wrapText="1"/>
    </xf>
    <xf numFmtId="168" fontId="88" fillId="11" borderId="13" xfId="4" applyNumberFormat="1" applyFont="1" applyFill="1" applyBorder="1" applyAlignment="1">
      <alignment horizontal="center" vertical="center" wrapText="1"/>
    </xf>
    <xf numFmtId="0" fontId="85" fillId="0" borderId="1" xfId="4" applyFont="1" applyBorder="1" applyAlignment="1">
      <alignment horizontal="center" vertical="center" wrapText="1"/>
    </xf>
    <xf numFmtId="14" fontId="85" fillId="0" borderId="1" xfId="4" applyNumberFormat="1" applyFont="1" applyBorder="1" applyAlignment="1">
      <alignment horizontal="center" vertical="center" wrapText="1"/>
    </xf>
    <xf numFmtId="168" fontId="85" fillId="0" borderId="1" xfId="4" applyNumberFormat="1" applyFont="1" applyBorder="1" applyAlignment="1">
      <alignment horizontal="center" vertical="center" wrapText="1"/>
    </xf>
    <xf numFmtId="0" fontId="87" fillId="34" borderId="1" xfId="4" applyFont="1" applyFill="1" applyBorder="1" applyAlignment="1">
      <alignment horizontal="center" vertical="center" wrapText="1"/>
    </xf>
    <xf numFmtId="0" fontId="88" fillId="11" borderId="15" xfId="4" applyFont="1" applyFill="1" applyBorder="1" applyAlignment="1">
      <alignment horizontal="center" vertical="center" wrapText="1"/>
    </xf>
    <xf numFmtId="0" fontId="90" fillId="11" borderId="15" xfId="4" applyFont="1" applyFill="1" applyBorder="1" applyAlignment="1">
      <alignment horizontal="center" vertical="center" wrapText="1"/>
    </xf>
    <xf numFmtId="0" fontId="85" fillId="9" borderId="1" xfId="4" applyFont="1" applyFill="1" applyBorder="1" applyAlignment="1">
      <alignment horizontal="center" vertical="center" wrapText="1"/>
    </xf>
    <xf numFmtId="168" fontId="88" fillId="11" borderId="14" xfId="4" applyNumberFormat="1" applyFont="1" applyFill="1" applyBorder="1" applyAlignment="1">
      <alignment horizontal="center" vertical="center" wrapText="1"/>
    </xf>
    <xf numFmtId="0" fontId="86" fillId="9" borderId="1" xfId="4" applyFont="1" applyFill="1" applyBorder="1" applyAlignment="1">
      <alignment horizontal="center" vertical="center" wrapText="1"/>
    </xf>
    <xf numFmtId="2" fontId="85" fillId="0" borderId="1" xfId="4" applyNumberFormat="1" applyFont="1" applyBorder="1" applyAlignment="1">
      <alignment horizontal="center" vertical="center" wrapText="1"/>
    </xf>
    <xf numFmtId="0" fontId="88" fillId="11" borderId="33" xfId="4" applyFont="1" applyFill="1" applyBorder="1" applyAlignment="1">
      <alignment horizontal="center" vertical="center" wrapText="1"/>
    </xf>
    <xf numFmtId="0" fontId="88" fillId="11" borderId="9" xfId="4" applyFont="1" applyFill="1" applyBorder="1" applyAlignment="1">
      <alignment horizontal="center" vertical="center" wrapText="1"/>
    </xf>
    <xf numFmtId="0" fontId="85" fillId="7" borderId="0" xfId="4" applyFont="1" applyFill="1" applyAlignment="1">
      <alignment horizontal="center" vertical="center" wrapText="1"/>
    </xf>
    <xf numFmtId="0" fontId="88" fillId="31" borderId="0" xfId="4" applyFont="1" applyFill="1" applyAlignment="1">
      <alignment horizontal="center" vertical="center" wrapText="1"/>
    </xf>
    <xf numFmtId="14" fontId="88" fillId="31" borderId="0" xfId="4" applyNumberFormat="1" applyFont="1" applyFill="1" applyAlignment="1">
      <alignment horizontal="center" vertical="center" wrapText="1"/>
    </xf>
    <xf numFmtId="168" fontId="88" fillId="31" borderId="0" xfId="4" applyNumberFormat="1" applyFont="1" applyFill="1" applyAlignment="1">
      <alignment horizontal="center" vertical="center" wrapText="1"/>
    </xf>
    <xf numFmtId="0" fontId="85" fillId="0" borderId="13" xfId="4" applyFont="1" applyBorder="1" applyAlignment="1">
      <alignment horizontal="center" vertical="center" wrapText="1"/>
    </xf>
    <xf numFmtId="168" fontId="85" fillId="0" borderId="14" xfId="4" applyNumberFormat="1" applyFont="1" applyBorder="1" applyAlignment="1">
      <alignment horizontal="center" vertical="center" wrapText="1"/>
    </xf>
    <xf numFmtId="0" fontId="85" fillId="0" borderId="16" xfId="4" applyFont="1" applyBorder="1" applyAlignment="1">
      <alignment horizontal="center" vertical="center" wrapText="1"/>
    </xf>
    <xf numFmtId="0" fontId="91" fillId="3" borderId="13" xfId="4" applyFont="1" applyFill="1" applyBorder="1" applyAlignment="1">
      <alignment horizontal="center" vertical="center" wrapText="1"/>
    </xf>
    <xf numFmtId="0" fontId="91" fillId="3" borderId="14" xfId="4" applyFont="1" applyFill="1" applyBorder="1" applyAlignment="1">
      <alignment horizontal="center" vertical="center" wrapText="1"/>
    </xf>
    <xf numFmtId="0" fontId="92" fillId="25" borderId="15" xfId="4" applyFont="1" applyFill="1" applyBorder="1" applyAlignment="1">
      <alignment horizontal="center" vertical="center" wrapText="1"/>
    </xf>
    <xf numFmtId="0" fontId="92" fillId="25" borderId="13" xfId="4" applyFont="1" applyFill="1" applyBorder="1" applyAlignment="1">
      <alignment horizontal="center" vertical="center" wrapText="1"/>
    </xf>
    <xf numFmtId="0" fontId="92" fillId="32" borderId="15" xfId="4" applyFont="1" applyFill="1" applyBorder="1" applyAlignment="1">
      <alignment horizontal="center" vertical="center" wrapText="1"/>
    </xf>
    <xf numFmtId="0" fontId="92" fillId="32" borderId="13" xfId="4" applyFont="1" applyFill="1" applyBorder="1" applyAlignment="1">
      <alignment horizontal="center" vertical="center" wrapText="1"/>
    </xf>
    <xf numFmtId="0" fontId="92" fillId="32" borderId="16" xfId="4" applyFont="1" applyFill="1" applyBorder="1" applyAlignment="1">
      <alignment horizontal="center" vertical="center" wrapText="1"/>
    </xf>
    <xf numFmtId="0" fontId="78" fillId="33" borderId="1" xfId="4" applyFont="1" applyFill="1" applyBorder="1" applyAlignment="1">
      <alignment horizontal="center" vertical="center" wrapText="1"/>
    </xf>
    <xf numFmtId="0" fontId="78" fillId="6" borderId="1" xfId="4" applyFont="1" applyFill="1" applyBorder="1" applyAlignment="1">
      <alignment horizontal="center" vertical="center" wrapText="1"/>
    </xf>
    <xf numFmtId="0" fontId="94" fillId="11" borderId="13" xfId="4" applyFont="1" applyFill="1" applyBorder="1" applyAlignment="1">
      <alignment horizontal="center" vertical="center" wrapText="1"/>
    </xf>
    <xf numFmtId="0" fontId="78" fillId="9" borderId="13" xfId="4" applyFont="1" applyFill="1" applyBorder="1" applyAlignment="1">
      <alignment horizontal="center" vertical="center" wrapText="1"/>
    </xf>
    <xf numFmtId="0" fontId="78" fillId="9" borderId="14" xfId="4" applyFont="1" applyFill="1" applyBorder="1" applyAlignment="1">
      <alignment horizontal="center" vertical="center" wrapText="1"/>
    </xf>
    <xf numFmtId="0" fontId="96" fillId="21" borderId="1" xfId="4" applyFont="1" applyFill="1" applyBorder="1" applyAlignment="1">
      <alignment horizontal="center" vertical="center" wrapText="1"/>
    </xf>
    <xf numFmtId="0" fontId="61" fillId="13" borderId="1" xfId="3" applyFont="1" applyFill="1" applyBorder="1" applyAlignment="1">
      <alignment horizontal="center" vertical="center" wrapText="1"/>
    </xf>
    <xf numFmtId="0" fontId="36" fillId="0" borderId="1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75" fillId="13" borderId="1" xfId="3" applyFont="1" applyFill="1" applyBorder="1" applyAlignment="1">
      <alignment horizontal="center" vertical="center" wrapText="1"/>
    </xf>
    <xf numFmtId="0" fontId="97" fillId="13" borderId="1" xfId="3" applyFont="1" applyFill="1" applyBorder="1" applyAlignment="1">
      <alignment horizontal="center" vertical="center" wrapText="1"/>
    </xf>
    <xf numFmtId="0" fontId="98" fillId="0" borderId="1" xfId="3" applyFont="1" applyBorder="1" applyAlignment="1">
      <alignment horizontal="center" vertical="center" wrapText="1"/>
    </xf>
    <xf numFmtId="0" fontId="75" fillId="22" borderId="1" xfId="3" applyFont="1" applyFill="1" applyBorder="1" applyAlignment="1">
      <alignment horizontal="center" vertical="center" wrapText="1"/>
    </xf>
    <xf numFmtId="0" fontId="98" fillId="0" borderId="0" xfId="3" applyFont="1" applyAlignment="1">
      <alignment horizontal="center" vertical="center" wrapText="1"/>
    </xf>
    <xf numFmtId="0" fontId="75" fillId="3" borderId="1" xfId="3" applyFont="1" applyFill="1" applyBorder="1" applyAlignment="1">
      <alignment horizontal="center" vertical="center" wrapText="1"/>
    </xf>
    <xf numFmtId="0" fontId="99" fillId="3" borderId="1" xfId="3" applyFont="1" applyFill="1" applyBorder="1" applyAlignment="1">
      <alignment horizontal="center" vertical="center" wrapText="1"/>
    </xf>
    <xf numFmtId="0" fontId="100" fillId="23" borderId="1" xfId="3" applyFont="1" applyFill="1" applyBorder="1" applyAlignment="1">
      <alignment horizontal="center" vertical="center" wrapText="1"/>
    </xf>
    <xf numFmtId="1" fontId="100" fillId="23" borderId="1" xfId="3" applyNumberFormat="1" applyFont="1" applyFill="1" applyBorder="1" applyAlignment="1">
      <alignment horizontal="center" vertical="center" wrapText="1"/>
    </xf>
    <xf numFmtId="0" fontId="100" fillId="2" borderId="1" xfId="3" applyFont="1" applyFill="1" applyBorder="1" applyAlignment="1">
      <alignment horizontal="center" vertical="center" wrapText="1"/>
    </xf>
    <xf numFmtId="1" fontId="100" fillId="2" borderId="1" xfId="3" applyNumberFormat="1" applyFont="1" applyFill="1" applyBorder="1" applyAlignment="1">
      <alignment horizontal="center" vertical="center" wrapText="1"/>
    </xf>
    <xf numFmtId="0" fontId="101" fillId="0" borderId="0" xfId="3" applyFont="1" applyAlignment="1">
      <alignment horizontal="center" vertical="center" wrapText="1"/>
    </xf>
    <xf numFmtId="0" fontId="102" fillId="13" borderId="1" xfId="3" applyFont="1" applyFill="1" applyBorder="1" applyAlignment="1">
      <alignment horizontal="center" vertical="center" wrapText="1"/>
    </xf>
    <xf numFmtId="0" fontId="103" fillId="0" borderId="1" xfId="3" applyFont="1" applyBorder="1" applyAlignment="1">
      <alignment horizontal="center" vertical="center" wrapText="1"/>
    </xf>
    <xf numFmtId="0" fontId="102" fillId="22" borderId="1" xfId="3" applyFont="1" applyFill="1" applyBorder="1" applyAlignment="1">
      <alignment horizontal="center" vertical="center" wrapText="1"/>
    </xf>
    <xf numFmtId="0" fontId="103" fillId="0" borderId="0" xfId="3" applyFont="1" applyAlignment="1">
      <alignment horizontal="center" vertical="center" wrapText="1"/>
    </xf>
    <xf numFmtId="0" fontId="102" fillId="3" borderId="1" xfId="3" applyFont="1" applyFill="1" applyBorder="1" applyAlignment="1">
      <alignment horizontal="center" vertical="center" wrapText="1"/>
    </xf>
    <xf numFmtId="0" fontId="57" fillId="0" borderId="1" xfId="3" applyFont="1" applyBorder="1" applyAlignment="1">
      <alignment horizontal="center" vertical="center" wrapText="1"/>
    </xf>
    <xf numFmtId="0" fontId="104" fillId="0" borderId="1" xfId="3" applyFont="1" applyBorder="1" applyAlignment="1">
      <alignment horizontal="center" vertical="center" wrapText="1"/>
    </xf>
    <xf numFmtId="1" fontId="20" fillId="0" borderId="0" xfId="3" applyNumberFormat="1" applyFont="1" applyAlignment="1">
      <alignment horizontal="center" vertical="center" wrapText="1"/>
    </xf>
    <xf numFmtId="0" fontId="105" fillId="3" borderId="1" xfId="3" applyFont="1" applyFill="1" applyBorder="1" applyAlignment="1">
      <alignment horizontal="center" vertical="center" wrapText="1"/>
    </xf>
    <xf numFmtId="0" fontId="78" fillId="13" borderId="1" xfId="3" applyFont="1" applyFill="1" applyBorder="1" applyAlignment="1">
      <alignment horizontal="center" vertical="center" wrapText="1"/>
    </xf>
    <xf numFmtId="0" fontId="78" fillId="23" borderId="1" xfId="3" applyFont="1" applyFill="1" applyBorder="1" applyAlignment="1">
      <alignment horizontal="center" vertical="center" wrapText="1"/>
    </xf>
    <xf numFmtId="0" fontId="80" fillId="23" borderId="1" xfId="3" applyFont="1" applyFill="1" applyBorder="1" applyAlignment="1">
      <alignment horizontal="center" vertical="center" wrapText="1"/>
    </xf>
    <xf numFmtId="0" fontId="78" fillId="2" borderId="7" xfId="3" applyFont="1" applyFill="1" applyBorder="1" applyAlignment="1">
      <alignment horizontal="center" vertical="center" wrapText="1"/>
    </xf>
    <xf numFmtId="0" fontId="106" fillId="13" borderId="1" xfId="3" applyFont="1" applyFill="1" applyBorder="1" applyAlignment="1">
      <alignment horizontal="center" vertical="center" wrapText="1"/>
    </xf>
    <xf numFmtId="1" fontId="106" fillId="13" borderId="1" xfId="3" applyNumberFormat="1" applyFont="1" applyFill="1" applyBorder="1" applyAlignment="1">
      <alignment horizontal="center" vertical="center" wrapText="1"/>
    </xf>
    <xf numFmtId="0" fontId="106" fillId="23" borderId="1" xfId="3" applyFont="1" applyFill="1" applyBorder="1" applyAlignment="1">
      <alignment horizontal="center" vertical="center" wrapText="1"/>
    </xf>
    <xf numFmtId="1" fontId="106" fillId="23" borderId="1" xfId="3" applyNumberFormat="1" applyFont="1" applyFill="1" applyBorder="1" applyAlignment="1">
      <alignment horizontal="center" vertical="center" wrapText="1"/>
    </xf>
    <xf numFmtId="0" fontId="106" fillId="2" borderId="1" xfId="3" applyFont="1" applyFill="1" applyBorder="1" applyAlignment="1">
      <alignment horizontal="center" vertical="center" wrapText="1"/>
    </xf>
    <xf numFmtId="1" fontId="106" fillId="2" borderId="1" xfId="3" applyNumberFormat="1" applyFont="1" applyFill="1" applyBorder="1" applyAlignment="1">
      <alignment horizontal="center" vertical="center" wrapText="1"/>
    </xf>
    <xf numFmtId="0" fontId="82" fillId="35" borderId="1" xfId="3" applyFont="1" applyFill="1" applyBorder="1" applyAlignment="1">
      <alignment horizontal="center" vertical="center" wrapText="1"/>
    </xf>
    <xf numFmtId="0" fontId="108" fillId="35" borderId="1" xfId="3" applyFont="1" applyFill="1" applyBorder="1" applyAlignment="1">
      <alignment horizontal="center" vertical="center" wrapText="1"/>
    </xf>
    <xf numFmtId="0" fontId="109" fillId="35" borderId="1" xfId="3" applyFont="1" applyFill="1" applyBorder="1" applyAlignment="1">
      <alignment horizontal="center" vertical="center" wrapText="1"/>
    </xf>
    <xf numFmtId="0" fontId="108" fillId="7" borderId="1" xfId="3" applyFont="1" applyFill="1" applyBorder="1" applyAlignment="1">
      <alignment horizontal="center" vertical="center" wrapText="1"/>
    </xf>
    <xf numFmtId="0" fontId="110" fillId="36" borderId="1" xfId="3" applyFont="1" applyFill="1" applyBorder="1" applyAlignment="1">
      <alignment horizontal="center" vertical="center" wrapText="1"/>
    </xf>
    <xf numFmtId="0" fontId="111" fillId="36" borderId="1" xfId="3" applyFont="1" applyFill="1" applyBorder="1" applyAlignment="1">
      <alignment horizontal="center" vertical="center" wrapText="1"/>
    </xf>
    <xf numFmtId="0" fontId="112" fillId="36" borderId="1" xfId="3" applyFont="1" applyFill="1" applyBorder="1" applyAlignment="1">
      <alignment horizontal="center" vertical="center" wrapText="1"/>
    </xf>
    <xf numFmtId="0" fontId="113" fillId="25" borderId="13" xfId="4" applyFont="1" applyFill="1" applyBorder="1" applyAlignment="1">
      <alignment horizontal="center" vertical="center"/>
    </xf>
    <xf numFmtId="0" fontId="114" fillId="26" borderId="13" xfId="4" applyFont="1" applyFill="1" applyBorder="1" applyAlignment="1">
      <alignment horizontal="center" vertical="center"/>
    </xf>
    <xf numFmtId="0" fontId="114" fillId="0" borderId="13" xfId="4" applyFont="1" applyBorder="1" applyAlignment="1">
      <alignment horizontal="center" vertical="center"/>
    </xf>
    <xf numFmtId="0" fontId="115" fillId="27" borderId="13" xfId="4" applyFont="1" applyFill="1" applyBorder="1" applyAlignment="1">
      <alignment horizontal="center" vertical="center"/>
    </xf>
    <xf numFmtId="0" fontId="116" fillId="37" borderId="13" xfId="4" applyFont="1" applyFill="1" applyBorder="1" applyAlignment="1">
      <alignment horizontal="center" vertical="center"/>
    </xf>
    <xf numFmtId="2" fontId="117" fillId="29" borderId="13" xfId="4" applyNumberFormat="1" applyFont="1" applyFill="1" applyBorder="1" applyAlignment="1">
      <alignment horizontal="center" vertical="center" wrapText="1"/>
    </xf>
    <xf numFmtId="14" fontId="74" fillId="11" borderId="13" xfId="4" applyNumberFormat="1" applyFont="1" applyFill="1" applyBorder="1" applyAlignment="1">
      <alignment horizontal="center" vertical="center" wrapText="1"/>
    </xf>
    <xf numFmtId="14" fontId="74" fillId="11" borderId="16" xfId="4" applyNumberFormat="1" applyFont="1" applyFill="1" applyBorder="1" applyAlignment="1">
      <alignment horizontal="center" vertical="center" wrapText="1"/>
    </xf>
    <xf numFmtId="14" fontId="74" fillId="11" borderId="10" xfId="4" applyNumberFormat="1" applyFont="1" applyFill="1" applyBorder="1" applyAlignment="1">
      <alignment horizontal="center" vertical="center" wrapText="1"/>
    </xf>
    <xf numFmtId="0" fontId="117" fillId="29" borderId="13" xfId="4" applyFont="1" applyFill="1" applyBorder="1" applyAlignment="1">
      <alignment horizontal="center" vertical="center" wrapText="1"/>
    </xf>
    <xf numFmtId="14" fontId="71" fillId="26" borderId="13" xfId="4" applyNumberFormat="1" applyFont="1" applyFill="1" applyBorder="1" applyAlignment="1">
      <alignment horizontal="center" vertical="center"/>
    </xf>
    <xf numFmtId="0" fontId="91" fillId="8" borderId="1" xfId="4" applyFont="1" applyFill="1" applyBorder="1" applyAlignment="1">
      <alignment horizontal="center" vertical="center" wrapText="1"/>
    </xf>
    <xf numFmtId="0" fontId="91" fillId="7" borderId="1" xfId="4" applyFont="1" applyFill="1" applyBorder="1" applyAlignment="1">
      <alignment horizontal="center" vertical="center" wrapText="1"/>
    </xf>
    <xf numFmtId="0" fontId="120" fillId="0" borderId="0" xfId="4" applyFont="1" applyAlignment="1">
      <alignment horizontal="center" vertical="center" wrapText="1"/>
    </xf>
    <xf numFmtId="168" fontId="90" fillId="11" borderId="13" xfId="4" applyNumberFormat="1" applyFont="1" applyFill="1" applyBorder="1" applyAlignment="1">
      <alignment horizontal="center" vertical="center" wrapText="1"/>
    </xf>
    <xf numFmtId="0" fontId="123" fillId="5" borderId="1" xfId="0" applyFont="1" applyFill="1" applyBorder="1" applyAlignment="1">
      <alignment horizontal="center" vertical="center"/>
    </xf>
    <xf numFmtId="0" fontId="126" fillId="28" borderId="13" xfId="6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/>
    </xf>
    <xf numFmtId="0" fontId="129" fillId="0" borderId="0" xfId="3" applyFont="1" applyAlignment="1">
      <alignment horizontal="center"/>
    </xf>
    <xf numFmtId="0" fontId="129" fillId="0" borderId="3" xfId="3" applyFont="1" applyBorder="1" applyAlignment="1">
      <alignment horizontal="center"/>
    </xf>
    <xf numFmtId="0" fontId="131" fillId="0" borderId="8" xfId="3" applyFont="1" applyBorder="1" applyAlignment="1">
      <alignment horizontal="center"/>
    </xf>
    <xf numFmtId="0" fontId="131" fillId="7" borderId="17" xfId="2" applyFont="1" applyFill="1" applyBorder="1" applyAlignment="1">
      <alignment horizontal="center" vertical="center"/>
    </xf>
    <xf numFmtId="164" fontId="129" fillId="7" borderId="17" xfId="2" applyNumberFormat="1" applyFont="1" applyFill="1" applyBorder="1" applyAlignment="1">
      <alignment horizontal="center" vertical="center"/>
    </xf>
    <xf numFmtId="0" fontId="124" fillId="28" borderId="13" xfId="6" applyFont="1" applyFill="1" applyBorder="1" applyAlignment="1">
      <alignment horizontal="center" vertical="center" wrapText="1"/>
    </xf>
    <xf numFmtId="0" fontId="125" fillId="0" borderId="0" xfId="6" applyFont="1" applyAlignment="1">
      <alignment horizontal="center" vertical="center" wrapText="1"/>
    </xf>
    <xf numFmtId="0" fontId="126" fillId="0" borderId="13" xfId="6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27" fillId="38" borderId="13" xfId="6" applyNumberFormat="1" applyFont="1" applyFill="1" applyBorder="1" applyAlignment="1">
      <alignment horizontal="center" vertical="center" wrapText="1"/>
    </xf>
    <xf numFmtId="0" fontId="127" fillId="38" borderId="13" xfId="6" applyFont="1" applyFill="1" applyBorder="1" applyAlignment="1">
      <alignment horizontal="center" vertical="center" wrapText="1"/>
    </xf>
    <xf numFmtId="168" fontId="127" fillId="38" borderId="13" xfId="6" applyNumberFormat="1" applyFont="1" applyFill="1" applyBorder="1" applyAlignment="1">
      <alignment horizontal="center" vertical="center" wrapText="1"/>
    </xf>
    <xf numFmtId="0" fontId="127" fillId="0" borderId="13" xfId="6" applyFont="1" applyBorder="1" applyAlignment="1">
      <alignment horizontal="center" vertical="center" wrapText="1"/>
    </xf>
    <xf numFmtId="0" fontId="126" fillId="38" borderId="13" xfId="6" applyFont="1" applyFill="1" applyBorder="1" applyAlignment="1">
      <alignment horizontal="center" vertical="center" wrapText="1"/>
    </xf>
    <xf numFmtId="0" fontId="127" fillId="0" borderId="0" xfId="6" applyFont="1" applyAlignment="1">
      <alignment horizontal="center" vertical="center" wrapText="1"/>
    </xf>
    <xf numFmtId="0" fontId="132" fillId="38" borderId="13" xfId="6" applyFont="1" applyFill="1" applyBorder="1" applyAlignment="1">
      <alignment horizontal="center" vertical="center" wrapText="1"/>
    </xf>
    <xf numFmtId="0" fontId="126" fillId="39" borderId="13" xfId="6" applyFont="1" applyFill="1" applyBorder="1" applyAlignment="1">
      <alignment horizontal="center" vertical="center" wrapText="1"/>
    </xf>
    <xf numFmtId="0" fontId="128" fillId="40" borderId="13" xfId="6" applyFont="1" applyFill="1" applyBorder="1" applyAlignment="1">
      <alignment horizontal="center" vertical="center" wrapText="1"/>
    </xf>
    <xf numFmtId="14" fontId="127" fillId="0" borderId="13" xfId="6" applyNumberFormat="1" applyFont="1" applyBorder="1" applyAlignment="1">
      <alignment horizontal="center" vertical="center" wrapText="1"/>
    </xf>
    <xf numFmtId="168" fontId="127" fillId="0" borderId="13" xfId="6" applyNumberFormat="1" applyFont="1" applyBorder="1" applyAlignment="1">
      <alignment horizontal="center" vertical="center" wrapText="1"/>
    </xf>
    <xf numFmtId="0" fontId="133" fillId="0" borderId="1" xfId="6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6" fillId="0" borderId="0" xfId="0" applyFont="1" applyAlignment="1">
      <alignment horizontal="center" vertical="center" wrapText="1"/>
    </xf>
    <xf numFmtId="0" fontId="129" fillId="0" borderId="4" xfId="3" applyFont="1" applyBorder="1" applyAlignment="1">
      <alignment horizontal="center"/>
    </xf>
    <xf numFmtId="0" fontId="129" fillId="0" borderId="46" xfId="3" applyFont="1" applyBorder="1" applyAlignment="1">
      <alignment horizontal="center"/>
    </xf>
    <xf numFmtId="0" fontId="134" fillId="13" borderId="17" xfId="2" applyFont="1" applyFill="1" applyBorder="1" applyAlignment="1">
      <alignment horizontal="center" vertical="center"/>
    </xf>
    <xf numFmtId="0" fontId="134" fillId="13" borderId="5" xfId="2" applyFont="1" applyFill="1" applyBorder="1" applyAlignment="1">
      <alignment horizontal="center" vertical="center"/>
    </xf>
    <xf numFmtId="0" fontId="135" fillId="7" borderId="17" xfId="2" applyFont="1" applyFill="1" applyBorder="1" applyAlignment="1">
      <alignment horizontal="center" vertical="center"/>
    </xf>
    <xf numFmtId="164" fontId="136" fillId="7" borderId="17" xfId="2" applyNumberFormat="1" applyFont="1" applyFill="1" applyBorder="1" applyAlignment="1">
      <alignment horizontal="center" vertical="center"/>
    </xf>
    <xf numFmtId="14" fontId="136" fillId="7" borderId="17" xfId="2" applyNumberFormat="1" applyFont="1" applyFill="1" applyBorder="1" applyAlignment="1">
      <alignment horizontal="center" vertical="center"/>
    </xf>
    <xf numFmtId="0" fontId="136" fillId="7" borderId="5" xfId="2" applyFont="1" applyFill="1" applyBorder="1" applyAlignment="1">
      <alignment horizontal="center" vertical="center"/>
    </xf>
    <xf numFmtId="14" fontId="136" fillId="7" borderId="44" xfId="2" applyNumberFormat="1" applyFont="1" applyFill="1" applyBorder="1" applyAlignment="1">
      <alignment horizontal="center" vertical="center"/>
    </xf>
    <xf numFmtId="0" fontId="136" fillId="7" borderId="45" xfId="2" applyFont="1" applyFill="1" applyBorder="1" applyAlignment="1">
      <alignment horizontal="center" vertical="center"/>
    </xf>
    <xf numFmtId="0" fontId="135" fillId="7" borderId="7" xfId="2" applyFont="1" applyFill="1" applyBorder="1" applyAlignment="1">
      <alignment horizontal="center" vertical="center"/>
    </xf>
    <xf numFmtId="164" fontId="136" fillId="7" borderId="7" xfId="2" applyNumberFormat="1" applyFont="1" applyFill="1" applyBorder="1" applyAlignment="1">
      <alignment horizontal="center" vertical="center"/>
    </xf>
    <xf numFmtId="14" fontId="136" fillId="7" borderId="41" xfId="2" applyNumberFormat="1" applyFont="1" applyFill="1" applyBorder="1" applyAlignment="1">
      <alignment horizontal="center" vertical="center"/>
    </xf>
    <xf numFmtId="0" fontId="136" fillId="7" borderId="10" xfId="2" applyFont="1" applyFill="1" applyBorder="1" applyAlignment="1">
      <alignment horizontal="center" vertical="center"/>
    </xf>
    <xf numFmtId="0" fontId="0" fillId="0" borderId="46" xfId="0" applyBorder="1"/>
    <xf numFmtId="164" fontId="137" fillId="7" borderId="1" xfId="2" applyNumberFormat="1" applyFont="1" applyFill="1" applyBorder="1" applyAlignment="1">
      <alignment horizontal="center" vertical="center"/>
    </xf>
    <xf numFmtId="0" fontId="138" fillId="2" borderId="47" xfId="0" applyFont="1" applyFill="1" applyBorder="1" applyAlignment="1">
      <alignment vertical="center"/>
    </xf>
    <xf numFmtId="0" fontId="139" fillId="0" borderId="1" xfId="0" applyFont="1" applyBorder="1"/>
    <xf numFmtId="0" fontId="98" fillId="26" borderId="0" xfId="5" applyFont="1" applyFill="1" applyAlignment="1">
      <alignment horizontal="center" vertical="center"/>
    </xf>
    <xf numFmtId="0" fontId="75" fillId="28" borderId="1" xfId="5" applyFont="1" applyFill="1" applyBorder="1" applyAlignment="1">
      <alignment horizontal="center" vertical="center"/>
    </xf>
    <xf numFmtId="0" fontId="140" fillId="0" borderId="0" xfId="5" applyFont="1" applyAlignment="1">
      <alignment vertical="center"/>
    </xf>
    <xf numFmtId="0" fontId="98" fillId="26" borderId="1" xfId="5" applyFont="1" applyFill="1" applyBorder="1" applyAlignment="1">
      <alignment horizontal="center" vertical="center"/>
    </xf>
    <xf numFmtId="168" fontId="98" fillId="26" borderId="1" xfId="5" applyNumberFormat="1" applyFont="1" applyFill="1" applyBorder="1" applyAlignment="1">
      <alignment horizontal="center" vertical="center"/>
    </xf>
    <xf numFmtId="0" fontId="142" fillId="0" borderId="0" xfId="7" applyFont="1" applyAlignment="1">
      <alignment horizontal="left" vertical="center"/>
    </xf>
    <xf numFmtId="0" fontId="8" fillId="0" borderId="0" xfId="7"/>
    <xf numFmtId="0" fontId="143" fillId="41" borderId="14" xfId="7" applyFont="1" applyFill="1" applyBorder="1" applyAlignment="1">
      <alignment horizontal="center" vertical="center"/>
    </xf>
    <xf numFmtId="0" fontId="143" fillId="41" borderId="13" xfId="7" applyFont="1" applyFill="1" applyBorder="1" applyAlignment="1">
      <alignment horizontal="center" vertical="center"/>
    </xf>
    <xf numFmtId="0" fontId="3" fillId="0" borderId="13" xfId="7" applyFont="1" applyBorder="1" applyAlignment="1">
      <alignment horizontal="left" vertical="center"/>
    </xf>
    <xf numFmtId="0" fontId="143" fillId="41" borderId="13" xfId="7" applyFont="1" applyFill="1" applyBorder="1" applyAlignment="1">
      <alignment horizontal="left" vertical="center"/>
    </xf>
    <xf numFmtId="0" fontId="142" fillId="0" borderId="0" xfId="7" applyFont="1" applyAlignment="1">
      <alignment horizontal="center" vertical="center"/>
    </xf>
    <xf numFmtId="0" fontId="144" fillId="28" borderId="13" xfId="7" applyFont="1" applyFill="1" applyBorder="1" applyAlignment="1">
      <alignment horizontal="center" vertical="center"/>
    </xf>
    <xf numFmtId="0" fontId="144" fillId="28" borderId="13" xfId="7" applyFont="1" applyFill="1" applyBorder="1" applyAlignment="1">
      <alignment horizontal="left" vertical="center"/>
    </xf>
    <xf numFmtId="0" fontId="3" fillId="0" borderId="0" xfId="7" applyFont="1" applyAlignment="1">
      <alignment horizontal="left" vertical="center"/>
    </xf>
    <xf numFmtId="0" fontId="3" fillId="0" borderId="0" xfId="7" applyFont="1"/>
    <xf numFmtId="0" fontId="67" fillId="0" borderId="0" xfId="7" applyFont="1" applyAlignment="1">
      <alignment horizontal="center" vertical="center"/>
    </xf>
    <xf numFmtId="0" fontId="3" fillId="0" borderId="13" xfId="7" applyFont="1" applyBorder="1" applyAlignment="1">
      <alignment horizontal="center" vertical="center"/>
    </xf>
    <xf numFmtId="0" fontId="143" fillId="41" borderId="51" xfId="7" applyFont="1" applyFill="1" applyBorder="1" applyAlignment="1">
      <alignment horizontal="center" vertical="center"/>
    </xf>
    <xf numFmtId="0" fontId="3" fillId="0" borderId="51" xfId="7" applyFont="1" applyBorder="1" applyAlignment="1">
      <alignment horizontal="center" vertical="center"/>
    </xf>
    <xf numFmtId="0" fontId="67" fillId="0" borderId="51" xfId="7" applyFont="1" applyBorder="1" applyAlignment="1">
      <alignment horizontal="center" vertical="center"/>
    </xf>
    <xf numFmtId="1" fontId="3" fillId="0" borderId="13" xfId="7" applyNumberFormat="1" applyFont="1" applyBorder="1" applyAlignment="1">
      <alignment horizontal="center" vertical="center"/>
    </xf>
    <xf numFmtId="1" fontId="3" fillId="0" borderId="16" xfId="7" applyNumberFormat="1" applyFont="1" applyBorder="1" applyAlignment="1">
      <alignment horizontal="center" vertical="center"/>
    </xf>
    <xf numFmtId="0" fontId="146" fillId="41" borderId="51" xfId="7" applyFont="1" applyFill="1" applyBorder="1" applyAlignment="1">
      <alignment horizontal="center" vertical="center"/>
    </xf>
    <xf numFmtId="0" fontId="146" fillId="0" borderId="51" xfId="7" applyFont="1" applyBorder="1" applyAlignment="1">
      <alignment horizontal="center" vertical="center"/>
    </xf>
    <xf numFmtId="0" fontId="147" fillId="0" borderId="51" xfId="7" applyFont="1" applyBorder="1" applyAlignment="1">
      <alignment horizontal="center" vertical="center"/>
    </xf>
    <xf numFmtId="1" fontId="3" fillId="0" borderId="1" xfId="7" applyNumberFormat="1" applyFont="1" applyBorder="1" applyAlignment="1">
      <alignment horizontal="center" vertical="center"/>
    </xf>
    <xf numFmtId="0" fontId="147" fillId="0" borderId="13" xfId="7" applyFont="1" applyBorder="1" applyAlignment="1">
      <alignment horizontal="center" vertical="center"/>
    </xf>
    <xf numFmtId="0" fontId="114" fillId="0" borderId="0" xfId="7" applyFont="1" applyAlignment="1">
      <alignment horizontal="center" vertical="center" wrapText="1"/>
    </xf>
    <xf numFmtId="0" fontId="148" fillId="42" borderId="13" xfId="7" applyFont="1" applyFill="1" applyBorder="1" applyAlignment="1">
      <alignment horizontal="center" vertical="center" wrapText="1"/>
    </xf>
    <xf numFmtId="0" fontId="10" fillId="0" borderId="0" xfId="7" applyFont="1" applyAlignment="1">
      <alignment wrapText="1"/>
    </xf>
    <xf numFmtId="0" fontId="70" fillId="0" borderId="0" xfId="7" applyFont="1" applyAlignment="1">
      <alignment horizontal="center" vertical="center" wrapText="1"/>
    </xf>
    <xf numFmtId="0" fontId="149" fillId="24" borderId="13" xfId="7" applyFont="1" applyFill="1" applyBorder="1" applyAlignment="1">
      <alignment horizontal="center" vertical="center" wrapText="1"/>
    </xf>
    <xf numFmtId="0" fontId="149" fillId="43" borderId="13" xfId="7" applyFont="1" applyFill="1" applyBorder="1" applyAlignment="1">
      <alignment horizontal="center" vertical="center" wrapText="1"/>
    </xf>
    <xf numFmtId="0" fontId="8" fillId="0" borderId="0" xfId="7" applyAlignment="1">
      <alignment wrapText="1"/>
    </xf>
    <xf numFmtId="0" fontId="143" fillId="41" borderId="13" xfId="7" applyFont="1" applyFill="1" applyBorder="1" applyAlignment="1">
      <alignment horizontal="center" vertical="center" wrapText="1"/>
    </xf>
    <xf numFmtId="0" fontId="149" fillId="0" borderId="13" xfId="7" applyFont="1" applyBorder="1" applyAlignment="1">
      <alignment horizontal="center" vertical="center" wrapText="1"/>
    </xf>
    <xf numFmtId="0" fontId="3" fillId="0" borderId="13" xfId="7" applyFont="1" applyBorder="1" applyAlignment="1">
      <alignment horizontal="left" vertical="center" wrapText="1"/>
    </xf>
    <xf numFmtId="0" fontId="143" fillId="24" borderId="13" xfId="7" applyFont="1" applyFill="1" applyBorder="1" applyAlignment="1">
      <alignment horizontal="left" vertical="center" wrapText="1"/>
    </xf>
    <xf numFmtId="0" fontId="143" fillId="41" borderId="13" xfId="7" applyFont="1" applyFill="1" applyBorder="1" applyAlignment="1">
      <alignment horizontal="left" vertical="center" wrapText="1"/>
    </xf>
    <xf numFmtId="0" fontId="150" fillId="44" borderId="13" xfId="7" applyFont="1" applyFill="1" applyBorder="1" applyAlignment="1">
      <alignment horizontal="center" vertical="center" wrapText="1"/>
    </xf>
    <xf numFmtId="0" fontId="150" fillId="45" borderId="1" xfId="7" applyFont="1" applyFill="1" applyBorder="1" applyAlignment="1">
      <alignment horizontal="center" vertical="center" wrapText="1"/>
    </xf>
    <xf numFmtId="0" fontId="71" fillId="17" borderId="1" xfId="7" applyFont="1" applyFill="1" applyBorder="1" applyAlignment="1">
      <alignment horizontal="center" vertical="center" wrapText="1"/>
    </xf>
    <xf numFmtId="0" fontId="71" fillId="0" borderId="1" xfId="7" applyFont="1" applyBorder="1" applyAlignment="1">
      <alignment horizontal="center" vertical="center" wrapText="1"/>
    </xf>
    <xf numFmtId="0" fontId="114" fillId="44" borderId="13" xfId="7" applyFont="1" applyFill="1" applyBorder="1" applyAlignment="1">
      <alignment horizontal="center" vertical="center" wrapText="1"/>
    </xf>
    <xf numFmtId="0" fontId="71" fillId="28" borderId="13" xfId="7" applyFont="1" applyFill="1" applyBorder="1" applyAlignment="1">
      <alignment horizontal="center" vertical="center" wrapText="1"/>
    </xf>
    <xf numFmtId="0" fontId="71" fillId="44" borderId="28" xfId="7" applyFont="1" applyFill="1" applyBorder="1" applyAlignment="1">
      <alignment horizontal="center" vertical="center" wrapText="1"/>
    </xf>
    <xf numFmtId="0" fontId="71" fillId="44" borderId="15" xfId="7" applyFont="1" applyFill="1" applyBorder="1" applyAlignment="1">
      <alignment horizontal="center" vertical="center" wrapText="1"/>
    </xf>
    <xf numFmtId="0" fontId="71" fillId="0" borderId="13" xfId="7" applyFont="1" applyBorder="1" applyAlignment="1">
      <alignment horizontal="center" vertical="center" wrapText="1"/>
    </xf>
    <xf numFmtId="0" fontId="46" fillId="8" borderId="1" xfId="3" applyFont="1" applyFill="1" applyBorder="1" applyAlignment="1">
      <alignment horizontal="center" vertical="center"/>
    </xf>
    <xf numFmtId="0" fontId="46" fillId="7" borderId="0" xfId="3" applyFont="1" applyFill="1" applyAlignment="1">
      <alignment horizontal="center" vertical="center"/>
    </xf>
    <xf numFmtId="0" fontId="44" fillId="0" borderId="1" xfId="3" applyFont="1" applyBorder="1" applyAlignment="1">
      <alignment horizontal="center" vertical="center"/>
    </xf>
    <xf numFmtId="0" fontId="44" fillId="7" borderId="0" xfId="3" applyFont="1" applyFill="1" applyAlignment="1">
      <alignment horizontal="center" vertical="center"/>
    </xf>
    <xf numFmtId="0" fontId="154" fillId="8" borderId="1" xfId="4" applyFont="1" applyFill="1" applyBorder="1" applyAlignment="1">
      <alignment horizontal="center" vertical="center" wrapText="1"/>
    </xf>
    <xf numFmtId="0" fontId="44" fillId="7" borderId="1" xfId="4" applyFont="1" applyFill="1" applyBorder="1" applyAlignment="1">
      <alignment horizontal="center" vertical="center" wrapText="1"/>
    </xf>
    <xf numFmtId="164" fontId="44" fillId="7" borderId="1" xfId="4" applyNumberFormat="1" applyFont="1" applyFill="1" applyBorder="1" applyAlignment="1">
      <alignment horizontal="center" vertical="center" wrapText="1"/>
    </xf>
    <xf numFmtId="14" fontId="44" fillId="7" borderId="1" xfId="4" applyNumberFormat="1" applyFont="1" applyFill="1" applyBorder="1" applyAlignment="1">
      <alignment horizontal="center" vertical="center" wrapText="1"/>
    </xf>
    <xf numFmtId="0" fontId="154" fillId="8" borderId="7" xfId="4" applyFont="1" applyFill="1" applyBorder="1" applyAlignment="1">
      <alignment horizontal="center" vertical="center" wrapText="1"/>
    </xf>
    <xf numFmtId="14" fontId="44" fillId="7" borderId="7" xfId="4" applyNumberFormat="1" applyFont="1" applyFill="1" applyBorder="1" applyAlignment="1">
      <alignment horizontal="center" vertical="center" wrapText="1"/>
    </xf>
    <xf numFmtId="0" fontId="63" fillId="0" borderId="1" xfId="3" applyFont="1" applyBorder="1" applyAlignment="1">
      <alignment horizontal="center" vertical="center"/>
    </xf>
    <xf numFmtId="164" fontId="63" fillId="0" borderId="1" xfId="3" applyNumberFormat="1" applyFont="1" applyBorder="1" applyAlignment="1">
      <alignment horizontal="center" vertical="center"/>
    </xf>
    <xf numFmtId="0" fontId="63" fillId="7" borderId="1" xfId="3" applyFont="1" applyFill="1" applyBorder="1" applyAlignment="1">
      <alignment horizontal="center" vertical="center"/>
    </xf>
    <xf numFmtId="0" fontId="155" fillId="0" borderId="0" xfId="3" applyFont="1" applyAlignment="1">
      <alignment horizontal="center" vertical="center"/>
    </xf>
    <xf numFmtId="0" fontId="155" fillId="0" borderId="52" xfId="3" applyFont="1" applyBorder="1" applyAlignment="1">
      <alignment horizontal="center" vertical="center"/>
    </xf>
    <xf numFmtId="0" fontId="63" fillId="8" borderId="1" xfId="4" applyFont="1" applyFill="1" applyBorder="1" applyAlignment="1">
      <alignment horizontal="center" vertical="center" wrapText="1"/>
    </xf>
    <xf numFmtId="0" fontId="156" fillId="46" borderId="17" xfId="4" applyFont="1" applyFill="1" applyBorder="1" applyAlignment="1">
      <alignment horizontal="center" vertical="center"/>
    </xf>
    <xf numFmtId="0" fontId="156" fillId="46" borderId="5" xfId="4" applyFont="1" applyFill="1" applyBorder="1" applyAlignment="1">
      <alignment horizontal="center" vertical="center"/>
    </xf>
    <xf numFmtId="0" fontId="157" fillId="47" borderId="17" xfId="4" applyFont="1" applyFill="1" applyBorder="1" applyAlignment="1">
      <alignment horizontal="center" vertical="center"/>
    </xf>
    <xf numFmtId="164" fontId="145" fillId="47" borderId="17" xfId="4" applyNumberFormat="1" applyFont="1" applyFill="1" applyBorder="1" applyAlignment="1">
      <alignment horizontal="center" vertical="center"/>
    </xf>
    <xf numFmtId="14" fontId="145" fillId="47" borderId="17" xfId="4" applyNumberFormat="1" applyFont="1" applyFill="1" applyBorder="1" applyAlignment="1">
      <alignment horizontal="center" vertical="center"/>
    </xf>
    <xf numFmtId="0" fontId="145" fillId="47" borderId="5" xfId="4" applyFont="1" applyFill="1" applyBorder="1" applyAlignment="1">
      <alignment horizontal="center" vertical="center"/>
    </xf>
    <xf numFmtId="0" fontId="157" fillId="48" borderId="17" xfId="4" applyFont="1" applyFill="1" applyBorder="1" applyAlignment="1">
      <alignment horizontal="center" vertical="center"/>
    </xf>
    <xf numFmtId="164" fontId="145" fillId="48" borderId="17" xfId="4" applyNumberFormat="1" applyFont="1" applyFill="1" applyBorder="1" applyAlignment="1">
      <alignment horizontal="center" vertical="center"/>
    </xf>
    <xf numFmtId="14" fontId="145" fillId="48" borderId="17" xfId="4" applyNumberFormat="1" applyFont="1" applyFill="1" applyBorder="1" applyAlignment="1">
      <alignment horizontal="center" vertical="center"/>
    </xf>
    <xf numFmtId="0" fontId="145" fillId="48" borderId="5" xfId="4" applyFont="1" applyFill="1" applyBorder="1" applyAlignment="1">
      <alignment horizontal="center" vertical="center"/>
    </xf>
    <xf numFmtId="14" fontId="145" fillId="47" borderId="44" xfId="4" applyNumberFormat="1" applyFont="1" applyFill="1" applyBorder="1" applyAlignment="1">
      <alignment horizontal="center" vertical="center"/>
    </xf>
    <xf numFmtId="0" fontId="145" fillId="47" borderId="45" xfId="4" applyFont="1" applyFill="1" applyBorder="1" applyAlignment="1">
      <alignment horizontal="center" vertical="center"/>
    </xf>
    <xf numFmtId="0" fontId="157" fillId="48" borderId="7" xfId="4" applyFont="1" applyFill="1" applyBorder="1" applyAlignment="1">
      <alignment horizontal="center" vertical="center"/>
    </xf>
    <xf numFmtId="164" fontId="145" fillId="48" borderId="7" xfId="4" applyNumberFormat="1" applyFont="1" applyFill="1" applyBorder="1" applyAlignment="1">
      <alignment horizontal="center" vertical="center"/>
    </xf>
    <xf numFmtId="14" fontId="145" fillId="48" borderId="41" xfId="4" applyNumberFormat="1" applyFont="1" applyFill="1" applyBorder="1" applyAlignment="1">
      <alignment horizontal="center" vertical="center"/>
    </xf>
    <xf numFmtId="0" fontId="145" fillId="48" borderId="10" xfId="4" applyFont="1" applyFill="1" applyBorder="1" applyAlignment="1">
      <alignment horizontal="center" vertical="center"/>
    </xf>
    <xf numFmtId="164" fontId="145" fillId="7" borderId="17" xfId="4" applyNumberFormat="1" applyFont="1" applyFill="1" applyBorder="1" applyAlignment="1">
      <alignment horizontal="center" vertical="center"/>
    </xf>
    <xf numFmtId="14" fontId="145" fillId="7" borderId="17" xfId="4" applyNumberFormat="1" applyFont="1" applyFill="1" applyBorder="1" applyAlignment="1">
      <alignment horizontal="center" vertical="center"/>
    </xf>
    <xf numFmtId="14" fontId="145" fillId="7" borderId="44" xfId="4" applyNumberFormat="1" applyFont="1" applyFill="1" applyBorder="1" applyAlignment="1">
      <alignment horizontal="center" vertical="center"/>
    </xf>
    <xf numFmtId="164" fontId="145" fillId="7" borderId="7" xfId="4" applyNumberFormat="1" applyFont="1" applyFill="1" applyBorder="1" applyAlignment="1">
      <alignment horizontal="center" vertical="center"/>
    </xf>
    <xf numFmtId="14" fontId="145" fillId="7" borderId="41" xfId="4" applyNumberFormat="1" applyFont="1" applyFill="1" applyBorder="1" applyAlignment="1">
      <alignment horizontal="center" vertical="center"/>
    </xf>
    <xf numFmtId="0" fontId="156" fillId="7" borderId="17" xfId="4" applyFont="1" applyFill="1" applyBorder="1" applyAlignment="1">
      <alignment horizontal="center" vertical="center"/>
    </xf>
    <xf numFmtId="0" fontId="156" fillId="7" borderId="5" xfId="4" applyFont="1" applyFill="1" applyBorder="1" applyAlignment="1">
      <alignment horizontal="center" vertical="center"/>
    </xf>
    <xf numFmtId="0" fontId="157" fillId="7" borderId="17" xfId="4" applyFont="1" applyFill="1" applyBorder="1" applyAlignment="1">
      <alignment horizontal="center" vertical="center"/>
    </xf>
    <xf numFmtId="0" fontId="145" fillId="7" borderId="5" xfId="4" applyFont="1" applyFill="1" applyBorder="1" applyAlignment="1">
      <alignment horizontal="center" vertical="center"/>
    </xf>
    <xf numFmtId="0" fontId="145" fillId="7" borderId="45" xfId="4" applyFont="1" applyFill="1" applyBorder="1" applyAlignment="1">
      <alignment horizontal="center" vertical="center"/>
    </xf>
    <xf numFmtId="0" fontId="157" fillId="7" borderId="7" xfId="4" applyFont="1" applyFill="1" applyBorder="1" applyAlignment="1">
      <alignment horizontal="center" vertical="center"/>
    </xf>
    <xf numFmtId="0" fontId="145" fillId="7" borderId="10" xfId="4" applyFont="1" applyFill="1" applyBorder="1" applyAlignment="1">
      <alignment horizontal="center" vertical="center"/>
    </xf>
    <xf numFmtId="0" fontId="152" fillId="0" borderId="0" xfId="3" applyFont="1" applyAlignment="1">
      <alignment horizontal="center" vertical="center"/>
    </xf>
    <xf numFmtId="0" fontId="18" fillId="0" borderId="0" xfId="3" applyAlignment="1">
      <alignment horizontal="center" vertical="center"/>
    </xf>
    <xf numFmtId="0" fontId="18" fillId="7" borderId="0" xfId="3" applyFill="1" applyAlignment="1">
      <alignment horizontal="center" vertical="center"/>
    </xf>
    <xf numFmtId="0" fontId="63" fillId="8" borderId="1" xfId="3" applyFont="1" applyFill="1" applyBorder="1" applyAlignment="1">
      <alignment horizontal="center" vertical="center"/>
    </xf>
    <xf numFmtId="0" fontId="63" fillId="8" borderId="7" xfId="3" applyFont="1" applyFill="1" applyBorder="1" applyAlignment="1">
      <alignment horizontal="center" vertical="center"/>
    </xf>
    <xf numFmtId="0" fontId="44" fillId="0" borderId="7" xfId="3" applyFont="1" applyBorder="1" applyAlignment="1">
      <alignment horizontal="center" vertical="center"/>
    </xf>
    <xf numFmtId="0" fontId="44" fillId="7" borderId="1" xfId="3" applyFont="1" applyFill="1" applyBorder="1" applyAlignment="1">
      <alignment horizontal="center" vertical="center"/>
    </xf>
    <xf numFmtId="0" fontId="158" fillId="13" borderId="1" xfId="3" applyFont="1" applyFill="1" applyBorder="1" applyAlignment="1">
      <alignment horizontal="center" vertical="center"/>
    </xf>
    <xf numFmtId="0" fontId="153" fillId="13" borderId="1" xfId="3" applyFont="1" applyFill="1" applyBorder="1" applyAlignment="1">
      <alignment horizontal="center" vertical="center"/>
    </xf>
    <xf numFmtId="0" fontId="155" fillId="0" borderId="6" xfId="3" applyFont="1" applyBorder="1" applyAlignment="1">
      <alignment horizontal="center" vertical="center"/>
    </xf>
    <xf numFmtId="0" fontId="155" fillId="0" borderId="1" xfId="3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54" fillId="0" borderId="1" xfId="4" applyFont="1" applyBorder="1" applyAlignment="1">
      <alignment horizontal="center" vertical="center" wrapText="1"/>
    </xf>
    <xf numFmtId="0" fontId="55" fillId="0" borderId="1" xfId="4" applyFont="1" applyBorder="1" applyAlignment="1">
      <alignment horizontal="center" vertical="center" wrapText="1"/>
    </xf>
    <xf numFmtId="0" fontId="59" fillId="20" borderId="33" xfId="5" applyFont="1" applyFill="1" applyBorder="1" applyAlignment="1">
      <alignment horizontal="center" vertical="center" wrapText="1"/>
    </xf>
    <xf numFmtId="0" fontId="60" fillId="5" borderId="0" xfId="5" applyFont="1" applyFill="1" applyAlignment="1">
      <alignment horizontal="center" vertical="center" wrapText="1"/>
    </xf>
    <xf numFmtId="0" fontId="57" fillId="18" borderId="35" xfId="5" applyFont="1" applyFill="1" applyBorder="1" applyAlignment="1">
      <alignment horizontal="center" vertical="center" wrapText="1"/>
    </xf>
    <xf numFmtId="0" fontId="57" fillId="18" borderId="2" xfId="5" applyFont="1" applyFill="1" applyBorder="1" applyAlignment="1">
      <alignment horizontal="center" vertical="center" wrapText="1"/>
    </xf>
    <xf numFmtId="0" fontId="39" fillId="10" borderId="36" xfId="5" applyFont="1" applyFill="1" applyBorder="1" applyAlignment="1">
      <alignment horizontal="center" vertical="center" wrapText="1"/>
    </xf>
    <xf numFmtId="0" fontId="39" fillId="10" borderId="37" xfId="5" applyFont="1" applyFill="1" applyBorder="1" applyAlignment="1">
      <alignment horizontal="center" vertical="center" wrapText="1"/>
    </xf>
    <xf numFmtId="0" fontId="34" fillId="2" borderId="2" xfId="5" applyFont="1" applyFill="1" applyBorder="1" applyAlignment="1">
      <alignment horizontal="center" vertical="center" wrapText="1"/>
    </xf>
    <xf numFmtId="0" fontId="35" fillId="8" borderId="1" xfId="5" applyFont="1" applyFill="1" applyBorder="1" applyAlignment="1">
      <alignment horizontal="center" vertical="center" wrapText="1"/>
    </xf>
    <xf numFmtId="0" fontId="34" fillId="12" borderId="5" xfId="5" applyFont="1" applyFill="1" applyBorder="1" applyAlignment="1">
      <alignment horizontal="center" vertical="center" wrapText="1"/>
    </xf>
    <xf numFmtId="0" fontId="34" fillId="12" borderId="11" xfId="5" applyFont="1" applyFill="1" applyBorder="1" applyAlignment="1">
      <alignment horizontal="center" vertical="center" wrapText="1"/>
    </xf>
    <xf numFmtId="0" fontId="34" fillId="12" borderId="6" xfId="5" applyFont="1" applyFill="1" applyBorder="1" applyAlignment="1">
      <alignment horizontal="center" vertical="center" wrapText="1"/>
    </xf>
    <xf numFmtId="0" fontId="34" fillId="12" borderId="17" xfId="5" applyFont="1" applyFill="1" applyBorder="1" applyAlignment="1">
      <alignment horizontal="center" vertical="center" wrapText="1"/>
    </xf>
    <xf numFmtId="0" fontId="34" fillId="12" borderId="30" xfId="5" applyFont="1" applyFill="1" applyBorder="1" applyAlignment="1">
      <alignment horizontal="center" vertical="center" wrapText="1"/>
    </xf>
    <xf numFmtId="0" fontId="34" fillId="12" borderId="31" xfId="5" applyFont="1" applyFill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0" fontId="34" fillId="11" borderId="14" xfId="5" applyFont="1" applyFill="1" applyBorder="1" applyAlignment="1">
      <alignment horizontal="center" vertical="center" wrapText="1"/>
    </xf>
    <xf numFmtId="0" fontId="37" fillId="0" borderId="29" xfId="5" applyFont="1" applyBorder="1" applyAlignment="1">
      <alignment horizontal="center" vertical="center" wrapText="1"/>
    </xf>
    <xf numFmtId="0" fontId="41" fillId="0" borderId="1" xfId="5" applyFont="1" applyBorder="1" applyAlignment="1">
      <alignment horizontal="center" vertical="center" wrapText="1"/>
    </xf>
    <xf numFmtId="0" fontId="34" fillId="2" borderId="1" xfId="5" applyFont="1" applyFill="1" applyBorder="1" applyAlignment="1">
      <alignment horizontal="center" vertical="center" wrapText="1"/>
    </xf>
    <xf numFmtId="0" fontId="34" fillId="12" borderId="21" xfId="5" applyFont="1" applyFill="1" applyBorder="1" applyAlignment="1">
      <alignment horizontal="center" vertical="center" wrapText="1"/>
    </xf>
    <xf numFmtId="0" fontId="34" fillId="12" borderId="23" xfId="5" applyFont="1" applyFill="1" applyBorder="1" applyAlignment="1">
      <alignment horizontal="center" vertical="center" wrapText="1"/>
    </xf>
    <xf numFmtId="0" fontId="34" fillId="12" borderId="25" xfId="5" applyFont="1" applyFill="1" applyBorder="1" applyAlignment="1">
      <alignment horizontal="center" vertical="center" wrapText="1"/>
    </xf>
    <xf numFmtId="0" fontId="34" fillId="12" borderId="22" xfId="5" applyFont="1" applyFill="1" applyBorder="1" applyAlignment="1">
      <alignment horizontal="center" vertical="center" wrapText="1"/>
    </xf>
    <xf numFmtId="0" fontId="40" fillId="13" borderId="24" xfId="5" applyFont="1" applyFill="1" applyBorder="1" applyAlignment="1">
      <alignment horizontal="center" vertical="center" wrapText="1"/>
    </xf>
    <xf numFmtId="0" fontId="40" fillId="13" borderId="26" xfId="5" applyFont="1" applyFill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0" fontId="34" fillId="12" borderId="27" xfId="5" applyFont="1" applyFill="1" applyBorder="1" applyAlignment="1">
      <alignment horizontal="center" vertical="center" wrapText="1"/>
    </xf>
    <xf numFmtId="0" fontId="34" fillId="12" borderId="28" xfId="5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 wrapText="1"/>
    </xf>
    <xf numFmtId="0" fontId="42" fillId="8" borderId="5" xfId="0" applyFont="1" applyFill="1" applyBorder="1" applyAlignment="1">
      <alignment horizontal="center" vertical="center" wrapText="1"/>
    </xf>
    <xf numFmtId="0" fontId="42" fillId="8" borderId="11" xfId="0" applyFont="1" applyFill="1" applyBorder="1" applyAlignment="1">
      <alignment horizontal="center" vertical="center" wrapText="1"/>
    </xf>
    <xf numFmtId="0" fontId="42" fillId="8" borderId="6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center" vertical="center" wrapText="1"/>
    </xf>
    <xf numFmtId="0" fontId="62" fillId="13" borderId="1" xfId="0" applyFont="1" applyFill="1" applyBorder="1" applyAlignment="1">
      <alignment horizontal="center" vertical="center" wrapText="1"/>
    </xf>
    <xf numFmtId="0" fontId="62" fillId="8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7" fillId="0" borderId="5" xfId="3" applyFont="1" applyBorder="1" applyAlignment="1">
      <alignment horizontal="center" vertical="center" wrapText="1"/>
    </xf>
    <xf numFmtId="0" fontId="57" fillId="0" borderId="11" xfId="3" applyFont="1" applyBorder="1" applyAlignment="1">
      <alignment horizontal="center" vertical="center" wrapText="1"/>
    </xf>
    <xf numFmtId="0" fontId="57" fillId="0" borderId="6" xfId="3" applyFont="1" applyBorder="1" applyAlignment="1">
      <alignment horizontal="center" vertical="center" wrapText="1"/>
    </xf>
    <xf numFmtId="0" fontId="75" fillId="13" borderId="1" xfId="3" applyFont="1" applyFill="1" applyBorder="1" applyAlignment="1">
      <alignment horizontal="center" vertical="center" wrapText="1"/>
    </xf>
    <xf numFmtId="0" fontId="75" fillId="22" borderId="1" xfId="3" applyFont="1" applyFill="1" applyBorder="1" applyAlignment="1">
      <alignment horizontal="center" vertical="center" wrapText="1"/>
    </xf>
    <xf numFmtId="0" fontId="75" fillId="3" borderId="1" xfId="3" applyFont="1" applyFill="1" applyBorder="1" applyAlignment="1">
      <alignment horizontal="center" vertical="center" wrapText="1"/>
    </xf>
    <xf numFmtId="0" fontId="17" fillId="2" borderId="1" xfId="3" applyFont="1" applyFill="1" applyBorder="1" applyAlignment="1">
      <alignment horizontal="center" vertical="center" wrapText="1"/>
    </xf>
    <xf numFmtId="0" fontId="68" fillId="23" borderId="5" xfId="3" applyFont="1" applyFill="1" applyBorder="1" applyAlignment="1">
      <alignment horizontal="center" vertical="center" wrapText="1"/>
    </xf>
    <xf numFmtId="0" fontId="68" fillId="23" borderId="11" xfId="3" applyFont="1" applyFill="1" applyBorder="1" applyAlignment="1">
      <alignment horizontal="center" vertical="center" wrapText="1"/>
    </xf>
    <xf numFmtId="0" fontId="81" fillId="10" borderId="1" xfId="3" applyFont="1" applyFill="1" applyBorder="1" applyAlignment="1">
      <alignment horizontal="center" vertical="center" wrapText="1"/>
    </xf>
    <xf numFmtId="0" fontId="81" fillId="10" borderId="5" xfId="3" applyFont="1" applyFill="1" applyBorder="1" applyAlignment="1">
      <alignment horizontal="center" vertical="center" wrapText="1"/>
    </xf>
    <xf numFmtId="0" fontId="81" fillId="10" borderId="11" xfId="3" applyFont="1" applyFill="1" applyBorder="1" applyAlignment="1">
      <alignment horizontal="center" vertical="center" wrapText="1"/>
    </xf>
    <xf numFmtId="0" fontId="81" fillId="10" borderId="6" xfId="3" applyFont="1" applyFill="1" applyBorder="1" applyAlignment="1">
      <alignment horizontal="center" vertical="center" wrapText="1"/>
    </xf>
    <xf numFmtId="0" fontId="107" fillId="13" borderId="1" xfId="3" applyFont="1" applyFill="1" applyBorder="1" applyAlignment="1">
      <alignment horizontal="center" vertical="center" wrapText="1"/>
    </xf>
    <xf numFmtId="0" fontId="82" fillId="36" borderId="5" xfId="3" applyFont="1" applyFill="1" applyBorder="1" applyAlignment="1">
      <alignment horizontal="center" vertical="center" wrapText="1"/>
    </xf>
    <xf numFmtId="0" fontId="82" fillId="36" borderId="6" xfId="3" applyFont="1" applyFill="1" applyBorder="1" applyAlignment="1">
      <alignment horizontal="center" vertical="center" wrapText="1"/>
    </xf>
    <xf numFmtId="0" fontId="84" fillId="0" borderId="1" xfId="3" applyFont="1" applyBorder="1" applyAlignment="1">
      <alignment horizontal="center" vertical="center"/>
    </xf>
    <xf numFmtId="0" fontId="92" fillId="25" borderId="14" xfId="4" applyFont="1" applyFill="1" applyBorder="1" applyAlignment="1">
      <alignment horizontal="center" vertical="center" wrapText="1"/>
    </xf>
    <xf numFmtId="0" fontId="95" fillId="0" borderId="29" xfId="4" applyFont="1" applyBorder="1" applyAlignment="1">
      <alignment horizontal="center" vertical="center" wrapText="1"/>
    </xf>
    <xf numFmtId="0" fontId="95" fillId="0" borderId="15" xfId="4" applyFont="1" applyBorder="1" applyAlignment="1">
      <alignment horizontal="center" vertical="center" wrapText="1"/>
    </xf>
    <xf numFmtId="0" fontId="93" fillId="2" borderId="1" xfId="4" applyFont="1" applyFill="1" applyBorder="1" applyAlignment="1">
      <alignment horizontal="center" vertical="center" wrapText="1"/>
    </xf>
    <xf numFmtId="0" fontId="122" fillId="35" borderId="1" xfId="4" applyFont="1" applyFill="1" applyBorder="1" applyAlignment="1">
      <alignment horizontal="center" vertical="center" wrapText="1"/>
    </xf>
    <xf numFmtId="0" fontId="121" fillId="35" borderId="1" xfId="4" applyFont="1" applyFill="1" applyBorder="1" applyAlignment="1">
      <alignment horizontal="center" vertical="center" wrapText="1"/>
    </xf>
    <xf numFmtId="0" fontId="118" fillId="2" borderId="42" xfId="4" applyFont="1" applyFill="1" applyBorder="1" applyAlignment="1">
      <alignment horizontal="center" vertical="center" wrapText="1"/>
    </xf>
    <xf numFmtId="0" fontId="118" fillId="2" borderId="39" xfId="4" applyFont="1" applyFill="1" applyBorder="1" applyAlignment="1">
      <alignment horizontal="center" vertical="center" wrapText="1"/>
    </xf>
    <xf numFmtId="0" fontId="118" fillId="2" borderId="38" xfId="4" applyFont="1" applyFill="1" applyBorder="1" applyAlignment="1">
      <alignment horizontal="center" vertical="center" wrapText="1"/>
    </xf>
    <xf numFmtId="0" fontId="118" fillId="2" borderId="1" xfId="4" applyFont="1" applyFill="1" applyBorder="1" applyAlignment="1">
      <alignment horizontal="center" vertical="center" wrapText="1"/>
    </xf>
    <xf numFmtId="0" fontId="119" fillId="2" borderId="5" xfId="4" applyFont="1" applyFill="1" applyBorder="1" applyAlignment="1">
      <alignment horizontal="center" vertical="center" wrapText="1"/>
    </xf>
    <xf numFmtId="0" fontId="119" fillId="2" borderId="11" xfId="4" applyFont="1" applyFill="1" applyBorder="1" applyAlignment="1">
      <alignment horizontal="center" vertical="center" wrapText="1"/>
    </xf>
    <xf numFmtId="0" fontId="119" fillId="2" borderId="6" xfId="4" applyFont="1" applyFill="1" applyBorder="1" applyAlignment="1">
      <alignment horizontal="center" vertical="center" wrapText="1"/>
    </xf>
    <xf numFmtId="0" fontId="119" fillId="2" borderId="1" xfId="4" applyFont="1" applyFill="1" applyBorder="1" applyAlignment="1">
      <alignment horizontal="center" vertical="center" wrapText="1"/>
    </xf>
    <xf numFmtId="0" fontId="132" fillId="2" borderId="5" xfId="6" applyFont="1" applyFill="1" applyBorder="1" applyAlignment="1">
      <alignment horizontal="center" vertical="center" wrapText="1"/>
    </xf>
    <xf numFmtId="0" fontId="132" fillId="2" borderId="11" xfId="6" applyFont="1" applyFill="1" applyBorder="1" applyAlignment="1">
      <alignment horizontal="center" vertical="center" wrapText="1"/>
    </xf>
    <xf numFmtId="0" fontId="132" fillId="2" borderId="6" xfId="6" applyFont="1" applyFill="1" applyBorder="1" applyAlignment="1">
      <alignment horizontal="center" vertical="center" wrapText="1"/>
    </xf>
    <xf numFmtId="0" fontId="138" fillId="2" borderId="48" xfId="0" applyFont="1" applyFill="1" applyBorder="1" applyAlignment="1">
      <alignment horizontal="center" vertical="center"/>
    </xf>
    <xf numFmtId="0" fontId="138" fillId="2" borderId="49" xfId="0" applyFont="1" applyFill="1" applyBorder="1" applyAlignment="1">
      <alignment horizontal="center" vertical="center"/>
    </xf>
    <xf numFmtId="0" fontId="138" fillId="2" borderId="50" xfId="0" applyFont="1" applyFill="1" applyBorder="1" applyAlignment="1">
      <alignment horizontal="center" vertical="center"/>
    </xf>
    <xf numFmtId="0" fontId="130" fillId="0" borderId="43" xfId="3" applyFont="1" applyBorder="1" applyAlignment="1">
      <alignment horizontal="center" vertical="center" wrapText="1"/>
    </xf>
    <xf numFmtId="0" fontId="130" fillId="0" borderId="3" xfId="3" applyFont="1" applyBorder="1" applyAlignment="1">
      <alignment horizontal="center" vertical="center" wrapText="1"/>
    </xf>
    <xf numFmtId="0" fontId="143" fillId="41" borderId="14" xfId="7" applyFont="1" applyFill="1" applyBorder="1" applyAlignment="1">
      <alignment horizontal="center" vertical="center"/>
    </xf>
    <xf numFmtId="0" fontId="143" fillId="41" borderId="15" xfId="7" applyFont="1" applyFill="1" applyBorder="1" applyAlignment="1">
      <alignment horizontal="center" vertical="center"/>
    </xf>
    <xf numFmtId="0" fontId="145" fillId="0" borderId="15" xfId="7" applyFont="1" applyBorder="1"/>
    <xf numFmtId="0" fontId="143" fillId="41" borderId="14" xfId="7" applyFont="1" applyFill="1" applyBorder="1" applyAlignment="1">
      <alignment horizontal="center" vertical="center" wrapText="1"/>
    </xf>
    <xf numFmtId="0" fontId="143" fillId="41" borderId="15" xfId="7" applyFont="1" applyFill="1" applyBorder="1" applyAlignment="1">
      <alignment horizontal="center" vertical="center" wrapText="1"/>
    </xf>
    <xf numFmtId="0" fontId="71" fillId="28" borderId="14" xfId="7" applyFont="1" applyFill="1" applyBorder="1" applyAlignment="1">
      <alignment horizontal="center" vertical="center" wrapText="1"/>
    </xf>
    <xf numFmtId="0" fontId="151" fillId="0" borderId="29" xfId="7" applyFont="1" applyBorder="1" applyAlignment="1">
      <alignment wrapText="1"/>
    </xf>
    <xf numFmtId="0" fontId="151" fillId="0" borderId="15" xfId="7" applyFont="1" applyBorder="1" applyAlignment="1">
      <alignment wrapText="1"/>
    </xf>
    <xf numFmtId="0" fontId="71" fillId="28" borderId="16" xfId="7" applyFont="1" applyFill="1" applyBorder="1" applyAlignment="1">
      <alignment horizontal="center" vertical="center" wrapText="1"/>
    </xf>
    <xf numFmtId="0" fontId="71" fillId="28" borderId="27" xfId="7" applyFont="1" applyFill="1" applyBorder="1" applyAlignment="1">
      <alignment horizontal="center" vertical="center" wrapText="1"/>
    </xf>
    <xf numFmtId="0" fontId="71" fillId="28" borderId="28" xfId="7" applyFont="1" applyFill="1" applyBorder="1" applyAlignment="1">
      <alignment horizontal="center" vertical="center" wrapText="1"/>
    </xf>
    <xf numFmtId="0" fontId="98" fillId="26" borderId="0" xfId="5" applyFont="1" applyFill="1" applyBorder="1" applyAlignment="1">
      <alignment horizontal="center" vertical="center"/>
    </xf>
    <xf numFmtId="0" fontId="140" fillId="0" borderId="0" xfId="5" applyFont="1" applyBorder="1" applyAlignment="1">
      <alignment vertical="center"/>
    </xf>
    <xf numFmtId="168" fontId="141" fillId="26" borderId="0" xfId="5" applyNumberFormat="1" applyFont="1" applyFill="1" applyBorder="1" applyAlignment="1">
      <alignment horizontal="center" vertical="center"/>
    </xf>
    <xf numFmtId="0" fontId="159" fillId="26" borderId="0" xfId="5" applyFont="1" applyFill="1" applyAlignment="1">
      <alignment horizontal="center" vertical="center"/>
    </xf>
    <xf numFmtId="0" fontId="159" fillId="26" borderId="0" xfId="5" applyFont="1" applyFill="1" applyBorder="1" applyAlignment="1">
      <alignment horizontal="center" vertical="center"/>
    </xf>
    <xf numFmtId="168" fontId="159" fillId="26" borderId="0" xfId="5" applyNumberFormat="1" applyFont="1" applyFill="1" applyAlignment="1">
      <alignment horizontal="center" vertical="center"/>
    </xf>
    <xf numFmtId="0" fontId="159" fillId="0" borderId="6" xfId="5" applyFont="1" applyFill="1" applyBorder="1" applyAlignment="1">
      <alignment horizontal="center" vertical="center"/>
    </xf>
    <xf numFmtId="14" fontId="160" fillId="0" borderId="1" xfId="5" applyNumberFormat="1" applyFont="1" applyFill="1" applyBorder="1" applyAlignment="1">
      <alignment horizontal="center" vertical="center"/>
    </xf>
    <xf numFmtId="0" fontId="160" fillId="0" borderId="1" xfId="5" applyFont="1" applyFill="1" applyBorder="1" applyAlignment="1">
      <alignment horizontal="center" vertical="center"/>
    </xf>
    <xf numFmtId="168" fontId="160" fillId="0" borderId="1" xfId="5" applyNumberFormat="1" applyFont="1" applyFill="1" applyBorder="1" applyAlignment="1">
      <alignment horizontal="center" vertical="center"/>
    </xf>
    <xf numFmtId="0" fontId="160" fillId="49" borderId="1" xfId="5" applyNumberFormat="1" applyFont="1" applyFill="1" applyBorder="1" applyAlignment="1">
      <alignment horizontal="center" vertical="center"/>
    </xf>
    <xf numFmtId="0" fontId="160" fillId="0" borderId="1" xfId="5" applyNumberFormat="1" applyFont="1" applyBorder="1" applyAlignment="1">
      <alignment horizontal="center" vertical="center"/>
    </xf>
  </cellXfs>
  <cellStyles count="8">
    <cellStyle name="Normal" xfId="0" builtinId="0"/>
    <cellStyle name="Normal 2" xfId="2" xr:uid="{ED39DA28-7E6B-425E-98B8-57411B434F6C}"/>
    <cellStyle name="Normal 2 2" xfId="4" xr:uid="{AA9D0931-8844-460C-880A-F0436CC3AA52}"/>
    <cellStyle name="Normal 3" xfId="3" xr:uid="{EF94B418-76B4-40F7-A16C-503A322EC9EF}"/>
    <cellStyle name="Normal 3 2" xfId="6" xr:uid="{CD1094D5-3BA1-4017-B684-4C67F53BAFFF}"/>
    <cellStyle name="Normal 3 3" xfId="7" xr:uid="{94965907-26C1-4598-B34F-11279BFBCD11}"/>
    <cellStyle name="Normal 4" xfId="5" xr:uid="{696AB5AB-E537-4211-B41A-F01264878CAB}"/>
    <cellStyle name="Percent" xfId="1" builtinId="5"/>
  </cellStyles>
  <dxfs count="139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gray0625">
          <bgColor theme="8" tint="0.59996337778862885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gray0625">
          <bgColor theme="8" tint="0.59996337778862885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168" formatCode="&quot;₹&quot;\ 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fill>
        <patternFill patternType="solid"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fill>
        <patternFill patternType="solid">
          <fgColor rgb="FFB4C6E7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168" formatCode="&quot;₹&quot;\ 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168" formatCode="&quot;₹&quot;\ 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masis MT Pro"/>
        <family val="1"/>
        <scheme val="none"/>
      </font>
      <numFmt numFmtId="19" formatCode="dd/mm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family val="1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8" formatCode="&quot;₹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customXml" Target="../ink/ink10.xml"/><Relationship Id="rId26" Type="http://schemas.openxmlformats.org/officeDocument/2006/relationships/customXml" Target="../ink/ink16.xml"/><Relationship Id="rId39" Type="http://schemas.openxmlformats.org/officeDocument/2006/relationships/image" Target="../media/image17.png"/><Relationship Id="rId21" Type="http://schemas.openxmlformats.org/officeDocument/2006/relationships/customXml" Target="../ink/ink12.xml"/><Relationship Id="rId34" Type="http://schemas.openxmlformats.org/officeDocument/2006/relationships/customXml" Target="../ink/ink20.xml"/><Relationship Id="rId42" Type="http://schemas.openxmlformats.org/officeDocument/2006/relationships/customXml" Target="../ink/ink24.xm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0" Type="http://schemas.openxmlformats.org/officeDocument/2006/relationships/customXml" Target="../ink/ink11.xml"/><Relationship Id="rId29" Type="http://schemas.openxmlformats.org/officeDocument/2006/relationships/image" Target="../media/image12.png"/><Relationship Id="rId41" Type="http://schemas.openxmlformats.org/officeDocument/2006/relationships/image" Target="../media/image18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5.png"/><Relationship Id="rId24" Type="http://schemas.openxmlformats.org/officeDocument/2006/relationships/customXml" Target="../ink/ink15.xml"/><Relationship Id="rId32" Type="http://schemas.openxmlformats.org/officeDocument/2006/relationships/customXml" Target="../ink/ink19.xml"/><Relationship Id="rId37" Type="http://schemas.openxmlformats.org/officeDocument/2006/relationships/image" Target="../media/image16.png"/><Relationship Id="rId40" Type="http://schemas.openxmlformats.org/officeDocument/2006/relationships/customXml" Target="../ink/ink23.xml"/><Relationship Id="rId5" Type="http://schemas.openxmlformats.org/officeDocument/2006/relationships/image" Target="../media/image2.png"/><Relationship Id="rId15" Type="http://schemas.openxmlformats.org/officeDocument/2006/relationships/image" Target="../media/image7.png"/><Relationship Id="rId23" Type="http://schemas.openxmlformats.org/officeDocument/2006/relationships/customXml" Target="../ink/ink14.xml"/><Relationship Id="rId28" Type="http://schemas.openxmlformats.org/officeDocument/2006/relationships/customXml" Target="../ink/ink17.xml"/><Relationship Id="rId36" Type="http://schemas.openxmlformats.org/officeDocument/2006/relationships/customXml" Target="../ink/ink21.xml"/><Relationship Id="rId10" Type="http://schemas.openxmlformats.org/officeDocument/2006/relationships/customXml" Target="../ink/ink6.xml"/><Relationship Id="rId19" Type="http://schemas.openxmlformats.org/officeDocument/2006/relationships/image" Target="../media/image9.png"/><Relationship Id="rId31" Type="http://schemas.openxmlformats.org/officeDocument/2006/relationships/image" Target="../media/image13.png"/><Relationship Id="rId44" Type="http://schemas.openxmlformats.org/officeDocument/2006/relationships/customXml" Target="../ink/ink25.xml"/><Relationship Id="rId4" Type="http://schemas.openxmlformats.org/officeDocument/2006/relationships/customXml" Target="../ink/ink3.xml"/><Relationship Id="rId9" Type="http://schemas.openxmlformats.org/officeDocument/2006/relationships/image" Target="../media/image4.png"/><Relationship Id="rId14" Type="http://schemas.openxmlformats.org/officeDocument/2006/relationships/customXml" Target="../ink/ink8.xml"/><Relationship Id="rId22" Type="http://schemas.openxmlformats.org/officeDocument/2006/relationships/customXml" Target="../ink/ink13.xml"/><Relationship Id="rId27" Type="http://schemas.openxmlformats.org/officeDocument/2006/relationships/image" Target="../media/image11.png"/><Relationship Id="rId30" Type="http://schemas.openxmlformats.org/officeDocument/2006/relationships/customXml" Target="../ink/ink18.xml"/><Relationship Id="rId35" Type="http://schemas.openxmlformats.org/officeDocument/2006/relationships/image" Target="../media/image15.png"/><Relationship Id="rId43" Type="http://schemas.openxmlformats.org/officeDocument/2006/relationships/image" Target="../media/image19.png"/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5" Type="http://schemas.openxmlformats.org/officeDocument/2006/relationships/image" Target="../media/image10.png"/><Relationship Id="rId33" Type="http://schemas.openxmlformats.org/officeDocument/2006/relationships/image" Target="../media/image14.png"/><Relationship Id="rId38" Type="http://schemas.openxmlformats.org/officeDocument/2006/relationships/customXml" Target="../ink/ink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7.xml"/><Relationship Id="rId2" Type="http://schemas.openxmlformats.org/officeDocument/2006/relationships/image" Target="../media/image1.png"/><Relationship Id="rId1" Type="http://schemas.openxmlformats.org/officeDocument/2006/relationships/customXml" Target="../ink/ink26.xml"/><Relationship Id="rId6" Type="http://schemas.openxmlformats.org/officeDocument/2006/relationships/image" Target="../media/image21.png"/><Relationship Id="rId5" Type="http://schemas.openxmlformats.org/officeDocument/2006/relationships/customXml" Target="../ink/ink28.xml"/><Relationship Id="rId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34.xml"/><Relationship Id="rId13" Type="http://schemas.openxmlformats.org/officeDocument/2006/relationships/customXml" Target="../ink/ink38.xml"/><Relationship Id="rId18" Type="http://schemas.openxmlformats.org/officeDocument/2006/relationships/customXml" Target="../ink/ink41.xml"/><Relationship Id="rId26" Type="http://schemas.openxmlformats.org/officeDocument/2006/relationships/image" Target="../media/image29.png"/><Relationship Id="rId3" Type="http://schemas.openxmlformats.org/officeDocument/2006/relationships/customXml" Target="../ink/ink30.xml"/><Relationship Id="rId21" Type="http://schemas.openxmlformats.org/officeDocument/2006/relationships/customXml" Target="../ink/ink43.xml"/><Relationship Id="rId7" Type="http://schemas.openxmlformats.org/officeDocument/2006/relationships/customXml" Target="../ink/ink33.xml"/><Relationship Id="rId12" Type="http://schemas.openxmlformats.org/officeDocument/2006/relationships/image" Target="../media/image23.png"/><Relationship Id="rId17" Type="http://schemas.openxmlformats.org/officeDocument/2006/relationships/image" Target="../media/image25.png"/><Relationship Id="rId25" Type="http://schemas.openxmlformats.org/officeDocument/2006/relationships/customXml" Target="../ink/ink45.xml"/><Relationship Id="rId2" Type="http://schemas.openxmlformats.org/officeDocument/2006/relationships/image" Target="NULL"/><Relationship Id="rId16" Type="http://schemas.openxmlformats.org/officeDocument/2006/relationships/customXml" Target="../ink/ink40.xml"/><Relationship Id="rId20" Type="http://schemas.openxmlformats.org/officeDocument/2006/relationships/customXml" Target="../ink/ink42.xml"/><Relationship Id="rId1" Type="http://schemas.openxmlformats.org/officeDocument/2006/relationships/customXml" Target="../ink/ink29.xml"/><Relationship Id="rId6" Type="http://schemas.openxmlformats.org/officeDocument/2006/relationships/customXml" Target="../ink/ink32.xml"/><Relationship Id="rId11" Type="http://schemas.openxmlformats.org/officeDocument/2006/relationships/customXml" Target="../ink/ink37.xml"/><Relationship Id="rId24" Type="http://schemas.openxmlformats.org/officeDocument/2006/relationships/image" Target="../media/image28.png"/><Relationship Id="rId5" Type="http://schemas.openxmlformats.org/officeDocument/2006/relationships/customXml" Target="../ink/ink31.xml"/><Relationship Id="rId15" Type="http://schemas.openxmlformats.org/officeDocument/2006/relationships/image" Target="../media/image24.png"/><Relationship Id="rId23" Type="http://schemas.openxmlformats.org/officeDocument/2006/relationships/customXml" Target="../ink/ink44.xml"/><Relationship Id="rId10" Type="http://schemas.openxmlformats.org/officeDocument/2006/relationships/customXml" Target="../ink/ink36.xml"/><Relationship Id="rId19" Type="http://schemas.openxmlformats.org/officeDocument/2006/relationships/image" Target="../media/image26.png"/><Relationship Id="rId4" Type="http://schemas.openxmlformats.org/officeDocument/2006/relationships/image" Target="../media/image22.png"/><Relationship Id="rId9" Type="http://schemas.openxmlformats.org/officeDocument/2006/relationships/customXml" Target="../ink/ink35.xml"/><Relationship Id="rId14" Type="http://schemas.openxmlformats.org/officeDocument/2006/relationships/customXml" Target="../ink/ink39.xml"/><Relationship Id="rId22" Type="http://schemas.openxmlformats.org/officeDocument/2006/relationships/image" Target="../media/image27.png"/><Relationship Id="rId27" Type="http://schemas.openxmlformats.org/officeDocument/2006/relationships/customXml" Target="../ink/ink4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customXml" Target="../ink/ink48.xml"/><Relationship Id="rId7" Type="http://schemas.openxmlformats.org/officeDocument/2006/relationships/customXml" Target="../ink/ink51.xml"/><Relationship Id="rId12" Type="http://schemas.openxmlformats.org/officeDocument/2006/relationships/image" Target="../media/image32.png"/><Relationship Id="rId2" Type="http://schemas.openxmlformats.org/officeDocument/2006/relationships/image" Target="NULL"/><Relationship Id="rId1" Type="http://schemas.openxmlformats.org/officeDocument/2006/relationships/customXml" Target="../ink/ink47.xml"/><Relationship Id="rId6" Type="http://schemas.openxmlformats.org/officeDocument/2006/relationships/customXml" Target="../ink/ink50.xml"/><Relationship Id="rId11" Type="http://schemas.openxmlformats.org/officeDocument/2006/relationships/customXml" Target="../ink/ink53.xml"/><Relationship Id="rId5" Type="http://schemas.openxmlformats.org/officeDocument/2006/relationships/customXml" Target="../ink/ink49.xml"/><Relationship Id="rId10" Type="http://schemas.openxmlformats.org/officeDocument/2006/relationships/image" Target="../media/image31.png"/><Relationship Id="rId4" Type="http://schemas.openxmlformats.org/officeDocument/2006/relationships/image" Target="../media/image22.png"/><Relationship Id="rId9" Type="http://schemas.openxmlformats.org/officeDocument/2006/relationships/customXml" Target="../ink/ink5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0.png"/><Relationship Id="rId3" Type="http://schemas.openxmlformats.org/officeDocument/2006/relationships/customXml" Target="../ink/ink55.xml"/><Relationship Id="rId7" Type="http://schemas.openxmlformats.org/officeDocument/2006/relationships/customXml" Target="../ink/ink57.xml"/><Relationship Id="rId2" Type="http://schemas.openxmlformats.org/officeDocument/2006/relationships/image" Target="../media/image220.png"/><Relationship Id="rId1" Type="http://schemas.openxmlformats.org/officeDocument/2006/relationships/customXml" Target="../ink/ink54.xml"/><Relationship Id="rId6" Type="http://schemas.openxmlformats.org/officeDocument/2006/relationships/image" Target="../media/image310.png"/><Relationship Id="rId5" Type="http://schemas.openxmlformats.org/officeDocument/2006/relationships/customXml" Target="../ink/ink56.xml"/><Relationship Id="rId10" Type="http://schemas.openxmlformats.org/officeDocument/2006/relationships/image" Target="../media/image33.png"/><Relationship Id="rId4" Type="http://schemas.openxmlformats.org/officeDocument/2006/relationships/image" Target="../media/image300.png"/><Relationship Id="rId9" Type="http://schemas.openxmlformats.org/officeDocument/2006/relationships/customXml" Target="../ink/ink5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customXml" Target="../ink/ink59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6.xml"/><Relationship Id="rId26" Type="http://schemas.openxmlformats.org/officeDocument/2006/relationships/image" Target="../media/image45.png"/><Relationship Id="rId39" Type="http://schemas.openxmlformats.org/officeDocument/2006/relationships/customXml" Target="../ink/ink78.xml"/><Relationship Id="rId21" Type="http://schemas.openxmlformats.org/officeDocument/2006/relationships/customXml" Target="../ink/ink69.xml"/><Relationship Id="rId34" Type="http://schemas.openxmlformats.org/officeDocument/2006/relationships/image" Target="../media/image49.png"/><Relationship Id="rId42" Type="http://schemas.openxmlformats.org/officeDocument/2006/relationships/image" Target="../media/image54.png"/><Relationship Id="rId7" Type="http://schemas.openxmlformats.org/officeDocument/2006/relationships/customXml" Target="../ink/ink63.xml"/><Relationship Id="rId2" Type="http://schemas.openxmlformats.org/officeDocument/2006/relationships/image" Target="../media/image40.png"/><Relationship Id="rId16" Type="http://schemas.openxmlformats.org/officeDocument/2006/relationships/image" Target="../media/image39.png"/><Relationship Id="rId20" Type="http://schemas.openxmlformats.org/officeDocument/2006/relationships/image" Target="../media/image42.png"/><Relationship Id="rId29" Type="http://schemas.openxmlformats.org/officeDocument/2006/relationships/customXml" Target="../ink/ink73.xml"/><Relationship Id="rId41" Type="http://schemas.openxmlformats.org/officeDocument/2006/relationships/customXml" Target="../ink/ink79.xml"/><Relationship Id="rId1" Type="http://schemas.openxmlformats.org/officeDocument/2006/relationships/customXml" Target="../ink/ink60.xml"/><Relationship Id="rId6" Type="http://schemas.openxmlformats.org/officeDocument/2006/relationships/image" Target="../media/image170.png"/><Relationship Id="rId11" Type="http://schemas.openxmlformats.org/officeDocument/2006/relationships/customXml" Target="../ink/ink65.xml"/><Relationship Id="rId24" Type="http://schemas.openxmlformats.org/officeDocument/2006/relationships/image" Target="../media/image44.png"/><Relationship Id="rId32" Type="http://schemas.openxmlformats.org/officeDocument/2006/relationships/image" Target="../media/image48.png"/><Relationship Id="rId37" Type="http://schemas.openxmlformats.org/officeDocument/2006/relationships/customXml" Target="../ink/ink77.xml"/><Relationship Id="rId40" Type="http://schemas.openxmlformats.org/officeDocument/2006/relationships/image" Target="../media/image53.png"/><Relationship Id="rId45" Type="http://schemas.openxmlformats.org/officeDocument/2006/relationships/customXml" Target="../ink/ink81.xml"/><Relationship Id="rId5" Type="http://schemas.openxmlformats.org/officeDocument/2006/relationships/customXml" Target="../ink/ink62.xml"/><Relationship Id="rId15" Type="http://schemas.openxmlformats.org/officeDocument/2006/relationships/customXml" Target="../ink/ink67.xml"/><Relationship Id="rId23" Type="http://schemas.openxmlformats.org/officeDocument/2006/relationships/customXml" Target="../ink/ink70.xml"/><Relationship Id="rId28" Type="http://schemas.openxmlformats.org/officeDocument/2006/relationships/image" Target="../media/image46.png"/><Relationship Id="rId36" Type="http://schemas.openxmlformats.org/officeDocument/2006/relationships/image" Target="../media/image51.png"/><Relationship Id="rId10" Type="http://schemas.openxmlformats.org/officeDocument/2006/relationships/image" Target="../media/image36.png"/><Relationship Id="rId31" Type="http://schemas.openxmlformats.org/officeDocument/2006/relationships/customXml" Target="../ink/ink74.xml"/><Relationship Id="rId44" Type="http://schemas.openxmlformats.org/officeDocument/2006/relationships/image" Target="../media/image55.png"/><Relationship Id="rId4" Type="http://schemas.openxmlformats.org/officeDocument/2006/relationships/image" Target="../media/image50.png"/><Relationship Id="rId9" Type="http://schemas.openxmlformats.org/officeDocument/2006/relationships/customXml" Target="../ink/ink64.xml"/><Relationship Id="rId14" Type="http://schemas.openxmlformats.org/officeDocument/2006/relationships/image" Target="../media/image38.png"/><Relationship Id="rId22" Type="http://schemas.openxmlformats.org/officeDocument/2006/relationships/image" Target="../media/image43.png"/><Relationship Id="rId27" Type="http://schemas.openxmlformats.org/officeDocument/2006/relationships/customXml" Target="../ink/ink72.xml"/><Relationship Id="rId30" Type="http://schemas.openxmlformats.org/officeDocument/2006/relationships/image" Target="../media/image47.png"/><Relationship Id="rId35" Type="http://schemas.openxmlformats.org/officeDocument/2006/relationships/customXml" Target="../ink/ink76.xml"/><Relationship Id="rId43" Type="http://schemas.openxmlformats.org/officeDocument/2006/relationships/customXml" Target="../ink/ink80.xml"/><Relationship Id="rId8" Type="http://schemas.openxmlformats.org/officeDocument/2006/relationships/image" Target="../media/image35.png"/><Relationship Id="rId3" Type="http://schemas.openxmlformats.org/officeDocument/2006/relationships/customXml" Target="../ink/ink61.xml"/><Relationship Id="rId12" Type="http://schemas.openxmlformats.org/officeDocument/2006/relationships/image" Target="../media/image37.png"/><Relationship Id="rId17" Type="http://schemas.openxmlformats.org/officeDocument/2006/relationships/customXml" Target="../ink/ink68.xml"/><Relationship Id="rId25" Type="http://schemas.openxmlformats.org/officeDocument/2006/relationships/customXml" Target="../ink/ink71.xml"/><Relationship Id="rId33" Type="http://schemas.openxmlformats.org/officeDocument/2006/relationships/customXml" Target="../ink/ink75.xml"/><Relationship Id="rId38" Type="http://schemas.openxmlformats.org/officeDocument/2006/relationships/image" Target="../media/image52.png"/><Relationship Id="rId46" Type="http://schemas.openxmlformats.org/officeDocument/2006/relationships/image" Target="../media/image5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ustomXml" Target="../ink/ink83.xml"/><Relationship Id="rId2" Type="http://schemas.openxmlformats.org/officeDocument/2006/relationships/image" Target="NULL"/><Relationship Id="rId1" Type="http://schemas.openxmlformats.org/officeDocument/2006/relationships/customXml" Target="../ink/ink82.xml"/><Relationship Id="rId4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57.png"/><Relationship Id="rId39" Type="http://schemas.openxmlformats.org/officeDocument/2006/relationships/customXml" Target="../ink/ink95.xml"/><Relationship Id="rId3" Type="http://schemas.openxmlformats.org/officeDocument/2006/relationships/customXml" Target="../ink/ink85.xml"/><Relationship Id="rId21" Type="http://schemas.openxmlformats.org/officeDocument/2006/relationships/image" Target="NULL"/><Relationship Id="rId34" Type="http://schemas.openxmlformats.org/officeDocument/2006/relationships/image" Target="../media/image61.png"/><Relationship Id="rId42" Type="http://schemas.openxmlformats.org/officeDocument/2006/relationships/image" Target="../media/image65.png"/><Relationship Id="rId25" Type="http://schemas.openxmlformats.org/officeDocument/2006/relationships/customXml" Target="../ink/ink88.xml"/><Relationship Id="rId33" Type="http://schemas.openxmlformats.org/officeDocument/2006/relationships/customXml" Target="../ink/ink92.xml"/><Relationship Id="rId38" Type="http://schemas.openxmlformats.org/officeDocument/2006/relationships/image" Target="../media/image63.png"/><Relationship Id="rId2" Type="http://schemas.openxmlformats.org/officeDocument/2006/relationships/image" Target="NULL"/><Relationship Id="rId29" Type="http://schemas.openxmlformats.org/officeDocument/2006/relationships/customXml" Target="../ink/ink90.xml"/><Relationship Id="rId41" Type="http://schemas.openxmlformats.org/officeDocument/2006/relationships/customXml" Target="../ink/ink96.xml"/><Relationship Id="rId1" Type="http://schemas.openxmlformats.org/officeDocument/2006/relationships/customXml" Target="../ink/ink84.xml"/><Relationship Id="rId24" Type="http://schemas.openxmlformats.org/officeDocument/2006/relationships/customXml" Target="../ink/ink87.xml"/><Relationship Id="rId32" Type="http://schemas.openxmlformats.org/officeDocument/2006/relationships/image" Target="../media/image60.png"/><Relationship Id="rId37" Type="http://schemas.openxmlformats.org/officeDocument/2006/relationships/customXml" Target="../ink/ink94.xml"/><Relationship Id="rId40" Type="http://schemas.openxmlformats.org/officeDocument/2006/relationships/image" Target="../media/image64.png"/><Relationship Id="rId23" Type="http://schemas.openxmlformats.org/officeDocument/2006/relationships/image" Target="../media/image41.png"/><Relationship Id="rId28" Type="http://schemas.openxmlformats.org/officeDocument/2006/relationships/image" Target="../media/image58.png"/><Relationship Id="rId36" Type="http://schemas.openxmlformats.org/officeDocument/2006/relationships/image" Target="../media/image62.png"/><Relationship Id="rId31" Type="http://schemas.openxmlformats.org/officeDocument/2006/relationships/customXml" Target="../ink/ink91.xml"/><Relationship Id="rId22" Type="http://schemas.openxmlformats.org/officeDocument/2006/relationships/customXml" Target="../ink/ink86.xml"/><Relationship Id="rId27" Type="http://schemas.openxmlformats.org/officeDocument/2006/relationships/customXml" Target="../ink/ink89.xml"/><Relationship Id="rId30" Type="http://schemas.openxmlformats.org/officeDocument/2006/relationships/image" Target="../media/image59.png"/><Relationship Id="rId35" Type="http://schemas.openxmlformats.org/officeDocument/2006/relationships/customXml" Target="../ink/ink9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ustomXml" Target="../ink/ink98.xml"/><Relationship Id="rId2" Type="http://schemas.openxmlformats.org/officeDocument/2006/relationships/image" Target="../media/image66.png"/><Relationship Id="rId1" Type="http://schemas.openxmlformats.org/officeDocument/2006/relationships/customXml" Target="../ink/ink97.xml"/><Relationship Id="rId4" Type="http://schemas.openxmlformats.org/officeDocument/2006/relationships/image" Target="../media/image6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00.xml"/><Relationship Id="rId2" Type="http://schemas.openxmlformats.org/officeDocument/2006/relationships/image" Target="NULL"/><Relationship Id="rId1" Type="http://schemas.openxmlformats.org/officeDocument/2006/relationships/customXml" Target="../ink/ink99.xml"/><Relationship Id="rId4" Type="http://schemas.openxmlformats.org/officeDocument/2006/relationships/image" Target="../media/image41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02.xml"/><Relationship Id="rId2" Type="http://schemas.openxmlformats.org/officeDocument/2006/relationships/image" Target="NULL"/><Relationship Id="rId1" Type="http://schemas.openxmlformats.org/officeDocument/2006/relationships/customXml" Target="../ink/ink101.xml"/><Relationship Id="rId4" Type="http://schemas.openxmlformats.org/officeDocument/2006/relationships/image" Target="../media/image41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ustomXml" Target="../ink/ink104.xml"/><Relationship Id="rId2" Type="http://schemas.openxmlformats.org/officeDocument/2006/relationships/image" Target="NULL"/><Relationship Id="rId1" Type="http://schemas.openxmlformats.org/officeDocument/2006/relationships/customXml" Target="../ink/ink10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customXml" Target="../ink/ink10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customXml" Target="../ink/ink10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251160</xdr:colOff>
      <xdr:row>3</xdr:row>
      <xdr:rowOff>60840</xdr:rowOff>
    </xdr:from>
    <xdr:to>
      <xdr:col>7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30240</xdr:colOff>
      <xdr:row>2</xdr:row>
      <xdr:rowOff>45720</xdr:rowOff>
    </xdr:from>
    <xdr:to>
      <xdr:col>3</xdr:col>
      <xdr:colOff>30600</xdr:colOff>
      <xdr:row>2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14:cNvPr>
            <xdr14:cNvContentPartPr/>
          </xdr14:nvContentPartPr>
          <xdr14:nvPr macro=""/>
          <xdr14:xfrm>
            <a:off x="1859040" y="41148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50040" y="40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514980</xdr:colOff>
      <xdr:row>0</xdr:row>
      <xdr:rowOff>163440</xdr:rowOff>
    </xdr:from>
    <xdr:to>
      <xdr:col>8</xdr:col>
      <xdr:colOff>282300</xdr:colOff>
      <xdr:row>9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14:cNvPr>
            <xdr14:cNvContentPartPr/>
          </xdr14:nvContentPartPr>
          <xdr14:nvPr macro=""/>
          <xdr14:xfrm>
            <a:off x="4881240" y="163440"/>
            <a:ext cx="376920" cy="17150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72600" y="154800"/>
              <a:ext cx="394560" cy="173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60720</xdr:colOff>
      <xdr:row>2</xdr:row>
      <xdr:rowOff>29520</xdr:rowOff>
    </xdr:from>
    <xdr:to>
      <xdr:col>11</xdr:col>
      <xdr:colOff>10200</xdr:colOff>
      <xdr:row>25</xdr:row>
      <xdr:rowOff>130380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14:cNvPr>
            <xdr14:cNvContentPartPr/>
          </xdr14:nvContentPartPr>
          <xdr14:nvPr macro=""/>
          <xdr14:xfrm>
            <a:off x="6255780" y="395280"/>
            <a:ext cx="559080" cy="43909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47140" y="386640"/>
              <a:ext cx="576720" cy="440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135780</xdr:colOff>
      <xdr:row>3</xdr:row>
      <xdr:rowOff>14400</xdr:rowOff>
    </xdr:from>
    <xdr:to>
      <xdr:col>8</xdr:col>
      <xdr:colOff>122820</xdr:colOff>
      <xdr:row>23</xdr:row>
      <xdr:rowOff>99780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14:cNvPr>
            <xdr14:cNvContentPartPr/>
          </xdr14:nvContentPartPr>
          <xdr14:nvPr macro=""/>
          <xdr14:xfrm>
            <a:off x="3282840" y="563040"/>
            <a:ext cx="1815840" cy="38268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73840" y="554400"/>
              <a:ext cx="1833480" cy="38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500820</xdr:colOff>
      <xdr:row>2</xdr:row>
      <xdr:rowOff>22680</xdr:rowOff>
    </xdr:from>
    <xdr:to>
      <xdr:col>12</xdr:col>
      <xdr:colOff>493860</xdr:colOff>
      <xdr:row>24</xdr:row>
      <xdr:rowOff>155940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14:cNvPr>
            <xdr14:cNvContentPartPr/>
          </xdr14:nvContentPartPr>
          <xdr14:nvPr macro=""/>
          <xdr14:xfrm>
            <a:off x="7305480" y="388440"/>
            <a:ext cx="602640" cy="42404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287480" y="370440"/>
              <a:ext cx="638280" cy="427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386340</xdr:colOff>
      <xdr:row>1</xdr:row>
      <xdr:rowOff>136800</xdr:rowOff>
    </xdr:from>
    <xdr:to>
      <xdr:col>12</xdr:col>
      <xdr:colOff>48540</xdr:colOff>
      <xdr:row>3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14:cNvPr>
            <xdr14:cNvContentPartPr/>
          </xdr14:nvContentPartPr>
          <xdr14:nvPr macro=""/>
          <xdr14:xfrm>
            <a:off x="7191000" y="319680"/>
            <a:ext cx="271800" cy="2520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173000" y="302040"/>
              <a:ext cx="30744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466020</xdr:colOff>
      <xdr:row>6</xdr:row>
      <xdr:rowOff>54360</xdr:rowOff>
    </xdr:from>
    <xdr:to>
      <xdr:col>16</xdr:col>
      <xdr:colOff>487980</xdr:colOff>
      <xdr:row>13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14:cNvPr>
            <xdr14:cNvContentPartPr/>
          </xdr14:nvContentPartPr>
          <xdr14:nvPr macro=""/>
          <xdr14:xfrm>
            <a:off x="8489880" y="1151640"/>
            <a:ext cx="1850760" cy="13579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471880" y="1134000"/>
              <a:ext cx="1886400" cy="139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206820</xdr:colOff>
      <xdr:row>1</xdr:row>
      <xdr:rowOff>122040</xdr:rowOff>
    </xdr:from>
    <xdr:to>
      <xdr:col>17</xdr:col>
      <xdr:colOff>58380</xdr:colOff>
      <xdr:row>5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14:cNvPr>
            <xdr14:cNvContentPartPr/>
          </xdr14:nvContentPartPr>
          <xdr14:nvPr macro=""/>
          <xdr14:xfrm>
            <a:off x="8230680" y="304920"/>
            <a:ext cx="2289960" cy="6364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212680" y="287280"/>
              <a:ext cx="2325600" cy="67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82500</xdr:colOff>
      <xdr:row>10</xdr:row>
      <xdr:rowOff>152280</xdr:rowOff>
    </xdr:from>
    <xdr:to>
      <xdr:col>8</xdr:col>
      <xdr:colOff>541860</xdr:colOff>
      <xdr:row>26</xdr:row>
      <xdr:rowOff>109800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14:cNvPr>
            <xdr14:cNvContentPartPr/>
          </xdr14:nvContentPartPr>
          <xdr14:nvPr macro=""/>
          <xdr14:xfrm>
            <a:off x="5058360" y="1981080"/>
            <a:ext cx="459360" cy="28836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049360" y="1972080"/>
              <a:ext cx="477000" cy="29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60720</xdr:colOff>
      <xdr:row>11</xdr:row>
      <xdr:rowOff>68400</xdr:rowOff>
    </xdr:from>
    <xdr:to>
      <xdr:col>1</xdr:col>
      <xdr:colOff>61080</xdr:colOff>
      <xdr:row>11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60720</xdr:colOff>
      <xdr:row>15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19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23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356640</xdr:colOff>
      <xdr:row>37</xdr:row>
      <xdr:rowOff>134040</xdr:rowOff>
    </xdr:from>
    <xdr:to>
      <xdr:col>9</xdr:col>
      <xdr:colOff>99240</xdr:colOff>
      <xdr:row>40</xdr:row>
      <xdr:rowOff>146640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14:cNvPr>
            <xdr14:cNvContentPartPr/>
          </xdr14:nvContentPartPr>
          <xdr14:nvPr macro=""/>
          <xdr14:xfrm>
            <a:off x="4113300" y="6900600"/>
            <a:ext cx="1571400" cy="5612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95300" y="6882600"/>
              <a:ext cx="1607040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352680</xdr:colOff>
      <xdr:row>35</xdr:row>
      <xdr:rowOff>125760</xdr:rowOff>
    </xdr:from>
    <xdr:to>
      <xdr:col>13</xdr:col>
      <xdr:colOff>37560</xdr:colOff>
      <xdr:row>38</xdr:row>
      <xdr:rowOff>148800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14:cNvPr>
            <xdr14:cNvContentPartPr/>
          </xdr14:nvContentPartPr>
          <xdr14:nvPr macro=""/>
          <xdr14:xfrm>
            <a:off x="5938140" y="6526560"/>
            <a:ext cx="2123280" cy="57168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920143" y="6508920"/>
              <a:ext cx="2158914" cy="60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457080</xdr:colOff>
      <xdr:row>41</xdr:row>
      <xdr:rowOff>13440</xdr:rowOff>
    </xdr:from>
    <xdr:to>
      <xdr:col>9</xdr:col>
      <xdr:colOff>276720</xdr:colOff>
      <xdr:row>43</xdr:row>
      <xdr:rowOff>159240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14:cNvPr>
            <xdr14:cNvContentPartPr/>
          </xdr14:nvContentPartPr>
          <xdr14:nvPr macro=""/>
          <xdr14:xfrm>
            <a:off x="4213740" y="7511520"/>
            <a:ext cx="1648440" cy="5115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95740" y="7493880"/>
              <a:ext cx="1684080" cy="54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562560</xdr:colOff>
      <xdr:row>38</xdr:row>
      <xdr:rowOff>89040</xdr:rowOff>
    </xdr:from>
    <xdr:to>
      <xdr:col>12</xdr:col>
      <xdr:colOff>306600</xdr:colOff>
      <xdr:row>42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14:cNvPr>
            <xdr14:cNvContentPartPr/>
          </xdr14:nvContentPartPr>
          <xdr14:nvPr macro=""/>
          <xdr14:xfrm>
            <a:off x="6148020" y="7038480"/>
            <a:ext cx="1572840" cy="6649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30020" y="7020490"/>
              <a:ext cx="1608480" cy="700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356220</xdr:colOff>
      <xdr:row>30</xdr:row>
      <xdr:rowOff>124860</xdr:rowOff>
    </xdr:from>
    <xdr:to>
      <xdr:col>14</xdr:col>
      <xdr:colOff>382380</xdr:colOff>
      <xdr:row>33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14:cNvPr>
            <xdr14:cNvContentPartPr/>
          </xdr14:nvContentPartPr>
          <xdr14:nvPr macro=""/>
          <xdr14:xfrm>
            <a:off x="8380080" y="5611260"/>
            <a:ext cx="635760" cy="4406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362080" y="5593620"/>
              <a:ext cx="671400" cy="47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447660</xdr:colOff>
      <xdr:row>28</xdr:row>
      <xdr:rowOff>28740</xdr:rowOff>
    </xdr:from>
    <xdr:to>
      <xdr:col>19</xdr:col>
      <xdr:colOff>138780</xdr:colOff>
      <xdr:row>41</xdr:row>
      <xdr:rowOff>156900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14:cNvPr>
            <xdr14:cNvContentPartPr/>
          </xdr14:nvContentPartPr>
          <xdr14:nvPr macro=""/>
          <xdr14:xfrm>
            <a:off x="8471520" y="5149380"/>
            <a:ext cx="3348720" cy="25056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453522" y="5131380"/>
              <a:ext cx="3384356" cy="254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106020</xdr:colOff>
      <xdr:row>25</xdr:row>
      <xdr:rowOff>67980</xdr:rowOff>
    </xdr:from>
    <xdr:to>
      <xdr:col>20</xdr:col>
      <xdr:colOff>90420</xdr:colOff>
      <xdr:row>43</xdr:row>
      <xdr:rowOff>92820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14:cNvPr>
            <xdr14:cNvContentPartPr/>
          </xdr14:nvContentPartPr>
          <xdr14:nvPr macro=""/>
          <xdr14:xfrm>
            <a:off x="8129880" y="4639980"/>
            <a:ext cx="4251600" cy="331668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112239" y="4622340"/>
              <a:ext cx="4287243" cy="335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7560</xdr:colOff>
      <xdr:row>31</xdr:row>
      <xdr:rowOff>172080</xdr:rowOff>
    </xdr:from>
    <xdr:to>
      <xdr:col>13</xdr:col>
      <xdr:colOff>146040</xdr:colOff>
      <xdr:row>46</xdr:row>
      <xdr:rowOff>47880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14:cNvPr>
            <xdr14:cNvContentPartPr/>
          </xdr14:nvContentPartPr>
          <xdr14:nvPr macro=""/>
          <xdr14:xfrm>
            <a:off x="3764220" y="5841360"/>
            <a:ext cx="4405680" cy="26190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46220" y="5823720"/>
              <a:ext cx="4441320" cy="265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358260</xdr:colOff>
      <xdr:row>10</xdr:row>
      <xdr:rowOff>150120</xdr:rowOff>
    </xdr:from>
    <xdr:to>
      <xdr:col>21</xdr:col>
      <xdr:colOff>579900</xdr:colOff>
      <xdr:row>21</xdr:row>
      <xdr:rowOff>22320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14:cNvPr>
            <xdr14:cNvContentPartPr/>
          </xdr14:nvContentPartPr>
          <xdr14:nvPr macro=""/>
          <xdr14:xfrm>
            <a:off x="10820520" y="1978920"/>
            <a:ext cx="2660040" cy="1883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814399" y="1972800"/>
              <a:ext cx="2672282" cy="1896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295260</xdr:colOff>
      <xdr:row>10</xdr:row>
      <xdr:rowOff>146520</xdr:rowOff>
    </xdr:from>
    <xdr:to>
      <xdr:col>22</xdr:col>
      <xdr:colOff>127260</xdr:colOff>
      <xdr:row>19</xdr:row>
      <xdr:rowOff>120600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F1695827-D869-5A03-A3E2-D5E55177BD41}"/>
            </a:ext>
          </a:extLst>
        </xdr:cNvPr>
        <xdr:cNvSpPr/>
      </xdr:nvSpPr>
      <xdr:spPr>
        <a:xfrm>
          <a:off x="10757520" y="1975320"/>
          <a:ext cx="2880000" cy="1620000"/>
        </a:xfrm>
        <a:prstGeom prst="rect">
          <a:avLst/>
        </a:prstGeom>
        <a:solidFill>
          <a:srgbClr val="F6630D">
            <a:alpha val="5000"/>
          </a:srgbClr>
        </a:solidFill>
        <a:ln w="12600">
          <a:solidFill>
            <a:srgbClr val="F6630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6630D"/>
            </a:solidFill>
          </a:endParaRPr>
        </a:p>
      </xdr:txBody>
    </xdr:sp>
    <xdr:clientData/>
  </xdr:twoCellAnchor>
  <xdr:twoCellAnchor editAs="oneCell">
    <xdr:from>
      <xdr:col>15</xdr:col>
      <xdr:colOff>182820</xdr:colOff>
      <xdr:row>16</xdr:row>
      <xdr:rowOff>152280</xdr:rowOff>
    </xdr:from>
    <xdr:to>
      <xdr:col>15</xdr:col>
      <xdr:colOff>183180</xdr:colOff>
      <xdr:row>16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14:cNvPr>
            <xdr14:cNvContentPartPr/>
          </xdr14:nvContentPartPr>
          <xdr14:nvPr macro=""/>
          <xdr14:xfrm>
            <a:off x="9425880" y="3078360"/>
            <a:ext cx="360" cy="36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419760" y="3072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358020</xdr:colOff>
      <xdr:row>26</xdr:row>
      <xdr:rowOff>53280</xdr:rowOff>
    </xdr:from>
    <xdr:to>
      <xdr:col>22</xdr:col>
      <xdr:colOff>358380</xdr:colOff>
      <xdr:row>26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14:cNvPr>
            <xdr14:cNvContentPartPr/>
          </xdr14:nvContentPartPr>
          <xdr14:nvPr macro=""/>
          <xdr14:xfrm>
            <a:off x="13868280" y="4808160"/>
            <a:ext cx="360" cy="3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862160" y="4802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251160</xdr:colOff>
      <xdr:row>3</xdr:row>
      <xdr:rowOff>60840</xdr:rowOff>
    </xdr:from>
    <xdr:to>
      <xdr:col>1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406760</xdr:colOff>
      <xdr:row>7</xdr:row>
      <xdr:rowOff>129362</xdr:rowOff>
    </xdr:from>
    <xdr:to>
      <xdr:col>3</xdr:col>
      <xdr:colOff>931333</xdr:colOff>
      <xdr:row>17</xdr:row>
      <xdr:rowOff>137861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14:cNvPr>
            <xdr14:cNvContentPartPr/>
          </xdr14:nvContentPartPr>
          <xdr14:nvPr macro=""/>
          <xdr14:xfrm>
            <a:off x="406760" y="3008029"/>
            <a:ext cx="3293173" cy="2286032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0960" y="1805760"/>
              <a:ext cx="4855680" cy="342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15240</xdr:colOff>
      <xdr:row>9</xdr:row>
      <xdr:rowOff>121680</xdr:rowOff>
    </xdr:from>
    <xdr:to>
      <xdr:col>5</xdr:col>
      <xdr:colOff>15600</xdr:colOff>
      <xdr:row>9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14:cNvPr>
            <xdr14:cNvContentPartPr/>
          </xdr14:nvContentPartPr>
          <xdr14:nvPr macro=""/>
          <xdr14:xfrm>
            <a:off x="3063240" y="2041920"/>
            <a:ext cx="36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45240" y="20239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0ECBC97-0709-4D01-8941-093B7D8D1B6C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1211400</xdr:colOff>
      <xdr:row>28</xdr:row>
      <xdr:rowOff>160020</xdr:rowOff>
    </xdr:from>
    <xdr:to>
      <xdr:col>2</xdr:col>
      <xdr:colOff>1211760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14:cNvPr>
            <xdr14:cNvContentPartPr/>
          </xdr14:nvContentPartPr>
          <xdr14:nvPr macro=""/>
          <xdr14:xfrm>
            <a:off x="3451680" y="73152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4268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1097280</xdr:colOff>
      <xdr:row>28</xdr:row>
      <xdr:rowOff>167580</xdr:rowOff>
    </xdr:from>
    <xdr:to>
      <xdr:col>2</xdr:col>
      <xdr:colOff>1097640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14:cNvPr>
            <xdr14:cNvContentPartPr/>
          </xdr14:nvContentPartPr>
          <xdr14:nvPr macro=""/>
          <xdr14:xfrm>
            <a:off x="3337560" y="732276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2856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952200</xdr:colOff>
      <xdr:row>28</xdr:row>
      <xdr:rowOff>167580</xdr:rowOff>
    </xdr:from>
    <xdr:to>
      <xdr:col>2</xdr:col>
      <xdr:colOff>952560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14:cNvPr>
            <xdr14:cNvContentPartPr/>
          </xdr14:nvContentPartPr>
          <xdr14:nvPr macro=""/>
          <xdr14:xfrm>
            <a:off x="3192480" y="732276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8384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815040</xdr:colOff>
      <xdr:row>28</xdr:row>
      <xdr:rowOff>152100</xdr:rowOff>
    </xdr:from>
    <xdr:to>
      <xdr:col>2</xdr:col>
      <xdr:colOff>815400</xdr:colOff>
      <xdr:row>28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14:cNvPr>
            <xdr14:cNvContentPartPr/>
          </xdr14:nvContentPartPr>
          <xdr14:nvPr macro=""/>
          <xdr14:xfrm>
            <a:off x="3055320" y="73072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46680" y="7298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693360</xdr:colOff>
      <xdr:row>28</xdr:row>
      <xdr:rowOff>144540</xdr:rowOff>
    </xdr:from>
    <xdr:to>
      <xdr:col>2</xdr:col>
      <xdr:colOff>693720</xdr:colOff>
      <xdr:row>28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14:cNvPr>
            <xdr14:cNvContentPartPr/>
          </xdr14:nvContentPartPr>
          <xdr14:nvPr macro=""/>
          <xdr14:xfrm>
            <a:off x="2933640" y="729972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24640" y="729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495000</xdr:colOff>
      <xdr:row>28</xdr:row>
      <xdr:rowOff>160020</xdr:rowOff>
    </xdr:from>
    <xdr:to>
      <xdr:col>2</xdr:col>
      <xdr:colOff>495360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14:cNvPr>
            <xdr14:cNvContentPartPr/>
          </xdr14:nvContentPartPr>
          <xdr14:nvPr macro=""/>
          <xdr14:xfrm>
            <a:off x="2735280" y="731520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2664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373320</xdr:colOff>
      <xdr:row>28</xdr:row>
      <xdr:rowOff>167580</xdr:rowOff>
    </xdr:from>
    <xdr:to>
      <xdr:col>2</xdr:col>
      <xdr:colOff>373680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14:cNvPr>
            <xdr14:cNvContentPartPr/>
          </xdr14:nvContentPartPr>
          <xdr14:nvPr macro=""/>
          <xdr14:xfrm>
            <a:off x="2613600" y="732276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0460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2619360</xdr:colOff>
      <xdr:row>29</xdr:row>
      <xdr:rowOff>191940</xdr:rowOff>
    </xdr:from>
    <xdr:to>
      <xdr:col>3</xdr:col>
      <xdr:colOff>7800</xdr:colOff>
      <xdr:row>30</xdr:row>
      <xdr:rowOff>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14:cNvPr>
            <xdr14:cNvContentPartPr/>
          </xdr14:nvContentPartPr>
          <xdr14:nvPr macro=""/>
          <xdr14:xfrm>
            <a:off x="4859640" y="7636680"/>
            <a:ext cx="9720" cy="64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851000" y="7627680"/>
              <a:ext cx="2736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1325880</xdr:colOff>
      <xdr:row>29</xdr:row>
      <xdr:rowOff>152340</xdr:rowOff>
    </xdr:from>
    <xdr:to>
      <xdr:col>3</xdr:col>
      <xdr:colOff>1630</xdr:colOff>
      <xdr:row>29</xdr:row>
      <xdr:rowOff>152700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14:cNvPr>
            <xdr14:cNvContentPartPr/>
          </xdr14:nvContentPartPr>
          <xdr14:nvPr macro=""/>
          <xdr14:xfrm>
            <a:off x="3566160" y="759708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57160" y="7588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1173240</xdr:colOff>
      <xdr:row>29</xdr:row>
      <xdr:rowOff>167460</xdr:rowOff>
    </xdr:from>
    <xdr:to>
      <xdr:col>2</xdr:col>
      <xdr:colOff>1173600</xdr:colOff>
      <xdr:row>29</xdr:row>
      <xdr:rowOff>169260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14:cNvPr>
            <xdr14:cNvContentPartPr/>
          </xdr14:nvContentPartPr>
          <xdr14:nvPr macro=""/>
          <xdr14:xfrm>
            <a:off x="3413520" y="7612200"/>
            <a:ext cx="360" cy="18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04880" y="7603200"/>
              <a:ext cx="180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967680</xdr:colOff>
      <xdr:row>29</xdr:row>
      <xdr:rowOff>175020</xdr:rowOff>
    </xdr:from>
    <xdr:to>
      <xdr:col>2</xdr:col>
      <xdr:colOff>974160</xdr:colOff>
      <xdr:row>30</xdr:row>
      <xdr:rowOff>2198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14:cNvPr>
            <xdr14:cNvContentPartPr/>
          </xdr14:nvContentPartPr>
          <xdr14:nvPr macro=""/>
          <xdr14:xfrm>
            <a:off x="3207960" y="7619760"/>
            <a:ext cx="648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98960" y="761112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769320</xdr:colOff>
      <xdr:row>29</xdr:row>
      <xdr:rowOff>167460</xdr:rowOff>
    </xdr:from>
    <xdr:to>
      <xdr:col>2</xdr:col>
      <xdr:colOff>775800</xdr:colOff>
      <xdr:row>29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14:cNvPr>
            <xdr14:cNvContentPartPr/>
          </xdr14:nvContentPartPr>
          <xdr14:nvPr macro=""/>
          <xdr14:xfrm>
            <a:off x="3009600" y="7612200"/>
            <a:ext cx="648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00960" y="760320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655200</xdr:colOff>
      <xdr:row>29</xdr:row>
      <xdr:rowOff>182580</xdr:rowOff>
    </xdr:from>
    <xdr:to>
      <xdr:col>2</xdr:col>
      <xdr:colOff>655560</xdr:colOff>
      <xdr:row>30</xdr:row>
      <xdr:rowOff>2138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14:cNvPr>
            <xdr14:cNvContentPartPr/>
          </xdr14:nvContentPartPr>
          <xdr14:nvPr macro=""/>
          <xdr14:xfrm>
            <a:off x="2895480" y="76273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86480" y="7618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1455360</xdr:colOff>
      <xdr:row>26</xdr:row>
      <xdr:rowOff>68460</xdr:rowOff>
    </xdr:from>
    <xdr:to>
      <xdr:col>1</xdr:col>
      <xdr:colOff>1485960</xdr:colOff>
      <xdr:row>26</xdr:row>
      <xdr:rowOff>113100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14:cNvPr>
            <xdr14:cNvContentPartPr/>
          </xdr14:nvContentPartPr>
          <xdr14:nvPr macro=""/>
          <xdr14:xfrm>
            <a:off x="2064960" y="6690240"/>
            <a:ext cx="30600" cy="446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56320" y="6681240"/>
              <a:ext cx="482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1909080</xdr:colOff>
      <xdr:row>30</xdr:row>
      <xdr:rowOff>129540</xdr:rowOff>
    </xdr:from>
    <xdr:to>
      <xdr:col>3</xdr:col>
      <xdr:colOff>420</xdr:colOff>
      <xdr:row>30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14:cNvPr>
            <xdr14:cNvContentPartPr/>
          </xdr14:nvContentPartPr>
          <xdr14:nvPr macro=""/>
          <xdr14:xfrm>
            <a:off x="4149360" y="7863840"/>
            <a:ext cx="39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140360" y="7854840"/>
              <a:ext cx="21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408480</xdr:colOff>
      <xdr:row>11</xdr:row>
      <xdr:rowOff>12207</xdr:rowOff>
    </xdr:from>
    <xdr:to>
      <xdr:col>6</xdr:col>
      <xdr:colOff>1421880</xdr:colOff>
      <xdr:row>14</xdr:row>
      <xdr:rowOff>34822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14:cNvPr>
            <xdr14:cNvContentPartPr/>
          </xdr14:nvContentPartPr>
          <xdr14:nvPr macro=""/>
          <xdr14:xfrm>
            <a:off x="7134862" y="1986480"/>
            <a:ext cx="1013400" cy="5421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126222" y="1977840"/>
              <a:ext cx="1031040" cy="55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118058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2BFE423-7594-4B7B-87A8-8670B67BCA47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EE571C3-51FF-45A3-9E74-24839711ACC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5800</xdr:colOff>
      <xdr:row>1</xdr:row>
      <xdr:rowOff>96190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007F918-89E6-447A-9246-41D945341A20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214407</xdr:colOff>
      <xdr:row>19</xdr:row>
      <xdr:rowOff>117698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50CE152-6669-47E5-835A-3FBEBF840C8D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665880</xdr:colOff>
      <xdr:row>25</xdr:row>
      <xdr:rowOff>7620</xdr:rowOff>
    </xdr:from>
    <xdr:to>
      <xdr:col>7</xdr:col>
      <xdr:colOff>301930</xdr:colOff>
      <xdr:row>29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14:cNvPr>
            <xdr14:cNvContentPartPr/>
          </xdr14:nvContentPartPr>
          <xdr14:nvPr macro=""/>
          <xdr14:xfrm>
            <a:off x="4384440" y="2811780"/>
            <a:ext cx="4550950" cy="833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375440" y="2802783"/>
              <a:ext cx="4568591" cy="850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343320</xdr:colOff>
      <xdr:row>22</xdr:row>
      <xdr:rowOff>53340</xdr:rowOff>
    </xdr:from>
    <xdr:to>
      <xdr:col>3</xdr:col>
      <xdr:colOff>266700</xdr:colOff>
      <xdr:row>34</xdr:row>
      <xdr:rowOff>78114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14:cNvPr>
            <xdr14:cNvContentPartPr/>
          </xdr14:nvContentPartPr>
          <xdr14:nvPr macro=""/>
          <xdr14:xfrm>
            <a:off x="343320" y="2263140"/>
            <a:ext cx="3641940" cy="2402214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34320" y="2254140"/>
              <a:ext cx="3659581" cy="2419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50640</xdr:colOff>
      <xdr:row>1</xdr:row>
      <xdr:rowOff>15000</xdr:rowOff>
    </xdr:from>
    <xdr:to>
      <xdr:col>10</xdr:col>
      <xdr:colOff>1425840</xdr:colOff>
      <xdr:row>24</xdr:row>
      <xdr:rowOff>153240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14:cNvPr>
            <xdr14:cNvContentPartPr/>
          </xdr14:nvContentPartPr>
          <xdr14:nvPr macro=""/>
          <xdr14:xfrm>
            <a:off x="12776040" y="213120"/>
            <a:ext cx="1375200" cy="47559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767400" y="204480"/>
              <a:ext cx="1392840" cy="477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502680</xdr:colOff>
      <xdr:row>3</xdr:row>
      <xdr:rowOff>60900</xdr:rowOff>
    </xdr:from>
    <xdr:to>
      <xdr:col>4</xdr:col>
      <xdr:colOff>503040</xdr:colOff>
      <xdr:row>3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2DE523-A4BF-4B2E-B3BC-B5AFF50C1CC1}"/>
                </a:ext>
              </a:extLst>
            </xdr14:cNvPr>
            <xdr14:cNvContentPartPr/>
          </xdr14:nvContentPartPr>
          <xdr14:nvPr macro=""/>
          <xdr14:xfrm>
            <a:off x="4647960" y="739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0DB6F0D-492A-42E4-A7CB-228CB901F7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38960" y="730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363900</xdr:colOff>
      <xdr:row>16</xdr:row>
      <xdr:rowOff>143417</xdr:rowOff>
    </xdr:from>
    <xdr:to>
      <xdr:col>8</xdr:col>
      <xdr:colOff>673140</xdr:colOff>
      <xdr:row>17</xdr:row>
      <xdr:rowOff>244500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14:cNvPr>
            <xdr14:cNvContentPartPr/>
          </xdr14:nvContentPartPr>
          <xdr14:nvPr macro=""/>
          <xdr14:xfrm>
            <a:off x="7496220" y="3496217"/>
            <a:ext cx="1223640" cy="291583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55317" y="-17633"/>
              <a:ext cx="1241285" cy="3092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90360</xdr:colOff>
      <xdr:row>1</xdr:row>
      <xdr:rowOff>60840</xdr:rowOff>
    </xdr:from>
    <xdr:to>
      <xdr:col>9</xdr:col>
      <xdr:colOff>554760</xdr:colOff>
      <xdr:row>18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14:cNvPr>
            <xdr14:cNvContentPartPr/>
          </xdr14:nvContentPartPr>
          <xdr14:nvPr macro=""/>
          <xdr14:xfrm>
            <a:off x="9783000" y="243720"/>
            <a:ext cx="464400" cy="3627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74000" y="234720"/>
              <a:ext cx="482040" cy="36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61200</xdr:colOff>
      <xdr:row>1</xdr:row>
      <xdr:rowOff>55800</xdr:rowOff>
    </xdr:from>
    <xdr:to>
      <xdr:col>11</xdr:col>
      <xdr:colOff>856020</xdr:colOff>
      <xdr:row>22</xdr:row>
      <xdr:rowOff>79380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14:cNvPr>
            <xdr14:cNvContentPartPr/>
          </xdr14:nvContentPartPr>
          <xdr14:nvPr macro=""/>
          <xdr14:xfrm>
            <a:off x="9753840" y="238680"/>
            <a:ext cx="2585520" cy="44355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745200" y="229681"/>
              <a:ext cx="2603160" cy="44531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967680</xdr:colOff>
      <xdr:row>1</xdr:row>
      <xdr:rowOff>75960</xdr:rowOff>
    </xdr:from>
    <xdr:to>
      <xdr:col>13</xdr:col>
      <xdr:colOff>1031940</xdr:colOff>
      <xdr:row>21</xdr:row>
      <xdr:rowOff>108180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14:cNvPr>
            <xdr14:cNvContentPartPr/>
          </xdr14:nvContentPartPr>
          <xdr14:nvPr macro=""/>
          <xdr14:xfrm>
            <a:off x="12793920" y="258840"/>
            <a:ext cx="2098800" cy="42156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75923" y="241200"/>
              <a:ext cx="2134434" cy="425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721209</xdr:colOff>
      <xdr:row>24</xdr:row>
      <xdr:rowOff>224894</xdr:rowOff>
    </xdr:from>
    <xdr:to>
      <xdr:col>10</xdr:col>
      <xdr:colOff>150133</xdr:colOff>
      <xdr:row>31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14:cNvPr>
            <xdr14:cNvContentPartPr/>
          </xdr14:nvContentPartPr>
          <xdr14:nvPr macro=""/>
          <xdr14:xfrm>
            <a:off x="10153076" y="6371694"/>
            <a:ext cx="4407324" cy="1739373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06400" y="4917773"/>
              <a:ext cx="3795120" cy="171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292976</xdr:colOff>
      <xdr:row>8</xdr:row>
      <xdr:rowOff>270280</xdr:rowOff>
    </xdr:from>
    <xdr:to>
      <xdr:col>2</xdr:col>
      <xdr:colOff>1490710</xdr:colOff>
      <xdr:row>11</xdr:row>
      <xdr:rowOff>69072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36556A8-EE25-46D8-A67F-E5149CCE85FC}"/>
                </a:ext>
              </a:extLst>
            </xdr14:cNvPr>
            <xdr14:cNvContentPartPr/>
          </xdr14:nvContentPartPr>
          <xdr14:nvPr macro=""/>
          <xdr14:xfrm>
            <a:off x="2624696" y="1969540"/>
            <a:ext cx="1197734" cy="804632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08AF2BA-9210-61DE-F343-522B9BBF56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92600" y="1994324"/>
              <a:ext cx="1523520" cy="59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1560656</xdr:colOff>
      <xdr:row>7</xdr:row>
      <xdr:rowOff>66271</xdr:rowOff>
    </xdr:from>
    <xdr:to>
      <xdr:col>3</xdr:col>
      <xdr:colOff>315905</xdr:colOff>
      <xdr:row>9</xdr:row>
      <xdr:rowOff>106577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1E85FBF-501A-4509-9738-DA9B0E0730CA}"/>
                </a:ext>
              </a:extLst>
            </xdr14:cNvPr>
            <xdr14:cNvContentPartPr/>
          </xdr14:nvContentPartPr>
          <xdr14:nvPr macro=""/>
          <xdr14:xfrm>
            <a:off x="3892376" y="1559791"/>
            <a:ext cx="835509" cy="642286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B9FAE25-314A-9484-0E2A-D71C8403D9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677040" y="1653044"/>
              <a:ext cx="1065240" cy="53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601000</xdr:colOff>
      <xdr:row>9</xdr:row>
      <xdr:rowOff>68391</xdr:rowOff>
    </xdr:from>
    <xdr:to>
      <xdr:col>3</xdr:col>
      <xdr:colOff>419100</xdr:colOff>
      <xdr:row>17</xdr:row>
      <xdr:rowOff>66321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C47024D-BABA-4141-8B16-24A4295BE51A}"/>
                </a:ext>
              </a:extLst>
            </xdr14:cNvPr>
            <xdr14:cNvContentPartPr/>
          </xdr14:nvContentPartPr>
          <xdr14:nvPr macro=""/>
          <xdr14:xfrm>
            <a:off x="2932720" y="2163891"/>
            <a:ext cx="1898360" cy="181911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A411AE7-A265-C0E3-C3FE-2C48BF701C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07078" y="2309322"/>
              <a:ext cx="2081883" cy="1436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124832</xdr:colOff>
      <xdr:row>0</xdr:row>
      <xdr:rowOff>183420</xdr:rowOff>
    </xdr:from>
    <xdr:to>
      <xdr:col>1</xdr:col>
      <xdr:colOff>1120140</xdr:colOff>
      <xdr:row>5</xdr:row>
      <xdr:rowOff>66214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14:cNvPr>
            <xdr14:cNvContentPartPr/>
          </xdr14:nvContentPartPr>
          <xdr14:nvPr macro=""/>
          <xdr14:xfrm>
            <a:off x="124832" y="183420"/>
            <a:ext cx="1940188" cy="972454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7800" y="60120"/>
              <a:ext cx="2089800" cy="10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152280</xdr:colOff>
      <xdr:row>8</xdr:row>
      <xdr:rowOff>360000</xdr:rowOff>
    </xdr:from>
    <xdr:to>
      <xdr:col>1</xdr:col>
      <xdr:colOff>289560</xdr:colOff>
      <xdr:row>10</xdr:row>
      <xdr:rowOff>129878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14:cNvPr>
            <xdr14:cNvContentPartPr/>
          </xdr14:nvContentPartPr>
          <xdr14:nvPr macro=""/>
          <xdr14:xfrm>
            <a:off x="152280" y="2059260"/>
            <a:ext cx="1082160" cy="364238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563" y="2225880"/>
              <a:ext cx="980273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132480</xdr:colOff>
      <xdr:row>6</xdr:row>
      <xdr:rowOff>95040</xdr:rowOff>
    </xdr:from>
    <xdr:to>
      <xdr:col>1</xdr:col>
      <xdr:colOff>612538</xdr:colOff>
      <xdr:row>8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14:cNvPr>
            <xdr14:cNvContentPartPr/>
          </xdr14:nvContentPartPr>
          <xdr14:nvPr macro=""/>
          <xdr14:xfrm>
            <a:off x="132480" y="1382820"/>
            <a:ext cx="1424938" cy="463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7760" y="1549080"/>
              <a:ext cx="1285200" cy="48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119519</xdr:colOff>
      <xdr:row>12</xdr:row>
      <xdr:rowOff>29940</xdr:rowOff>
    </xdr:from>
    <xdr:to>
      <xdr:col>1</xdr:col>
      <xdr:colOff>61330</xdr:colOff>
      <xdr:row>13</xdr:row>
      <xdr:rowOff>99600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14:cNvPr>
            <xdr14:cNvContentPartPr/>
          </xdr14:nvContentPartPr>
          <xdr14:nvPr macro=""/>
          <xdr14:xfrm>
            <a:off x="119519" y="2933160"/>
            <a:ext cx="886691" cy="275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5156" y="2894051"/>
              <a:ext cx="806408" cy="29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418189</xdr:colOff>
      <xdr:row>18</xdr:row>
      <xdr:rowOff>113089</xdr:rowOff>
    </xdr:from>
    <xdr:to>
      <xdr:col>0</xdr:col>
      <xdr:colOff>465611</xdr:colOff>
      <xdr:row>18</xdr:row>
      <xdr:rowOff>160511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14:cNvPr>
            <xdr14:cNvContentPartPr/>
          </xdr14:nvContentPartPr>
          <xdr14:nvPr macro=""/>
          <xdr14:xfrm rot="5400000">
            <a:off x="418189" y="4022149"/>
            <a:ext cx="47422" cy="47422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 rot="5400000">
              <a:off x="409139" y="4013461"/>
              <a:ext cx="6516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111239</xdr:colOff>
      <xdr:row>14</xdr:row>
      <xdr:rowOff>99060</xdr:rowOff>
    </xdr:from>
    <xdr:to>
      <xdr:col>1</xdr:col>
      <xdr:colOff>489718</xdr:colOff>
      <xdr:row>17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14:cNvPr>
            <xdr14:cNvContentPartPr/>
          </xdr14:nvContentPartPr>
          <xdr14:nvPr macro=""/>
          <xdr14:xfrm>
            <a:off x="111239" y="3413760"/>
            <a:ext cx="1323359" cy="691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6880" y="3374280"/>
              <a:ext cx="1194840" cy="70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274320</xdr:colOff>
      <xdr:row>16</xdr:row>
      <xdr:rowOff>76080</xdr:rowOff>
    </xdr:from>
    <xdr:to>
      <xdr:col>0</xdr:col>
      <xdr:colOff>666876</xdr:colOff>
      <xdr:row>18</xdr:row>
      <xdr:rowOff>204720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14:cNvPr>
            <xdr14:cNvContentPartPr/>
          </xdr14:nvContentPartPr>
          <xdr14:nvPr macro=""/>
          <xdr14:xfrm>
            <a:off x="274320" y="3794640"/>
            <a:ext cx="392556" cy="524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19600" y="3755160"/>
              <a:ext cx="366840" cy="54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373844</xdr:colOff>
      <xdr:row>6</xdr:row>
      <xdr:rowOff>27273</xdr:rowOff>
    </xdr:from>
    <xdr:to>
      <xdr:col>5</xdr:col>
      <xdr:colOff>549524</xdr:colOff>
      <xdr:row>6</xdr:row>
      <xdr:rowOff>55713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14:cNvPr>
            <xdr14:cNvContentPartPr/>
          </xdr14:nvContentPartPr>
          <xdr14:nvPr macro=""/>
          <xdr14:xfrm>
            <a:off x="7411953" y="1322673"/>
            <a:ext cx="175680" cy="284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394313" y="1304673"/>
              <a:ext cx="21132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1178335</xdr:colOff>
      <xdr:row>6</xdr:row>
      <xdr:rowOff>3873</xdr:rowOff>
    </xdr:from>
    <xdr:to>
      <xdr:col>5</xdr:col>
      <xdr:colOff>181964</xdr:colOff>
      <xdr:row>6</xdr:row>
      <xdr:rowOff>180993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14:cNvPr>
            <xdr14:cNvContentPartPr/>
          </xdr14:nvContentPartPr>
          <xdr14:nvPr macro=""/>
          <xdr14:xfrm>
            <a:off x="7024953" y="1299273"/>
            <a:ext cx="195120" cy="1771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006953" y="1281273"/>
              <a:ext cx="2307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441055</xdr:colOff>
      <xdr:row>5</xdr:row>
      <xdr:rowOff>145004</xdr:rowOff>
    </xdr:from>
    <xdr:to>
      <xdr:col>4</xdr:col>
      <xdr:colOff>861895</xdr:colOff>
      <xdr:row>6</xdr:row>
      <xdr:rowOff>201873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14:cNvPr>
            <xdr14:cNvContentPartPr/>
          </xdr14:nvContentPartPr>
          <xdr14:nvPr macro=""/>
          <xdr14:xfrm>
            <a:off x="6287673" y="1239513"/>
            <a:ext cx="420840" cy="257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270033" y="1221873"/>
              <a:ext cx="45648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512444</xdr:colOff>
      <xdr:row>7</xdr:row>
      <xdr:rowOff>138415</xdr:rowOff>
    </xdr:from>
    <xdr:to>
      <xdr:col>5</xdr:col>
      <xdr:colOff>730964</xdr:colOff>
      <xdr:row>8</xdr:row>
      <xdr:rowOff>105917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14:cNvPr>
            <xdr14:cNvContentPartPr/>
          </xdr14:nvContentPartPr>
          <xdr14:nvPr macro=""/>
          <xdr14:xfrm>
            <a:off x="7550553" y="1641633"/>
            <a:ext cx="218520" cy="1753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532553" y="1623633"/>
              <a:ext cx="2541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1135855</xdr:colOff>
      <xdr:row>8</xdr:row>
      <xdr:rowOff>5117</xdr:rowOff>
    </xdr:from>
    <xdr:to>
      <xdr:col>5</xdr:col>
      <xdr:colOff>287084</xdr:colOff>
      <xdr:row>8</xdr:row>
      <xdr:rowOff>196277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14:cNvPr>
            <xdr14:cNvContentPartPr/>
          </xdr14:nvContentPartPr>
          <xdr14:nvPr macro=""/>
          <xdr14:xfrm>
            <a:off x="6982473" y="1716153"/>
            <a:ext cx="342720" cy="191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964833" y="1698513"/>
              <a:ext cx="37836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325495</xdr:colOff>
      <xdr:row>8</xdr:row>
      <xdr:rowOff>41477</xdr:rowOff>
    </xdr:from>
    <xdr:to>
      <xdr:col>4</xdr:col>
      <xdr:colOff>803935</xdr:colOff>
      <xdr:row>8</xdr:row>
      <xdr:rowOff>227237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14:cNvPr>
            <xdr14:cNvContentPartPr/>
          </xdr14:nvContentPartPr>
          <xdr14:nvPr macro=""/>
          <xdr14:xfrm>
            <a:off x="6172113" y="1752513"/>
            <a:ext cx="478440" cy="1857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154113" y="1734548"/>
              <a:ext cx="514080" cy="221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450055</xdr:colOff>
      <xdr:row>9</xdr:row>
      <xdr:rowOff>119662</xdr:rowOff>
    </xdr:from>
    <xdr:to>
      <xdr:col>4</xdr:col>
      <xdr:colOff>567415</xdr:colOff>
      <xdr:row>9</xdr:row>
      <xdr:rowOff>131902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14:cNvPr>
            <xdr14:cNvContentPartPr/>
          </xdr14:nvContentPartPr>
          <xdr14:nvPr macro=""/>
          <xdr14:xfrm>
            <a:off x="6296673" y="2225553"/>
            <a:ext cx="117360" cy="12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279033" y="2207553"/>
              <a:ext cx="15300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830935</xdr:colOff>
      <xdr:row>9</xdr:row>
      <xdr:rowOff>53782</xdr:rowOff>
    </xdr:from>
    <xdr:to>
      <xdr:col>4</xdr:col>
      <xdr:colOff>1061335</xdr:colOff>
      <xdr:row>9</xdr:row>
      <xdr:rowOff>111022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14:cNvPr>
            <xdr14:cNvContentPartPr/>
          </xdr14:nvContentPartPr>
          <xdr14:nvPr macro=""/>
          <xdr14:xfrm>
            <a:off x="6677553" y="2159673"/>
            <a:ext cx="230400" cy="572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659913" y="2142033"/>
              <a:ext cx="2660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685604</xdr:colOff>
      <xdr:row>8</xdr:row>
      <xdr:rowOff>265757</xdr:rowOff>
    </xdr:from>
    <xdr:to>
      <xdr:col>5</xdr:col>
      <xdr:colOff>1015724</xdr:colOff>
      <xdr:row>9</xdr:row>
      <xdr:rowOff>75382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14:cNvPr>
            <xdr14:cNvContentPartPr/>
          </xdr14:nvContentPartPr>
          <xdr14:nvPr macro=""/>
          <xdr14:xfrm>
            <a:off x="7723713" y="1976793"/>
            <a:ext cx="330120" cy="2044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706073" y="1958793"/>
              <a:ext cx="3657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117524</xdr:colOff>
      <xdr:row>8</xdr:row>
      <xdr:rowOff>373757</xdr:rowOff>
    </xdr:from>
    <xdr:to>
      <xdr:col>5</xdr:col>
      <xdr:colOff>468164</xdr:colOff>
      <xdr:row>9</xdr:row>
      <xdr:rowOff>111742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14:cNvPr>
            <xdr14:cNvContentPartPr/>
          </xdr14:nvContentPartPr>
          <xdr14:nvPr macro=""/>
          <xdr14:xfrm>
            <a:off x="7155633" y="2084793"/>
            <a:ext cx="350640" cy="1328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138011" y="2067153"/>
              <a:ext cx="386243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76795</xdr:colOff>
      <xdr:row>4</xdr:row>
      <xdr:rowOff>203564</xdr:rowOff>
    </xdr:from>
    <xdr:to>
      <xdr:col>4</xdr:col>
      <xdr:colOff>418435</xdr:colOff>
      <xdr:row>10</xdr:row>
      <xdr:rowOff>102971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14:cNvPr>
            <xdr14:cNvContentPartPr/>
          </xdr14:nvContentPartPr>
          <xdr14:nvPr macro=""/>
          <xdr14:xfrm>
            <a:off x="5677495" y="1064624"/>
            <a:ext cx="341640" cy="1331967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897793" y="1112433"/>
              <a:ext cx="377280" cy="13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576044</xdr:colOff>
      <xdr:row>4</xdr:row>
      <xdr:rowOff>186644</xdr:rowOff>
    </xdr:from>
    <xdr:to>
      <xdr:col>6</xdr:col>
      <xdr:colOff>126153</xdr:colOff>
      <xdr:row>9</xdr:row>
      <xdr:rowOff>178331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14:cNvPr>
            <xdr14:cNvContentPartPr/>
          </xdr14:nvContentPartPr>
          <xdr14:nvPr macro=""/>
          <xdr14:xfrm>
            <a:off x="7365464" y="1047704"/>
            <a:ext cx="738829" cy="1226127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657473" y="1095873"/>
              <a:ext cx="777240" cy="127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38</xdr:row>
      <xdr:rowOff>96190</xdr:rowOff>
    </xdr:from>
    <xdr:to>
      <xdr:col>2</xdr:col>
      <xdr:colOff>6160</xdr:colOff>
      <xdr:row>38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CCD8161-EAC3-47BD-BD9A-DF67CDBF450A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56</xdr:row>
      <xdr:rowOff>117698</xdr:rowOff>
    </xdr:from>
    <xdr:to>
      <xdr:col>4</xdr:col>
      <xdr:colOff>214767</xdr:colOff>
      <xdr:row>56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5AB8680-3075-41D3-987A-AA85D8D09C83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1447740</xdr:colOff>
      <xdr:row>19</xdr:row>
      <xdr:rowOff>479820</xdr:rowOff>
    </xdr:from>
    <xdr:to>
      <xdr:col>9</xdr:col>
      <xdr:colOff>1448100</xdr:colOff>
      <xdr:row>20</xdr:row>
      <xdr:rowOff>4316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409E8C-C365-425A-BF3D-21ECEC6CF06E}"/>
                </a:ext>
              </a:extLst>
            </xdr14:cNvPr>
            <xdr14:cNvContentPartPr/>
          </xdr14:nvContentPartPr>
          <xdr14:nvPr macro=""/>
          <xdr14:xfrm>
            <a:off x="10751760" y="4190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306446-A587-2256-CC5F-4F3B5E47CB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742760" y="4181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350520</xdr:colOff>
      <xdr:row>6</xdr:row>
      <xdr:rowOff>106500</xdr:rowOff>
    </xdr:from>
    <xdr:to>
      <xdr:col>12</xdr:col>
      <xdr:colOff>378960</xdr:colOff>
      <xdr:row>6</xdr:row>
      <xdr:rowOff>106860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B49191E-808D-4D88-81BD-BD771BD29585}"/>
                </a:ext>
              </a:extLst>
            </xdr14:cNvPr>
            <xdr14:cNvContentPartPr/>
          </xdr14:nvContentPartPr>
          <xdr14:nvPr macro=""/>
          <xdr14:xfrm>
            <a:off x="12710160" y="1440000"/>
            <a:ext cx="2844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A08AC6D-A329-4750-976D-12F943D39DE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701520" y="1431000"/>
              <a:ext cx="460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2499180</xdr:colOff>
      <xdr:row>19</xdr:row>
      <xdr:rowOff>266700</xdr:rowOff>
    </xdr:from>
    <xdr:to>
      <xdr:col>9</xdr:col>
      <xdr:colOff>2499540</xdr:colOff>
      <xdr:row>19</xdr:row>
      <xdr:rowOff>267060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DCAACCE-EB45-5E5C-B90A-6D154373F3CA}"/>
                </a:ext>
              </a:extLst>
            </xdr14:cNvPr>
            <xdr14:cNvContentPartPr/>
          </xdr14:nvContentPartPr>
          <xdr14:nvPr macro=""/>
          <xdr14:xfrm>
            <a:off x="11696520" y="463296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DCAACCE-EB45-5E5C-B90A-6D154373F3C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678520" y="461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1234140</xdr:colOff>
      <xdr:row>20</xdr:row>
      <xdr:rowOff>83700</xdr:rowOff>
    </xdr:from>
    <xdr:to>
      <xdr:col>9</xdr:col>
      <xdr:colOff>1234500</xdr:colOff>
      <xdr:row>20</xdr:row>
      <xdr:rowOff>84060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3E83D77-E425-40EF-CF63-151A6A6106F0}"/>
                </a:ext>
              </a:extLst>
            </xdr14:cNvPr>
            <xdr14:cNvContentPartPr/>
          </xdr14:nvContentPartPr>
          <xdr14:nvPr macro=""/>
          <xdr14:xfrm>
            <a:off x="10431480" y="51357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3E83D77-E425-40EF-CF63-151A6A6106F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413840" y="51177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661380</xdr:colOff>
      <xdr:row>20</xdr:row>
      <xdr:rowOff>79380</xdr:rowOff>
    </xdr:from>
    <xdr:to>
      <xdr:col>9</xdr:col>
      <xdr:colOff>2688540</xdr:colOff>
      <xdr:row>22</xdr:row>
      <xdr:rowOff>31140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A4907B3-B516-79F1-F230-8A322667C488}"/>
                </a:ext>
              </a:extLst>
            </xdr14:cNvPr>
            <xdr14:cNvContentPartPr/>
          </xdr14:nvContentPartPr>
          <xdr14:nvPr macro=""/>
          <xdr14:xfrm>
            <a:off x="9858720" y="5131440"/>
            <a:ext cx="2027160" cy="408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A4907B3-B516-79F1-F230-8A322667C48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841077" y="5113800"/>
              <a:ext cx="2062806" cy="44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3033420</xdr:colOff>
      <xdr:row>21</xdr:row>
      <xdr:rowOff>50940</xdr:rowOff>
    </xdr:from>
    <xdr:to>
      <xdr:col>9</xdr:col>
      <xdr:colOff>3258420</xdr:colOff>
      <xdr:row>22</xdr:row>
      <xdr:rowOff>77940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E8AF9FD-43E1-C77D-C738-7F1C129BFA3A}"/>
                </a:ext>
              </a:extLst>
            </xdr14:cNvPr>
            <xdr14:cNvContentPartPr/>
          </xdr14:nvContentPartPr>
          <xdr14:nvPr macro=""/>
          <xdr14:xfrm>
            <a:off x="12230760" y="5331600"/>
            <a:ext cx="225000" cy="2556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E8AF9FD-43E1-C77D-C738-7F1C129BFA3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212760" y="5313600"/>
              <a:ext cx="26064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591900</xdr:colOff>
      <xdr:row>22</xdr:row>
      <xdr:rowOff>261900</xdr:rowOff>
    </xdr:from>
    <xdr:to>
      <xdr:col>9</xdr:col>
      <xdr:colOff>2920740</xdr:colOff>
      <xdr:row>23</xdr:row>
      <xdr:rowOff>213420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984DADA-049D-E36D-AB89-2B35C17745B3}"/>
                </a:ext>
              </a:extLst>
            </xdr14:cNvPr>
            <xdr14:cNvContentPartPr/>
          </xdr14:nvContentPartPr>
          <xdr14:nvPr macro=""/>
          <xdr14:xfrm>
            <a:off x="9789240" y="5771160"/>
            <a:ext cx="2328840" cy="4849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984DADA-049D-E36D-AB89-2B35C17745B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771600" y="5753520"/>
              <a:ext cx="2364480" cy="52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16140</xdr:colOff>
      <xdr:row>20</xdr:row>
      <xdr:rowOff>94140</xdr:rowOff>
    </xdr:from>
    <xdr:to>
      <xdr:col>11</xdr:col>
      <xdr:colOff>1012140</xdr:colOff>
      <xdr:row>22</xdr:row>
      <xdr:rowOff>360180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25F2AA6D-F6BA-B98B-FA0F-659BE54C9295}"/>
                </a:ext>
              </a:extLst>
            </xdr14:cNvPr>
            <xdr14:cNvContentPartPr/>
          </xdr14:nvContentPartPr>
          <xdr14:nvPr macro=""/>
          <xdr14:xfrm>
            <a:off x="12703440" y="5146200"/>
            <a:ext cx="4440240" cy="7232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25F2AA6D-F6BA-B98B-FA0F-659BE54C929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685439" y="5128560"/>
              <a:ext cx="4475883" cy="75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3232860</xdr:colOff>
      <xdr:row>22</xdr:row>
      <xdr:rowOff>367020</xdr:rowOff>
    </xdr:from>
    <xdr:to>
      <xdr:col>10</xdr:col>
      <xdr:colOff>2865540</xdr:colOff>
      <xdr:row>23</xdr:row>
      <xdr:rowOff>223500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8FA2E7C5-78C2-060B-46F8-DD0C9C37E9A7}"/>
                </a:ext>
              </a:extLst>
            </xdr14:cNvPr>
            <xdr14:cNvContentPartPr/>
          </xdr14:nvContentPartPr>
          <xdr14:nvPr macro=""/>
          <xdr14:xfrm>
            <a:off x="12430200" y="5876280"/>
            <a:ext cx="3122640" cy="3898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8FA2E7C5-78C2-060B-46F8-DD0C9C37E9A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2412560" y="5858280"/>
              <a:ext cx="3158280" cy="42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396059</xdr:colOff>
      <xdr:row>24</xdr:row>
      <xdr:rowOff>254019</xdr:rowOff>
    </xdr:from>
    <xdr:to>
      <xdr:col>10</xdr:col>
      <xdr:colOff>2950520</xdr:colOff>
      <xdr:row>29</xdr:row>
      <xdr:rowOff>110472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171A140-4C24-9D64-5ED6-D35E1822A474}"/>
                </a:ext>
              </a:extLst>
            </xdr14:cNvPr>
            <xdr14:cNvContentPartPr/>
          </xdr14:nvContentPartPr>
          <xdr14:nvPr macro=""/>
          <xdr14:xfrm>
            <a:off x="9593399" y="6525279"/>
            <a:ext cx="6044421" cy="1113753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171A140-4C24-9D64-5ED6-D35E1822A47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584759" y="6516637"/>
              <a:ext cx="6062061" cy="11313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231180</xdr:colOff>
      <xdr:row>26</xdr:row>
      <xdr:rowOff>239519</xdr:rowOff>
    </xdr:from>
    <xdr:to>
      <xdr:col>10</xdr:col>
      <xdr:colOff>2978588</xdr:colOff>
      <xdr:row>33</xdr:row>
      <xdr:rowOff>71835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84DD2CC-9D55-C254-E033-A16A388C1873}"/>
                </a:ext>
              </a:extLst>
            </xdr14:cNvPr>
            <xdr14:cNvContentPartPr/>
          </xdr14:nvContentPartPr>
          <xdr14:nvPr macro=""/>
          <xdr14:xfrm>
            <a:off x="9428520" y="7044179"/>
            <a:ext cx="6237368" cy="1470616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84DD2CC-9D55-C254-E033-A16A388C1873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419880" y="7035539"/>
              <a:ext cx="6255008" cy="14882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2613660</xdr:colOff>
      <xdr:row>27</xdr:row>
      <xdr:rowOff>53040</xdr:rowOff>
    </xdr:from>
    <xdr:to>
      <xdr:col>10</xdr:col>
      <xdr:colOff>585300</xdr:colOff>
      <xdr:row>31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DAE5CF0B-B459-5056-ABA2-B7EF66377A64}"/>
                </a:ext>
              </a:extLst>
            </xdr14:cNvPr>
            <xdr14:cNvContentPartPr/>
          </xdr14:nvContentPartPr>
          <xdr14:nvPr macro=""/>
          <xdr14:xfrm>
            <a:off x="11811000" y="7124400"/>
            <a:ext cx="1461600" cy="9529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DAE5CF0B-B459-5056-ABA2-B7EF66377A6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802000" y="7115760"/>
              <a:ext cx="1479240" cy="97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258900</xdr:colOff>
      <xdr:row>33</xdr:row>
      <xdr:rowOff>115455</xdr:rowOff>
    </xdr:from>
    <xdr:to>
      <xdr:col>10</xdr:col>
      <xdr:colOff>3215640</xdr:colOff>
      <xdr:row>40</xdr:row>
      <xdr:rowOff>198120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02817D85-31D5-1C7F-8C55-C8BE384DB4E6}"/>
                </a:ext>
              </a:extLst>
            </xdr14:cNvPr>
            <xdr14:cNvContentPartPr/>
          </xdr14:nvContentPartPr>
          <xdr14:nvPr macro=""/>
          <xdr14:xfrm>
            <a:off x="9456240" y="8558415"/>
            <a:ext cx="6446700" cy="1682865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02817D85-31D5-1C7F-8C55-C8BE384DB4E6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9447600" y="8549774"/>
              <a:ext cx="6464340" cy="170050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92947</xdr:colOff>
      <xdr:row>17</xdr:row>
      <xdr:rowOff>169200</xdr:rowOff>
    </xdr:from>
    <xdr:to>
      <xdr:col>3</xdr:col>
      <xdr:colOff>93307</xdr:colOff>
      <xdr:row>17</xdr:row>
      <xdr:rowOff>176400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B221B99-23E8-146B-442D-B95DDC3B7CE5}"/>
                </a:ext>
              </a:extLst>
            </xdr14:cNvPr>
            <xdr14:cNvContentPartPr/>
          </xdr14:nvContentPartPr>
          <xdr14:nvPr macro=""/>
          <xdr14:xfrm>
            <a:off x="2294280" y="4055400"/>
            <a:ext cx="360" cy="72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B221B99-23E8-146B-442D-B95DDC3B7C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88160" y="4049280"/>
              <a:ext cx="126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279360</xdr:colOff>
      <xdr:row>3</xdr:row>
      <xdr:rowOff>151981</xdr:rowOff>
    </xdr:from>
    <xdr:to>
      <xdr:col>5</xdr:col>
      <xdr:colOff>340560</xdr:colOff>
      <xdr:row>5</xdr:row>
      <xdr:rowOff>42181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903A7B3-37E1-662B-463D-C5B9D2DA7730}"/>
                </a:ext>
              </a:extLst>
            </xdr14:cNvPr>
            <xdr14:cNvContentPartPr/>
          </xdr14:nvContentPartPr>
          <xdr14:nvPr macro=""/>
          <xdr14:xfrm>
            <a:off x="4851360" y="795448"/>
            <a:ext cx="61200" cy="3474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903A7B3-37E1-662B-463D-C5B9D2DA773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845240" y="789328"/>
              <a:ext cx="73440" cy="359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5800</xdr:colOff>
      <xdr:row>0</xdr:row>
      <xdr:rowOff>96190</xdr:rowOff>
    </xdr:from>
    <xdr:to>
      <xdr:col>1</xdr:col>
      <xdr:colOff>6160</xdr:colOff>
      <xdr:row>0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16975D4-7568-4984-A755-CD3A7AD7E004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524933</xdr:colOff>
      <xdr:row>21</xdr:row>
      <xdr:rowOff>8467</xdr:rowOff>
    </xdr:from>
    <xdr:to>
      <xdr:col>18</xdr:col>
      <xdr:colOff>371377</xdr:colOff>
      <xdr:row>24</xdr:row>
      <xdr:rowOff>156255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9C67618-CC7B-4AD9-B1CA-F46A91497536}"/>
                </a:ext>
              </a:extLst>
            </xdr14:cNvPr>
            <xdr14:cNvContentPartPr/>
          </xdr14:nvContentPartPr>
          <xdr14:nvPr macro=""/>
          <xdr14:xfrm rot="21144790">
            <a:off x="11057466" y="4453467"/>
            <a:ext cx="5256644" cy="985988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3A8FC3F-5F19-2A43-0D3F-71950205CC4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307120" y="3472196"/>
              <a:ext cx="5616000" cy="87228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978A467-47EE-4A4F-9CB1-447F0709ADDA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698040</xdr:colOff>
      <xdr:row>16</xdr:row>
      <xdr:rowOff>4312</xdr:rowOff>
    </xdr:from>
    <xdr:to>
      <xdr:col>11</xdr:col>
      <xdr:colOff>731520</xdr:colOff>
      <xdr:row>20</xdr:row>
      <xdr:rowOff>75900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5217A39-D38E-4769-9D3B-1ECC4B59AC91}"/>
                </a:ext>
              </a:extLst>
            </xdr14:cNvPr>
            <xdr14:cNvContentPartPr/>
          </xdr14:nvContentPartPr>
          <xdr14:nvPr macro=""/>
          <xdr14:xfrm rot="21144790">
            <a:off x="6443520" y="3692392"/>
            <a:ext cx="5260800" cy="803108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3A8FC3F-5F19-2A43-0D3F-71950205CC4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307120" y="3472196"/>
              <a:ext cx="5616000" cy="87228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7</xdr:row>
      <xdr:rowOff>91440</xdr:rowOff>
    </xdr:from>
    <xdr:to>
      <xdr:col>3</xdr:col>
      <xdr:colOff>944880</xdr:colOff>
      <xdr:row>9</xdr:row>
      <xdr:rowOff>205740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78073159-51A1-41B4-A585-5581CDCBAD97}"/>
            </a:ext>
          </a:extLst>
        </xdr:cNvPr>
        <xdr:cNvSpPr/>
      </xdr:nvSpPr>
      <xdr:spPr>
        <a:xfrm>
          <a:off x="4168140" y="1798320"/>
          <a:ext cx="365760" cy="60198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40</xdr:row>
      <xdr:rowOff>96190</xdr:rowOff>
    </xdr:from>
    <xdr:to>
      <xdr:col>2</xdr:col>
      <xdr:colOff>6160</xdr:colOff>
      <xdr:row>40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FDB1FA2-60D3-42BE-A4C9-04CFBC29213A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5800</xdr:colOff>
      <xdr:row>55</xdr:row>
      <xdr:rowOff>96190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79A58B2-6945-4A78-B9B0-FCB53E1E1FA2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057F06A-0D27-44E7-BBAF-B0881440CDAB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5800</xdr:colOff>
      <xdr:row>0</xdr:row>
      <xdr:rowOff>96190</xdr:rowOff>
    </xdr:from>
    <xdr:to>
      <xdr:col>1</xdr:col>
      <xdr:colOff>6160</xdr:colOff>
      <xdr:row>0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9E218FF-71AF-4FA3-8223-C3A2B7214D41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W%20Recordings\Excel%20files\Lectures_new.xlsx" TargetMode="External"/><Relationship Id="rId1" Type="http://schemas.openxmlformats.org/officeDocument/2006/relationships/externalLinkPath" Target="file:///D:\PW%20Recordings\Excel%20files\Lectures_ne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W%20Skills%20-%20Live%20session%20resources/EXCEL%20resources/DA%20July'25%20Live%20-%20Revision.xlsx" TargetMode="External"/><Relationship Id="rId2" Type="http://schemas.openxmlformats.org/officeDocument/2006/relationships/externalLinkPath" Target="file:///C:\Users\drnis\Desktop\PW%20Skills%20-%20Live%20session%20resources\EXCEL%20resources\DA%20July'25%20Live%20-%20Revision.xlsx" TargetMode="External"/><Relationship Id="rId1" Type="http://schemas.openxmlformats.org/officeDocument/2006/relationships/externalLinkPath" Target="/Users/drnis/Desktop/PW%20Skills%20-%20Live%20session%20resources/EXCEL%20resources/DA%20July'25%20Live%20-%20Revi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lit (and freeze)"/>
      <sheetName val="FORMULAS AND FUNCTIONS"/>
      <sheetName val="goto, go to special"/>
      <sheetName val="find, replace"/>
      <sheetName val="VIsible cells only"/>
      <sheetName val="FILL - down right flash"/>
      <sheetName val="Copying formulas"/>
      <sheetName val="SUBTOTAL"/>
      <sheetName val="ROUND FUNCTIONS"/>
      <sheetName val="Text functions"/>
      <sheetName val="Basic formatting"/>
      <sheetName val="Logical operators (test)"/>
      <sheetName val="How to use IF functions"/>
      <sheetName val="Absolute Relative cell referenc"/>
      <sheetName val="If functions "/>
      <sheetName val="IFs Functions"/>
      <sheetName val="Database functions"/>
      <sheetName val="Logical functions"/>
      <sheetName val="Speak cells, Show hide formulas"/>
      <sheetName val="Trace precedents and dependents"/>
      <sheetName val="Evaluate formulas"/>
      <sheetName val="FOrmula auditing 2"/>
      <sheetName val="Excel Protection"/>
      <sheetName val="Text to columns - Delimiter"/>
      <sheetName val="Text to columns - Fixed width"/>
      <sheetName val="Textsplit function"/>
      <sheetName val="Textbefore function"/>
      <sheetName val="Textafter function"/>
      <sheetName val="Naming ranges"/>
      <sheetName val="Tables in Excel"/>
      <sheetName val="Data Validation"/>
      <sheetName val="Dropdown"/>
      <sheetName val="Data for dropdown"/>
      <sheetName val="Dependent dropdown"/>
      <sheetName val="Index and Match functions"/>
      <sheetName val="HLOOKUP"/>
      <sheetName val="VLOOKUP"/>
      <sheetName val="LOOKUP"/>
      <sheetName val="XLOOKUP"/>
      <sheetName val="Offset"/>
      <sheetName val="Number formatting"/>
      <sheetName val="Date and Time formatting"/>
      <sheetName val="Excel Table"/>
      <sheetName val="Basic Sorting and Filtering"/>
      <sheetName val="Advanced sorting and filtering"/>
      <sheetName val="Sheet6"/>
      <sheetName val="Removing Duplicates"/>
      <sheetName val="Remove duplicates - Table3"/>
      <sheetName val="Scenario manager"/>
      <sheetName val="Scenario Summary"/>
      <sheetName val="Scenario PivotTable"/>
      <sheetName val="Data Table"/>
      <sheetName val="Goal seek - 1"/>
      <sheetName val="Goal Seek - 2"/>
      <sheetName val="Sales - 2021"/>
      <sheetName val="Sales - 2022"/>
      <sheetName val="Sales - 2023"/>
      <sheetName val="Sales - 2024"/>
      <sheetName val="Consolidate TotalSales"/>
      <sheetName val="Type Check"/>
      <sheetName val="Approximate &amp; true match"/>
      <sheetName val="Date Time functions"/>
      <sheetName val="Basic Conditional formatting"/>
      <sheetName val="Advanced Conditional formatting"/>
      <sheetName val="Data for Pivot table"/>
      <sheetName val="Pivot grouping"/>
      <sheetName val="Pivot Table"/>
      <sheetName val="Pivot Table 2"/>
      <sheetName val="Data for Pivot chart"/>
      <sheetName val="Pivot Chart"/>
      <sheetName val="Pivot Slicer"/>
      <sheetName val="Pivot Timeline"/>
      <sheetName val="Charts - Column, Clustered, Pie"/>
      <sheetName val="Charts - Line, Clustered bar"/>
      <sheetName val="Charts - Sprklne, Wtrf, Fnnl"/>
      <sheetName val="Charts - Treemap, Sunburst"/>
      <sheetName val="Unclean data"/>
      <sheetName val="Power Query - Cleaned data"/>
      <sheetName val="Power Query Merge."/>
      <sheetName val="Table1"/>
      <sheetName val="Table2"/>
      <sheetName val="Append1"/>
      <sheetName val="Sheet5"/>
      <sheetName val="Sheet2"/>
      <sheetName val="Sheet1"/>
      <sheetName val="Unclean sales data"/>
      <sheetName val="Clean sales data"/>
      <sheetName val="Dashboard_New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F4">
            <v>5</v>
          </cell>
        </row>
        <row r="5">
          <cell r="F5">
            <v>6</v>
          </cell>
        </row>
        <row r="6">
          <cell r="F6">
            <v>10</v>
          </cell>
        </row>
        <row r="7">
          <cell r="F7">
            <v>4</v>
          </cell>
        </row>
        <row r="8">
          <cell r="F8">
            <v>9</v>
          </cell>
        </row>
        <row r="9">
          <cell r="F9">
            <v>8</v>
          </cell>
        </row>
        <row r="10">
          <cell r="F10">
            <v>7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6"/>
      <sheetName val="Practice"/>
      <sheetName val="Arithmetic functions"/>
      <sheetName val="Date, Number, Text formatting"/>
      <sheetName val="Cell Referencing"/>
      <sheetName val="IF and IFS"/>
      <sheetName val="Logical operators"/>
      <sheetName val="Logical functions"/>
      <sheetName val="Text functions"/>
      <sheetName val="Table"/>
      <sheetName val="Date functions"/>
      <sheetName val="Conditional formatting"/>
      <sheetName val="Basic Charts"/>
      <sheetName val="HLOOKUP"/>
      <sheetName val="VLOOKUP"/>
      <sheetName val="LOOKUP"/>
      <sheetName val="XLOOKUP"/>
      <sheetName val="Index and Match functions"/>
      <sheetName val="Offset"/>
      <sheetName val="Scenario manager"/>
      <sheetName val="Goal seek - 1"/>
      <sheetName val="Goal Seek - 2"/>
      <sheetName val="Data Table"/>
      <sheetName val="Data for Pivot Table and Chart"/>
      <sheetName val="Sheet1"/>
      <sheetName val="Unclean Data"/>
      <sheetName val="Sheet2"/>
      <sheetName val="Demo Dashboard"/>
      <sheetName val="DASHBOARD"/>
      <sheetName val="VBA MAcros"/>
    </sheetNames>
    <sheetDataSet>
      <sheetData sheetId="0">
        <row r="20">
          <cell r="C20">
            <v>10</v>
          </cell>
        </row>
        <row r="21">
          <cell r="C21">
            <v>20</v>
          </cell>
        </row>
        <row r="22">
          <cell r="C22">
            <v>30</v>
          </cell>
        </row>
        <row r="23">
          <cell r="C23">
            <v>40</v>
          </cell>
        </row>
        <row r="24">
          <cell r="C24">
            <v>50</v>
          </cell>
        </row>
        <row r="25">
          <cell r="C25">
            <v>80</v>
          </cell>
        </row>
        <row r="26">
          <cell r="C26">
            <v>70</v>
          </cell>
        </row>
        <row r="27">
          <cell r="C27">
            <v>80</v>
          </cell>
        </row>
        <row r="28">
          <cell r="C28">
            <v>90</v>
          </cell>
        </row>
        <row r="29">
          <cell r="C29">
            <v>100</v>
          </cell>
        </row>
        <row r="30">
          <cell r="C30">
            <v>110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06:44.07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12:12.18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7.37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94 202 24575,'0'-6'0,"1"0"0,0-1 0,1 1 0,-1 0 0,1 0 0,1 0 0,-1 0 0,1 0 0,0 0 0,0 1 0,1-1 0,0 1 0,0 0 0,0 0 0,0 0 0,1 1 0,7-7 0,4-1 0,0 0 0,1 1 0,0 0 0,25-10 0,-33 16 0,2 1 0,-1 0 0,0 0 0,1 1 0,0 1 0,0 0 0,14-1 0,-18 3 0,0 0 0,-1 1 0,1 0 0,0 0 0,-1 0 0,1 1 0,-1 0 0,1 0 0,-1 1 0,0 0 0,0 0 0,0 0 0,6 6 0,6 5 0,0 1 0,-1 1 0,-1 1 0,-1 0 0,0 1 0,23 38 0,-12-10 0,40 95 0,-46-86 0,-2 2 0,-3 0 0,-2 1 0,8 105 0,-14-38 0,-12 152 0,0-219 0,-3 1 0,-18 72 0,-44 112 0,4-18 0,47-147 0,3 2 0,4 0 0,-2 110 0,12-135 0,0-8 0,5 65 0,-2-99 0,1-1 0,0 1 0,1-1 0,1 0 0,-1 0 0,2 0 0,0 0 0,0-1 0,1 1 0,8 10 0,-9-15 0,1-1 0,0 1 0,1-1 0,-1-1 0,1 1 0,0-1 0,1 0 0,-1-1 0,1 0 0,0 0 0,0 0 0,0-1 0,15 3 0,-6-2 0,-1-1 0,1-1 0,0 0 0,0-2 0,0 0 0,19-2 0,-31 1 0,1 0 0,0 0 0,-1 0 0,0-1 0,1 0 0,-1 0 0,0 0 0,0-1 0,0 1 0,0-1 0,0-1 0,-1 1 0,1 0 0,-1-1 0,0 0 0,0 0 0,6-8 0,-4 1 0,1 1 0,-1-2 0,-1 1 0,0 0 0,0-1 0,-2 0 0,4-12 0,-6 19 0,0 0 0,0-1 0,-1 1 0,0 0 0,0 0 0,0 0 0,0 0 0,-1-1 0,0 1 0,0 0 0,-4-9 0,5 12 0,-1 1 0,0-1 0,1 1 0,-1 0 0,0-1 0,0 1 0,0 0 0,0-1 0,-1 1 0,1 0 0,0 0 0,0 0 0,-1 0 0,1 0 0,-1 0 0,1 1 0,-1-1 0,1 0 0,-1 1 0,1-1 0,-1 1 0,0-1 0,1 1 0,-1 0 0,0 0 0,1 0 0,-1 0 0,0 0 0,1 0 0,-1 0 0,0 0 0,1 1 0,-1-1 0,1 1 0,-1-1 0,1 1 0,-1-1 0,1 1 0,-1 0 0,-1 1 0,-2 1 0,1 0 0,0 1 0,0-1 0,1 1 0,-1-1 0,1 1 0,0 0 0,0 0 0,0 1 0,0-1 0,1 1 0,0-1 0,0 1 0,0 0 0,0 0 0,1 0 0,0 0 0,0 0 0,0 7 0,-3 13 0,2 0 0,2 38 0,4-2 0,21 111 0,30 60 0,16 94 0,-51-169 0,0 236 0,-21-348 0,-1 0 0,-3 0 0,-1 0 0,-3 0 0,-1-1 0,-19 49 0,20-71 0,0 0 0,-2-1 0,0 0 0,-1-1 0,-2 0 0,0-1 0,0 0 0,-2-1 0,0-1 0,-2-1 0,1 0 0,-2-1 0,-28 17 0,25-20 0,-1-1 0,0-1 0,0-1 0,-1-1 0,0-1 0,-1-1 0,1-1 0,-1-1 0,0-2 0,0 0 0,-1-2 0,1 0 0,0-2 0,0-1 0,0-1 0,1-1 0,-26-8 0,32 7 0,0-1 0,0-1 0,1 0 0,0-2 0,0 0 0,1 0 0,1-2 0,-1 0 0,-25-27 0,30 26 0,1 0 0,0-1 0,0 0 0,2-1 0,0 0 0,1 0 0,0-1 0,1 0 0,1 0 0,0 0 0,1 0 0,-2-25 0,3 2-455,2 0 0,4-42 0,14-77-6371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9.2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361 108 24575,'16'-17'0,"-9"9"0,0 1 0,0 0 0,0 0 0,1 0 0,0 1 0,0 0 0,1 0 0,0 1 0,0 0 0,0 1 0,0 0 0,14-4 0,-7 5 0,0 0 0,1 1 0,-1 1 0,1 0 0,-1 1 0,1 1 0,25 4 0,-31-3 0,-1 1 0,1 0 0,0 1 0,-1 0 0,0 1 0,0 0 0,0 0 0,-1 1 0,0 1 0,0-1 0,0 1 0,8 9 0,2 7 0,0 0 0,-1 1 0,-2 1 0,0 1 0,-2 0 0,-1 1 0,16 44 0,-7-2 0,26 141 0,-21-26 0,7 280 0,-59 188 0,-42-151 0,-11 155 0,5 345 0,30-292 0,44 5 0,3-301 0,-4-321 0,6 433 0,39-2 0,-40-485 0,85 481 0,-69-428 0,5 0 0,3-1 0,63 130 0,-78-190 0,2-1 0,2 0 0,0-1 0,34 38 0,-46-58 0,1-1 0,1 0 0,-1 0 0,1-1 0,0 0 0,1 0 0,0-1 0,0 0 0,0 0 0,0-1 0,0 0 0,1-1 0,0 0 0,0-1 0,0 0 0,0 0 0,0-1 0,19 0 0,-23-2 0,-1 0 0,0 0 0,1-1 0,-1 1 0,0-1 0,0 0 0,0-1 0,-1 1 0,1-1 0,0 0 0,-1 0 0,0 0 0,0-1 0,0 0 0,0 1 0,0-2 0,-1 1 0,0 0 0,0-1 0,0 1 0,0-1 0,3-9 0,2-4 0,-1 0 0,-1 0 0,-1 0 0,-1-1 0,3-22 0,-1-9 0,-2-1 0,-2 0 0,-3 0 0,-7-58 0,7 103 0,0 1 0,0-1 0,-1 0 0,1 0 0,-1 1 0,0-1 0,-1 1 0,0 0 0,-3-6 0,5 10 0,0 0 0,0-1 0,0 1 0,-1 0 0,1 0 0,-1 0 0,1 0 0,0 0 0,-1 0 0,0 0 0,1 0 0,-1 1 0,0-1 0,1 0 0,-1 1 0,0 0 0,0-1 0,1 1 0,-1 0 0,0 0 0,0 0 0,1 0 0,-1 0 0,0 0 0,0 1 0,1-1 0,-1 1 0,0-1 0,0 1 0,1-1 0,-1 1 0,1 0 0,-4 2 0,0 0 0,0 1 0,0 0 0,0 0 0,0 0 0,1 0 0,-1 1 0,1 0 0,0 0 0,1 0 0,-1 1 0,1-1 0,0 1 0,1 0 0,-3 6 0,-5 15 0,-10 51 0,14-53 0,-88 400 0,74-305 0,-6 192 0,0 127 0,-11 318 0,34-629 0,-45 604 0,24-552 0,-8 0 0,-55 177 0,64-286 0,-51 113 0,58-153 0,-1 0 0,-1-1 0,-2 0 0,0-2 0,-41 43 0,48-59 0,-1 0 0,0-1 0,0 0 0,-1-1 0,0-1 0,0 0 0,-1-1 0,-1-1 0,1 0 0,-1-1 0,0-1 0,-1-1 0,1 0 0,-1-1 0,1-1 0,-1-1 0,0 0 0,0-2 0,0 0 0,1-1 0,-1 0 0,0-2 0,1 0 0,0-1 0,0 0 0,0-2 0,1 0 0,-23-13 0,18 7 24,0 0 0,1-1 0,1-1 0,-21-20 0,29 24-210,1-1 1,0 1-1,0-2 0,1 0 1,1 0-1,0 0 1,-9-23-1,2-9-6640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4.2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1825 552 24575,'3'0'0,"5"0"0</inkml:trace>
  <inkml:trace contextRef="#ctx0" brushRef="#br0" timeOffset="1469.88">1169 129 24575,'0'-2'0,"1"-1"0,-1 0 0,1 0 0,0 1 0,0-1 0,0 0 0,1 1 0,-1-1 0,0 1 0,1 0 0,0-1 0,0 1 0,2-2 0,27-26 0,-21 22 0,0 1 0,1 0 0,0 1 0,0 1 0,1-1 0,-1 2 0,1 0 0,0 0 0,1 1 0,-1 0 0,0 1 0,14 0 0,-13 3 0,-1 0 0,0 2 0,0-1 0,0 2 0,0-1 0,0 2 0,-1-1 0,0 2 0,1-1 0,-2 2 0,1-1 0,-1 2 0,0-1 0,15 16 0,-4-3 0,-2 2 0,0-1 0,-1 2 0,-1 1 0,18 34 0,-23-34 0,-1 1 0,-1 0 0,12 52 0,8 84 0,-28-147 0,23 269 0,-10-77 0,6 243 0,-24-352 0,-5 0 0,-33 156 0,-82 437 0,73-3 0,46 137 0,6-798 0,-2-6 0,1 1 0,1-1 0,1 0 0,0 0 0,10 27 0,-12-45 0,-1 1 0,1 0 0,1-1 0,-1 1 0,0-1 0,1 0 0,-1 1 0,1-1 0,-1 0 0,1 0 0,0 0 0,0 0 0,0 0 0,0 0 0,1 0 0,-1-1 0,0 1 0,1-1 0,-1 0 0,1 0 0,-1 0 0,1 0 0,0 0 0,-1 0 0,1-1 0,0 1 0,0-1 0,-1 0 0,1 0 0,0 0 0,0 0 0,-1 0 0,1-1 0,4 0 0,0-1 0,0-1 0,0 1 0,-1-1 0,1 0 0,-1-1 0,0 0 0,0 0 0,0 0 0,0-1 0,-1 0 0,1 0 0,4-6 0,-1-2 0,-1-1 0,0 1 0,-1-1 0,0-1 0,-1 1 0,-1-1 0,0 0 0,-1 0 0,-1-1 0,0 1 0,1-26 0,-7 85 0,2 0 0,2-1 0,2 1 0,10 50 0,48 174 0,-49-219 0,14 51 0,98 411 0,-35 5 0,-75-385 0,-2 170 0,-13-259 0,-2 0 0,-1-1 0,-2 0 0,-3 0 0,-1 0 0,-1-1 0,-3-1 0,-22 49 0,27-72 0,-1-1 0,0 1 0,-2-2 0,1 1 0,-2-1 0,0-1 0,0-1 0,-1 1 0,-1-2 0,0 0 0,-21 11 0,26-16 0,-1-1 0,1 0 0,-1-1 0,-1 0 0,1 0 0,0-1 0,-1-1 0,0 0 0,1 0 0,-1-1 0,0-1 0,0 0 0,0-1 0,1 0 0,-1-1 0,0 0 0,1 0 0,-16-7 0,21 6 5,0 0 0,1 0 1,-1 0-1,1-1 0,-1 0 0,1 0 0,1 0 0,-1-1 0,0 0 0,1 0 0,0 0 0,0 0 0,1-1 0,-1 1 0,1-1 1,-3-8-1,-1-5-368,1-2 0,0 1 0,-4-34 0,-3-45-6463</inkml:trace>
  <inkml:trace contextRef="#ctx0" brushRef="#br0" timeOffset="7552.61">216 8130 24575,'0'8'0,"-17"899"0,10-776 0,-9 136 0,15-248 0,-4 31 0,4-46 0,1-1 0,-1 0 0,0 0 0,1 0 0,-1-1 0,-1 1 0,1 0 0,0 0 0,-1 0 0,0-1 0,-2 4 0,4-6 0,0 0 0,-1 0 0,1 1 0,0-1 0,-1 0 0,1 0 0,-1 0 0,1 0 0,-1 1 0,1-1 0,0 0 0,-1 0 0,1 0 0,-1 0 0,1 0 0,-1 0 0,1 0 0,-1 0 0,1 0 0,0 0 0,-1-1 0,1 1 0,-1 0 0,1 0 0,0 0 0,-1 0 0,1-1 0,-1 1 0,1 0 0,0 0 0,-1-1 0,1 1 0,0 0 0,-1-1 0,1 1 0,0 0 0,0-1 0,-1 1 0,1 0 0,0-1 0,0 1 0,0-1 0,-1 0 0,-5-11 0,0 0 0,1 0 0,1-1 0,0 0 0,0 0 0,-2-21 0,3 20 0,-88-715-310,82 585-514,19-264 0,-3 335 765,3 0 0,4 1 1,3 1-1,3 0 0,43-100 0,-49 139 59,1 1 0,23-33 0,-33 56 0,0 1 0,1-1 0,0 1 0,1 0 0,-1 1 0,1 0 0,0 0 0,1 0 0,0 1 0,0 0 0,0 0 0,15-5 0,-19 8 20,1 1 0,-1 0 0,1 0 0,-1 0-1,1 1 1,0-1 0,-1 1 0,1 0 0,0 1-1,0-1 1,-1 1 0,1 0 0,-1 0 0,1 0-1,8 4 1,-7-1 88,0-1 0,0 1 0,0 0 0,0 1 0,-1 0-1,1 0 1,-1 0 0,0 0 0,6 9 0,-1 2 6,0 1 1,-1-1-1,-1 1 1,-1 1-1,0 0 0,-1 0 1,3 20-1,-5-17-114,-2 1 0,0 0 0,-1-1 0,-1 1 0,-1 0 0,-1-1 0,-1 1 0,-1-1 0,-1 1 0,-1-1 0,-14 33 0,4-18 0,-1-2 0,-2 0 0,-1-1 0,-2-1 0,-42 48 0,58-73-136,0 0-1,0 0 1,-1 0-1,0-1 1,0 0-1,0 0 1,-1-1-1,0 0 0,-12 6 1,-5-7-6690</inkml:trace>
  <inkml:trace contextRef="#ctx0" brushRef="#br0" timeOffset="8554.26">957 8490 24575,'0'-31'0,"1"10"0,-1 0 0,-1 0 0,-1 0 0,-7-34 0,7 49 0,0 0 0,0 1 0,0-1 0,-1 1 0,0-1 0,0 1 0,0 0 0,0 0 0,-1 1 0,0-1 0,0 1 0,0 0 0,-1 0 0,1 0 0,-1 0 0,0 1 0,0 0 0,0 0 0,-1 0 0,1 1 0,-7-3 0,7 4 0,1-1 0,-1 1 0,1 1 0,-1-1 0,1 1 0,-1-1 0,0 1 0,1 0 0,-1 1 0,1-1 0,-1 1 0,0 0 0,1 0 0,0 1 0,-1-1 0,1 1 0,0 0 0,0 0 0,0 0 0,0 1 0,0-1 0,0 1 0,1 0 0,-1 0 0,1 0 0,-4 6 0,-3 3 0,0 0 0,2 1 0,-1 0 0,2 1 0,0 0 0,-9 25 0,2 6 0,1 0 0,3 1 0,1 0 0,-2 56 0,8-37 0,2 0 0,12 94 0,-10-148 0,1 0 0,0 0 0,1 0 0,0 0 0,1-1 0,0 1 0,7 12 0,-9-20 0,-1 0 0,1 0 0,0 0 0,1 0 0,-1-1 0,0 1 0,1-1 0,-1 0 0,1 0 0,0 0 0,0 0 0,0 0 0,0 0 0,0-1 0,0 1 0,0-1 0,1 0 0,-1 0 0,0 0 0,1-1 0,-1 1 0,1-1 0,-1 0 0,1 0 0,-1 0 0,6-1 0,-2 0 0,-1-1 0,1 0 0,-1 0 0,1-1 0,-1 0 0,0 0 0,0-1 0,0 1 0,0-1 0,-1 0 0,0-1 0,1 0 0,-2 1 0,1-2 0,0 1 0,3-6 0,6-10 0,0-1 0,21-45 0,-23 39 0,-1 0 0,-1-1 0,-2 0 0,0 0 0,-3-1 0,5-45 0,-11 45 0,1 30 0,0 1 0,0-1 0,0 0 0,-1 0 0,1 0 0,0 0 0,0 0 0,0 0 0,0 0 0,0 0 0,0 0 0,0 1 0,0-1 0,0 0 0,-1 0 0,1 0 0,0 0 0,0 0 0,0 0 0,0 0 0,0 0 0,0 0 0,-1 0 0,1 0 0,0 0 0,0 0 0,0 0 0,0 0 0,0 0 0,0 0 0,-1 0 0,1 0 0,0 0 0,0 0 0,0 0 0,0 0 0,0 0 0,0 0 0,-1 0 0,1 0 0,0-1 0,0 1 0,0 0 0,0 0 0,0 0 0,0 0 0,0 0 0,0 0 0,0 0 0,0 0 0,-1 0 0,1-1 0,0 1 0,-4 15 0,0 4 0,1-1 0,1 2 0,1-1 0,1 0 0,0 0 0,2 0 0,4 27 0,-4-39 0,0 0 0,0 0 0,1 0 0,0-1 0,0 1 0,0-1 0,1 0 0,0 0 0,0 0 0,6 6 0,-6-9 0,0 1 0,0-1 0,0 0 0,0 0 0,1 0 0,0 0 0,-1-1 0,1 0 0,0 0 0,0 0 0,0-1 0,1 0 0,-1 0 0,0 0 0,7 0 0,-3 0 0,1-1 0,0 0 0,-1-1 0,1 0 0,-1-1 0,1 0 0,-1 0 0,0-1 0,0 0 0,0-1 0,13-7 0,-10 4 0,-1 0 0,-1-1 0,0 0 0,0-1 0,0 0 0,-1-1 0,13-18 0,-7 4 0,0 0 0,-2-1 0,0-1 0,-2 0 0,-1-1 0,-1 0 0,7-36 0,-3-4 0,-3-2 0,-3 1 0,-3-1 0,-3 0 0,-14-117 0,11 169 0,2 12 0,0 0 0,0 1 0,-1-1 0,0 0 0,0 0 0,0 1 0,-1-1 0,1 1 0,-1-1 0,0 1 0,-4-6 0,6 10 0,0 0 0,0 0 0,-1 0 0,1 0 0,0 0 0,0 0 0,-1 0 0,1 0 0,0 0 0,-1 0 0,1 0 0,0 0 0,0 0 0,-1 0 0,1 1 0,0-1 0,0 0 0,0 0 0,-1 0 0,1 0 0,0 0 0,0 1 0,0-1 0,-1 0 0,1 0 0,0 0 0,0 1 0,0-1 0,0 0 0,-1 0 0,1 1 0,0-1 0,0 0 0,0 0 0,0 1 0,0-1 0,0 0 0,0 0 0,0 1 0,0-1 0,0 0 0,0 0 0,0 1 0,0-1 0,0 0 0,0 0 0,0 1 0,0-1 0,0 1 0,-4 28 0,1 0 0,1 0 0,1 1 0,6 48 0,-4-56 0,3 38 0,3 1 0,21 85 0,-22-123 0,0-1 0,2 1 0,0-2 0,2 1 0,0-1 0,2-1 0,0 0 0,1 0 0,24 26 0,-30-39 0,0 0 0,1 0 0,0-1 0,1 0 0,-1-1 0,1 0 0,0 0 0,1 0 0,-1-1 0,1-1 0,-1 0 0,21 4 0,-24-6 0,0 0 0,1-1 0,-1 0 0,0 0 0,1-1 0,-1 1 0,0-1 0,0-1 0,0 1 0,1-1 0,-1 0 0,-1 0 0,1-1 0,0 0 0,-1 0 0,1 0 0,-1-1 0,0 0 0,0 0 0,0 0 0,7-9 0,-2 0 0,0-1 0,-2-1 0,1 1 0,-2-2 0,0 1 0,-1-1 0,0 0 0,-1 0 0,4-25 0,-1-12 0,3-91 0,-15-85 0,0 187 0,-2 1 0,-2-1 0,-16-53 0,22 90 0,0 0 0,0 0 0,0 0 0,0 0 0,-1 0 0,-5-7 0,8 12 0,0-1 0,0 1 0,-1 0 0,1-1 0,0 1 0,-1 0 0,1 0 0,0-1 0,-1 1 0,1 0 0,0 0 0,-1 0 0,1-1 0,0 1 0,-1 0 0,1 0 0,-1 0 0,1 0 0,0 0 0,-1 0 0,1 0 0,-1 0 0,1 0 0,0 0 0,-1 0 0,1 0 0,0 0 0,-1 0 0,1 0 0,-1 0 0,1 0 0,0 1 0,-1-1 0,1 0 0,0 0 0,-1 0 0,1 1 0,0-1 0,-1 0 0,1 0 0,0 1 0,0-1 0,-1 0 0,1 1 0,0-1 0,0 0 0,-1 1 0,1-1 0,0 0 0,0 1 0,0-1 0,0 1 0,-5 11 0,2-1 0,0 1 0,0 0 0,1 0 0,1 0 0,-1 25 0,1-20 0,-5 109 0,17 206 0,-8-305 30,1 0 0,2 0 0,11 35 0,-14-53-144,0 0 0,1 0-1,0-1 1,0 1 0,1-1 0,0 0-1,0 0 1,1-1 0,0 0 0,1 0-1,-1 0 1,16 11 0,3-7-6712</inkml:trace>
  <inkml:trace contextRef="#ctx0" brushRef="#br0" timeOffset="9799.9">1338 8596 24575,'-3'4'0,"0"0"0,1 0 0,0 0 0,0 0 0,0 1 0,0-1 0,1 1 0,-1 4 0,1-8 0,1 0 0,0 0 0,0 0 0,1 1 0,-1-1 0,0 0 0,0 0 0,0 0 0,1 0 0,-1 0 0,0 0 0,1 0 0,-1 0 0,1 0 0,-1 0 0,1 0 0,0 0 0,-1 0 0,1 0 0,0-1 0,0 1 0,0 0 0,-1 0 0,1-1 0,0 1 0,0-1 0,0 1 0,0-1 0,0 1 0,0-1 0,0 1 0,0-1 0,1 0 0,-1 0 0,0 1 0,0-1 0,0 0 0,0 0 0,2 0 0,8 0 0,0-1 0,0 0 0,0-1 0,0 0 0,0 0 0,-1-1 0,1-1 0,15-7 0,-19 8 0,79-32 0,-1-5 0,-3-3 0,-1-3 0,-2-4 0,-3-4 0,87-77 0,-146 116 0,-1-1 0,0-1 0,-1 0 0,0 0 0,14-25 0,-27 39 0,-1 1 0,0-1 0,1 0 0,-1 1 0,0-1 0,0 0 0,0 0 0,-1 0 0,1 1 0,-1-1 0,1 0 0,-1 0 0,0 0 0,0 0 0,-1 0 0,1 0 0,0 0 0,-1 0 0,0 0 0,0 1 0,0-1 0,-2-4 0,2 6 0,0-1 0,-1 1 0,1 0 0,-1-1 0,1 1 0,-1 0 0,1 0 0,-1 0 0,0 1 0,1-1 0,-1 0 0,0 0 0,0 1 0,0-1 0,0 1 0,1 0 0,-1 0 0,0-1 0,0 1 0,0 0 0,0 1 0,0-1 0,0 0 0,0 0 0,0 1 0,1-1 0,-1 1 0,0 0 0,0 0 0,1-1 0,-1 1 0,0 0 0,-1 2 0,-4 1 0,1 0 0,1 1 0,-1-1 0,0 1 0,1 0 0,0 1 0,1-1 0,-1 1 0,1 0 0,0 1 0,0-1 0,1 0 0,0 1 0,0 0 0,-2 7 0,0 1 0,1 1 0,1-1 0,0 1 0,1 0 0,0-1 0,1 18 0,1-26 0,1-1 0,0 1 0,0-1 0,0 1 0,1 0 0,-1-1 0,2 0 0,-1 0 0,1 1 0,0-1 0,0-1 0,0 1 0,1 0 0,7 8 0,-4-8 0,-1 0 0,1 0 0,1 0 0,-1-1 0,1 0 0,-1 0 0,2-1 0,-1 0 0,16 5 0,-7-5 0,-1 0 0,1-1 0,0 0 0,-1-1 0,1-1 0,0-1 0,0-1 0,0 0 0,0-1 0,0-1 0,20-5 0,-19 1 0,0 0 0,-1-1 0,0 0 0,0-2 0,-1 0 0,0 0 0,-1-2 0,0 0 0,-1-1 0,0 0 0,-1-1 0,-1 0 0,0-1 0,-1-1 0,0 0 0,-1 0 0,-1-1 0,-1 0 0,0-1 0,-2 0 0,0 0 0,0 0 0,-2-1 0,0 0 0,-2 0 0,0 0 0,-1 0 0,0 0 0,-2 0 0,0 0 0,-5-20 0,5 32 0,-1 1 0,0-1 0,0 0 0,-1 1 0,1 0 0,-1 0 0,-1 0 0,1 0 0,-6-6 0,8 10 0,0 1 0,0 0 0,0 0 0,0 0 0,-1 0 0,1 0 0,0 0 0,-1 0 0,1 0 0,0 0 0,-1 1 0,1-1 0,-1 0 0,1 1 0,-1 0 0,1-1 0,-1 1 0,1 0 0,-1 0 0,0-1 0,1 1 0,-1 0 0,1 1 0,-1-1 0,1 0 0,-1 0 0,0 1 0,1-1 0,-1 1 0,1-1 0,-1 1 0,1 0 0,0 0 0,-1-1 0,1 1 0,0 0 0,0 0 0,-1 0 0,1 0 0,0 1 0,0-1 0,-2 3 0,-1 0 0,1 0 0,-1 0 0,1 1 0,0 0 0,0 0 0,0 0 0,0 0 0,1 0 0,0 0 0,0 1 0,1-1 0,-1 1 0,1-1 0,0 1 0,1 0 0,-1-1 0,1 1 0,0 0 0,1-1 0,-1 1 0,1 0 0,0-1 0,1 1 0,-1-1 0,1 1 0,0-1 0,0 0 0,1 0 0,0 0 0,0 0 0,0 0 0,0-1 0,1 1 0,-1-1 0,1 0 0,1 0 0,-1 0 0,0 0 0,1-1 0,0 0 0,7 4 0,2-1 0,1-1 0,0-1 0,1 0 0,-1-2 0,0 1 0,1-2 0,0 0 0,-1 0 0,1-2 0,0 0 0,-1-1 0,1 0 0,24-8 0,-13 6 0,-26 4 0,-1 0 0,1 0 0,-1 0 0,1 0 0,-1 0 0,1 0 0,-1 1 0,1-1 0,-1 0 0,1 0 0,-1 0 0,1 1 0,-1-1 0,1 0 0,-1 1 0,1-1 0,-1 0 0,1 1 0,-1-1 0,0 1 0,1-1 0,-1 1 0,0-1 0,1 1 0,-1 3 0,1 0 0,-1 1 0,0-1 0,0 0 0,0 0 0,-1 0 0,0 0 0,0 0 0,-1 5 0,2-9 0,-4 19 0,-5 15 0,2 1 0,2-1 0,1 1 0,1 61 0,3-94 0,0 0 0,0 0 0,0 0 0,0 0 0,1 0 0,-1 0 0,1 0 0,-1 0 0,1 0 0,0 0 0,0 0 0,0 0 0,0 0 0,0-1 0,0 1 0,0 0 0,1-1 0,-1 1 0,1-1 0,-1 1 0,1-1 0,0 0 0,-1 0 0,1 1 0,0-1 0,0 0 0,0-1 0,0 1 0,0 0 0,0 0 0,0-1 0,0 0 0,0 1 0,3-1 0,0 0 0,0 0 0,0-1 0,0 0 0,-1 0 0,1 0 0,0-1 0,-1 0 0,1 1 0,-1-2 0,0 1 0,0 0 0,0-1 0,0 0 0,4-3 0,10-11 0,-2 0 0,0-1 0,-1-1 0,-1 0 0,-1-1 0,0 0 0,18-44 0,-15 26 0,-2-1 0,-2 0 0,12-73 0,-26 132 0,0-1 0,1 1 0,4 35 0,-3-50 0,1 1 0,0-1 0,0 1 0,1-1 0,-1 0 0,1 1 0,0-1 0,1 0 0,-1 0 0,7 8 0,-7-11 0,0-1 0,0 1 0,0 0 0,0-1 0,0 1 0,0-1 0,0 0 0,0 0 0,1 0 0,-1 0 0,0 0 0,1 0 0,-1 0 0,1-1 0,-1 0 0,1 1 0,-1-1 0,1 0 0,0 0 0,-1 0 0,1 0 0,-1-1 0,1 1 0,-1-1 0,4-1 0,2 0 0,0-1 0,0-1 0,-1 1 0,0-1 0,0 0 0,0-1 0,0 0 0,0 0 0,-1 0 0,0-1 0,0 0 0,5-7 0,8-12 0,29-52 0,-19 30 0,-29 46 0,0 1 0,0-1 0,1 1 0,-1-1 0,0 1 0,1-1 0,-1 1 0,0-1 0,1 1 0,-1-1 0,0 1 0,1 0 0,-1-1 0,1 1 0,-1 0 0,0-1 0,1 1 0,-1 0 0,1 0 0,-1-1 0,1 1 0,0 0 0,-1 0 0,1 0 0,-1 0 0,2-1 0,3 14 0,-3 35 0,-2-33 0,0-10 0,1 1 0,0-1 0,0 1 0,0-1 0,0 1 0,1-1 0,0 0 0,0 0 0,1 0 0,0 0 0,-1 0 0,2 0 0,-1-1 0,0 0 0,1 1 0,0-1 0,0 0 0,0-1 0,0 1 0,1-1 0,5 4 0,-4-4 0,0 0 0,1-1 0,-1 0 0,0 0 0,1 0 0,-1-1 0,1 0 0,-1 0 0,1 0 0,0-1 0,-1 0 0,1-1 0,0 1 0,-1-1 0,1 0 0,-1-1 0,1 0 0,6-2 0,2-3 0,-1-1 0,0 0 0,0-1 0,-1 0 0,0-1 0,0-1 0,-1 0 0,-1-1 0,0 0 0,0 0 0,-1-1 0,-1-1 0,12-21 0,-7 9 0,-1 0 0,-2-1 0,0-1 0,-2 0 0,-1 0 0,8-49 0,-15 65 0,1 0 0,-2 0 0,0 1 0,-2-19 0,1 22 0,3 14 0,10 30 0,2-15 0,0 0 0,2 0 0,1-2 0,0 0 0,1-1 0,26 19 0,-17-13 0,-1 1 0,29 35 0,-52-56 0,0-1 0,0 1 0,0 0 0,-1 0 0,1 0 0,-1 0 0,0 0 0,0 0 0,-1 1 0,1-1 0,-1 1 0,0-1 0,0 1 0,-1 0 0,1-1 0,-1 1 0,0 0 0,0-1 0,-1 1 0,1 0 0,-1-1 0,0 1 0,0-1 0,-1 1 0,1-1 0,-1 0 0,0 1 0,0-1 0,-1 0 0,1 0 0,-1 0 0,-4 4 0,-3 3 12,-1-1 0,0 1 0,-1-2 0,-1 0 0,1 0 0,-1-2 0,0 1 0,-1-1 0,-25 8 0,3-3-507,0-2 0,-65 10 0,46-14-6331</inkml:trace>
  <inkml:trace contextRef="#ctx0" brushRef="#br0" timeOffset="11035.26">1359 9823 24575,'-3'-3'0,"1"0"0,0 0 0,-1 1 0,0-1 0,1 0 0,-1 1 0,0 0 0,0 0 0,-1 0 0,1 0 0,0 0 0,-1 0 0,1 1 0,-1 0 0,1 0 0,-1 0 0,0 0 0,1 0 0,-1 1 0,0-1 0,-5 1 0,-1 0 0,1 0 0,0 0 0,-1 1 0,1 0 0,0 1 0,0 0 0,-15 5 0,15-3 0,0 1 0,1-1 0,-1 2 0,1-1 0,0 1 0,1 0 0,-1 1 0,1 0 0,-11 14 0,8-7 0,0 1 0,1 0 0,1 1 0,-13 31 0,6-2 0,3 1 0,1 0 0,-5 52 0,-2 81 0,16-144 0,2-1 0,1 1 0,7 39 0,-8-71 0,1 0 0,-1 0 0,1 1 0,0-1 0,0 0 0,0 0 0,0 0 0,1 0 0,-1 0 0,1 0 0,-1 0 0,1-1 0,0 1 0,0-1 0,1 1 0,-1-1 0,0 0 0,1 1 0,-1-1 0,5 2 0,-5-3 0,1-1 0,0 0 0,-1 1 0,1-1 0,-1 0 0,1 0 0,-1 0 0,1-1 0,-1 1 0,1-1 0,-1 1 0,1-1 0,-1 0 0,1 0 0,-1 0 0,0 0 0,0 0 0,1-1 0,-1 1 0,0-1 0,0 1 0,0-1 0,-1 0 0,1 0 0,0 1 0,2-5 0,6-6 0,0-1 0,-1 0 0,-1 0 0,0-1 0,11-26 0,23-81 0,-32 92 0,12-51 0,-2 0 0,-5-1 0,7-99 0,-16 63 0,-13-192 0,4 269 0,-1 0 0,-2 0 0,-2 1 0,-21-63 0,27 97 0,0-1 0,-1 1 0,0 0 0,0 0 0,0 0 0,-5-5 0,7 9 0,0-1 0,0 1 0,0 0 0,0 0 0,0 0 0,-1 1 0,1-1 0,0 0 0,0 0 0,-1 1 0,1-1 0,-1 0 0,1 1 0,0 0 0,-1-1 0,1 1 0,-4 0 0,4 0 0,-1 0 0,1 0 0,-1 1 0,1-1 0,-1 1 0,1-1 0,0 1 0,-1 0 0,1-1 0,0 1 0,-1 0 0,1 0 0,0 0 0,0 0 0,0 0 0,0 0 0,-2 2 0,0 2 0,0 0 0,-1 0 0,2 1 0,-1-1 0,1 0 0,-2 7 0,-7 27 0,1 0 0,3 0 0,1 1 0,-1 77 0,22 165 0,-3-197 0,31 124 0,-29-160 0,2-2 0,1 0 0,47 84 0,-55-114 0,2 0 0,0-1 0,1-1 0,0 0 0,1-1 0,17 15 0,-25-24 0,0-1 0,1 0 0,-1-1 0,1 1 0,0-1 0,0 0 0,0 0 0,0-1 0,0 0 0,0 0 0,1-1 0,-1 1 0,1-1 0,-1-1 0,1 1 0,-1-1 0,1 0 0,0-1 0,-1 1 0,1-1 0,6-2 0,-5 0 0,-1 1 0,1-1 0,-1-1 0,0 0 0,0 0 0,0 0 0,0-1 0,-1 0 0,1 0 0,-1 0 0,-1-1 0,9-10 0,-6 5 0,0-1 0,-1 0 0,-1-1 0,0 1 0,0-1 0,6-23 0,-3-5 0,-1 0 0,-2-1 0,1-77 0,-7 109 0,2-18 0,-2 0 0,-1 0 0,-1 1 0,-1-1 0,-10-38 0,13 65 0,0 0 0,0 0 0,0 0 0,0 0 0,-1 0 0,1 0 0,0 0 0,-1 0 0,1 0 0,-1 1 0,1-1 0,-1 0 0,1 0 0,-1 0 0,0 1 0,1-1 0,-1 0 0,0 1 0,0-1 0,-1 0 0,2 1 0,-1 0 0,1 1 0,-1-1 0,1 0 0,-1 1 0,1-1 0,-1 0 0,1 1 0,-1-1 0,1 1 0,-1-1 0,1 1 0,0-1 0,-1 0 0,1 1 0,0 0 0,0-1 0,-1 1 0,1-1 0,0 1 0,0-1 0,-1 2 0,-8 43 0,5-16 0,2 1 0,1 0 0,1 0 0,2 0 0,1 0 0,7 30 0,-7-47 0,1-1 0,0 0 0,1 0 0,0 0 0,1-1 0,0 1 0,10 12 0,-11-17 0,1-1 0,0 1 0,0-1 0,1 0 0,-1-1 0,1 0 0,1 0 0,-1 0 0,1-1 0,-1 0 0,16 5 0,-16-6 0,1-1 0,0-1 0,0 1 0,0-1 0,0-1 0,0 1 0,0-2 0,0 1 0,0-1 0,-1 0 0,1 0 0,0-1 0,0 0 0,-1-1 0,1 1 0,-1-2 0,1 1 0,-1-1 0,-1 0 0,1 0 0,0-1 0,-1 0 0,0 0 0,10-10 0,-1-2 0,-1 0 0,0-1 0,-1 0 0,-1-1 0,-1 0 0,-1-1 0,15-39 0,-10 11 0,-2-1 0,-2 0 0,-3-1 0,-1 0 0,-3-1 0,-2 0 0,-2 1 0,-13-97 0,11 139 0,1 0 0,-1 0 0,0 0 0,-6-14 0,8 22 0,0-1 0,0 0 0,0 1 0,0-1 0,-1 1 0,1-1 0,0 1 0,0-1 0,0 1 0,-1 0 0,1-1 0,0 1 0,-1-1 0,1 1 0,0-1 0,-1 1 0,1 0 0,-1-1 0,1 1 0,0 0 0,-1-1 0,1 1 0,-1 0 0,1 0 0,-1 0 0,1-1 0,-1 1 0,1 0 0,-1 0 0,1 0 0,-1 0 0,0 0 0,1 0 0,-1 0 0,1 0 0,-1 0 0,1 0 0,-1 0 0,1 0 0,-1 0 0,1 0 0,-1 1 0,1-1 0,-1 0 0,1 0 0,-1 1 0,1-1 0,-1 0 0,1 1 0,0-1 0,-1 0 0,1 1 0,-1-1 0,1 0 0,0 1 0,0-1 0,-1 1 0,1-1 0,0 1 0,-16 35 0,7 1 0,1-1 0,2 1 0,-2 60 0,8-31 0,8 81 0,-4-113 30,1-1 0,1 0 0,20 55 0,-23-77-129,1-1 0,1 1 0,-1-1 0,2 0 0,0-1 0,0 1 0,0-1 0,1 0 0,1-1 0,-1 0 0,1 0 0,1-1 0,0 1 0,18 10 0,7-4-6727</inkml:trace>
  <inkml:trace contextRef="#ctx0" brushRef="#br0" timeOffset="11347.95">1973 10141 24575,'-1'2'0,"1"0"0,0 0 0,1 0 0,-1 0 0,0 0 0,1 0 0,-1 0 0,1 0 0,-1 0 0,1-1 0,0 1 0,0 0 0,0 0 0,0-1 0,0 1 0,0 0 0,0-1 0,1 1 0,-1-1 0,0 0 0,1 1 0,-1-1 0,1 0 0,0 0 0,-1 0 0,1 0 0,0 0 0,0 0 0,-1-1 0,1 1 0,0-1 0,0 1 0,0-1 0,0 1 0,0-1 0,0 0 0,2 0 0,7 0 0,0-1 0,-1 0 0,1 0 0,0-1 0,16-5 0,1-2 0,0-1 0,-1-1 0,-1-1 0,0-2 0,0 0 0,-2-2 0,33-26 0,-41 29 0,-1-1 0,-1 0 0,0-1 0,-1-1 0,0 0 0,-2-1 0,0 0 0,0 0 0,-2-2 0,0 1 0,9-30 0,-16 41 0,-1 0 0,1 0 0,-1-1 0,-1 1 0,1 0 0,-1 0 0,0-1 0,-1 1 0,-2-10 0,3 14 0,-1 1 0,1-1 0,-1 0 0,0 1 0,0-1 0,-1 0 0,1 1 0,0-1 0,-1 1 0,0 0 0,1-1 0,-1 1 0,0 0 0,0 0 0,0 0 0,-1 0 0,1 1 0,0-1 0,-1 1 0,1-1 0,-1 1 0,1 0 0,-1 0 0,1 0 0,-6-1 0,5 1 0,0 1 0,0 0 0,0 0 0,0 0 0,0 1 0,0-1 0,0 1 0,0-1 0,1 1 0,-1 0 0,0 0 0,0 0 0,0 1 0,1-1 0,-1 1 0,1-1 0,-1 1 0,1 0 0,0 0 0,0 0 0,-1 0 0,-2 4 0,-2 3 0,1 0 0,0 0 0,1 0 0,-1 1 0,-4 12 0,-2 14 0,1 1 0,1 0 0,2 1 0,2 0 0,2 0 0,1 0 0,2 1 0,6 62 0,-4-86 0,1 1 0,1-1 0,0 0 0,1-1 0,1 1 0,0-1 0,1 0 0,16 27 0,-18-35 0,1 0 0,-1 0 0,1 0 0,1-1 0,-1 1 0,1-1 0,0 0 0,0-1 0,1 0 0,-1 0 0,1 0 0,0-1 0,0 0 0,0 0 0,0-1 0,1 1 0,-1-2 0,1 1 0,13 0 0,-1-2-151,0-1-1,0-1 0,0-1 0,0-1 1,0-1-1,-1 0 0,0-1 1,32-15-1,50-29-6674</inkml:trace>
  <inkml:trace contextRef="#ctx0" brushRef="#br0" timeOffset="11742.83">3052 9802 24575,'-12'0'0,"0"0"0,-1 0 0,1 1 0,0 0 0,-21 5 0,29-5 0,0 0 0,0 1 0,0 0 0,0 0 0,1 0 0,-1 0 0,1 0 0,-1 1 0,1 0 0,0 0 0,0 0 0,0 0 0,0 0 0,1 0 0,-1 1 0,1-1 0,-3 8 0,-1 2 0,1 0 0,0 1 0,1 0 0,0 0 0,2 1 0,-1-1 0,2 1 0,0-1 0,1 1 0,0-1 0,1 1 0,1-1 0,0 1 0,6 22 0,-5-29 0,-1 1 0,1-1 0,1 1 0,-1-1 0,1 0 0,1 0 0,-1-1 0,1 1 0,1-1 0,0 0 0,0 0 0,0-1 0,0 0 0,1 0 0,0 0 0,0-1 0,1 0 0,0-1 0,0 1 0,0-1 0,0-1 0,0 0 0,1 0 0,15 3 0,-16-5 0,-1 0 0,0 0 0,1-1 0,-1 0 0,1-1 0,-1 1 0,1-1 0,-1-1 0,0 1 0,0-1 0,1-1 0,-1 1 0,-1-1 0,1 0 0,7-5 0,-6 2 0,0-1 0,0 1 0,-1-1 0,0 0 0,0-1 0,-1 0 0,0 0 0,0 0 0,-1-1 0,5-9 0,2-11 0,-1 0 0,-2-1 0,0 0 0,-2 0 0,-2 0 0,3-41 0,-2-38 0,-5 0 0,-16-129 0,14 218 0,-1-1 0,-2 1 0,0 0 0,-10-29 0,10 42 0,0 12 0,2 6 0,1 0 0,1 0 0,0 1 0,0-1 0,1 0 0,1 1 0,4 15 0,-3-9 0,60 278 0,-49-247 0,2-1 0,2 0 0,47 87 0,-55-119-195,1 0 0,0-1 0,1 0 0,0-1 0,1 0 0,20 16 0,10-1-6631</inkml:trace>
  <inkml:trace contextRef="#ctx0" brushRef="#br0" timeOffset="12394.03">3412 10035 24575,'-1'0'0,"1"0"0,-1 0 0,1 0 0,0 0 0,-1 0 0,1 1 0,0-1 0,-1 0 0,1 0 0,0 0 0,-1 0 0,1 0 0,0 0 0,0 1 0,-1-1 0,1 0 0,0 0 0,-1 0 0,1 1 0,0-1 0,0 0 0,0 0 0,-1 1 0,1-1 0,0 0 0,0 1 0,0-1 0,0 0 0,-1 1 0,1-1 0,0 0 0,0 1 0,0-1 0,0 0 0,0 1 0,0-1 0,0 0 0,0 1 0,0-1 0,0 0 0,0 1 0,0-1 0,0 0 0,1 1 0,-1 0 0,0 0 0,0 0 0,1-1 0,-1 1 0,0 0 0,1-1 0,-1 1 0,1 0 0,-1-1 0,1 1 0,-1-1 0,1 1 0,-1 0 0,1-1 0,0 1 0,-1-1 0,1 0 0,0 1 0,-1-1 0,1 1 0,0-1 0,0 0 0,0 1 0,6-1 0,-1 1 0,0-1 0,1 1 0,-1-2 0,1 1 0,-1-1 0,0 0 0,1 0 0,6-3 0,59-24 0,-54 20 0,534-270 0,-522 260 0,-1-1 0,-1-2 0,33-30 0,-57 47 0,0 0 0,0 0 0,0 0 0,-1-1 0,0 0 0,0 1 0,0-1 0,0 0 0,-1-1 0,0 1 0,0 0 0,2-8 0,-4 10 0,0 1 0,0 0 0,0-1 0,0 1 0,0 0 0,0-1 0,-1 1 0,1 0 0,-1-1 0,0 1 0,0 0 0,0 0 0,0 0 0,0 0 0,0 0 0,0 0 0,0 0 0,-1 0 0,1 0 0,-1 1 0,0-1 0,1 0 0,-1 1 0,0-1 0,0 1 0,0 0 0,0 0 0,0 0 0,0 0 0,-5-2 0,-1 1 0,0 0 0,0 0 0,0 0 0,0 1 0,-1 1 0,1-1 0,0 1 0,-1 0 0,1 1 0,0 0 0,-1 1 0,1-1 0,0 2 0,0-1 0,0 1 0,1 0 0,-1 1 0,1-1 0,-1 2 0,1-1 0,0 1 0,1 0 0,-8 7 0,7-6 0,-1 0 0,1 1 0,0 0 0,1 1 0,0 0 0,0 0 0,1 0 0,0 0 0,0 1 0,1 0 0,0 0 0,0 0 0,1 0 0,0 1 0,1-1 0,0 1 0,1 0 0,0-1 0,0 16 0,2-19 0,1-1 0,-1 1 0,1-1 0,0 1 0,1-1 0,-1 0 0,1 0 0,0 0 0,0 0 0,1 0 0,-1-1 0,1 1 0,0-1 0,0 0 0,1-1 0,-1 1 0,1-1 0,0 1 0,0-1 0,0-1 0,9 5 0,0-1 0,1 0 0,0-1 0,0-1 0,0 0 0,1-1 0,29 2 0,-28-5 0,1 0 0,-1-2 0,0 0 0,1 0 0,-1-2 0,0 0 0,-1-1 0,1-1 0,-1 0 0,30-17 0,-36 17 0,-1 0 0,1 0 0,-1-1 0,-1 0 0,1-1 0,-2 0 0,1 0 0,-1-1 0,0 1 0,0-2 0,-1 1 0,-1-1 0,1 0 0,-2 0 0,1 0 0,-1-1 0,-1 1 0,3-13 0,-4 11 0,-1 0 0,0 0 0,-1 0 0,0 0 0,-3-18 0,3 27 0,0 0 0,0 1 0,-1-1 0,0 0 0,1 1 0,-1-1 0,0 0 0,0 1 0,0-1 0,-1 1 0,1 0 0,-1-1 0,1 1 0,-1 0 0,0 0 0,0 0 0,1 0 0,-2 0 0,1 0 0,0 0 0,0 1 0,-1-1 0,1 1 0,0 0 0,-1 0 0,1 0 0,-1 0 0,0 0 0,1 0 0,-5 0 0,3 1 0,0 1 0,-1 0 0,1 0 0,-1 0 0,1 0 0,0 0 0,0 1 0,0 0 0,0 0 0,0 0 0,0 0 0,1 1 0,-1 0 0,1-1 0,-1 1 0,1 1 0,0-1 0,-5 7 0,1-1 0,-1 1 0,2 0 0,-1 0 0,2 0 0,-10 23 0,13-29 0,1 0 0,0 0 0,0 0 0,0 0 0,0 1 0,0-1 0,1 0 0,0 1 0,0-1 0,0 0 0,1 1 0,-1-1 0,1 0 0,0 0 0,0 1 0,0-1 0,1 0 0,0 0 0,0 0 0,0-1 0,0 1 0,0 0 0,4 4 0,-2-4 0,1 0 0,-1 0 0,1-1 0,0 1 0,0-1 0,1 0 0,-1 0 0,0-1 0,1 0 0,0 0 0,0 0 0,-1 0 0,1-1 0,0 0 0,0 0 0,8-1 0,-7 1 0,0-1 0,0 0 0,0-1 0,-1 0 0,1 0 0,0 0 0,0-1 0,-1 0 0,1-1 0,-1 1 0,1-1 0,-1 0 0,0-1 0,0 1 0,7-7 0,-5 3 0,-1-1 0,0 1 0,0-2 0,0 1 0,-1-1 0,-1 0 0,1 0 0,-1 0 0,4-12 0,1-10 0,0 0 0,-3-1 0,0 0 0,-2 0 0,2-53 0,-6 21 0,-2 0 0,-3 0 0,-3 0 0,-2 1 0,-3 0 0,-31-92 0,13 81 0,28 69 0,0 0 0,-1 0 0,0 0 0,0 1 0,-1-1 0,1 1 0,-1 0 0,0 0 0,0 0 0,-8-5 0,11 8 0,0 0 0,0 1 0,0-1 0,0 1 0,0-1 0,0 1 0,0 0 0,0-1 0,-1 1 0,1 0 0,0 0 0,0 0 0,0 0 0,0 0 0,0 0 0,0 0 0,-1 0 0,1 0 0,0 1 0,0-1 0,0 0 0,0 1 0,0-1 0,0 1 0,0-1 0,0 1 0,0-1 0,0 1 0,0 0 0,0-1 0,1 1 0,-1 0 0,0 0 0,0 0 0,1 0 0,-1 0 0,0 0 0,0 1 0,-3 5 0,1 0 0,0 0 0,1 0 0,-4 15 0,-2 20 0,1 1 0,3-1 0,1 1 0,2 0 0,3 0 0,1 0 0,1 0 0,3 0 0,2-1 0,22 66 0,-23-85 0,2 0 0,0-1 0,2-1 0,0 0 0,1 0 0,19 22 0,-20-30 0,1 1 0,0-1 0,1-1 0,0-1 0,1 0 0,0 0 0,1-2 0,30 14 0,-18-12-455,1-1 0,36 8 0,53 2-6371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2.0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811 0 8192,'46'4'12389,"-2"7"-6443,2 10-4534,-36-14-1780,-1-1 1,1 1-1,-1 0 1,-1 1-1,1 0 0,-1 1 1,-1 0-1,8 11 0,8 18 1952,-11-7-1584,-2 1 0,-1 0 0,-1 0 0,-1 1 0,1 37 0,1-9 0,42 223-6491,12 82-4920,-41-117 11291,-19 482 120,-5-407 0,-35 343 0,27-544 0,-24 262 0,-26-3 0,23-209 0,-110 655 0,128-652 0,-21 332 0,43 372 8839,-1-803-7925,3 0 0,4-1 0,3 1-1,24 79 1,-26-124 12,2-2 0,1 1 0,1-2 0,36 55 0,-15-35-934,74 80 0,-95-114 8,0-1 0,1-1 0,1 0 0,0-1 0,0-1 0,26 13 0,-31-19 0,1 0 0,0 0 0,0-2 0,0 1 0,1-2 0,-1 1 0,0-2 0,1 0 0,0 0 0,-1-1 0,17-2 0,-21 0 0,0 0 0,0-1 0,-1 0 0,1 0 0,-1 0 0,0-1 0,0 0 0,0-1 0,0 0 0,-1 0 0,1 0 0,-1 0 0,-1-1 0,1 0 0,8-13 0,-2 2 0,-1-1 0,0 1 0,-1-2 0,-1 1 0,8-25 0,-15 36 0,0-1 0,-1 1 0,1 0 0,-1-1 0,-1 1 0,1-1 0,-2-10 0,1 17 0,0-1 0,0 1 0,0-1 0,-1 1 0,1 0 0,0-1 0,-1 1 0,1 0 0,-1 0 0,1-1 0,-1 1 0,0 0 0,1 0 0,-1 0 0,0 0 0,0-1 0,0 1 0,0 0 0,0 1 0,0-1 0,0 0 0,0 0 0,0 0 0,-1 1 0,1-1 0,0 0 0,0 1 0,-1-1 0,1 1 0,0 0 0,-1-1 0,1 1 0,0 0 0,-1 0 0,1 0 0,0 0 0,-1 0 0,1 0 0,-1 0 0,1 1 0,0-1 0,-1 0 0,1 1 0,0-1 0,-1 1 0,1-1 0,0 1 0,-2 1 0,-6 2 0,0 1 0,0 1 0,0-1 0,1 2 0,-1-1 0,2 1 0,-1 0 0,1 1 0,0 0 0,-9 13 0,-4 8 0,-30 57 0,37-57-63,1 0 1,1 1 0,1 0-1,-9 52 1,-7 129-4750,13-92-230,-5 59-2098,9-47 6782,10 153 0,63 356 358,-35-391 0,-21-185 0,33 443 0,-54 46 0,3-455 0,-4-1 0,-5 0 0,-49 151 0,48-189 0,-2-1 0,-4-1 0,-1-1 0,-3-2 0,-2-1 0,-67 83 0,77-109 714,-2-2 0,-1 0 0,-1-2-1,-36 26 1,45-38 620,-1-1-1,0 0 0,-1-1 0,0-1 0,0-1 0,-1 0 0,0-2 1,-32 5-1,-53-1-538,0-4 1,-108-10 0,163 3-729,-126-16-67,99 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5.7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642 149 8192,'-15'-22'15062,"14"18"-14176,-5-12 1188,1 11-2074,1 0 0,-1 0 0,1 1 0,-1 0 0,-1 0 0,1 0 0,0 0 0,-1 1 0,0 0 0,0 0 0,-9-3 0,-11-2 0,-40-7 0,21 5 0,21 3 0,-1 2 0,0 0 0,-39-1 0,56 6 0,1 0 0,-1 0 0,1 1 0,-1 0 0,1 0 0,0 1 0,-1 0 0,1 0 0,0 1 0,0 0 0,0 0 0,1 1 0,-1-1 0,1 2 0,0-1 0,-8 7 0,0 5-287,0 0 0,2 1 0,-1 1 0,2 0 1,0 1-1,-12 30 0,-3 23-6957,9 0-28,15-54 6820,0 0 1,1 0 0,1 0 0,3 30-1,-1-39 593,-1 0 0,1 0 0,1 0 0,0 0 0,0 0 0,1-1-1,0 0 1,6 11 0,-6-14-177,-1 0-1,1-1 1,0 1 0,1-1-1,-1 0 1,1 0-1,0-1 1,-1 1 0,2-1-1,-1 0 1,0 0 0,1-1-1,9 4 1,84 16 36,-68-16 0,55 17 0,-60-14 0,0 0 0,0-2 0,1-1 0,-1-2 0,29 2 0,-43-5 0,0-1 0,0 0 0,-1-1 0,1-1 0,0 0 0,0 0 0,-1-1 0,1-1 0,-1 0 0,0 0 0,0-1 0,-1-1 0,19-12 0,-23 13 0,-1 0 0,0 0 0,0-1 0,0 0 0,0 0 0,-1 0 0,0 0 0,0-1 0,-1 0 0,0 0 0,0 0 0,-1 0 0,1 0 0,-2 0 0,1-1 0,-1 1 0,1-11 0,-1-13 0,-1-1 0,-7-56 0,5 61 0,0 4 0,-1 1 0,-1-1 0,0 1 0,-2 1 0,-11-29 0,1 16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7.0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421 653 8192,'-1'-8'2370,"1"1"0,-1-1 0,0 0 0,-4-12-1,2 11-1052,-1-1 0,0 1 1,-7-13-1,6 15-1264,1-1 0,-1 1 0,-1 0 0,1 0 0,-1 0 1,-1 1-1,1 0 0,-1 0 0,0 1 0,0-1 1,-1 2-1,1-1 0,-1 1 0,0 0 0,0 1 0,-10-3 1,15 5-49,-1 0 1,1 1 0,-1 0 0,0-1-1,1 1 1,-1 1 0,1-1 0,-1 0-1,1 1 1,-1 0 0,1 0 0,-1 0 0,1 0-1,0 1 1,-5 1 0,3 1-47,-1 0 0,1 0 0,-1 0-1,1 1 1,0-1 0,1 1 0,-7 9 0,-3 7-519,1 0 0,2 1 1,-14 32-1,4-1-338,2 1 1,-20 99-1,31-110-2361,2 1 1,1 48 0,4-83 3087,1 1 0,1 0 0,0-1 1,0 1-1,1 0 0,0-1 1,1 1-1,0-1 0,5 11 1,-6-17 113,0 1 0,0-1-1,1 0 1,-1 1 0,1-1 0,0 0 0,0 0 0,0-1 0,0 1 0,0-1-1,1 1 1,-1-1 0,1 0 0,-1 0 0,1-1 0,0 1 0,0-1 0,0 0-1,0 0 1,0 0 0,0 0 0,0-1 0,6 1 0,-1-1 57,0-1 0,0 0 0,-1 0 0,1-1 0,0 0 0,-1-1 0,1 0 0,-1 0 0,0 0 0,0-1 0,0-1 0,-1 1 0,1-1 0,-1 0 0,0-1 0,0 0 0,-1 0 0,9-10 0,-1-2 0,-1 1 0,0-2 0,-1 0 0,-1 0 0,-1-1 0,9-27 0,-2-4 0,-2 0 0,-3-1 0,-2-1 0,5-94 0,-11 45 0,-15-151 0,-2 172 0,5 60 0,8 21 0,-1 0 0,1 0 0,0 0 0,0-1 0,0 1 0,0 0 0,0 0 0,0 0 0,-1 0 0,1-1 0,0 1 0,0 0 0,0 0 0,0 0 0,-1 0 0,1 0 0,0 0 0,0 0 0,0 0 0,-1 0 0,1-1 0,0 1 0,0 0 0,0 0 0,-1 0 0,1 0 0,0 0 0,0 0 0,0 0 0,-1 0 0,1 0 0,0 1 0,0-1 0,0 0 0,-1 0 0,1 0 0,0 0 0,0 0 0,0 0 0,0 0 0,-1 0 0,1 1 0,-2 1 0,1 1 0,-1 0 0,1 0 0,0 0 0,0 0 0,0 0 0,0 0 0,0 0 0,0 3 0,-6 38 0,3 0 0,1 0 0,2 0 0,2 1 0,2-1 0,2 0 0,2 0 0,2-1 0,1 0 0,3 0 0,23 53 0,-27-76 0,1 0 0,1-1 0,1 0 0,1-1 0,0 0 0,2-1 0,0-1 0,0 0 0,2-1 0,0-1 0,0-1 0,25 15 0,-28-20 0,0-1 0,1 0 0,0-1 0,0-1 0,1 0 0,0-1 0,-1-1 0,1 0 0,1-1 0,-1-1 0,0 0 0,0-1 0,0-1 0,0-1 0,1 0 0,-2-1 0,22-7 0,-22 5 0,-1-1 0,0-1 0,0 0 0,-1-1 0,0-1 0,0 0 0,-1 0 0,0-1 0,-1-1 0,0 0 0,-1-1 0,0 0 0,-1 0 0,0-1 0,-1 0 0,0-1 0,10-25 0,-12 26 0,-2 0 0,1 0 0,-2 0 0,0-1 0,0 1 0,-1-1 0,-1 0 0,0 0 0,-1 1 0,-1-1 0,0 0 0,0 0 0,-2 1 0,0-1 0,0 1 0,-1-1 0,-1 1 0,0 0 0,-1 1 0,-7-13 0,9 20 175,0-1 1,0 1-1,0 0 0,0 0 1,-1 0-1,0 1 1,0-1-1,0 1 1,0 1-1,-11-7 1,14 9 45,-1 0 0,1 0 1,-1 1-1,0-1 1,1 0-1,-1 1 1,0 0-1,1-1 1,-1 1-1,0 0 1,0 0-1,1 1 1,-1-1-1,0 1 1,1-1-1,-1 1 1,0 0-1,1 0 1,-1 0-1,1 0 0,0 0 1,-1 1-1,1-1 1,0 1-1,0-1 1,0 1-1,0 0 1,-3 2-1,-2 5 373,0 1-1,0-1 1,0 1-1,1 0 1,1 1 0,0-1-1,0 1 1,1 0-1,1 0 1,0 1-1,0-1 1,1 1-1,-1 12 1,1-4-400,2 1 0,0-1 1,1 0-1,0 1 0,2-1 0,9 35 1,-9-44-195,1-1 0,0 0 0,1 0 0,0 0 0,0 0 0,1-1 0,0 0 0,1 0 0,0 0 0,0-1 0,1 0 0,0 0 0,0-1 0,1 0 0,14 8 0,-11-8 0,0-1 0,1-1 0,0 0 0,0-1 0,0 0 0,0-1 0,1 0 0,-1-1 0,1-1 0,0 0 0,0 0 0,15-3 0,-10 0-197,0-1 0,0-1 0,0-1 0,0 0 0,-1-2 0,0 0 0,0-1 0,-1 0 0,0-2 0,0 0 0,-1-1 0,-1 0 0,1-1 0,-2-1 0,20-22 0,-17 15-828,-1-1 0,-1 0 0,-1-1 0,-1 0 0,0-2 0,-2 1 1,-1-1-1,-1-1 0,-1 0 0,-1 0 0,4-28 0,-5 12-62,2-74 0,-8 104 1095,0 0 0,-1 0 0,0 0 0,0 0 1,-1 0-1,-1 1 0,0-1 0,0 1 0,-1 0 1,-1 0-1,-9-18 0,13 27 1,1 0 0,-1 0 1,0 0-1,1 0 0,-1 0 0,0 0 0,0 0 1,0 0-1,1 1 0,-1-1 0,0 0 1,0 1-1,0-1 0,0 1 0,0-1 0,0 1 1,0-1-1,-1 1 0,1-1 0,0 1 1,0 0-1,0 0 0,0 0 0,0 0 1,-1 0-1,1 0 0,0 0 0,0 0 0,0 0 1,0 0-1,0 0 0,-1 1 0,1-1 1,0 1-1,0-1 0,0 1 0,0-1 0,0 1 1,0-1-1,0 1 0,0 0 0,0-1 1,1 1-1,-1 0 0,0 0 0,0 0 0,1 0 1,-2 1-1,-3 5-74,1-1 1,0 1-1,0 1 0,0-1 1,-4 15-1,0 5 904,0 1 0,-3 30-1,7-18-1248,1-1 0,2 1 0,1 0 0,3 0 0,8 46 0,11 9 2976,-19-83-2731,1 0 0,1-1-1,0 1 1,1-1 0,0 0-1,0 0 1,1-1 0,17 19-1,-19-24 84,0 0 1,1 0-1,0-1 0,0 1 0,0-1 1,1-1-1,-1 1 0,1-1 0,0 0 0,0-1 1,0 1-1,0-2 0,0 1 0,0-1 1,15 1-1,26-4 82</inkml:trace>
  <inkml:trace contextRef="#ctx0" brushRef="#br0" timeOffset="359.26">1564 717 8192,'2'3'310,"1"-1"0,0 1 0,1-1 0,-1 0 0,0 0 0,1 0 1,-1-1-1,1 1 0,3 0 0,6 1-197,-1 0 1,1-1-1,15 0 0,-9 0 603,15 1 1129,0-2 0,0-1 1,0-2-1,0-1 1,41-9-1,-52 6-1043,0 0-1,-1-2 1,28-13-1,-35 14-889,0-2 1,-1 1-1,0-2 0,-1 0 0,16-15 1,-24 21 87,-1-1 0,0 0 0,0 0 0,0 0 0,0 0 0,-1 0 0,0-1 0,0 1 0,0-1 0,-1 0 0,0 0 0,0 0 0,0 0 0,-1 0 0,0-1 0,0 1 0,0-9 0,-2 10 0,0 0 0,0 0 0,0 0 0,0 0 0,-1 0 0,1 1 0,-1-1 0,0 0 0,-1 1 0,1-1 0,-1 1 0,0 0 0,0 0 0,-1 0 0,1 0 0,-1 0 0,1 1 0,-1 0 0,0 0 0,-1 0 0,-7-4 0,9 5 0,0 0 0,0 0 0,0 1 0,-1-1 0,1 1 0,-1 0 0,1 0 0,-1 0 0,1 0 0,-1 1 0,1-1 0,-1 1 0,1 0 0,-1 0 0,0 0 0,1 1 0,-1-1 0,1 1 0,-1 0 0,1 0 0,-1 0 0,1 1 0,-5 1 0,4 0 0,0 0 0,0 1 0,1-1 0,-1 1 0,1-1 0,0 1 0,0 0 0,0 1 0,0-1 0,1 0 0,-1 1 0,1-1 0,0 1 0,1 0 0,-1 0 0,-1 6 0,2-4 0,0 0 0,0 0 0,0 1 0,1-1 0,0 0 0,0 0 0,0 0 0,1 0 0,0 0 0,1 0 0,0 0 0,0 0 0,0 0 0,1 0 0,0-1 0,7 12 0,-5-11 0,1 0 0,-1-1 0,1 1 0,0-1 0,1-1 0,0 1 0,-1-1 0,2 0 0,-1-1 0,0 0 0,1 0 0,0 0 0,0-1 0,9 2 0,1 0-321,1-1 0,1-1 0,-1-1 1,0 0-1,39-3 0,-9-4-395,55-12 1,-1-6 715</inkml:trace>
  <inkml:trace contextRef="#ctx0" brushRef="#br0" timeOffset="778.6">2770 378 8192,'-45'2'12937,"6"5"-8239,34-6-4676,1 1-1,1 0 1,-1 0-1,0 0 1,0 0-1,1 1 0,-1-1 1,1 1-1,0 0 1,0 0-1,0 0 1,0 0-1,0 0 1,1 1-1,-1 0 1,1-1-1,-3 7 1,-1 5-22,1 1 0,0-1 0,1 1 0,1 0 0,0 0 0,1 0 0,1 0 0,0 1 0,1-1 0,4 28 0,-3-39 0,0-1 0,0 1 0,1 0 0,-1 0 0,1-1 0,0 1 0,0-1 0,1 1 0,-1-1 0,1 0 0,0 0 0,0 0 0,1-1 0,-1 1 0,1-1 0,0 1 0,0-1 0,0 0 0,0-1 0,0 1 0,0-1 0,1 0 0,0 0 0,-1 0 0,1 0 0,0-1 0,0 0 0,-1 0 0,1 0 0,0-1 0,8 0 0,-1 1 0,1-2 0,-1 1 0,0-2 0,0 0 0,0 0 0,0-1 0,0 0 0,-1-1 0,1-1 0,-1 0 0,20-12 0,-22 10-28,0 0 0,-1-1 0,0 0 0,0-1 0,-1 0 0,0 0 0,0-1 0,-1 1 0,0-1 0,-1-1 0,0 1 0,-1-1 0,0 0 0,-1 0 1,0 0-1,2-17 0,0-12-921,-1-1 0,-2 0 0,-4-52 1,-1 43-2102,-15-75 0,17 117 1826,-1 0-1,-1 1 1,1-1 0,-7-13-1,9 21 1196,-1-1 0,1 1 0,0-1 0,0 1 0,0-1 0,0 1 0,0-1 0,-1 1 0,1-1 0,0 1 0,0-1 0,-1 1 0,1 0 0,0-1 0,-1 1 0,1 0 0,0-1 0,-1 1 0,1 0 0,-1-1 0,1 1 0,0 0 0,-1 0 0,1-1 0,-1 1 0,1 0 0,-1 0 0,1 0 0,-1 0 0,1 0 0,-1-1 0,1 1 0,-1 0 0,1 0 0,-1 0 0,1 0 0,-1 1 0,1-1 0,-1 0 0,1 0 0,-1 0-1,1 0 1,-1 0 0,1 1 0,-1-1 0,1 0 0,0 0 0,-1 1 0,1-1 0,-1 0 0,1 1 0,0-1 0,-1 0 0,1 1 0,0-1 0,-1 1 0,-10 30 153,7-3-124,1 0 0,2 0 0,0 0 0,7 51 0,3-15 0,19 63 0,-22-102 0,2-1 0,1 0 0,1 0 0,0-1 0,2-1 0,1 0 0,1-1 0,16 21 0,-22-33 0,1 1 0,0-2 0,1 1 0,0-1 0,0 0 0,0-1 0,21 11 0,-23-15 0,0 0 0,0 0 0,1 0 0,-1-1 0,0-1 0,1 1 0,0-1 0,-1-1 0,1 1 0,0-2 0,-1 1 0,13-3 0,12-6 0</inkml:trace>
  <inkml:trace contextRef="#ctx0" brushRef="#br0" timeOffset="905.98">3109 568 8192,'3'-7'3356,"9"-2"-3356,13-8 5996,16-7-5996,20-7 7459,21-5-7459,10-4 0,-9 4 0</inkml:trace>
  <inkml:trace contextRef="#ctx0" brushRef="#br0" timeOffset="1498.72">4442 314 8192,'5'-6'2077,"1"0"1,-1-1-1,0 0 1,6-11-1,-3 2-47,0-2 1,8-24-1,-14 35-1926,0 0 0,-1 0 0,0 0 0,0 0 0,0 0 0,-1 0 0,0 0 0,0-1 0,-1 1 0,0 0 0,0 0 1,0 0-1,-1 0 0,0 1 0,-4-9 0,3 10-110,0 0 0,0 0 1,0 1-1,0-1 0,-1 1 0,1 0 0,-1 0 1,0 0-1,-1 1 0,1-1 0,-1 1 1,1 0-1,-1 0 0,0 1 0,0-1 0,0 1 1,-1 0-1,1 1 0,0-1 0,-8 0 1,4 1 5,1 0 0,-1 0 0,1 1 0,-1 0 0,1 1 0,-1 0 0,1 0 0,-1 1 0,1 0 0,0 0 0,0 1 0,0 0 0,0 0 0,0 1 0,1 0 0,0 1 0,0 0 0,0 0 0,0 0 0,1 1 0,-1-1 0,2 2 0,-1-1 0,1 1 0,0 0 0,-5 7 0,-1 4 0,1 1 0,1 0 0,0 1 0,2 0 0,0 0 0,1 1 0,1 0 0,1 0 0,-2 31 0,6-45 0,-1-1 0,1 1 0,1-1 0,-1 1 0,1-1 0,0 0 0,0 1 0,1-1 0,0 0 0,0 0 0,1 0 0,-1 0 0,1 0 0,0-1 0,1 1 0,6 8 0,-5-9 0,1 0 0,-1-1 0,1 0 0,-1 0 0,1 0 0,0-1 0,1 1 0,-1-1 0,1-1 0,-1 1 0,1-1 0,0-1 0,0 1 0,0-1 0,8 1 0,-6-2 28,0 0 1,0 0 0,0 0-1,-1-1 1,1-1 0,0 0 0,0 0-1,-1 0 1,1-1 0,-1-1-1,0 1 1,0-1 0,0 0 0,0-1-1,7-6 1,-6 4-252,0-1-1,0 0 0,-1 0 1,-1-1-1,13-17 1,-13 16-867,-2 0 0,1-1 0,4-12 1,17 60-11692,-23-28 12781,0 0 0,1 1 0,0-1 0,1-1 0,-1 1 0,2-1 0,-1 0 0,1 0 0,0-1 0,1 0 0,0 0 0,0-1 0,0 0 0,1 0 0,0-1 0,0 0 0,1-1 0,-1 0 0,1 0 0,0-1 0,0 0 0,0-1 0,0 0 0,0 0 0,11-1 0,10 0 0,1-2 0,0-1 0,0-1 0,-1-2 0,0-1 0,0-1 0,41-16 0,8-8 0</inkml:trace>
  <inkml:trace contextRef="#ctx0" brushRef="#br0" timeOffset="2498.29">950 2791 8192,'16'-17'702,"0"-2"0,-1 0 1,-1-1-1,-1 0 0,16-35 1,-16 27 2135,-1-1 1,-2 0-1,13-57 1,-21 74-2425,0-1 0,-1 1-1,0 0 1,-2-23 0,1 32-400,0 0 0,-1 0-1,1 1 1,0-1 0,-1 0 0,0 0-1,0 1 1,0-1 0,0 0 0,0 1-1,0-1 1,-1 1 0,1 0-1,-1-1 1,0 1 0,1 0 0,-1 0-1,0 0 1,0 0 0,-1 0 0,1 1-1,0-1 1,0 1 0,-1-1-1,1 1 1,-1 0 0,-2-1 0,3 2-14,1-1 0,-1 1 0,1 0 0,-1 0 0,1 0 0,-1 0 0,1 0 0,-1 1 0,1-1 0,0 0 0,-1 1 0,1-1 0,-1 1 0,1-1 0,0 1 0,-1 0 0,1-1 0,0 1 0,0 0 0,-1 0 0,0 2 0,-2 0 0,1 1 0,0-1 0,0 1 0,1 0 0,-1 0 0,-2 6 0,-2 9-13,0 0-1,1 1 1,1-1 0,1 1 0,0 0 0,2 1 0,-1 33 0,16 151-2475,-12-197 2284,70 639-7594,-68-607 6258,35 251-4145,-30-267 5475,-7-26 210,-1 1 1,1 0-1,0-1 1,-1 1-1,1-1 1,-1 1-1,1-1 1,-1 1-1,0 0 1,0-1 0,0 1-1,0-1 1,0 1-1,0-3 1,5-290-1,-5 86 0,22-170 0,-12 298 0,3 1 0,38-129 0,-41 178 0,1 0 0,28-54 0,-35 77 0,1-1 0,-1 1 0,1 0 0,1 0 0,-1 1 0,1-1 0,1 1 0,-1 1 0,1-1 0,0 1 0,0 0 0,0 1 0,1-1 0,-1 1 0,11-3 0,-14 6 0,1 0 0,0 0 0,0 1 0,-1-1 0,1 1 0,0 0 0,0 0 0,0 1 0,-1 0 0,1-1 0,0 1 0,-1 1 0,1-1 0,-1 1 0,1 0 0,-1 0 0,0 0 0,1 1 0,-1-1 0,0 1 0,-1 0 0,1 0 0,0 0 0,-1 1 0,6 6 0,1 3 0,-1 1 0,0 0 0,0 0 0,-2 0 0,1 1 0,5 20 0,-8-22 0,-1-1 0,-1 1 0,0-1 0,-1 1 0,0 0 0,-1 0 0,-1 0 0,0 0 0,0 0 0,-1 0 0,-1 0 0,0 0 0,-1 0 0,-1 0 0,0-1 0,0 0 0,-1 0 0,-1 0 0,0 0 0,0-1 0,-1 0 0,-1 0 0,0-1 0,0 0 0,-1 0 0,0-1 0,-1 0 0,-12 8 0,0 0-62,-1-2 0,-44 23 0,58-34 334,0 1-1,-1-1 0,0-1 0,0 0 0,0-1 0,0 1 0,0-2 0,0 0 0,0 0 0,-16-1 0,-8-8 289</inkml:trace>
  <inkml:trace contextRef="#ctx0" brushRef="#br0" timeOffset="3388.56">2114 2600 8192,'-1'-10'1413,"0"0"-1,0 0 1,-1 0 0,0 0 0,0 1-1,-1-1 1,-4-9 0,0 5-326,0 0-1,0 1 1,-1 0 0,-13-15 0,11 15-959,-1 1 1,-1 0-1,0 0 1,0 1 0,-1 1-1,-1 0 1,1 1-1,-2 1 1,-17-9 0,29 16-131,0-1 1,-1 1-1,0 0 0,1 0 1,-1 0-1,0 0 1,1 1-1,-1-1 1,0 1-1,0 0 1,0 0-1,1 0 1,-1 1-1,0-1 1,0 1-1,1 0 1,-1 0-1,-5 3 0,5-2 8,0 1-1,0 0 0,0 0 0,1 0 0,0 0 1,-1 0-1,1 1 0,0 0 0,1 0 0,-1-1 0,1 1 1,0 1-1,-2 4 0,-3 10-95,0 1 1,2 0-1,1 0 0,0 1 0,-1 31 0,4-30-725,0-1 0,1 1 0,1-1 0,6 32 0,-6-47 297,0 0-1,0 0 1,1 0 0,0-1 0,0 1 0,1-1 0,0 1 0,0-1 0,0 0 0,0 0 0,1 0 0,0 0 0,0-1 0,0 0 0,0 0 0,1 0 0,0 0 0,0 0-1,0-1 1,10 5 0,-8-5 408,1-1 0,-1 1-1,1-1 1,0-1 0,0 0-1,-1 0 1,1 0 0,0-1-1,0 0 1,0-1 0,0 0-1,0 0 1,0-1 0,-1 1-1,1-2 1,-1 1-1,1-1 1,-1 0 0,0-1-1,0 0 1,0 0 0,-1 0-1,1-1 1,-1 0 0,0 0-1,6-7 1,-4 4 261,-1-1-1,0 0 1,0 0-1,0-1 1,-2 1-1,1-1 1,-1-1-1,0 1 1,-1-1-1,-1 0 1,1 0-1,-2 0 1,1 0-1,-2 0 1,0-1-1,0 1 1,-1-19-1,0 28-137,0 0 0,-1 0 0,1 0-1,0 0 1,-1 0 0,1 0 0,-1 0 0,0 0-1,0 0 1,0 0 0,0 0 0,0 1-1,0-1 1,0 0 0,0 1 0,-1-1 0,1 1-1,0-1 1,-4-1 0,5 3 8,-1 0 0,1-1-1,-1 1 1,1 0 0,-1 0 0,0 0-1,1 0 1,-1 0 0,0 0 0,1 0-1,-1 0 1,1 0 0,-1 0 0,0 0-1,1 0 1,-1 0 0,1 0 0,-1 1-1,0-1 1,1 0 0,-1 0 0,1 1-1,-1-1 1,-1 2-197,1-1 0,-1 0 0,1 1 0,0-1 1,0 1-1,0-1 0,0 1 0,0 0 0,0-1 0,0 1 0,-1 2 0,1 1 226,-1-1 0,1 1 1,0 0-1,0-1 0,0 1 0,1 0 0,-1 0 0,1 0 1,0 0-1,1-1 0,-1 1 0,1 0 0,0 0 1,0-1-1,1 1 0,-1 0 0,1-1 0,0 1 0,0-1 1,0 0-1,1 0 0,0 0 0,0 0 0,0 0 0,0-1 1,0 1-1,1-1 0,-1 0 0,1 0 0,0 0 0,7 4 1,-1-1 81,0 0 0,0-1 0,1-1 1,0 1-1,-1-2 0,1 0 1,1 0-1,-1-1 0,0 0 1,0-1-1,1 0 0,19-1 1,-22-1 586,1-1 1,-1 0 0,1 0 0,-1-1 0,0 0-1,0 0 1,0-1 0,-1-1 0,1 1 0,-1-1 0,0-1-1,0 1 1,8-9 0,-7 5-448,0-2 0,0 1 0,-1-1 0,0 0 1,-1-1-1,0 0 0,-1 0 0,7-19 0,-4 3-425,-1-1 0,-1 0 1,-2-1-1,-1 0 0,-1 1 0,-2-1 0,-3-52 1,2 72-1098,-1 0 0,0 1 0,-1-1 0,0 1 0,0-1 0,-1 1 1,-5-10-1,8 18 1170,0 1 0,0 0 0,0 0 0,0-1 0,0 1 1,0 0-1,0 0 0,0 0 0,0-1 0,-1 1 0,1 0 1,0 0-1,0 0 0,0-1 0,0 1 0,-1 0 0,1 0 0,0 0 1,0 0-1,-1-1 0,1 1 0,0 0 0,0 0 0,0 0 1,-1 0-1,1 0 0,0 0 0,0 0 0,-1 0 0,1 0 0,0 0 1,0 0-1,-1 0 0,1 0 0,0 0 0,-1 0 0,1 0 1,0 0-1,0 0 0,-1 0 0,1 0 0,0 0 0,0 0 0,0 0 1,-1 1-1,1-1 0,0 0 0,0 0 0,-1 0 0,1 0 1,0 1-1,0-1 0,0 0 0,0 0 0,-1 0 0,1 1 0,0-1 1,0 0-1,0 0 0,0 0 0,0 1 0,0-1 0,0 0 1,0 1-1,0-1 0,0 1 0,-6 19-145,2 1 225,2 0 0,0 0 0,2 1 0,0-1 0,1 0 0,1 0 0,1 0 0,12 40 0,-11-48 0,0 0 0,1 0 0,1-1 0,0 0 0,1 0 0,0-1 0,1 1 0,0-2 0,1 1 0,0-1 0,1-1 0,0 1 0,0-2 0,1 1 0,13 7 0,-11-9 0,0 0 0,1-1 0,-1-1 0,1 0 0,1 0 0,-1-2 0,0 0 0,1 0 0,0-1 0,-1-1 0,27-1 0,-32-1 0,0 0 0,1-1 0,-1 0 0,0-1 0,0 1 0,-1-1 0,1-1 0,-1 0 0,1 0 0,-1-1 0,-1 0 0,1 0 0,-1-1 0,1 0 0,-2 0 0,1-1 0,-1 0 0,0 0 0,10-15 0,-8 7 0,0-1 0,-1-1 0,0 1 0,-1-1 0,-1 0 0,-1-1 0,-1 1 0,3-36 0,-4-10 0,-7-74 0,4 111 0,-2-28 0,1-6 0,-18-99 0,8 119 0,11 40 0,1 0 0,0-1 0,0 1 0,0 0 0,0 0 0,0 0 0,0-1 0,0 1 0,0 0 0,-1 0 0,1 0 0,0-1 0,0 1 0,0 0 0,0 0 0,-1 0 0,1 0 0,0-1 0,0 1 0,0 0 0,-1 0 0,1 0 0,0 0 0,0 0 0,0 0 0,-1 0 0,1 0 0,0 0 0,0 0 0,-1-1 0,1 1 0,0 0 0,0 1 0,-1-1 0,1 0 0,0 0 0,0 0 0,-1 0 0,1 0 0,0 0 0,0 0 0,0 0 0,-1 0 0,1 0 0,0 0 0,0 1 0,0-1 0,-1 0 0,1 0 0,0 0 0,0 0 0,0 1 0,0-1 0,-1 0 0,1 0 0,0 0 0,0 1 0,0-1 0,0 0 0,0 0 0,0 1 0,0-1 0,0 0 0,0 0 0,0 1 0,0-1 0,-4 11 0,1 0 0,1 0 0,0 0 0,1 1 0,0-1 0,0 12 0,0-4 0,-2 246 0,6-218 0,1 0 0,3 0 0,20 73 0,-23-104 0,2 0 0,0 0 0,12 19 0,-14-28 0,0-1 0,0 0 0,1 0 0,-1 0 0,1-1 0,1 0 0,-1 0 0,1 0 0,10 6 0,15 4 0</inkml:trace>
  <inkml:trace contextRef="#ctx0" brushRef="#br0" timeOffset="4400.82">2283 2516 8192,'195'-8'11415,"0"-19"-5583,-6-17-4818,-8-19-4050,-155 52 2262,1-1-1,-1-2 1,26-18 0,-43 26-41,-1 0 0,0-1 0,0 0 0,-1 0 0,1-1 0,-2 1 0,1-2 0,-1 1 0,0-1 0,-1 0 0,8-17 0,-12 22 616,0 0 0,0 0 0,-1 0 1,1 0-1,-1 0 0,0 0 0,0 0 1,0 0-1,-1 0 0,1 0 0,-2-4 1,1 7 199,1-1 0,0 1-1,0 0 1,-1 0 0,1 0 0,0 0 0,-1 0 0,0 0 0,1 0 0,-1 0-1,1 0 1,-1 0 0,0 0 0,0 1 0,1-1 0,-1 0 0,0 0 0,0 1-1,0-1 1,0 0 0,0 1 0,0-1 0,0 1 0,0-1 0,0 1 0,0 0 0,0-1-1,0 1 1,0 0 0,-1 0 0,1 0 0,0 0 0,0 0 0,0 0 0,0 0-1,0 0 1,0 0 0,-1 0 0,1 1 0,0-1 0,-2 1 0,1 0 73,0 1 1,0-1 0,0 0 0,0 1-1,0 0 1,0-1 0,0 1-1,1 0 1,-1 0 0,1 0-1,-1 0 1,1 0 0,0 0 0,0 0-1,0 1 1,0-1 0,0 0-1,0 1 1,1-1 0,-1 1-1,1-1 1,-1 0 0,1 1 0,0-1-1,0 1 1,0 2 0,1 0 377,-1 0 1,0-1-1,1 1 1,0-1-1,0 1 1,0-1-1,1 1 1,-1-1 0,1 1-1,0-1 1,0 0-1,1 0 1,3 5-1,0-3 269,0-1 0,0 1-1,1-1 1,0 0-1,0-1 1,0 0 0,10 5-1,-3-4-358,0 0-1,0 0 1,22 3-1,-1-3-1064,1-1 1,52-2-1,-69-2-151,0-1 0,0-1 0,-1 0 0,32-8 0,-45 8 437,0 0-1,0 1 1,0-1-1,0-1 1,-1 1-1,1-1 1,-1 0-1,0 0 1,0 0-1,0 0 1,0-1-1,0 0 1,-1 0-1,1 0 0,-1 0 1,0 0-1,-1-1 1,1 1-1,-1-1 1,1 0-1,2-9 1,-3 5 417,0 0 0,-1 1 0,0-1 0,0 0 0,-1 0 0,0 0 0,-1 0 0,0 1 0,-3-16 0,3 21 0,1 0 0,-1 0 0,0 0 0,0 0 0,-1 0 0,1 0 0,-1 1 0,1-1 0,-1 0 0,0 1 0,0-1 0,0 1 0,0 0 0,-1-1 0,1 1 0,-1 0 0,1 1 0,-1-1 0,0 0 0,1 1 0,-1-1 0,0 1 0,0 0 0,0 0 0,0 0 0,0 0 0,-1 1 0,1-1 0,-4 1 0,4 0 8,0 0 0,1 0 0,-1 0 0,0 1 0,0-1 0,0 1 0,0 0 0,1 0 1,-1 0-1,0 0 0,1 0 0,-1 1 0,1-1 0,-1 1 0,1 0 0,-1-1 0,1 1 0,0 0 0,0 0 1,0 1-1,0-1 0,1 0 0,-1 1 0,1-1 0,-1 1 0,1-1 0,0 1 0,0 0 0,0-1 0,0 1 1,0 0-1,1 0 0,-1 5 0,0-4 175,1 1 1,-1 0-1,1 0 1,0 0-1,0 0 1,1-1 0,0 1-1,0 0 1,0 0-1,0 0 1,1-1-1,-1 1 1,1-1-1,0 1 1,1-1-1,-1 0 1,1 0-1,0 0 1,5 5-1,-1-3 572,0-1 0,1 0 0,0-1 0,0 0 0,0 0 0,0-1-1,1 0 1,-1-1 0,1 0 0,0 0 0,11 1 0,-4-1-176,-1-1 0,1-1 0,0-1 0,-1 0 0,26-5 0,2-9 755,-40 14-1322,-1 0 0,-1 0 1,1 0-1,0-1 0,0 1 1,0 0-1,-1-1 0,1 0 1,-1 1-1,1-1 0,-1 0 1,0 0-1,1 0 1,-1 0-1,0 0 0,1-4 1,-1-3-13,-4 11 0,-5 16 0,7-14-202,1 0 1,0 0 0,0 0 0,0-1 0,0 1 0,0 0-1,1 0 1,0 0 0,0-1 0,3 8 0,-3-8 254,1 0 1,0 0 0,0 1-1,0-2 1,1 1-1,-1 0 1,1 0 0,0-1-1,-1 1 1,1-1 0,0 0-1,1 0 1,-1 0-1,0 0 1,5 1 0,-1 0 49,0-1 0,0 0 1,1 0-1,-1-1 0,0 0 1,1 0-1,10-1 0,27-6-2371,-34 2 1622,-1 0 1,0 0-1,0-1 1,0 0-1,-1 0 0,0-1 1,0 0-1,0-1 1,-1 0-1,0-1 1,-1 1-1,8-11 0,-10 13 113,-1-1-1,0-1 0,0 1 0,-1-1 1,0 1-1,0-1 0,0 0 1,-1 0-1,0 0 0,1-10 0,-2 11 450,-1 1 0,0-1 0,0 0 0,-1 1 0,1-1 0,-1 0-1,-1 1 1,-2-10 0,3 11 66,-1 1-1,0-1 1,0 1 0,0 0-1,0 0 1,0 0-1,0 0 1,-1 0 0,0 1-1,1-1 1,-5-2 0,7 5 18,-1-1 0,0 0 1,0 1-1,0-1 0,0 1 1,0-1-1,0 1 1,0 0-1,0-1 0,0 1 1,0 0-1,0 0 0,0 0 1,0 0-1,-1 0 1,1 0-1,0 0 0,0 0 1,0 0-1,0 0 0,0 0 1,0 1-1,0-1 1,0 0-1,0 1 0,0-1 1,0 1-1,0-1 0,0 1 1,0 0-1,0-1 1,1 1-1,-1 0 0,0 0 1,0-1-1,1 1 0,-1 0 1,0 0-1,1 0 1,-1 0-1,1 0 0,-1 1 1,-2 5 190,1 0 1,-1-1 0,1 1 0,1 0-1,-1 0 1,1 0 0,1 1 0,-1-1-1,1 0 1,1 0 0,-1 0 0,3 11-1,-2-9 507,1 0-1,0-1 1,1 1-1,0-1 1,0 1-1,1-1 1,0 0 0,0 0-1,1-1 1,6 8-1,-10-13-357,0 0-1,1-1 1,0 1 0,-1-1-1,1 1 1,0-1 0,0 1-1,0-1 1,0 0-1,0 0 1,0 0 0,0 0-1,1-1 1,-1 1 0,0 0-1,0-1 1,1 1 0,-1-1-1,0 0 1,4 0-1,-2-1-313,-1 1-1,1-1 0,0 0 0,-1-1 1,1 1-1,-1-1 0,1 1 0,-1-1 1,1 0-1,-1-1 0,4-2 0,5-6-729,0-1-1,-1 0 0,0-1 0,14-22 0,6-16-3063,8-28 2767,-3 6-785,-9 27-2966,-25 43 4547,0 0 0,0 0 1,0 0-1,1 1 0,-1-1 0,0 1 1,1 0-1,0-1 0,0 1 0,-1 0 1,1 0-1,4-1 0,-6 3 202,0-1 0,1 1-1,-1 0 1,0 0 0,1 0 0,-1 0-1,0 0 1,0 0 0,1 0 0,-1 0-1,0 1 1,1-1 0,-1 1 0,0-1-1,0 0 1,1 1 0,-1 0 0,0-1-1,0 1 1,0 0 0,0 0 0,0-1-1,0 1 1,0 0 0,0 0 0,0 0-1,-1 0 1,1 0 0,0 1 0,0-1-1,-1 0 1,1 2 0,31 58 3,-27-48 0,0-1 0,1 1 0,1-2 0,0 1 0,1-1 0,0 0 0,1 0 0,10 9 0,-11-13 0,1-1 0,0-1 0,0 1 0,0-2 0,0 1 0,1-1 0,-1-1 0,1 1 0,0-2 0,0 1 0,0-2 0,1 1 0,-1-1 0,0-1 0,1 0 0,-1 0 0,0-1 0,1 0 0,18-5 0,-3-1 0,-1-1 0,0-1 0,0-1 0,-1-1 0,-1-1 0,36-24 0,-6-4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2.5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421 613 8192,'-7'-13'6875,"-15"-30"3209,15 31-9507,0 1 0,0 0 0,-13-15 0,16 22-813,0 0-1,0 0 1,-1 0-1,1 1 0,-1-1 1,0 1-1,1 0 1,-1 1-1,-1-1 1,-5-1-1,6 2 407,0 1-1,0 0 1,0 1-1,0-1 1,-1 1-1,1 0 1,-9 1 0,8 0-170,1 0 0,-1 1 0,1-1 0,0 1 0,0 1 0,-1-1 0,1 1 0,1 0 0,-1 0 0,0 0 0,1 1 0,-1-1 0,1 1 0,0 0 0,0 0 0,1 1 0,-5 5 0,-3 8 0,0 0 0,2 1 0,-12 27 0,2 7-239,2 0 0,2 1 0,-9 66 0,-4 171-2751,31-75-1568,0-181 3169,2 0-1,1 0 1,2-1 0,12 35-1,-15-57 1190,-1-1 0,1 1 0,1-1 0,0 0 0,1-1 0,0 1 0,0-1-1,1-1 1,10 10 0,-13-14 169,1-1-1,-1 0 0,1 0 0,0 0 1,0-1-1,0 0 0,1 0 1,-1-1-1,1 1 0,-1-1 1,1-1-1,0 1 0,0-1 1,-1 0-1,1-1 0,0 0 0,10-1 1,0-1 31,0-1 0,0-1 0,-1-1 0,1 0 0,-1-2 0,0 1 0,0-2 0,-1 0 0,0-1 0,20-16 0,-7 3 0,-2-1 0,0-1 0,-1-1 0,25-33 0,1-15 0</inkml:trace>
  <inkml:trace contextRef="#ctx0" brushRef="#br0" timeOffset="900.06">781 1164 8192,'-21'4'10329,"4"7"-4348,14-8-5606,0 0-1,0 1 1,1-1 0,-1 1-1,1 0 1,0-1 0,-3 9-1,1-1-1030,0 1 0,1-1 0,-2 15 0,2-3 1995,2-22-1339,-2 19 0,1 0 0,0 0 0,2 0 0,3 39 0,-2-54 0,0-1 0,0 0 0,0 0 0,0 1 0,0-1 0,1 0 0,0 0 0,0 0 0,0-1 0,0 1 0,1 0 0,0-1 0,-1 0 0,1 1 0,0-1 0,1 0 0,-1-1 0,0 1 0,1 0 0,0-1 0,-1 0 0,1 0 0,0 0 0,0 0 0,0-1 0,0 0 0,1 1 0,-1-2 0,5 2 0,-4-1 0,-1-1 0,1 1 0,-1-1 0,1 0 0,-1 0 0,1-1 0,-1 0 0,1 1 0,-1-1 0,1-1 0,-1 1 0,0 0 0,0-1 0,0 0 0,0 0 0,0-1 0,4-2 0,-3 1 0,0-1 0,-1 1 0,1-1 0,-1 0 0,0-1 0,-1 1 0,1 0 0,-1-1 0,0 0 0,3-11 0,-1 3 0,-1-1 0,-1 0 0,0 0 0,-1 0 0,-1 0 0,0 0 0,-2 0 0,1 0 0,-5-23 0,3 28 0,-1 1 0,0-1 0,0 1 0,-1 0 0,0 0 0,-1 0 0,0 1 0,0 0 0,-1 0 0,0 0 0,-1 0 0,1 1 0,-1 0 0,-11-8 0,13 11 0,-1 0 0,-1 0 0,1 0 0,-1 1 0,1-1 0,-1 2 0,0-1 0,0 1 0,0 0 0,-1 0 0,1 1 0,0 0 0,-1 0 0,1 1 0,0 0 0,-1 0 0,1 1 0,-1 0 0,-11 3 0,14-3 0,0 1 0,1 0 0,-1 0 0,0 0 0,1 0 0,-1 1 0,1 0 0,0 0 0,0 0 0,0 0 0,0 1 0,0 0 0,1-1 0,0 1 0,0 0 0,0 1 0,0-1 0,0 1 0,1-1 0,0 1 0,0 0 0,0 0 0,1-1 0,0 1 0,0 0 0,0 1 0,0-1 0,1 0 0,0 0 0,0 0 0,0 0 0,0 0 0,1 0 0,0 0 0,0 1 0,1-2 0,-1 1 0,1 0 0,0 0 0,0 0 0,1-1 0,2 5 0,4 2 0,0-1 0,1 0 0,0-1 0,0 0 0,1-1 0,0 0 0,0-1 0,1 0 0,0 0 0,0-2 0,0 1 0,26 6 0,-13-5 0,0-1 0,0-2 0,1 0 0,0-1 0,47-3 0,-60 0 0,-1-2 0,1 0 0,-1 0 0,1-1 0,-1-1 0,0 0 0,0-1 0,-1 0 0,1-1 0,17-11 0,-24 13 0,0 0 0,0 0 0,0 0 0,0-1 0,-1 0 0,1 0 0,-1 0 0,0 0 0,-1-1 0,0 1 0,1-1 0,-2 0 0,1 0 0,-1 0 0,0 0 0,0-1 0,0 1 0,-1 0 0,0-1 0,-1 1 0,1-1 0,-1-6 0,0 12 0,0 0 0,0 0 0,0 0 0,0 0 0,0 0 0,0 0 0,0 0 0,0 0 0,0 0 0,0 0 0,-1 1 0,1-1 0,0 0 0,0 0 0,-1 0 0,1 0 0,-1 0 0,1 1 0,-1-1 0,1 0 0,-1 0 0,1 1 0,-1-1 0,0 0 0,1 1 0,-2-1 0,1 1 0,0 1 0,1 0 0,-1 0 0,0 0 0,1 0 0,-1 0 0,1 0 0,-1-1 0,1 1 0,-1 1 0,1-1 0,0 0 0,0 0 0,-1 0 0,1 0 0,0 0 0,0 0 0,0 0 0,0 0 0,0 0 0,0 0 0,1 1 0,-1 5-6,1 0 0,1-1 1,-1 1-1,1-1 0,0 1 1,0-1-1,1 0 0,0 0 1,0 0-1,1 0 0,-1-1 1,1 1-1,0-1 0,1 0 1,-1 0-1,1 0 0,0-1 1,0 0-1,1 0 0,10 7 1,-8-6-178,0-1 0,1 1 0,0-1 0,-1 0 1,1-1-1,1 0 0,-1-1 0,0 0 1,1 0-1,-1-1 0,1 0 0,-1-1 0,1 0 1,12-1-1,-12-2 223,0 0-1,0 0 1,0-1 0,-1 0 0,1-1-1,-1 0 1,0 0 0,0-1 0,-1 0-1,1 0 1,-1-1 0,10-12 0,-10 10-1106,0 0 1,-1-1-1,0 0 1,0 0-1,-1-1 1,-1 0-1,0 0 1,0 0-1,-1 0 1,4-17-1,-8 25 1640,1 0-1,0 0 1,-1 1 0,0-1-1,1 0 1,-1 0-1,0 0 1,-1 0 0,1 1-1,0-1 1,-1 0-1,-12-12 5899,13 15-6375,-7 13 796,-1 12-1173,8-20 203,-1 0 0,1 0 1,0 0-1,1-1 0,-1 1 1,1 0-1,0 0 0,0-1 1,1 1-1,-1 0 0,1-1 1,0 1-1,0-1 0,1 0 1,-1 0-1,1 0 0,0 0 1,0 0-1,0 0 0,0-1 1,1 0-1,0 1 1,-1-1-1,1-1 0,7 5 1,2 1-262,1-1 1,0 0-1,0-1 1,0 0-1,1-1 1,27 5-1,-14-5-842,1-2 0,-1-1-1,1-2 1,0 0-1,0-2 1,-1-1-1,1-2 1,-1 0 0,29-10-1,-31 6 871,0-1-1,-1 0 1,0-2 0,-1-1-1,38-27 1,-56 36 310,-1 0 0,1 0 0,-1-1 0,0 1 0,0-1 0,-1 0 0,0-1 0,0 1 0,0-1 0,0 0 0,4-11 0,-3-10 0</inkml:trace>
  <inkml:trace contextRef="#ctx0" brushRef="#br0" timeOffset="1654.1">2178 1312 8192,'5'-27'7958,"15"-14"-4175,-9 21-580,8-18-2646,-2-1 0,-2-1 0,-1 0 0,-2-1 0,10-67 0,-20 88-631,-1 0 1,0 0-1,-2-1 0,0 1 1,-7-37-1,5 44 92,-1 0 0,0 0-1,-1 1 1,-1 0 0,1 0 0,-2 0-1,0 1 1,0 0 0,-16-19 0,21 28-18,1 0 0,-1 0 0,0 0 0,0 0 0,0 1 0,0-1 0,0 0 0,0 1 0,0-1 0,0 1 0,-1 0 0,1 0 0,-1 0 0,1 0 0,0 0 0,-1 1 0,0-1 0,1 1 0,-1-1 0,1 1 0,-1 0 0,1 0 0,-4 0 0,3 2 0,0-1 0,0 0 0,0 1 0,1 0 0,-1 0 0,0 0 0,1 0 0,-1 0 0,1 0 0,0 1 0,0-1 0,-1 1 0,2 0 0,-1-1 0,0 1 0,1 0 0,-1 0 0,-1 5 0,-3 8-303,0 0 0,2 1 0,-1 0 1,2 0-1,0 1 0,2-1 0,-1 1 1,3 26-1,1-15-737,1 0 0,2 0 0,0 0-1,14 38 1,-14-53 520,1 0-1,0 0 1,1 0-1,1-1 1,0 0-1,0-1 0,2 0 1,-1 0-1,1-1 1,1 0-1,0 0 1,1-2-1,0 1 1,13 7-1,-7-7 292,1 0 0,0-1 1,0-2-1,1 0 0,0-1 0,0 0 0,0-2 0,1 0 1,37 0-1,-34-3 193,0-1 1,1-2 0,-1-1-1,0 0 1,44-13-1,-57 12 89,0 0 0,0-1 0,-1 0 0,1-1 0,-1 0 0,11-9 0,-15 11 140,-1-1 0,-1 0 0,1 1 0,0-2 0,-1 1 1,0-1-1,0 1 0,-1-1 0,0 0 0,0 0 0,4-11 1,-6 12-252,0 0 0,-1 0 0,1-1 1,-1 1-1,0 0 0,-1-1 0,1 1 1,-1 0-1,0 0 0,0 0 0,-1-1 1,0 1-1,1 1 0,-2-1 0,1 0 1,0 0-1,-1 1 0,0-1 0,0 1 1,-1 0-1,1 0 0,-5-4 0,2 2 641,0 1-1,0 0 0,0 0 0,0 0 1,-1 1-1,-10-5 0,13 7 348,-1 0-1,1 0 1,-1 0 0,0 1 0,0 0-1,0 0 1,0 0 0,0 1 0,0-1-1,-5 2 1,8-1-820,-1 0 1,1 1-1,-1-1 1,1 1-1,-1 0 0,1 0 1,-1 0-1,1 0 0,0 0 1,-1 0-1,1 1 1,0-1-1,0 1 0,0-1 1,0 1-1,0 0 0,1 0 1,-1 0-1,-2 3 1,2-1-52,-1 1 0,1 0 0,0 0 1,1-1-1,-1 1 0,1 1 1,0-1-1,0 0 0,-1 7 0,2-2-289,0-1 0,0 1 0,1 0 0,0 0 0,0-1 0,1 1 0,1-1 0,-1 0 0,2 1 0,3 8 0,-4-14 284,-1 0-1,0 0 1,1 0-1,0-1 1,0 1-1,0-1 1,0 0-1,0 0 1,1 0-1,0 0 1,-1 0-1,1-1 1,0 0-1,0 0 1,0 0-1,1 0 1,-1 0 0,0-1-1,1 0 1,-1 0-1,0 0 1,1-1-1,0 1 1,-1-1-1,1 0 1,-1 0-1,1-1 1,-1 1-1,1-1 1,-1 0-1,1 0 1,-1-1-1,0 1 1,0-1-1,0 0 1,0 0-1,0 0 1,0-1-1,0 1 1,0-1 0,-1 0-1,6-6 1,0-2-333,1 0 0,-2-1 0,1 0 1,-2-1-1,0 1 0,0-1 0,-1-1 1,-1 1-1,0-1 0,4-19 0,1-14-2364,6-89 0,-10 46-206,-4-1 0,-11-97 1,-14 36 1927,21 142 880,0 0 1,-1 1-1,0-1 1,-7-15 0,9 24 40,1 0 0,0 0 0,0 1 0,-1-1 0,1 1 0,0-1 0,-1 0 0,1 1 0,0-1 0,-1 1 0,1-1 0,-1 1 0,1-1 0,-1 1 0,1-1 0,-1 1 0,0-1 0,1 1 0,-1 0 0,1-1 0,-1 1 0,0 0 0,1 0 0,-1-1 0,0 1 0,1 0 0,-1 0 0,0 0 0,0 0 0,1 0 0,-1 0 0,0 0 0,1 0 0,-1 0 0,0 0 0,1 0 0,-1 1 0,0-1 0,0 0 0,1 0 0,-1 1 0,1-1 0,-1 0 0,0 1 0,1-1 0,-1 1 0,1-1 0,-1 1 0,1-1 0,-1 1 0,1-1 0,-1 1 0,1-1 0,0 1 0,-1 1 0,-3 4 0,1 0 0,-1 0 0,2 1 0,-1-1 0,-1 8 0,-6 24 0,2 0 0,2 1 0,2 0 0,1 0 0,3 52 0,3-34 0,3 0 0,2-1 0,17 60 0,-19-93 0,1-1 0,1 0 0,1-1 0,1 0 0,21 34 0,-24-45 0,0 0 0,1-1 0,0 0 0,1 0 0,0-1 0,0 0 0,1 0 0,0-1 0,0-1 0,0 1 0,1-2 0,15 7 0,-12-8 0,0 0 0,0 0 0,0-2 0,1 1 0,-1-2 0,1 0 0,-1-1 0,1 0 0,21-4 0,-14 0 0,-1 0 0,0-2 0,0-1 0,0 0 0,30-17 0,39-28 0</inkml:trace>
  <inkml:trace contextRef="#ctx0" brushRef="#br0" timeOffset="3060.92">3956 825 8192,'16'8'15047,"-6"10"-10593,0 29-7317,-7-31 4247,-1-3-1384,2 5 0,0 0 0,1 0 0,0-1 0,13 26 0,-17-40 0,0 0 0,1 0 0,-1-1 0,1 1 0,0 0 0,0-1 0,0 1 0,0-1 0,0 0 0,1 0 0,-1 0 0,1 0 0,-1 0 0,1 0 0,0 0 0,0-1 0,-1 0 0,1 1 0,0-1 0,0 0 0,0-1 0,1 1 0,-1 0 0,0-1 0,0 0 0,0 0 0,0 0 0,1 0 0,-1 0 0,0 0 0,0-1 0,0 0 0,4 0 0,1-3 0,1 1 0,0-2 0,-1 1 0,0-1 0,0 0 0,0 0 0,-1-1 0,1 0 0,11-15 0,4-5 0,26-41 0,-15 18 0,-33 47 3,0 0 1,0 1 0,1-1-1,-1 1 1,0-1 0,1 1 0,-1 0-1,1-1 1,-1 1 0,1 0-1,0 0 1,-1 0 0,1 0-1,3-1 1,-5 2-5,1 0-1,-1 0 1,1 0-1,0 1 1,-1-1-1,1 0 1,-1 0-1,1 0 1,-1 1 0,1-1-1,-1 0 1,1 1-1,-1-1 1,1 0-1,-1 1 1,1-1-1,-1 0 1,0 1-1,1-1 1,-1 1-1,0-1 1,1 1 0,-1-1-1,0 1 1,0-1-1,1 1 1,-1-1-1,0 1 1,0 0-1,0 0 1,3 10-263,-2-1 0,0 1 0,0 0 1,-1 11-1,1 1-1224,0-13 894,1 0 0,0-1 0,1 1 0,0 0 1,0-1-1,1 0 0,0 0 0,1 0 0,0 0 0,0-1 0,1 0 0,0 0 0,0 0 1,1-1-1,0 0 0,1 0 0,-1 0 0,1-1 0,11 6 0,-9-6 174,0-1 1,0 0-1,0-1 0,0 0 1,1-1-1,0 0 0,16 3 1,-17-5 420,0 0 0,0-1 0,0 0 0,0-1 0,0 0 0,0 0 0,0-1 1,17-5-1,-18 2-4,1 1 1,-1-2-1,0 1 1,0-1-1,-1 0 0,1-1 1,-1 0-1,-1 0 1,1-1-1,-1 0 1,-1 0-1,0-1 1,0 1-1,0-1 0,-1-1 1,6-14-1,-5 10 52,-1 0 0,0 0 0,-1 0 0,-1-1 0,0 0 0,-1 1 0,0-1 0,-1 0 0,-1 0 0,-3-29 0,3 42 8,0 0 1,-1 0 0,1 0-1,0 1 1,-1-1-1,1 0 1,-1 1 0,1-1-1,-1 0 1,0 1-1,0-1 1,0 0 0,0 1-1,0 0 1,0-1-1,0 1 1,0-1 0,-1 1-1,1 0 1,0 0-1,-1 0 1,1 0-1,-1 0 1,1 0 0,-4-1-1,4 2-110,-1 0-1,1 1 1,-1-1-1,0 0 1,1 1-1,-1 0 1,1-1-1,-1 1 1,1 0-1,-1-1 1,1 1 0,-1 0-1,1 0 1,0 0-1,0 0 1,-1 1-1,1-1 1,0 0-1,0 0 1,0 1-1,0-1 1,1 0-1,-1 1 1,0-1-1,0 1 1,1 0-1,-1 2 1,-4 7 600,1 1 0,0 0 0,-4 21 0,6-20 602,1 1 0,0-1 1,1 0-1,0 1 0,1-1 0,4 21 1,-4-27-613,1 0 1,0 0-1,0 0 1,0 0-1,1-1 0,1 1 1,-1-1-1,1 0 1,0 0-1,0 0 1,0-1-1,11 11 1,-11-13-513,1 1 1,0-1-1,-1 0 1,1 0 0,1-1-1,-1 0 1,0 0-1,0 0 1,1 0-1,-1-1 1,8 1 0,-8-1-78,0-1 0,0 0 0,0 0 1,1-1-1,-1 0 0,0 0 1,0 0-1,0 0 0,0-1 1,0 0-1,0 0 0,0 0 0,-1 0 1,1-1-1,-1 0 0,0 0 1,0 0-1,0 0 0,0-1 1,0 0-1,-1 0 0,1 0 0,-1 0 1,0 0-1,4-9 0,1-2 174,0 1-1,-2-1 0,1-1 1,-2 1-1,0-1 0,5-33 0,-7 24-342,0-1 0,-2 1 0,-1-1 0,-4-38-1,3 57 163,0-1-1,0 1 0,-1-1 0,0 1 0,0 0 1,0 0-1,-1 0 0,0 0 0,-1 0 1,0 1-1,0 0 0,0-1 0,0 1 1,-1 1-1,0-1 0,-1 1 0,1 0 1,-1 0-1,-12-8 0,15 11 108,1 1 0,-1-1 0,1 1 0,-1 0 0,1 0 1,-1 0-1,0 0 0,0 1 0,0-1 0,1 1 0,-1-1 0,0 1 0,0 0 0,0 0 0,0 1 0,0-1 1,1 1-1,-1-1 0,0 1 0,0 0 0,0 0 0,1 0 0,-1 0 0,-3 3 0,2-1-244,1 0-1,0 0 0,0 0 1,1 1-1,-1 0 1,1-1-1,0 1 0,-1 0 1,2 0-1,-1 0 0,0 0 1,1 1-1,0-1 1,0 0-1,-1 7 0,1-3-32,0 0 0,0 0-1,1 0 1,0 0 0,0 0-1,0 0 1,1 0-1,1 0 1,-1 0 0,1 0-1,1-1 1,-1 1 0,1 0-1,5 6 1,-5-8 115,2 0 0,-1 0-1,1-1 1,0 0 0,0 0 0,0 0 0,1-1-1,-1 1 1,1-1 0,0-1 0,1 1 0,-1-1 0,1 0-1,-1-1 1,1 1 0,10 1 0,-4-1-168,0-1-1,1 0 1,-1 0 0,1-2 0,0 0 0,-1 0 0,1-2 0,-1 1-1,1-2 1,-1 0 0,0 0 0,0-1 0,22-10 0,-24 9 35,0-1 0,-1-1 0,1 1 0,-1-2 0,-1 1 0,1-1 1,-1-1-1,-1 1 0,1-2 0,-2 1 0,1-1 0,-1 0 0,-1-1 1,0 1-1,7-18 0,-5 3 247,-1 1 0,-1-1 0,-1 0 0,-1 0 0,-1-1 0,-2-40 0,-2 27 0,-2 0 0,-2 1 0,-15-60 0,18 91 0,-12-39 0,13 45 0,1-1 0,-1 0 0,0 1 0,1-1 0,-1 1 0,0-1 0,0 1 0,0-1 0,0 1 0,-1 0 0,1-1 0,0 1 0,0 0 0,-1 0 0,1 0 0,-1 0 0,1 0 0,-1 0 0,1 0 0,-3 0 0,3 1 0,0 0 0,0 0 0,0 1 0,0-1 0,0 0 0,0 1 0,0-1 0,0 0 0,0 1 0,1-1 0,-1 1 0,0 0 0,0-1 0,1 1 0,-1 0 0,0-1 0,1 1 0,-1 0 0,0 0 0,1 0 0,-1-1 0,1 1 0,-1 0 0,1 0 0,0 0 0,-1 0 0,1 0 0,0 0 0,0 1 0,-9 36 0,9-34 0,-7 50 0,3 0 0,2 0 0,5 59 0,0-73 0,2 0 0,2 0 0,2 0 0,25 70 0,-31-101 0,1-1 0,0 0 0,0 0 0,1 0 0,0 0 0,1-1 0,0 0 0,0 0 0,0-1 0,1 0 0,10 8 0,-13-11 0,-1-1 0,1 0 0,0 0 0,0 0 0,0 0 0,0-1 0,0 0 0,0 0 0,1 0 0,-1 0 0,0 0 0,1-1 0,-1 0 0,0 0 0,1 0 0,-1-1 0,0 1 0,1-1 0,-1 0 0,0 0 0,0-1 0,0 1 0,0-1 0,0 0 0,4-2 0,21-16 0</inkml:trace>
  <inkml:trace contextRef="#ctx0" brushRef="#br0" timeOffset="3215.6">5416 550 8192,'-1'-3'0,"9"-9"2971,16-10-2971,26-15 5848,29-19-5848,34-18-3356,38-15 3356,28-6-5463,6 5 5463,-29 19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9:55.18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682 0 24575,'-25'13'0,"2"0"0,-1 1 0,2 2 0,0 0 0,1 1 0,1 2 0,0 0 0,2 0 0,0 2 0,1 1 0,2 0 0,0 0 0,1 2 0,1 0 0,1 0 0,2 1 0,0 1 0,-11 46 0,-48 214 0,61-244 0,2 0 0,2 0 0,2 1 0,2 0 0,5 50 0,45 213 0,-22-159 0,13 54 0,9 56 0,38 177 0,-19-115 0,14 177 0,-63-202 0,-25-1 0,4-270 0,-1 29 0,-2 0 0,-3-1 0,-19 75 0,20-103 0,-1-1 0,-1-1 0,-1 1 0,0-2 0,-2 1 0,-1-1 0,0-1 0,-1 0 0,-1-1 0,-21 22 0,30-36 0,0 1 0,-1-1 0,1 0 0,-1 0 0,0 0 0,0-1 0,0 0 0,-1 0 0,1-1 0,-1 0 0,1 0 0,-1 0 0,0-1 0,0 0 0,0 0 0,1-1 0,-13 0 0,17 0 0,1-1 0,-1 1 0,1-1 0,-1 1 0,1-1 0,-1 0 0,1 0 0,-1 0 0,1 0 0,0 0 0,-1 0 0,1 0 0,0 0 0,0 0 0,0 0 0,0-1 0,0 1 0,0 0 0,0-1 0,0-2 0,-1 0 0,1 0 0,-1 0 0,1-1 0,0 1 0,1-1 0,-1 1 0,1-8 0,1 0 0,0 0 0,0 0 0,1 0 0,8-23 0,-9 32 0,0-1 0,1 1 0,-1-1 0,1 1 0,0 0 0,0-1 0,0 1 0,0 0 0,1 0 0,-1 1 0,1-1 0,0 0 0,0 1 0,0 0 0,0 0 0,0-1 0,0 2 0,1-1 0,-1 0 0,0 1 0,1 0 0,0-1 0,-1 1 0,1 1 0,0-1 0,-1 0 0,7 1 0,-6 0 0,1 1 0,0-1 0,-1 1 0,1 0 0,0 0 0,-1 1 0,0-1 0,1 1 0,-1 0 0,0 1 0,0-1 0,0 0 0,0 1 0,0 0 0,-1 0 0,1 0 0,-1 1 0,0-1 0,0 1 0,0 0 0,4 6 0,10 22 0,-2 0 0,-1 2 0,-2-1 0,-1 2 0,-1-1 0,-2 1 0,6 65 0,-7 18 0,-9 123 0,-1-85 0,4 1 0,2-40 0,-21 205 0,3-251 0,-3 0 0,-48 121 0,6-20 0,11-35 0,-77 150 0,34-84 0,-37 129 0,112-276 0,2 2 0,2 0 0,3 0 0,-2 62 0,9-79 0,3 1 0,2-1 0,1 0 0,11 52 0,-11-79 0,0-1 0,1 1 0,1 0 0,0-1 0,1 0 0,1-1 0,-1 1 0,2-1 0,0 0 0,0-1 0,1 0 0,1 0 0,0-1 0,0 0 0,1-1 0,13 9 0,-3-6 0,0-2 0,0-1 0,1 0 0,0-2 0,0 0 0,1-2 0,0 0 0,37 2 0,11-3 0,109-8 0,-25-8-682,190-41-1,-212 23-6143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2:41.9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2:31.9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26 749 8192,'-1'20'10614,"0"-1"-5103,-2 4-2459,-1 11-3176,-1 13-2301,2-16 3819,1 11-1394,-5 190 0,8-187 0,2 1 0,2-1 0,11 45 0,-13-81 0,-1 1 0,2 0 0,-1-1 0,1 0 0,0 0 0,1 0 0,0 0 0,12 13 0,-14-18 0,0-1 0,0 0 0,0 1 0,1-2 0,0 1 0,-1 0 0,1-1 0,0 1 0,0-1 0,0-1 0,1 1 0,-1 0 0,0-1 0,1 0 0,-1 0 0,1 0 0,-1 0 0,1-1 0,-1 0 0,1 0 0,5-1 0,0-1-36,0 0 0,0-1 1,-1 0-1,1-1 0,-1 0 0,0 0 1,0-1-1,0 0 0,-1-1 1,1 0-1,-1 0 0,-1-1 1,1 0-1,9-12 0,0-1-646,-2-1 0,0 0 0,-1-2 0,18-35 0,-22 33-987,-1 1-1,0-1 1,-2 0-1,-1-1 1,-1 0 0,3-43-1,-7 40 1073,-1 1-1,-1 0 0,-7-36 1,7 59 597,0-1 0,0 1 0,0 0 0,-1 0 0,0 0 0,0 1 0,-4-8 0,6 12 0,0-1 0,-1 1 0,1 0 0,0 0 0,0 0 0,0-1 0,0 1 0,0 0 0,-1 0 0,1 0 0,0 0 0,0-1 0,0 1 0,-1 0 0,1 0 0,0 0 0,0 0 0,-1 0 0,1 0 0,0 0 0,0-1 0,-1 1 0,1 0 0,0 0 0,0 0 0,-1 0 0,1 0 0,0 0 0,0 0 0,-1 0 0,1 0 0,0 1 0,0-1 0,-1 0 0,1 0 0,0 0 0,0 0 0,0 0 0,-1 0 0,1 0 0,0 1 0,0-1 0,0 0 0,-1 0 0,1 0 0,0 1 0,-8 26 0,1 44 49,5 104-1,3-116 414,-1-39 53,1 0-1,1 0 0,1 0 1,7 28-1,-8-41-171,1 0-1,-1-1 0,1 1 0,1-1 0,-1 0 1,1 1-1,0-2 0,8 10 0,-9-12 225,0 0 0,0-1 0,0 1 0,0-1 0,1 0 0,-1 0 0,1 0 0,-1 0 0,9 2 0,-11-3-674,1-1-1,0 0 0,-1 1 0,1-1 0,0 0 1,-1 0-1,1 0 0,0 0 0,0 0 1,-1-1-1,1 1 0,0 0 0,-1-1 0,1 0 1,0 1-1,-1-1 0,1 0 0,-1 0 1,2-1-1,1 0 233,-1-1-1,0 0 1,0 0 0,0 0 0,-1 0 0,1 0 0,3-7 0,1-5 603,0 1 0,-1-1 1,5-17-1,-11 32-728,29-116 4551,1-60-5052,-23 133 835,-6 32-334,0 5 0,-1 0 0,1 0 0,0 0 0,1-1 0,0 1 0,0 0 0,0 1 0,0-1 0,6-9 0,-7 15 0,-1 0 0,0 0 0,1 0 0,-1-1 0,0 1 0,1 0 0,-1 0 0,0 0 0,1 0 0,-1 0 0,0 0 0,1 0 0,-1 0 0,0 0 0,1 1 0,-1-1 0,1 0 0,-1 0 0,0 0 0,0 0 0,1 0 0,-1 1 0,0-1 0,1 0 0,-1 0 0,0 0 0,0 1 0,1-1 0,-1 0 0,0 0 0,0 1 0,1-1 0,-1 0 0,0 1 0,0-1 0,0 0 0,0 1 0,1-1 0,-1 0 0,0 1 0,0-1 0,0 0 0,0 1 0,0-1 0,0 0 0,0 1 0,0-1 0,0 1 0,5 21 0,-1 8 0,-1-4 0,2 0 0,0 0 0,2 0 0,15 40 0,-19-60 0,-1-1 0,2 1 0,-1-1 0,1 1 0,-1-1 0,1 0 0,1-1 0,-1 1 0,1-1 0,8 6 0,-9-7 0,0-1 0,1 0 0,-1 0 0,1 0 0,-1-1 0,1 1 0,0-1 0,0 0 0,-1-1 0,1 1 0,0-1 0,0 0 0,0 0 0,0-1 0,7-1 0,-1 0-149,0-1 1,0 0-1,-1-1 0,1-1 1,-1 1-1,0-2 1,-1 1-1,1-1 1,14-13-1,-7 4-222,-1 0-1,-1-1 1,26-35 0,-11 5 371</inkml:trace>
  <inkml:trace contextRef="#ctx0" brushRef="#br0" timeOffset="532.91">1190 813 8192,'0'4'18022,"0"15"-18022,0 16 0,0 8 0,0 8 0,7 3 0,9-8 0,7-5 0,5-9 0,10-10 0,12-16 0,12-23 0,14-20 0,0-14 0,-11 1 0</inkml:trace>
  <inkml:trace contextRef="#ctx0" brushRef="#br0" timeOffset="1513.11">1910 834 8192,'-1'-20'8985,"-1"3"-3455,-9-12-1771,8 26-3774,1 0 0,-1 0 0,1 0 1,-1 1-1,0-1 0,0 1 0,0 0 0,0 0 0,-1 0 1,1 0-1,-1 0 0,1 1 0,-1 0 0,1-1 0,-1 1 0,-4 0 1,3 0 14,0 0 0,0 0 0,0 1 0,0-1 0,0 1 0,0 0 0,0 1 0,0-1 0,0 1 0,1 0 0,-1 0 0,0 1 0,0-1 0,-7 5 0,5-2 0,0 0 0,1 0 0,0 1 0,0 0 0,0 0 0,1 1 0,0 0 0,-9 11 0,4-1 0,0 1 0,1 0 0,1 1 0,0 0 0,2 0 0,-9 36 0,13-42 0,0 1 0,1-1 0,0 1 0,1 0 0,0 0 0,1 0 0,0-1 0,7 24 0,-8-32 0,1 0 0,0-1 0,1 1 0,-1 0 0,1-1 0,-1 1 0,1-1 0,0 0 0,0 0 0,1 1 0,-1-1 0,1-1 0,-1 1 0,1 0 0,0-1 0,0 1 0,0-1 0,1 0 0,-1 0 0,0 0 0,1 0 0,-1-1 0,1 1 0,0-1 0,-1 0 0,1 0 0,0 0 0,0-1 0,0 1 0,0-1 0,-1 0 0,1 0 0,5-1 0,-2 0 0,0-1 0,0 0 0,-1 0 0,1-1 0,0 0 0,-1 0 0,0 0 0,1-1 0,-2 0 0,1 0 0,0-1 0,-1 0 0,0 0 0,8-9 0,0-2 0,0-1 0,-1 0 0,17-35 0,-13 16-524,-1 0 1,-1-1 0,-3 0-1,-1-1 1,9-66 0,-13 42-1962,-2 1 0,-9-118 0,2 141-519,-13-54 0,12 76 3200,0 1 1,-1 0 0,-1 0 0,0 0 0,-1 1 0,-10-14-1,17 26-195,-1 0-1,-1 1 0,1-1 0,0 0 0,0 1 0,0 0 1,-1-1-1,1 1 0,-1 0 0,1 0 0,-1-1 1,0 1-1,1 0 0,-1 1 0,0-1 0,-3-1 0,4 2-62,0 0 0,0 0 0,0 0-1,0 0 1,0 0 0,-1 1-1,1-1 1,0 0 0,0 1-1,0-1 1,0 1 0,0-1 0,0 1-1,1-1 1,-1 1 0,0-1-1,0 1 1,0 0 0,0 0-1,1-1 1,-2 3 0,-2 3 1,0 0 1,1 0-1,0 1 0,0 0 1,0-1-1,1 1 1,-3 12-1,-3 23 1250,-5 84 0,12-83-1588,2 0 0,1-1-1,3 1 1,1-1 0,2 0 0,2-1-1,24 63 1,-25-83 384,0-1-1,2 0 1,0-1-1,1-1 1,1 0-1,1 0 1,0-1-1,30 26 0,-36-36 17,-1-1-1,1 0 1,0-1-1,0 0 1,0 0-1,1-1 1,0 0-1,0 0 1,0-1-1,0 0 1,0 0-1,1-1 1,-1-1-1,1 0 1,0 0-1,-1-1 1,1 0-1,0 0 1,-1-1-1,1-1 1,-1 1-1,14-5 1,-14 2-8,0 0 0,-1 0 0,1-1 0,-1 0 0,0-1 1,0 1-1,-1-2 0,1 1 0,-2-1 0,1 0 0,-1 0 0,0-1 0,0 0 1,-1 0-1,0 0 0,0-1 0,-1 1 0,4-12 0,-3 7 605,-2 0 1,1 0-1,-1-1 0,-1 1 1,1-18-1,-3 19 1368,0 0-1,-1 0 1,0 0-1,-1 0 1,-5-22 0,6 32-1772,1 0 0,-1 0 0,0 0 1,1 0-1,-1 0 0,0 0 0,0 0 1,0 1-1,-1-1 0,1 0 0,0 0 1,-1 1-1,-2-3 0,4 4-192,-1 0 0,1-1 0,0 1 0,0 0 0,-1 0 0,1 0 0,0 0 1,-1 0-1,1 0 0,0 0 0,0 0 0,-1 0 0,1 0 0,0 0 0,0 0 0,-1 0 0,1 1 0,0-1 0,-1 0 0,1 0 0,0 0 0,0 0 0,0 0 0,-1 1 0,1-1 0,0 0 0,0 0 0,-1 0 1,1 0-1,0 1 0,0-1 0,0 0 0,0 1 0,-7 18-22,6-11 20,0 0 0,1 0 0,0 0 0,0 0 0,1 0 0,0 0 0,0 0 0,1 0 0,4 15 0,-4-18 0,0-1 0,1 1 0,-1-1 0,1 1 0,0-1 0,0 0 0,0 0 0,0 0 0,1-1 0,-1 1 0,1-1 0,0 0 0,0 0 0,1 0 0,-1 0 0,0-1 0,6 3 0,-8-4 0,0 0 0,1-1 0,-1 1 0,1 0 0,-1-1 0,1 0 0,-1 1 0,1-1 0,-1 0 0,1 0 0,-1-1 0,1 1 0,-1 0 0,1-1 0,-1 1 0,1-1 0,-1 0 0,4-2 0,-2 1 0,0-1 0,0 1 0,-1-1 0,1 0 0,-1-1 0,0 1 0,0 0 0,0-1 0,4-5 0,1-6 0,0-1 0,0 1 0,-2-1 0,7-23 0,-8 21-154,-1 1 0,-1-1 1,-1 0-1,0 0 0,-1 0 1,-1 0-1,-1 0 0,0 0 1,-8-32-1,7 38 215,-2 0 0,1 1 0,-1-1 0,-1 1 0,0 0 0,-1 0 0,0 1 1,0 0-1,-1 0 0,-1 0 0,0 1 0,0 0 0,0 1 0,-1-1 0,-15-9 0,22 16-232,-1 0 0,0 1-1,1-1 1,-1 0-1,0 1 1,0 0 0,0 0-1,0 0 1,0 0 0,0 0-1,-1 1 1,1-1-1,0 1 1,0 0 0,0 0-1,-1 0 1,1 0 0,0 1-1,0-1 1,0 1 0,0 0-1,-1 0 1,1 0-1,1 0 1,-1 1 0,0-1-1,0 1 1,0-1 0,1 1-1,-1 0 1,1 0-1,-1 0 1,1 1 0,0-1-1,0 1 1,-3 4 0,-2 3-901,0 1 1,1 1 0,0-1 0,0 1-1,2 0 1,0 0 0,-5 24 0,6-26 870,2 0-1,0 0 1,0 0 0,0 1-1,2-1 1,-1 0 0,1 0 0,1 0-1,-1 0 1,2 0 0,4 14 0,-4-18 194,-1-1 0,1 1 0,1-1 0,-1 1 0,1-1 0,0 0 1,0 0-1,0-1 0,1 1 0,0-1 0,-1 0 0,2 0 1,-1-1-1,0 1 0,1-1 0,-1 0 0,1-1 0,0 1 1,10 2-1,-5-3 7,0 0 0,1 0 0,-1-1 0,0-1 0,0 0 0,0-1 0,1 0 0,-1 0 0,0-1 0,16-5 0,-2-1 0,1-2 0,-1 0 0,26-16 0,7-7 0</inkml:trace>
  <inkml:trace contextRef="#ctx0" brushRef="#br0" timeOffset="1936.71">3391 516 8192,'-10'14'18022,"18"-10"-18022,18-2 0,22-7 0,25-4 0,14-11 0,4-1-3356,-11-6 3356,-11 3-5996,-18 5 5996</inkml:trace>
  <inkml:trace contextRef="#ctx0" brushRef="#br0" timeOffset="2214.9">3836 30 8192,'15'-26'18022,"13"22"-18022,19 11 0,18 11 0,6 13 0,2 17 0,-5 13 0,-7 19 0,-13 13-2971,-15 9 2971,-13 9-5849,-25 0 5849,-18-8-7349,-9-15 7349,1-22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19.4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524 772 8192,'18'-26'13389,"-15"18"-11716,3-22 2412,-7-1-3702,-1 23-863,0-1 1,0 1-1,-1 0 0,0-1 1,-4-7-1,-14-17 1850,14 24-1370,0 0 0,-1 0 0,-1 1 0,0 0 0,0 0 0,0 1 0,-1 0 0,0 1 0,-15-8 0,20 12 0,-1 0 0,1 0 0,0 0 0,-1 1 0,0 0 0,1 0 0,-1 1 0,0-1 0,1 1 0,-1 0 0,0 1 0,1-1 0,-1 1 0,0 0 0,1 1 0,-1-1 0,1 1 0,0 0 0,-1 1 0,1-1 0,-8 7 0,-5 4-60,2 1 1,0 1-1,1 0 0,0 1 1,1 1-1,1 0 1,0 1-1,2 0 1,0 1-1,-12 30 1,1 2-1038,3 2 0,-23 105 0,31-106-1053,3 1 0,-2 75-1,9-104 1328,2 0-1,0 1 1,2-1 0,1-1-1,1 1 1,1 0-1,14 36 1,-16-51 788,1 0 0,0 0 1,0 0-1,1-1 1,0 0-1,0 0 0,1-1 1,0 0-1,0 0 1,1 0-1,-1-1 0,2 0 1,-1-1-1,1 0 1,-1 0-1,1 0 0,1-1 1,-1-1-1,1 0 1,-1 0-1,1-1 1,0 0-1,0 0 0,0-1 1,0-1-1,0 0 1,0 0-1,0-1 0,13-2 1,2-3 34,-1 0 1,0-1-1,0-2 1,0 0-1,-1-2 0,-1-1 1,0 0-1,0-2 1,-2 0-1,30-26 1,-33 24 697,-1 0 0,0-1-1,22-32 1,-9 1-138</inkml:trace>
  <inkml:trace contextRef="#ctx0" brushRef="#br0" timeOffset="386.64">799 751 8192,'-4'-10'1971,"1"-1"0,0 0 0,1-1 1,0 1-1,1 0 0,0 0 0,1-18 1,4 2 78,-4 27-2047,0 0 0,0 0 1,0 0-1,0-1 0,0 1 0,0 0 1,0 0-1,0 0 0,0-1 0,0 1 1,0 0-1,0 0 0,0 0 0,0-1 1,0 1-1,0 0 0,1 0 0,-1 0 1,0 0-1,0-1 0,0 1 0,0 0 1,0 0-1,0 0 0,1 0 0,-1 0 1,0-1-1,0 1 0,0 0 0,0 0 1,1 0-1,-1 0 0,0 0 0,0 0 1,0 0-1,0 0 0,1 0 0,-1 0 1,0 0-1,0 0 0,0 0 0,1 0 1,-1 0-1,0 0 0,0 0 0,0 0 1,1 0-1,-1 0 0,0 0 0,0 0 1,0 0-1,1 0 0,-1 0 0,0 0 1,0 0-1,0 1 0,0-1 0,1 0 1,-1 0-1,0 0 0,0 0 0,0 0 1,0 1-1,0-1 0,0 0 0,0 0 1,1 1-1,6 16-37,-6-14 49,15 47-313,-1 1 0,-4 0 0,9 84 0,-3 163-5758,-16-281 5459,-1 75-1214,0-45-2269,8 78 1,-1-99 3876,-7-26 203,0 1-1,0-1 1,0 1 0,0-1 0,1 1 0,-1-1 0,0 0 0,0 1 0,0-1 0,1 1 0,-1-1 0,0 0-1,1 1 1,-1-1 0,0 0 0,1 0 0,-1 1 0,0-1 0,1 0 0,-1 0 0,1 1 0,-1-1 0,1 0-1,-1 0 1,0 0 0,1 0 0,-1 0 0,1 1 0,-1-1 0,1 0 0,-1 0 0,1 0 0,-1 0 0,1-1-1,-1 1 1,1 0 0,-1 0 0,0 0 0,1 0 0,-1 0 0,1 0 0,0-1 0,11-11 0</inkml:trace>
  <inkml:trace contextRef="#ctx0" brushRef="#br0" timeOffset="1124.58">672 1196 8192,'5'16'10565,"-4"-13"-9860,17 7 4194,26-1-3409,-40-9-1335,12 1-142,0-1 1,0-1-1,1-1 0,-1 0 0,-1-1 1,1-1-1,0 0 0,-1-1 1,0-1-1,0 0 0,0-1 0,-1 0 1,0-2-1,0 1 0,-1-2 1,14-12-1,-5 3-15,-1-2 0,0 0 0,-2-1 0,-1-1 0,0 0 0,-2-2 0,0 0 0,12-29 0,-26 49 2,0 1 0,0-1 0,0 0 0,-1 0 0,0 0 0,0 0 0,0 0 0,-1 0 0,0 0 0,0-8 0,0 12 0,0 0 0,0 0 0,-1 0 0,1 0 0,0 0 0,-1 0 0,1 0 0,-1 0 0,1 1 0,-1-1 0,1 0 0,-1 0 0,1 0 0,-1 1 0,0-1 0,0 0 0,1 1 0,-1-1 0,0 0 0,0 1 0,-1-1 0,0 0 0,0 1 0,0 0 0,0-1 0,0 1 0,0 0 0,0 0 0,1 0 0,-1 0 0,0 1 0,0-1 0,0 1 0,0-1 0,0 1 0,-3 1 0,-2 1 0,0 1 0,1 0 0,0 0 0,0 0 0,0 1 0,0 0 0,1 0 0,-1 0 0,1 1 0,1 0 0,-1 0 0,1 0 0,0 0 0,0 1 0,1 0 0,0-1 0,0 1 0,1 1 0,0-1 0,0 0 0,0 0 0,1 1 0,0-1 0,1 1 0,0 8 0,0-13 0,0-1 0,1 1 0,-1-1 0,1 1 0,0-1 0,0 1 0,0-1 0,0 0 0,0 0 0,0 1 0,1-1 0,-1 0 0,1 0 0,-1 0 0,1 0 0,0-1 0,0 1 0,0 0 0,3 1 0,-1-1 0,0 0 0,0 0 0,0 0 0,0-1 0,1 0 0,-1 0 0,0 0 0,1 0 0,-1-1 0,6 0 0,3 0 0,1-1 0,-1-1 0,0 0 0,0-1 0,0 0 0,15-6 0,36-19 0,-60 31 0,-6 7 0,-8 14 0,8-20 0,-2 5-221,1 0-1,-1 1 1,1-1 0,1 1 0,0-1 0,0 1 0,0 11 0,2-17-103,1 1 0,-1-1 0,1 1 0,-1-1 0,2 1 0,-1-1 0,0 0 0,1 0 0,-1 1 0,1-1 0,1 0 0,-1-1-1,0 1 1,1 0 0,0-1 0,0 1 0,0-1 0,4 4 0,3 2-400,1-1-1,0 0 1,0 0-1,1-1 1,-1-1 0,1 0-1,1-1 1,-1 0-1,1-1 1,0 0-1,23 3 1,-19-5 511,0-1-1,0-1 1,0 0 0,0-2 0,0 0 0,0 0 0,-1-2 0,26-8-1,-19 4 251,-1-1 0,-1-1 0,0-1 0,0-1-1,-1-1 1,-1-1 0,0 0 0,-1-2 0,0 0 0,-2-1-1,0 0 1,0-2 0,17-27 0,-21 24-37,-1 0 0,-1 0 0,-1-1 0,-1 0 0,-1-1 0,-1 1 0,-1-1 0,-1-1 0,-1 1 0,-1 0 0,-2-1 0,0 1 0,-1-1 0,-2 1 0,-8-36 0,8 49 0,-1 0 0,0 1 0,0 0 0,-2 0 0,1 0 0,-1 0 0,0 1 0,-1 0 0,-10-10 0,16 17 0,-1 0 0,0 0 0,0 0 0,0 0 0,0 1 0,0-1 0,0 0 0,0 1 0,-1 0 0,1 0 0,0 0 0,-1 0 0,1 0 0,-1 0 0,1 0 0,-1 1 0,0 0 0,1-1 0,-1 1 0,1 0 0,-1 0 0,0 0 0,1 1 0,-1-1 0,1 0 0,-1 1 0,0 0 0,1 0 0,-1 0 0,1 0 0,0 0 0,-1 0 0,1 0 0,0 1 0,0 0 0,0-1 0,0 1 0,0 0 0,0 0 0,0 0 0,1 0 0,-1 0 0,1 0 0,-2 3 0,-5 7 0,1 1 0,0-1 0,1 1 0,1 0 0,0 1 0,1-1 0,0 1 0,1 0 0,-2 27 0,2-6 0,2-1 0,6 69 0,-2-80 0,0-1 0,2 1 0,0-1 0,2 0 0,0-1 0,1 0 0,1 0 0,16 26 0,-19-37 0,1 0 0,0-1 0,0-1 0,1 1 0,0-1 0,1 0 0,-1-1 0,2 0 0,-1 0 0,1-1 0,0 0 0,0-1 0,0 0 0,1-1 0,0 0 0,-1 0 0,2-1 0,14 2 0,-9-3 0,1-1 0,0-1 0,-1 0 0,25-4 0,4-4 0</inkml:trace>
  <inkml:trace contextRef="#ctx0" brushRef="#br0" timeOffset="1608.16">2704 920 8192,'7'0'11991,"17"-7"-11991,25-13 6031,31-3-6031,19-9-3356,7 1 3356,0-1-5484,-7 5 5484,-17 7 3356,-23 7-3356</inkml:trace>
  <inkml:trace contextRef="#ctx0" brushRef="#br0" timeOffset="1841.91">3127 561 8192,'3'-13'18022,"6"19"-18022,7 16 0,2 16 0,12 22 0,1 19 0,2 18 0,-4-1 0,0-5 0,9-11 0,6-20 0,2-26 0,-6-20 0</inkml:trace>
  <inkml:trace contextRef="#ctx0" brushRef="#br0" timeOffset="2495.98">3932 222 8192,'20'-4'18278,"-4"-2"-17060,9-5-3862,-6 3 3814,136-47-1170,316-69 0,-459 121 0,-1 0 0,0 1 0,0 0 0,0 0 0,0 1 0,0 1 0,15 0 0,-25 0 0,0 0 0,0 0 0,0 1 0,0-1 0,0 0 0,0 0 0,0 1 0,0-1 0,0 0 0,0 1 0,0-1 0,0 1 0,0 0 0,-1-1 0,1 1 0,0-1 0,0 1 0,-1 0 0,1 0 0,0-1 0,-1 1 0,1 0 0,-1 0 0,1 0 0,-1 0 0,0 0 0,1 0 0,-1-1 0,0 1 0,1 0 0,-1 0 0,0 0 0,0 0 0,0 0 0,0 0 0,0 0 0,0 0 0,0 0 0,0 0 0,0 0 0,-1 2 0,-1 3 0,-1 1 0,1-1 0,-1 1 0,-7 10 0,7-13 0,-146 227-2687,41-69-2471,-102 149-3515,110-185 7478,65-87 939,16-19 238,1 2 1,-27 41-1,44-62 18,0 1 0,0 0 0,0-1 0,1 1 0,-1 0 0,0 0 0,1 0 0,-1 0 0,1 0 0,-1 3 0,2-5 0,-1 1 0,0-1 0,0 1 0,0-1 0,0 1 0,0-1 0,0 1 0,1-1 0,-1 1 0,0-1 0,0 1 0,1-1 0,-1 1 0,0-1 0,1 0 0,-1 1 0,0-1 0,1 0 0,-1 1 0,1-1 0,-1 0 0,0 1 0,1-1 0,-1 0 0,1 0 0,0 1 0,4-1 0,-1 1 0,0-1 0,1 0 0,-1 0 0,1 0 0,-1-1 0,1 0 0,6-2 0,190-58 0,-124 35 0,902-276-256,-767 245 5211,-1 4 5364,-98 26-7315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25.1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1359 8192,'8'14'17806,"18"4"-18618,-16-12 1840,-6-3-1028,1 0 0,0 0 0,0-1 0,0 0 0,0 0 0,0 0 0,0 0 0,1-1 0,-1 0 0,0 0 0,1 0 0,-1 0 0,1-1 0,-1 0 0,1-1 0,-1 1 0,1-1 0,-1 0 0,1 0 0,-1 0 0,0-1 0,1 0 0,-1 0 0,0-1 0,0 1 0,-1-1 0,1 0 0,-1 0 0,5-4 0,4-4 0,-1 0 0,-1-1 0,0 0 0,-1-1 0,0 0 0,-1-1 0,0 0 0,11-25 0,-8 9 0,-1-1 0,-1 0 0,-2 0 0,-1-1 0,-2 0 0,0 0 0,-3 0 0,-2-63 0,0 91 0,-1-1 0,1 1 0,-1 0 0,0 0 0,0 1 0,0-1 0,-1 0 0,1 0 0,-1 0 0,0 1 0,0-1 0,0 1 0,0 0 0,-5-5 0,6 7 0,0 0 0,-1 0 0,1 0 0,-1 0 0,1 1 0,-1-1 0,1 0 0,-1 1 0,1-1 0,-1 1 0,0 0 0,1-1 0,-1 1 0,0 0 0,1 0 0,-1 0 0,0 0 0,1 1 0,-1-1 0,0 0 0,1 1 0,-1-1 0,0 1 0,1-1 0,-1 1 0,1 0 0,-1 0 0,1-1 0,0 1 0,-1 0 0,1 0 0,0 1 0,-1-1 0,1 0 0,-1 2 0,-5 4 0,2 1 0,-1-1 0,1 1 0,0 0 0,0 1 0,1-1 0,1 1 0,-1 0 0,1 0 0,1 0 0,-1 0 0,2 0 0,-1 0 0,1 1 0,1-1 0,0 1 0,0-1 0,2 13 0,-1-18 0,0-1 0,0 0 0,1 0 0,-1 0 0,1 0 0,-1 0 0,1 0 0,0 0 0,0-1 0,0 1 0,1-1 0,-1 1 0,1-1 0,-1 0 0,1 0 0,0 0 0,-1 0 0,1-1 0,0 1 0,0-1 0,1 1 0,-1-1 0,0 0 0,0 0 0,1-1 0,6 1 0,1 1 0,1-1 0,0 0 0,0-1 0,0-1 0,0 0 0,16-3 0,-3-3 0,-1-1 0,0-2 0,-1 0 0,1-1 0,-2-1 0,0-1 0,25-20 0,-41 29 0,0-1 0,1 0 0,-1 1 0,1 0 0,10-4 0,-16 8 0,-1-1 0,1 1 0,0 0 0,0 0 0,-1-1 0,1 1 0,0 0 0,0 0 0,0 0 0,0 0 0,-1 0 0,1 0 0,0 0 0,0 0 0,0 0 0,-1 0 0,1 0 0,0 1 0,0-1 0,0 0 0,-1 0 0,1 1 0,0-1 0,-1 1 0,1-1 0,0 1 0,-1-1 0,1 1 0,0-1 0,-1 1 0,1-1 0,-1 1 0,1 0 0,-1-1 0,1 1 0,-1 0 0,0 0 0,1-1 0,-1 1 0,0 0 0,0 0 0,1-1 0,-1 1 0,0 0 0,0 0 0,0 0 0,0-1 0,0 1 0,0 0 0,0 1 0,-2 56 0,0-46 0,2 0 0,-1 0 0,2 1 0,2 21 0,-2-31 0,0 1 0,0 0 0,0-1 0,1 1 0,-1-1 0,1 0 0,0 1 0,0-1 0,0 0 0,1 0 0,-1 0 0,1 0 0,-1-1 0,1 1 0,0-1 0,0 1 0,0-1 0,0 0 0,7 3 0,1-1-89,0 0 1,1-1 0,-1 0-1,0-1 1,1-1 0,-1 0-1,1 0 1,0-1 0,-1 0-1,1-1 1,-1 0 0,1-1 0,-1-1-1,0 0 1,1 0 0,-1-1-1,16-8 1,-8 3-813,-1 0 1,0-1-1,-1-1 1,0-1-1,0-1 1,-2 0-1,1-1 1,-2 0-1,16-20 1,-22 23-231,-1 0 0,-1-1 0,1 1 0,-2-1 0,8-23 0,-11 29 1085,0-1 1,0 1-1,-1-1 0,0 0 0,0 1 0,-1-1 1,0 0-1,0 1 0,-1-1 0,1 0 0,-1 1 0,-1-1 1,-2-7-1,4 12 96,0 1 1,-1-1-1,0 0 1,1 0 0,-1 1-1,0-1 1,0 1-1,0-1 1,0 1 0,0-1-1,-1 1 1,1-1-1,0 1 1,0 0-1,-1 0 1,1 0 0,-1 0-1,1 0 1,-1 0-1,0 0 1,1 0-1,-1 1 1,0-1 0,0 1-1,1-1 1,-1 1-1,0-1 1,0 1 0,0 0-1,1 0 1,-1 0-1,0 0 1,0 0-1,0 1 1,1-1 0,-1 0-1,0 1 1,0 0-1,1-1 1,-1 1-1,0 0 1,1 0 0,-3 1-1,-3 2-199,0 1-1,0 0 1,0 1-1,1-1 1,0 1-1,0 0 1,1 1-1,-6 8 1,4-5 401,0 1 0,1 0 1,0 0-1,1 0 0,0 1 0,1 0 0,1 0 1,-3 13-1,5-20-318,0 0 0,1-1 1,0 1-1,0 0 0,0-1 0,0 1 0,1 0 1,0-1-1,0 1 0,0-1 0,0 1 0,1-1 1,0 0-1,0 1 0,0-1 0,0 0 0,1 0 1,-1-1-1,1 1 0,0 0 0,0-1 0,1 0 1,-1 1-1,1-1 0,3 2 0,5 2 226,-1-1-1,1 0 0,0-1 1,1 0-1,-1-1 1,1-1-1,0 0 0,0-1 1,0 0-1,0-1 0,27 0 1,-5-3-858,0-2-1,0-1 1,47-13 0,-28 3 647,0-3 0,-1-2 1,-1-2-1,-2-2 0,0-3 0,-1-2 0,-2-2 0,-1-2 0,-2-2 1,49-49-1,-77 66 51,0 0 0,17-24 0,-29 36 0,-1 0 0,1 0 0,-1 0 0,0 0 0,-1 0 0,0 0 0,0-1 0,0 1 0,-1-1 0,1 0 0,-2 1 0,1-10 0,-1 14 3,0-1 1,-1 1-1,1-1 0,-1 1 1,0 0-1,0 0 0,0-1 1,0 1-1,0 0 1,0 0-1,0 0 0,-1 0 1,1 0-1,-1 0 0,0 0 1,1 1-1,-1-1 1,0 0-1,0 1 0,0 0 1,0-1-1,0 1 0,-1 0 1,1 0-1,0 0 1,0 0-1,-1 1 0,1-1 1,-4 0-1,-6-1 472,-1 0 0,0 0 0,1 2 0,-17 0 0,19 1 96,0 0 0,0 0 1,0 1-1,0 0 1,0 1-1,1 0 0,-1 1 1,1 0-1,0 0 1,0 1-1,0 0 0,0 0 1,1 1-1,0 1 1,0-1-1,1 1 1,0 0-1,-8 10 0,10-10-569,0 1 0,0-1 0,1 1 0,0 0 0,0 0 0,1 0 0,0 1-1,0-1 1,1 1 0,0 0 0,0 0 0,1-1 0,0 1 0,1 0 0,0 0 0,1 0 0,-1 0-1,2 0 1,-1 0 0,6 16 0,-4-18 301,-1-1 1,1 0-1,0 0 0,1 0 0,-1 0 1,1 0-1,9 9 0,-8-10-453,0 0-1,0-1 0,0 0 1,1 0-1,0 0 0,0 0 1,8 3-1,-8-5-344,1 1 0,0-1 0,0 0 0,-1-1-1,1 0 1,0 0 0,0 0 0,0-1 0,0 0 0,0 0 0,0-1 0,0 0-1,0 0 1,0-1 0,0 1 0,0-2 0,-1 1 0,1-1 0,-1 0 0,0 0-1,1-1 1,-2 1 0,1-1 0,0-1 0,-1 1 0,5-6 0,4-6 384,-2 0 0,0-1 0,-1 0 0,-1-1 0,0-1-1,-1 1 1,-1-1 0,-1-1 0,-1 1 0,-1-1 0,5-36 0,-3-3 147,-2 0 0,-6-108 0,0 161-20,1-14 38,0 1-1,-2-1 0,0 0 0,-2 0 0,0 1 0,-1 0 1,-1 0-1,-8-18 0,13 35 70,1 1 1,-1-1-1,0 1 0,0 0 1,0-1-1,0 1 0,0 0 1,0 0-1,0 0 1,0-1-1,0 1 0,-1 1 1,1-1-1,-3-2 0,3 3-116,0 0 0,1 0 0,-1 0 0,0 0-1,0 0 1,1 0 0,-1 0 0,0 0 0,0 0-1,1 0 1,-1 0 0,0 0 0,1 1 0,-1-1-1,0 0 1,1 1 0,-1-1 0,0 0 0,1 1-1,-1-1 1,0 1 0,0 0 0,-2 2-230,0 1 0,0 0 0,1 0 0,-1 0 0,1 0 0,0 0 0,0 0 0,-2 9 0,-7 27 173,3 1 1,1 0-1,2 1 1,2-1-1,2 1 1,1 0-1,2 0 1,3-1-1,10 49 1,-12-73 49,1-1 0,1 0 0,1 0 0,0 0 0,1-1 0,0 0 0,2 0 0,12 17 0,-17-26 0,1-1 0,0 0 0,0 0 0,0 0 0,1 0 0,-1-1 0,1 0 0,0 0 0,1-1 0,-1 1 0,1-1 0,-1-1 0,1 1 0,0-1 0,0 0 0,0-1 0,0 0 0,0 0 0,0 0 0,0-1 0,14-1 0,-7-2 0,0 0 0,0 0 0,0-1 0,-1-1 0,0 0 0,0-1 0,0-1 0,0 0 0,-1-1 0,0 0 0,-1 0 0,0-1 0,17-19 0,-11 11 0,-1-1 0,-1-1 0,-1-1 0,0 0 0,-1-1 0,-2 0 0,12-28 0,-18 31 1812,-12 38 646,2-1-415,0 0 1,2 0-1,0 0 0,0 38 1,3-51-1903,0-1 1,0 0-1,1 0 1,0 0-1,0 0 0,0 0 1,0 0-1,1 0 0,0 0 1,0-1-1,0 1 1,1-1-1,0 1 0,-1-1 1,1 0-1,1 0 1,-1 0-1,1 0 0,-1-1 1,1 1-1,0-1 0,1 0 1,-1 0-1,6 2 1,-1-1-142,0 0 0,0-1 0,0 0 0,1 0 0,-1-1 0,1-1 0,0 0 0,0 0 0,-1-1 0,1 0 0,0 0 0,0-1 0,-1-1 0,1 1 0,-1-2 0,16-4 0,-13 2 0,0-1 0,-1 0 0,0-1 0,0 0 0,0 0 0,-1-1 0,0 0 0,-1-1 0,0 0 0,0-1 0,13-18 0,-15 17 0,0 0 0,-1 0 0,0-1 0,-1 0 0,0 1 0,-1-2 0,0 1 0,-1 0 0,-1-1 0,0 0 0,1-23 0,-3 27 0,-1-1 0,0 1 0,0-1 0,-1 1 0,0-1 0,-1 1 0,0 0 0,0 0 0,-1 0 0,0 0 0,-1 1 0,0 0 0,0 0 0,-1 0 0,0 0 0,-12-12 0,7 11 0,0 0 0,0 0 0,-1 1 0,0 0 0,0 1 0,-1 0 0,0 1 0,0 0 0,-1 2 0,-14-5 0,23 8 0,1 0 0,-1 0 0,0 0 0,0 1 0,0-1 0,0 1 0,0 0 0,0 1 0,0-1 0,0 1 0,0 0 0,0 0 0,0 1 0,0-1 0,1 1 0,-1 0 0,0 1 0,1-1 0,0 1 0,0 0 0,0 0 0,0 0 0,0 0 0,0 1 0,1-1 0,0 1 0,-1 0 0,1 0 0,1 0 0,-5 9 0,4-9-15,1 1 1,0-1 0,0 0-1,1 1 1,-1 0 0,1-1-1,0 1 1,1 0 0,-1-1-1,1 1 1,-1 0 0,2 0-1,-1 0 1,0 0-1,1-1 1,0 1 0,0 0-1,0-1 1,1 1 0,0-1-1,-1 1 1,2-1 0,-1 0-1,0 1 1,1-1 0,0 0-1,0-1 1,0 1 0,0 0-1,1-1 1,-1 0 0,1 0-1,0 0 1,0 0 0,0-1-1,0 1 1,0-1 0,10 3-1,2 2-517,1-1 0,1-1 0,24 4 0,-13-5 804,1-1 0,0-2-1,33-2 1,89-17 621,-60-1-3367,25-10 1915</inkml:trace>
  <inkml:trace contextRef="#ctx0" brushRef="#br0" timeOffset="325.55">3769 555 8192,'7'-7'11332,"17"-10"-4642,18-9-6690,24-7 0,16-5 0,7-4 0,0 6 0,-8-2 0,-18 1 0,-20 8 0</inkml:trace>
  <inkml:trace contextRef="#ctx0" brushRef="#br0" timeOffset="528.98">4171 26 8192,'10'-16'9352,"15"7"-1893,18 12-7459,15 13 1211,9 15-1211,0 9 0,-11 12 0,-15 15 0,-15 15 0,-11 11 0,-27 11 0,-25 6-2971,-15-16 2971,3-23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39.1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216 832 8192,'-4'1'577,"1"-1"0,-1 1 0,1 0 0,-1 0 0,1 0 1,0 0-1,-1 0 0,1 1 0,0 0 0,0-1 0,-5 5 0,-29 27 2544,36-32-3002,-10 10 855,0 1 1,1 1-1,1-1 0,0 1 0,1 1 1,-8 16-1,6-7-608,1 0-1,1 1 1,-6 34 0,6-12-473,2 1 1,2 0-1,5 79 1,1-94-377,1 0 0,2 0 0,1 0 0,2-1 0,1 1 1,1-2-1,16 32 0,-18-47-76,0-1 0,0 1 0,2-2 0,-1 0 1,2 0-1,22 21 0,-25-27 361,1 0 1,0 0-1,0-1 0,0-1 1,1 0-1,0 0 1,0-1-1,0 0 1,1-1-1,-1 0 0,15 2 1,-14-3-342,0-1 1,0-1-1,0 0 0,-1 0 1,1-1-1,0 0 0,0-1 1,0-1-1,-1 1 0,1-2 1,12-5-1,-10 3 334,0-2 0,0 1-1,-1-2 1,0 1 0,0-2-1,-1 0 1,15-17 0,-5 1 238,-2 0 0,-1-1-1,-1-1 1,-2 0 0,0-2 0,20-60 0,-24 54-33,-1 0 0,-2 0 0,-2-1 0,-1 0 0,-2 0 0,-1 0 0,-2 0 0,-2-1 0,-1 1 0,-2 0 0,-2 1 0,-1-1 0,-22-59 0,6 41 0,23 52 0,-1-1 0,0 1 0,0 0 0,0 0 0,0 0 0,-1 1 0,1-1 0,-1 1 0,1-1 0,-1 1 0,0 0 0,0 0 0,-4-2 0,6 4 25,0-1 1,0 1 0,0 0 0,0 0-1,0 0 1,0 0 0,0 0-1,0 0 1,0 0 0,0 0 0,0 0-1,0 1 1,0-1 0,0 0-1,0 1 1,0-1 0,1 1-1,-1-1 1,0 1 0,0-1 0,0 1-1,0-1 1,1 1 0,-1 0-1,0 0 1,0-1 0,1 1 0,-1 0-1,1 0 1,-1 0 0,1 0-1,-1 0 1,1-1 0,-1 1 0,1 0-1,-1 2 1,-10 42 1499,8-13-1827,2 0 1,0 0 0,2 0 0,2 0-1,6 32 1,5 7-33,27 79 0,-27-106 334,35 74 0,-41-103 0,0-1 0,1 1 0,0-1 0,1-1 0,1 0 0,0 0 0,1-1 0,15 13 0,-25-23 0,1 0 0,0 0 0,0 0 0,-1 0 0,1 0 0,0 0 0,1-1 0,-1 0 0,0 1 0,0-1 0,1 0 0,-1 0 0,0-1 0,1 1 0,-1-1 0,1 0 0,-1 0 0,0 0 0,1 0 0,-1-1 0,1 1 0,-1-1 0,0 0 0,1 0 0,-1 0 0,0 0 0,0 0 0,0-1 0,0 0 0,0 0 0,0 1 0,0-2 0,4-3 0,19-24 0</inkml:trace>
  <inkml:trace contextRef="#ctx0" brushRef="#br0" timeOffset="653.88">512 1425 8192,'11'17'8004,"-11"-17"-7656,1 0 0,0 1 0,1-1 0,26 5 2703,22-9 1402,0-9-3508,48-27-3321,-84 34 2132,83-41 105,45-39-7757,-75 35 5116,-6-4 3626,-41 34 4385,29-39-1,-35 45-2880,-6 22-2396,5 8 47,-7-11-113,-1-1 0,1 0 0,0 0 0,1 0 0,-1 0 0,0-1 0,1 0 0,-1-1 1,1 1-1,0-1 0,8 0 0,6 0-238,1-2 1,25-4-1,20-1-7817,-65 6 7930,0 0 0,0 0 1,0 0-1,0 0 0,0 0 0,0 0 0,-1 0 0,1 1 0,0-1 0,0 1 0,0-1 0,0 1 0,0 0 0,-1 0 1,1 0-1,0 0 0,0 0 0,-1 0 0,1 0 0,-1 1 0,1-1 0,-1 0 0,0 1 0,0-1 0,1 1 0,-1 0 1,0-1-1,0 1 0,0 0 0,-1 0 0,2 2 0,-1 4 213,0 0 1,0 0-1,-1 1 0,0-1 1,-1 0-1,-2 12 0,-1 30 899,4-48-918,0 1 1,1 0 0,-1-1 0,0 1 0,1-1-1,-1 1 1,1-1 0,0 1 0,0-1 0,0 1-1,0-1 1,0 0 0,3 4 0,-1-3 139,0-1-1,0 1 1,1-1 0,-1 0 0,0 0 0,1 0-1,-1 0 1,1-1 0,0 1 0,0-1 0,-1 0 0,1 0-1,0 0 1,0-1 0,8 1 0,-1-1 152,-1 0 1,1-1-1,0 0 1,18-5-1,-17 2-418,0 0 0,0-1 0,-1-1 0,1 0 0,-1-1 0,-1 0 0,1 0 0,-1-1 0,0 0 0,-1-1 0,0 0 0,-1-1 0,1 0 0,-2 0 0,0 0 0,0-1 0,7-15 0,-6 9 190,0-1-1,-1 0 1,-1 0-1,0 0 1,-1-1-1,-2 0 1,0 0-1,0 0 0,-2 0 1,-1 0-1,-1-20 1,-1 28-21,1 1 0,-2-1 0,1 0 0,-7-15 0,7 22 0,1 1 0,0 0 0,-1 0 0,0 0 0,1 0 0,-1 0 0,0 0 0,-1 1 0,1-1 0,0 1 0,-1-1 0,0 1 0,1 0 0,-1 0 0,0 0 0,0 0 0,-6-2 0,8 4 0,-1-1 0,0 1 0,0 0 0,0 0 0,1 0 0,-1 0 0,0 0 0,0 1 0,1-1 0,-1 1 0,0-1 0,1 1 0,-1-1 0,0 1 0,1 0 0,-1 0 0,1 0 0,-1 0 0,1 0 0,-1 0 0,1 0 0,0 0 0,0 1 0,0-1 0,-1 0 0,1 1 0,0-1 0,1 1 0,-1-1 0,0 1 0,-1 3 0,-2 5 0,-1 0 0,2 1 0,-5 19 0,3-7 0,1 1 0,2 0 0,0 0 0,2 1 0,0-1 0,5 30 0,-3-42 0,1 1 0,0-1 0,1 0 0,0 1 0,12 21 0,-13-27 0,1-1 0,0 0 0,1 0 0,-1-1 0,1 1 0,1-1 0,-1 0 0,0 0 0,1 0 0,0-1 0,8 4 0,1-1 0,1-1 0,0-1 0,0-1 0,0 0 0,0-1 0,1-1 0,-1 0 0,1-1 0,-1-1 0,1-1 0,30-5 0,33-7 0</inkml:trace>
  <inkml:trace contextRef="#ctx0" brushRef="#br0" timeOffset="903.81">2608 1001 8192,'19'6'16796,"14"-19"-16796,18-14 1226,14-9-1226,11-6 0,7 4 0,0-2 0,-7-2-3356,-17 7 3356</inkml:trace>
  <inkml:trace contextRef="#ctx0" brushRef="#br0" timeOffset="1088.82">2904 578 8192,'0'7'11332,"3"14"-11332,2 17 6690,10 16-6690,3 14 0,9 14 0,0 6-3356,7-4 3356,-4-12 0,2-20-5484,1-17 8840,-4-16-3356</inkml:trace>
  <inkml:trace contextRef="#ctx0" brushRef="#br0" timeOffset="1647.61">3878 218 8192,'32'6'14789,"0"8"-10192,28 27-6969,-25-16 3380,-5-5-1008,-10-6 0,1 0 0,1-1 0,1-1 0,-1-1 0,33 10 0,-52-20 0,0 0 0,1 0 0,-1-1 0,0 1 0,0-1 0,0 0 0,1 0 0,-1 0 0,0 0 0,0-1 0,0 1 0,0-1 0,1 0 0,-1 0 0,0 0 0,0 0 0,-1-1 0,1 1 0,0-1 0,3-2 0,-2 1 0,-1-1 0,1 0 0,-1 0 0,0 0 0,0 0 0,0-1 0,-1 1 0,1-1 0,-1 0 0,0 0 0,2-7 0,1-12 0,0-1 0,-2 0 0,-1 0 0,-1-28 0,0 43 0,-5-162 0,4 167-1025,-1 8 222,0 17-300,-1 34-236,1 91-2980,-2 244-4384,7-134 7973,-3-250 730,-1 14 0,1 0 0,0 1 0,2-1 0,7 28 0,0-27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48.3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281 309 8192,'1'-66'7246,"1"-20"133,-3 66-6314,0 0 0,-5-23 0,5 40-1061,1-1 0,-1 1 0,0-1 0,0 1 0,0 0 0,0-1 0,-1 1 0,1 0 0,-1 0 0,0 0 0,0 0 0,0 0 0,0 0 0,-1 1 0,1-1 0,-1 1 0,1 0 0,-1-1 0,0 1 1,0 0-1,0 1 0,0-1 0,0 0 0,0 1 0,-1 0 0,1 0 0,0 0 0,-1 0 0,1 0 0,-1 1 0,1-1 0,-1 1 0,1 0 0,-1 0 0,1 0 0,-1 1 0,1-1 0,-1 1 0,1 0 0,0 0 0,-1 0 0,1 0 0,0 1 0,0-1 0,0 1 0,0 0 0,0 0 1,0 0-1,-4 4 0,-4 4-185,1 1 0,1 0 0,0 1 1,0 0-1,1 0 0,1 1 0,0 0 0,0 0 1,1 1-1,1 0 0,1 0 0,-4 16 1,-3 22-2822,-8 106 1,10 221-5678,26-217 7891,-14-142 760,1 1 1,0-1-1,2 0 1,0 0-1,2-1 1,0 1-1,19 30 1,-23-44 28,0 0-1,0 0 1,1-1 0,0 1-1,0-1 1,0 0 0,1-1 0,0 1-1,0-1 1,0 0 0,0-1-1,0 1 1,1-1 0,0 0-1,-1-1 1,1 0 0,0 0-1,0 0 1,0-1 0,1 0-1,-1-1 1,0 1 0,0-1-1,0-1 1,12-1 0,-11 0-1,0 0 0,-1-1 0,0 1 0,1-2 0,-1 1 0,0-1 0,-1 0 0,1 0 0,-1-1 0,1 0 0,-2 0 0,1 0 0,0-1 0,-1 0 0,0 0 0,0 0 0,-1-1 0,7-12 0,0-3 0,-1 0 0,0-1 0,-2 0 0,10-41 0,1-75 2476,-19 149-2557,0-1 0,1 1 0,0-1 0,1 1 0,0-1 0,0 0 1,1 1-1,0-1 0,1-1 0,0 1 0,0 0 0,1-1 1,0 0-1,0 0 0,1 0 0,0-1 0,12 11 0,-12-12 272,1-1 0,-1 0 0,1 0 0,0 0 0,1-1 0,-1 0 0,1-1 0,-1 0 0,11 3 0,-11-4 365,-1-1 1,1 0-1,0 0 1,0-1 0,-1 0-1,1 0 1,0 0-1,0-1 1,0 0-1,-1 0 1,1-1-1,7-2 1,-7 1 57,0 0 0,0-1-1,0 0 1,-1 0 0,0 0 0,0 0 0,0-1-1,0 0 1,-1-1 0,7-7 0,-5 3-364,1 0 0,-2-1 0,1 0 0,-1 0 0,6-20 0,-3 5-329,-2-2 0,-1 1 0,-1-1 0,3-48 0,-8 72 79,0 4 0,0 13 0,0 0 0,1 0 0,3 21 0,-1-28 0,-1 0 0,1-1 0,1 1 0,-1-1 0,1 0 0,0 0 0,0 0 0,0 0 0,1 0 0,0-1 0,0 0 0,0 0 0,0-1 0,0 1 0,1-1 0,0 0 0,0 0 0,0-1 0,0 0 0,0 0 0,0 0 0,0-1 0,0 0 0,1 0 0,6 0 0,-2-1 0,-1 1 0,1-2 0,0 1 0,-1-1 0,1-1 0,-1 0 0,1-1 0,-1 0 0,0 0 0,0-1 0,0 0 0,0-1 0,-1 0 0,12-9 0,-10 5-232,0 0 0,-1-1 1,0 0-1,-1-1 0,-1 0 1,12-19-1,-12 15-763,0-2 1,0 1-1,-2-1 0,0-1 1,-1 1-1,-1-1 0,4-31 1,-6 21-501,-1 0 0,-1-1 0,-2 1-1,-6-38 1,2 33 1112,-16-46 1,19 70 292,-12-31-24,15 38 114,-1 0 0,0 0 0,0 0 0,-1 0 1,1 0-1,0 0 0,-1 0 0,1 0 0,-1 1 0,1-1 0,-1 1 0,0-1 1,-3-1-1,5 3 0,-1 0 0,0 0 0,1 0 0,-1 0 0,0 0 0,1 0 0,-1 0 0,0 0 0,1 0 0,-1 1 0,1-1 0,-1 0 0,0 0 0,1 1 0,-1-1 0,1 0 0,-1 1 0,1-1 0,-1 0 0,1 1 0,-1-1 0,1 1 0,-1-1 0,1 1 0,-1-1 0,1 1 0,0 0 0,-1-1 0,1 1 0,0-1 0,0 1 0,-1 0 0,1-1 0,0 1 0,0 0 0,0-1 0,0 1 0,0 1 0,-6 29 0,5-3 0,1 1 0,2-1 0,0 0 0,2 1 0,13 47 0,-10-52 0,1-1 0,0 0 0,2 0 0,1-1 0,0-1 0,2 0 0,15 21 0,-22-35 0,1 0 0,-1 0 0,1-1 0,1 0 0,-1 0 0,1-1 0,0 0 0,0 0 0,10 4 0,-14-8 0,-1 1 0,0-1 0,1 0 0,-1 0 0,1 0 0,-1 0 0,1-1 0,0 1 0,-1-1 0,1 0 0,-1 0 0,1-1 0,0 1 0,-1-1 0,1 1 0,-1-1 0,1 0 0,-1 0 0,0-1 0,1 1 0,-1-1 0,0 0 0,0 1 0,0-1 0,5-5 0,8-14 0</inkml:trace>
  <inkml:trace contextRef="#ctx0" brushRef="#br0" timeOffset="124.66">1255 627 8192,'15'-3'8839,"10"-13"-8839,9-14 7957,21-20-7957,19-12-3356,11-3 3356,2 3-5484,-10 11 5484,-19 15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50.07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323 3391 8192,'-2'-36'13917,"-7"5"-9650,7 28-4274,1 1 0,-1 0 0,1-1 0,-1 1 0,0 0-1,0 0 1,0 0 0,0 1 0,0-1 0,0 0 0,-1 1 0,1-1 0,-1 1 0,1 0 0,-1 0 0,1 0 0,-1 0 0,0 0 0,1 1 0,-1-1 0,0 1 0,-5-1 0,3 1 9,1 0 0,-1 0 0,0 1 0,0 0 0,0 0 0,0 0 0,1 0 0,-1 1 0,1-1 0,-1 1 0,1 0 1,-1 1-1,1-1 0,0 1 0,0 0 0,0 0 0,1 0 0,-1 0 0,1 1 0,-5 5 0,-3 6-122,1-1-1,0 2 0,1-1 1,-10 23-1,0 7-1182,1 0 0,3 1 0,2 0 0,1 1 0,-4 52 0,11-61 69,3 0 1,1 0-1,2 0 0,1 0 1,2 0-1,18 72 1,-18-95 1121,1 0 1,1-1 0,0 0 0,0 0 0,2 0-1,-1-1 1,2 0 0,15 19 0,-17-25 110,0 0 1,0 0-1,1-1 1,0 0-1,0 0 1,1-1-1,0 0 0,-1 0 1,2-1-1,-1-1 1,0 1-1,1-1 1,-1-1-1,11 2 1,-6-2 73,-1-1 1,1 0 0,-1-1 0,1-1-1,-1 0 1,1 0 0,-1-1 0,0-1-1,0-1 1,0 0 0,19-8 0,-16 4-319,-1-1 0,0 0 1,-1-1-1,0 0 0,0-2 1,-1 1-1,-1-2 0,13-14 1,-7 3 884,0 0 1,-2-2-1,-1 1 1,-1-2-1,15-39 1,-17 33 5605,16-69 0,-23 83-4408,-6 46-2994,-1 4 2982,3-20-1787,1 0-1,0 0 1,0 0-1,1-1 1,0 1-1,1-1 1,0 0-1,1 0 1,0 0-1,0 0 1,1-1-1,0 0 1,8 9-1,-10-14-39,-1 0-1,1 0 1,-1-1-1,1 1 1,0-1-1,1 0 1,-1 0-1,0 0 1,1-1 0,0 1-1,-1-1 1,1 0-1,0-1 1,0 1-1,0-1 1,0 0-1,1 0 1,-1 0 0,0-1-1,0 0 1,1 0-1,-1 0 1,0-1-1,0 1 1,0-1-1,0-1 1,0 1-1,0-1 1,7-3 0,-3 0-131,-1 0 1,1 0 0,-2-1-1,1-1 1,-1 1 0,0-1-1,0 0 1,0-1 0,-1 0 0,-1 0-1,1 0 1,-1 0 0,-1-1-1,1 0 1,-1 0 0,-1 0-1,0-1 1,0 1 0,1-11-1,-2 8-670,0 1-1,-1-1 0,0 0 1,0 1-1,-2-1 0,1 0 0,-2 0 1,1 1-1,-2-1 0,1 1 0,-2-1 1,1 1-1,-1 0 0,-1 0 1,-10-16-1,5 13 357,0 0-1,-2 1 1,1 0 0,-17-13-1,21 20 418,0 0 0,0 1 0,0 0 0,-1 1 0,0-1 0,1 2-1,-2-1 1,1 1 0,0 0 0,-11-2 0,16 5 29,0-1 0,0 1 0,0 0 0,0 0 0,0 0 0,0 0 0,0 1 0,0 0 0,1-1 0,-1 1 0,0 0 0,0 0 0,0 0 0,1 1 0,-1-1 0,1 1 0,-5 3 0,2-2 0,2 1 0,-1 0 0,0 1 0,1-1 0,-1 1 0,1-1 0,1 1 0,-1 0 0,-2 6 0,1 1 0,0 1 0,0 0 0,1 0 0,0 0 0,2 0 0,-1 1 0,1 16 0,1-24 0,1-1 0,-1 0 0,1 0 0,0 0 0,0 1 0,0-1 0,1 0 0,0 0 0,0 0 0,0-1 0,1 1 0,-1 0 0,1-1 0,0 0 0,0 0 0,1 0 0,-1 0 0,1 0 0,0 0 0,0-1 0,0 0 0,0 0 0,1 0 0,0 0 0,-1-1 0,1 0 0,0 0 0,0 0 0,0 0 0,0-1 0,10 2 0,-2-2 0,0 0 0,-1 0 0,1-2 0,-1 1 0,1-2 0,0 1 0,-1-2 0,0 0 0,0 0 0,0-1 0,0 0 0,16-10 0,-13 6 0,-1-2 0,0 0 0,-1 0 0,0-1 0,-1-1 0,0 0 0,-1-1 0,0 0 0,-1-1 0,-1 0 0,0 0 0,-1-1 0,0 0 0,-1-1 0,9-31 0,-9 22 0,-1 1 0,-2-1 0,0 0 0,-2-1 0,-1 1 0,0 0 0,-2-1 0,-1 1 0,-2 0 0,-5-25 0,-3 12 0,12 37 0,-1-1 0,0 1 0,1-1 0,-1 1 0,0-1 0,0 1 0,0-1 0,0 1 0,0 0 0,0 0 0,0-1 0,0 1 0,-1 0 0,1 0 0,0 0 0,-1 0 0,1 0 0,-3-1 0,3 2 0,0 1 0,0-1 0,0 0 0,0 0 0,1 0 0,-1 1 0,0-1 0,0 0 0,0 1 0,1-1 0,-1 0 0,0 1 0,0-1 0,1 1 0,-1 0 0,0-1 0,1 1 0,-1-1 0,1 1 0,-1 0 0,1 0 0,-1-1 0,1 1 0,-1 0 0,1 0 0,0-1 0,-1 1 0,1 0 0,0 0 0,0 1 0,-9 32 0,9-30 0,-7 42 0,3 1 0,2 0 0,4 62 0,26 145 0,-15-149 0,136 865 0,-136-906 0,-8-48 10,-2-14-35,0-26 599,-16-397-352,-3 140-1269,16 201 1180,13-117 0,-9 164-133,2 0 0,1 0 0,2 0 0,22-53 0,-27 76 0,0 1 0,1-1 0,0 0 0,1 1 0,0 0 0,1 1 0,0-1 0,0 1 0,1 1 0,-1-1 0,2 1 0,-1 1 0,1-1 0,0 1 0,0 1 0,1 0 0,0 0 0,14-4 0,-20 7 0,0 1 0,0 0 0,0 0 0,0 0 0,0 1 0,0-1 0,0 1 0,1 0 0,-1 1 0,0-1 0,0 0 0,0 1 0,0 0 0,0 0 0,0 0 0,0 1 0,-1-1 0,1 1 0,0 0 0,-1 0 0,1 0 0,-1 1 0,0-1 0,0 1 0,0-1 0,0 1 0,0 0 0,0 1 0,-1-1 0,1 0 0,-1 1 0,0-1 0,3 7 0,-2-1 0,0 0 0,-1 0 0,1 0 0,-2 1 0,1-1 0,-1 0 0,-1 1 0,0-1 0,0 1 0,-1-1 0,0 0 0,0 1 0,-6 16 0,0-6 0,-1 0 0,0-1 0,-2 0 0,0-1 0,-2 0 0,-16 20 0,19-26 0,0-2 0,-1 1 0,0-2 0,0 1 0,-1-1 0,-1-1 0,1 0 0,-1-1 0,-1 0 0,-16 7 0,25-12 147,0-1 0,0 0 0,0 0 1,-1 0-1,1-1 0,0 0 0,0 1 0,-1-1 0,1-1 1,0 1-1,0-1 0,0 1 0,-1-1 0,1 0 1,0-1-1,0 1 0,0-1 0,-3-2 0,-21-16 413</inkml:trace>
  <inkml:trace contextRef="#ctx0" brushRef="#br0" timeOffset="564.39">1657 3539 8192,'27'-16'5800,"-24"15"-5183,-1 1 0,0-1 0,0 0 0,1 1 0,-1-1 0,0 1 0,1 0 0,-1-1 0,0 1 0,1 0 0,-1 1 0,0-1 0,1 0 0,-1 1 0,4 0 0,-5 0-418,1 0 1,-1 0-1,1 0 1,-1 0-1,1 1 0,-1-1 1,0 0-1,1 0 0,-1 1 1,0-1-1,0 1 1,0-1-1,0 1 0,-1-1 1,1 1-1,1 2 0,0 7-505,1 0 0,-1 1 1,-1-1-1,0 0 0,-1 18 0,2 17 1102,-1-42-796,0-1 0,0 0 0,0 1 0,0-1 0,0 0 0,1 0 0,0 0 0,-1 0 0,1 0 0,0 0 0,1-1 0,-1 1 0,0-1 0,1 1 0,-1-1 0,1 0 0,0 0 0,0 0 0,0 0 0,0 0 0,0-1 0,0 0 0,0 1 0,0-1 0,1 0 0,-1-1 0,0 1 0,1 0 0,-1-1 0,1 0 0,3 0 0,0 0 0,1 0 0,0 0 0,0-1 0,0-1 0,0 1 0,-1-1 0,1-1 0,-1 1 0,1-1 0,-1 0 0,0-1 0,12-8 0,-7 3 0,-1-2 0,0 1 0,-1-2 0,0 1 0,-1-1 0,0-1 0,-1 1 0,0-2 0,7-18 0,-2 1 0,-1-1 0,-2 0 0,6-36 0,-16 80 5,0-1 1,0 0 0,1 1-1,4 16 1,14 72-355,-16-87 174,39 182-2809,39 205-3581,-37-39 53,-40-303 6219,-3 0 0,-3 0 0,-2 0 0,-15 72 0,13-104 293,0-1 0,-2 0 0,-1 0 0,-13 24 0,17-39 0,-1 1 0,0-1 0,-1 0 0,0-1 0,-1 1 0,0-1 0,0-1 0,-1 0 0,0 0 0,-18 12 0,23-18 0,1 0 0,-1 0 0,1 0 0,-1-1 0,1 0 0,-1 1 0,0-1 0,0 0 0,1 0 0,-1-1 0,0 1 0,0-1 0,0 0 0,0 0 0,0 0 0,0-1 0,0 1 0,1-1 0,-1 0 0,0 0 0,0-1 0,1 1 0,-1-1 0,1 1 0,-1-1 0,1 0 0,0 0 0,-1-1 0,1 1 0,0-1 0,1 1 0,-1-1 0,0 0 0,1 0 0,0 0 0,-3-5 0,-4-6 0,0-1 0,2 0 0,-1-1 0,2 0 0,0 0 0,1 0 0,-4-25 0,2-6 0,1 0 0,3-1 0,2 0 0,2 0 0,2 1 0,2-1 0,3 1 0,13-49 0,-6 41 0,3 0 0,2 1 0,2 2 0,3 0 0,1 1 0,48-66 0,-54 88 297,2 0 0,0 2 0,2 1 0,1 1 0,1 1 0,1 1 0,1 2 0,1 0 1,58-29-1,-14 21-297</inkml:trace>
  <inkml:trace contextRef="#ctx0" brushRef="#br0" timeOffset="1247.54">620 5635 8192,'0'6'18022,"3"27"-18022,2 23 0,6 28 0,3 39 0,8 28-2971,2 20 2971,-5 3-5849,3-11 5849,-3-25-7957,-4-29 7957,-5-37-1245,-5-37 1245,-2-26 0</inkml:trace>
  <inkml:trace contextRef="#ctx0" brushRef="#br0" timeOffset="1497.48">429 6228 8192,'-9'-14'1054,"2"0"0,0-1 0,0 1 1,1-2-1,1 1 0,-3-19 0,3 10-604,-2-40 1,6 39-962,2 0 0,2 0 1,0 0-1,1 0 0,1 1 1,2-1-1,0 1 0,2 0 1,0 1-1,2 0 0,0 1 1,2 0-1,24-33 0,-12 22 370,1 2 0,2 0-1,1 2 1,1 1 0,2 2-1,0 1 1,58-34 0,-59 42 141,0 1 0,57-21 0,-75 33 0,-1 1 0,1 0 0,0 0 0,0 1 0,0 1 0,0 0 0,0 0 0,0 2 0,0 0 0,18 3 0,-24-2 0,-1 0 0,1 1 0,-1-1 0,1 2 0,-1-1 0,0 1 0,0 0 0,0 0 0,-1 0 0,1 1 0,-1 0 0,0 0 0,-1 0 0,1 1 0,-1 0 0,0-1 0,0 1 0,-1 1 0,0-1 0,0 1 0,0-1 0,-1 1 0,3 12 0,0 5 0,-1 0 0,-1 0 0,-1 1 0,-1 0 0,-3 40 0,-5-4 0,-3 0 0,-2-1 0,-29 85 0,-79 173 0,81-223 0,-1 6 0</inkml:trace>
  <inkml:trace contextRef="#ctx0" brushRef="#br0" timeOffset="2322.25">1551 6566 8192,'5'-10'1022,"1"0"0,-1-1 1,-1 0-1,0 0 1,0 0-1,-1 0 0,-1 0 1,3-19-1,-2-12 2865,-2-41 0,-1 81-3862,-1-15 98,0 0 0,-1 1-1,0-1 1,-2 0 0,0 1 0,-1-1 0,0 1 0,-13-25-1,15 35-125,0 0 0,-1 0-1,1 0 1,-1 1 0,-1-1-1,1 1 1,-1 0 0,0 1-1,0-1 1,0 1 0,-1 0-1,1 0 1,-1 0-1,0 1 1,0 0 0,0 0-1,-1 0 1,1 1 0,-1 0-1,1 1 1,-1-1 0,0 1-1,1 0 1,-10 1 0,10 0 6,0 1 1,1 0-1,-1 0 1,0 0-1,1 1 1,-1 0-1,1 0 1,-1 0-1,1 1 1,0 0-1,0 0 1,0 0-1,1 0 1,-1 1-1,1 0 1,0 0-1,0 0 1,0 1-1,0-1 1,1 1-1,0 0 1,-5 9-1,-1 4-635,1 0 0,1 1 1,0 0-1,1 0 0,-3 27 0,3-16-765,2 0 0,1 0 0,1 0 0,4 48 1,-1-67 977,0 0 0,1 0 0,0-1 0,1 1 0,0-1 0,0 0 0,1 1 0,1-2 0,0 1 0,0 0 0,0-1 0,1 0 0,1-1 0,0 1 0,0-1 0,11 10 0,-15-16 400,0 1-1,0-1 1,1 1 0,-1-1-1,1 0 1,0 0 0,0-1-1,0 1 1,0-1 0,0 0-1,0 0 1,0 0 0,0-1-1,0 1 1,0-1 0,0 0-1,7-1 1,-5 0 47,-2 0 0,1-1 0,0 0-1,0 0 1,0 0 0,-1 0 0,1-1 0,-1 0 0,0 0 0,0 0 0,0 0 0,5-6 0,1-3 386,0 0 0,-1 0 0,-1-1 0,0 0 0,-1-1 0,0 1 0,-1-1 0,6-24 0,-5 13 3739,-2-1-1,4-36 0,-8 16-2532,-1 52-1620,0 0 0,0 0 0,1 0 0,0 0 0,0 0 0,1 0 0,-1 0 0,1 0 0,1-1 0,-1 1 0,1-1 0,0 0 0,0 1 0,7 7 0,-6-8 0,1 0 0,-1-1 0,1 0 0,0 0 0,1 0 0,-1 0 0,1-1 0,-1 0 0,1 0 0,0-1 0,0 1 0,0-1 0,0-1 0,1 1 0,7 0 0,-9-2 0,0 1 0,-1-2 0,1 1 0,0 0 0,0-1 0,0 0 0,0 0 0,-1-1 0,1 1 0,0-1 0,-1 0 0,0 0 0,1-1 0,-1 1 0,0-1 0,0 0 0,0 0 0,0 0 0,-1 0 0,6-7 0,3-6-216,0-1 0,-1 1 0,-1-2 0,0 0 0,8-23 0,27-97-362,4-8 1636,-36 126-401,-13 20-651,1 0 0,-1 0 0,0 0 0,1 0 0,-1 0 0,0 0 0,1 0 0,-1 0 0,0 0 0,0 0 0,1 0-1,-1 0 1,0 0 0,1 0 0,-1 0 0,0 1 0,0-1 0,1 0 0,-1 0 0,0 0 0,0 0 0,1 1 0,-1-1 0,0 0 0,0 0 0,0 0 0,1 1 0,-1-1 0,0 0 0,0 0 0,0 1 0,0-1 0,1 0 0,-1 0 0,0 1 0,0-1-1,0 1 1,10 45-126,-6-23 173,2-8-53,1 0 0,0-1 0,1-1 0,1 1 0,0-1 0,1 0 0,12 12 0,25 34 0,-45-56 1,-1 0 1,1 0-1,-1 0 1,0 0-1,0 0 1,0 0 0,0 0-1,0 0 1,-1 0-1,1 0 1,-1 1-1,0-1 1,0 0-1,0 0 1,0 0 0,-1 1-1,1-1 1,-1 0-1,0 0 1,0 0-1,0 0 1,0 0-1,-1 0 1,1 0 0,-1 0-1,0-1 1,0 1-1,-2 2 1,-4 5-89,0-1 1,-1 0 0,0-1-1,0 0 1,-1 0 0,-11 6-1,-9 4-2307,-50 24 0,70-37 986,-1 0 0,1-2-1,-1 1 1,0-1 0,0-1 0,-1 0-1,1 0 1,-23-1 0,5-7 1408</inkml:trace>
  <inkml:trace contextRef="#ctx0" brushRef="#br0" timeOffset="2601.27">2313 5825 8192,'0'-10'3356,"0"-16"-3356,0-9 5996,0 5 2674,0 17-8670,0 27 0,7 24 0,2 24 0,0 20 0,-2 9-2971,6 5 2971,0-7-5849,5-12 5849,0-26 8820,-4-22-8820</inkml:trace>
  <inkml:trace contextRef="#ctx0" brushRef="#br0" timeOffset="2915.79">2228 6185 8192,'-2'11'17353,"27"-10"-16684,2-7-669,0 0 0,0-2 0,-1-1 0,39-19 0,93-60 0,-125 67 0,-1-1 0,41-38 0,-64 52 0,0-1 0,0 0 0,-1-1 0,0 0 0,-1 0 0,0 0 0,-1-1 0,0 0 0,-1-1 0,0 1 0,6-21 0,-11 29-73,1-1 1,0 0 0,-1 0 0,0 0-1,0 1 1,0-1 0,0 0 0,-1 0-1,1 0 1,-1 1 0,0-1 0,0 0 0,-1 1-1,1-1 1,-1 1 0,1-1 0,-1 1-1,-3-4 1,3 5-113,1 1 0,0 0 0,-1-1 0,0 1 1,1 0-1,-1 0 0,0 0 0,0 0 0,1 0 0,-1 0 0,0 0 0,0 1 0,0-1 0,0 1 0,0 0 0,0-1 0,0 1 0,0 0 1,0 0-1,0 0 0,0 0 0,0 1 0,0-1 0,0 0 0,0 1 0,0 0 0,0-1 0,0 1 0,0 0 0,1 0 0,-1 0 1,0 0-1,0 0 0,-1 2 0,-5 3-631,1 0 1,0 0 0,1 1-1,-1 0 1,1 0 0,1 0-1,-1 1 1,-7 15 0,-9 25-704,8-1 3920,13-43-2167,0 1-1,0 0 1,0-1 0,1 1-1,-1 0 1,1 0-1,1-1 1,-1 1 0,1 0-1,0-1 1,0 1 0,0 0-1,0-1 1,1 1 0,0-1-1,0 1 1,0-1 0,0 0-1,1 0 1,0 0-1,-1 0 1,2-1 0,-1 1-1,0-1 1,5 4 0,-4-4-487,0-1 0,1 1 0,-1-1 1,1 0-1,-1 0 0,1 0 0,0-1 1,0 1-1,8 0 0,2-1-257,1-1 0,0 0 1,0-1-1,-1-1 0,1 0 0,-1-1 0,1-1 0,-1 0 0,21-10 0,5-4-145,-1-1 0,40-27 0,-7-5 451,-17 5 204</inkml:trace>
  <inkml:trace contextRef="#ctx0" brushRef="#br0" timeOffset="3929.9">2017 1634 8192,'-2'14'18022,"22"-10"-18022,26-2 0,34-11 0,30-4 0,12-12 0,9 0 0,-12 3 0,-18-1 0,-27 3 0</inkml:trace>
  <inkml:trace contextRef="#ctx0" brushRef="#br0" timeOffset="4132.82">2715 1275 8192,'3'-17'8819,"13"8"-8819,13 2 7350,18 9-7350,10 11 1853,0 15-1853,-3 13 0,-11 10 0,-12 15 0,-12 14 0,-16 15 0,-23 13 0,-15 2 0,-2-6 0,2-21 0,7-25 0</inkml:trace>
  <inkml:trace contextRef="#ctx0" brushRef="#br0" timeOffset="4945.87">4409 767 8192,'2'-24'8775,"3"0"-3679,-3 16-4306,0 0 0,-1 0-1,0 0 1,0-12 0,-2 13-776,1 0 1,-1 1 0,-1-1-1,0 1 1,0-1 0,0 1-1,0 0 1,-1-1 0,0 1-1,0 1 1,-1-1-1,0 0 1,0 1 0,-6-7-1,8 10-14,-1 0-1,0-1 1,1 1-1,-1 0 0,0 0 1,0 1-1,0-1 1,0 1-1,-1-1 0,1 1 1,0 0-1,-1 0 1,1 0-1,-1 1 0,1-1 1,0 1-1,-1 0 1,1 0-1,-1 0 0,1 0 1,-1 1-1,1-1 1,-1 1-1,1 0 1,0 0-1,-1 0 0,1 1 1,0-1-1,-4 3 1,0 1-11,0 0 0,0 1 0,0-1 0,1 1 0,0 1 1,0-1-1,1 1 0,0 0 0,0 1 0,0-1 0,1 1 0,0 0 1,0 0-1,1 0 0,-3 12 0,-3 12-863,2 0-1,-6 60 1,9-44-315,2 0 1,3 1-1,1-1 0,12 63 0,-7-74-518,1-1 0,3 0 1,20 49-1,-25-72 1516,1 1 1,0-1 0,1-1-1,0 1 1,1-1 0,0-1 0,1 0-1,0 0 1,1-1 0,0 0-1,23 14 1,-26-19 182,0 0 0,0-1 0,0-1 0,1 1 0,0-1-1,-1-1 1,1 0 0,0 0 0,0-1 0,1 0 0,-1 0 0,0-1 0,0 0 0,0-1-1,0 0 1,0 0 0,0-1 0,0 0 0,0-1 0,9-3 0,-5 0 8,0 0 0,-1 0 0,0-2 0,0 1 0,-1-1 0,0-1 0,0 0 0,-1-1 0,0 0 0,16-22 0,-14 14 0,-1 0 0,-1-1 0,0 0 0,-1-1 0,-2 0 0,9-31 0,-5-5 0,-2 0 0,-3 0 0,-2 0 0,-5-87 0,0 105 0,-11-64 0,8 88 0,0 15 0,0 22 0,2 18-41,2 0 0,2-1 0,1 1 0,2 0 0,21 74 0,-16-81 422,1-2-1,1 0 0,2 0 0,1-1 1,2-1-1,1-1 0,31 40 0,-20-37 180</inkml:trace>
  <inkml:trace contextRef="#ctx0" brushRef="#br0" timeOffset="5618.72">4599 1380 8192,'20'-5'15774,"-6"-1"-13389,5-6-3034,1 1 1161,242-138-2702,-95 37-3465,-144 95 3908,-1-1 1,26-27 0,-42 39 1382,-1 0 0,0 0 0,0-1 0,0 1 0,-1-1 0,0 0 1,0 0-1,-1-1 0,0 1 0,0-1 0,-1 0 0,2-11 0,-3 17 357,-1 0-1,0 0 1,0 0-1,1 0 1,-1 0-1,-1 0 1,1 0-1,0 0 1,0 0-1,-1 0 1,1 0-1,-1 0 0,0 0 1,1 0-1,-1 1 1,0-1-1,0 0 1,0 0-1,0 1 1,-1-1-1,1 1 1,0-1-1,-1 1 1,1-1-1,-1 1 1,1 0-1,-1 0 1,0 0-1,-1-1 1,0 1 7,0 0 1,1 1 0,-1-1 0,0 1 0,0 0 0,0-1 0,1 1 0,-1 1 0,0-1 0,0 0 0,1 1-1,-1-1 1,0 1 0,0 0 0,1 0 0,-1 0 0,1 0 0,-1 0 0,-4 4 0,-1 1-6,-1 0 1,1 1-1,1 0 1,-1 0-1,1 1 1,1 0 0,-1 0-1,1 0 1,1 1-1,-7 14 1,10-20 23,0 1 1,1-1 0,-1 1-1,1 0 1,0-1-1,0 1 1,1 0 0,-1 0-1,1-1 1,-1 1 0,1 0-1,1 0 1,-1 0-1,0-1 1,1 1 0,0 0-1,0 0 1,0-1 0,0 1-1,1 0 1,-1-1-1,1 0 1,0 1 0,0-1-1,0 0 1,0 0 0,1 0-1,-1 0 1,1 0-1,5 4 1,1-1 594,1-1 0,0 0 0,-1 0 1,1-1-1,1 0 0,-1 0 0,1-2 0,-1 1 0,1-1 0,0-1 0,19 1 0,-12-1 684,-1-2 0,1 0 0,-1-1-1,1 0 1,-1-2 0,27-8 0,15-15-289,-58 27-1009,-1 0 0,1-1 0,0 1 0,-1 0 0,1 0 0,-1 0 0,1-1 0,-1 1 0,1 0 0,-1 0 0,1 0 0,0 0 0,-1 0 0,1 0 0,-1 0 0,1 0 0,-1 0 0,1 1 0,0-1 0,-1 0 0,1 0 0,-1 0 0,1 1 0,-1-1 0,1 0 0,-1 1 0,1-1 0,-1 0 0,1 1 0,-1-1 0,0 0 0,1 1 0,-1-1 0,0 1 0,1-1 0,-1 1 0,0-1 0,1 1 0,-1 0 0,7 28 0,-4-10 0,-1-16 0,-1 0 0,1 0 0,-1 0 0,1-1 0,0 1 0,0 0 0,0-1 0,0 1 0,0-1 0,1 0 0,-1 0 0,1 0 0,0 0 0,-1 0 0,1 0 0,0-1 0,0 1 0,0-1 0,0 0 0,0 0 0,0 0 0,1 0 0,5 0 0,-5-1 0,1 0 0,0 0 0,0 0 0,-1 0 0,1-1 0,0 0 0,-1 0 0,1 0 0,-1 0 0,1-1 0,-1 0 0,0 0 0,0 0 0,1 0 0,-1-1 0,4-3 0,2-4-259,0 0 1,-1 0 0,-1-1-1,1 0 1,-2-1 0,0 0-1,0 0 1,-1 0 0,-1-1-1,0 0 1,0 0 0,-1 0-1,2-18 1,2-21-1896,-2 0 0,-1-60 0,-5 105 2067,-3-139-5692,-4 77 4843,-17-79-1,23 143 908,-20-74-149,19 74 178,1 0 0,-1 1 1,-1-1-1,1 0 0,0 1 0,-1 0 0,0 0 1,0-1-1,0 2 0,-1-1 0,1 0 1,-6-4-1,8 8 0,0-1 0,0 0 0,0 1 0,0 0 0,-1-1 0,1 1 0,0-1 0,0 1 0,0 0 0,0 0 0,-1 0 0,1 0 0,0-1 0,0 2 0,0-1 0,0 0 0,-1 0 0,1 0 0,0 0 0,0 1 0,0-1 0,0 1 0,0-1 0,-1 1 0,1-1 0,0 1 0,0 0 0,0-1 0,1 1 0,-1 0 0,0 0 0,0-1 0,0 1 0,0 0 0,1 0 0,-1 0 0,0 2 0,-3 3 0,0 0 0,1 1 0,0 0 0,0 0 0,-2 7 0,-2 14 0,1 0 0,1 0 0,2 0 0,0 1 0,2-1 0,1 0 0,2 1 0,8 48 0,-2-38 0,1 0 0,2-1 0,1 0 0,2-1 0,36 65 0,-38-81 0,2 0 0,0-1 0,1 0 0,2-2 0,0 1 0,0-2 0,2-1 0,0 0 0,1-1 0,37 21 0,-39-27 0,0 0 0,1-1 0,0-1 0,1-1 0,0-1 0,0-1 0,0 0 0,0-1 0,0-2 0,1 0 0,-1-1 0,1-1 0,25-4 0,21-10 0</inkml:trace>
  <inkml:trace contextRef="#ctx0" brushRef="#br0" timeOffset="5898.92">6377 957 8192,'7'0'18022,"13"0"-18022,11-3 0,10-2 0,10-10 0,6-4 0,-2-8 0,-4 0 0,-11-6 0,-11-5 0,-12 5 0</inkml:trace>
  <inkml:trace contextRef="#ctx0" brushRef="#br0" timeOffset="6131.45">6419 343 8192,'-1'4'11332,"1"12"-11332,4 17 6690,1 22-6690,7 22 0,1 17 0,14 13-3356,1 0 3356,7-8-5484,1-13 5484,9-14-7956,4-20 6730,1-29 1226,-8-18 0</inkml:trace>
  <inkml:trace contextRef="#ctx0" brushRef="#br0" timeOffset="6568.95">7795 5 8192,'-1'-5'18022,"2"16"-18022,-1 19 0,-4 18 0,-1 19 0,-14 24 0,-4 14 0,-5 3-2971,2-5 2971,6-13-5849,6-30-3353,5-24 9202</inkml:trace>
  <inkml:trace contextRef="#ctx0" brushRef="#br0" timeOffset="6786.2">7245 68 8192,'10'4'18022,"22"12"-18022,28 13 0,24 21 0,20 19 0,6 20-3356,3 16 3356,-7 1-5996,-11-10 5996,-10-21-7460,-17-17 7460,-12-18-1210,-16-15 1210</inkml:trace>
  <inkml:trace contextRef="#ctx0" brushRef="#br0" timeOffset="8123.53">2715 3730 8192,'7'0'11332,"10"0"-11332,16-3 6690,21-2-6690,22-7 0,16-1 0,8 1 0,1-4 0,-7 0-2971,-15 3 2971,-21-3 2971,-20 1-2971</inkml:trace>
  <inkml:trace contextRef="#ctx0" brushRef="#br0" timeOffset="8327.67">3223 3391 8192,'7'-16'11332,"10"14"-4642,9 11-6690,7 12 0,5 9 0,-3 10 0,-8 10 0,-9 10 0,-7 6 0,-13 2 0,-13 1 0,-4-5 0,-6-12 0,1-16 0</inkml:trace>
  <inkml:trace contextRef="#ctx0" brushRef="#br0" timeOffset="9090.14">5065 2777 8192,'-1'-8'1493,"1"0"-1,-1 0 1,0-1 0,-1 1 0,0 0 0,0 0-1,-1 0 1,0 1 0,-7-15 0,5 14-787,0 1 0,-1-1 0,1 1-1,-1 0 1,-12-11 0,10 12-624,0 0 0,-1 0 0,1 0-1,-20-8 1,19 10-310,0 1 1,0 0-1,0 0 0,-1 1 1,1 0-1,-1 1 0,1 0 1,-1 1-1,0-1 0,1 2 1,-1 0-1,-17 3 0,19-2 369,0 0 0,1 1 0,-1 0 0,0 1 0,1 0 0,0 0 0,0 0 0,0 1 0,-12 10 0,8-2-209,0 0 0,0 0 1,1 1-1,1 0 0,1 1 1,0 0-1,0 0 0,2 1 1,0 0-1,1 0 0,-4 18 1,1 4-819,2 1 0,1 0 0,1 67 0,6-66-493,1 0 0,2-1 0,1 1 0,3-1 0,1 0 0,20 51 0,-22-70 1092,1 0 1,0 0-1,2-1 0,0-1 1,1 1-1,1-2 0,1 0 1,0 0-1,1-2 0,1 0 1,0 0-1,1-1 0,25 14 1,-31-22 286,1-1 0,0 0 0,0-1 0,0-1 0,1 1 0,-1-2 0,1 0 0,-1-1 0,1 0 0,0 0 0,0-2 0,0 0 0,-1 0 0,1-1 0,-1 0 0,1-1 0,23-10 0,-5 1 0,-2-2 0,1-1 0,-2-1 0,0-2 0,46-37 0,-52 37 0,-2-1 0,0 0 0,0-2 0,-2 0 0,-1-1 0,-1-1 0,0-1 0,-2 0 0,-1-1 0,-1 0 0,-1-1 0,-1 0 0,-1-1 0,-2 0 0,0 0 0,-2-1 0,-1 1 0,-2-1 0,0 0 0,-2-1 0,-1 1 0,-1 0 0,-10-47 0,9 62 0,0 1 0,0-1 0,-1 1 0,-1 0 0,0 0 0,-1 0 0,0 0 0,-16-20 0,21 30 0,0 0 0,-1 1 1,1-1-1,0 1 1,-1 0-1,1-1 0,-1 1 1,1 0-1,-1 0 0,0 0 1,1 0-1,-1 0 0,0 0 1,0 0-1,0 1 1,0-1-1,0 1 0,0-1 1,0 1-1,1 0 0,-5 0 1,5 0 75,-1 1 1,0 0-1,1 0 1,-1 0-1,0 0 1,1 0-1,-1 0 0,1 0 1,0 0-1,-1 0 1,1 1-1,0-1 1,0 1-1,0-1 1,0 1-1,0-1 1,0 1-1,-1 2 0,-3 7 94,1 1-1,0-1 0,1 1 0,1 0 0,-3 20 1,3 3-388,0 1 1,2 0 0,2-1 0,11 64 0,-7-73 1712,1 1-1,16 36 0,-15-43 901,2-1-1,0 0 0,20 27 0,9 2-1068</inkml:trace>
  <inkml:trace contextRef="#ctx0" brushRef="#br0" timeOffset="9745.83">5149 3349 8192,'42'-3'12407,"-1"-5"-7238,-1-3-6269,41-19-1,-55 19 1272,57-22-2914,-2-4-1,87-55 1,-128 68 1558,-2-3 1,-1-1-1,-1-1 0,-1-3 0,58-68 0,-83 88 1157,0-1 0,-2 0 0,1 0-1,-2-1 1,0-1 0,0 1 0,8-30 0,-14 40 28,0-1 1,0 1-1,-1 0 1,1 0-1,-1-1 1,0 1-1,0 0 1,-1-1-1,1 1 1,-1 0-1,0-1 1,0 1 0,0 0-1,-1 0 1,0 0-1,1 0 1,-1 0-1,-1 1 1,1-1-1,0 0 1,-1 1-1,0 0 1,0-1-1,0 1 1,0 0-1,0 1 1,-1-1 0,1 0-1,-1 1 1,0 0-1,0 0 1,1 0-1,-7-1 1,6 1 2,-1 1 0,0-1 0,0 1 0,0 1 0,0-1-1,0 1 1,0 0 0,0 0 0,0 0 0,0 1 0,0 0 0,0 0 0,1 0 0,-1 0 0,0 1 0,0 0 0,1 0 0,-6 3 0,5-2 246,1 0-1,0 0 1,0 0 0,0 0 0,0 0 0,0 1-1,-6 8 1,8-9 234,0 0 1,1 0-1,-1 0 0,0 0 0,1 0 0,0 1 1,0-1-1,0 1 0,0-1 0,0 1 0,0 5 1,1-7-234,0 0 0,0 0-1,0 0 1,1 0 0,-1 0 0,1 0 0,-1-1 0,1 1 0,-1 0 0,1 0 0,0-1 0,0 1 0,0 0 0,0-1 0,0 1 0,0-1 0,0 1 0,3 1 0,-1 0 144,1-1 0,-1 1 0,1-1 0,0 0-1,-1 0 1,1-1 0,8 4 0,5-1 141,1-1 0,-1 0 0,20 0 0,-29-3-606,188 4 279,-191-4-208,0 0 0,0 1 0,-1 0 0,1-1 0,0 1 0,-1 1 0,1-1 0,0 1 0,-1 0 0,0 0 0,1 0 0,-1 0 0,6 6 0,-7-6 0,-1 0 0,0 1 0,-1-1 0,1 1 0,0-1 0,-1 1 0,1 0 0,-1 0 0,0 0 0,0 0 0,0 0 0,0 0 0,-1 0 0,1 0 0,-1 0 0,0 0 0,0 0 0,0 0 0,0 0 0,0 0 0,-2 5 0,-9 45 0,7-36 0,1-1 0,0 1 0,1-1 0,1 26 0,1-36 0,1-1 0,0 1 0,0-1 0,0 1 0,1-1 0,0 1 0,0-1 0,0 0 0,1 0 0,0 0 0,0 0 0,0 0 0,0 0 0,1-1 0,0 0 0,0 0 0,6 6 0,-4-6 6,0 1 1,-1-1-1,2-1 1,-1 1-1,0-1 1,1 0-1,-1-1 0,1 1 1,0-1-1,0 0 1,0-1-1,0 0 1,0 0-1,0-1 1,0 1-1,0-1 1,0-1-1,0 0 1,0 0-1,0 0 1,0-1-1,0 0 1,7-3-1,-2 0-252,0 0 0,-1-1 0,0-1 0,0 0 0,0 0 0,-1-1 0,0-1 0,-1 0 0,1 0 0,-2 0 0,16-22 0,-11 9-851,0-1 0,-1 0 0,-1 0 1,-1-1-1,-1 0 0,-2-1 0,0 0 0,-1-1 0,3-50 1,-7 42-208,-2 0 1,-6-51 0,0 42 1129,-19-67 1,17 81 173,-1 0 0,-2 1 0,-21-43 0,31 68 0,0 1 0,-1-1 0,1 1 0,-1-1 0,0 1 0,1 0 0,-1 0 0,0 0 0,-1 0 0,1 0 0,0 0 0,0 0 0,-1 1 0,1-1 0,-1 1 0,0 0 0,1 0 0,-1 0 0,-4-2 0,5 3 0,1 1 0,0-1 0,0 0 0,-1 0 0,1 0 0,0 1 0,0-1 0,0 0 0,0 1 0,0-1 0,0 1 0,-1 0 0,1-1 0,0 1 0,1 0 0,-1 0 0,0-1 0,-1 2 0,0 1 0,0 0 0,0 0 0,0 0 0,0 0 0,1 0 0,-1 0 0,1 0 0,-1 7 0,-2 6 0,1 1 0,1 0 0,0 0 0,2 0 0,0 1 0,3 26 0,25 104 0,-20-114 0,2 1 0,1-2 0,1 0 0,2 0 0,1-1 0,26 40 0,-33-60 0,1-1 0,0 0 0,1 0 0,0-1 0,1 0 0,0-1 0,22 15 0,-23-19 0,-1 0 0,1-1 0,0 0 0,1 0 0,-1-1 0,0 0 0,1-1 0,0 0 0,0-1 0,-1 0 0,18-1 0,-8-2 0,39-8 0,11-9 0</inkml:trace>
  <inkml:trace contextRef="#ctx0" brushRef="#br0" timeOffset="9981.33">7287 2693 8192,'12'0'8819,"11"-3"-8819,19-2 7350,16-7-7350,10-1 1853,3-3-1853,-7 3 0,-13-5 0,-9 1 0,-12 3 0</inkml:trace>
  <inkml:trace contextRef="#ctx0" brushRef="#br0" timeOffset="10183.34">7520 2269 8192,'0'11'11332,"0"18"-11332,3 18 6690,2 20-6690,-1 9 0,7 5 0,2 4 0,-2-1 0,4-16 0,0-16 0,8-16 0,0-14 0</inkml:trace>
  <inkml:trace contextRef="#ctx0" brushRef="#br0" timeOffset="10604.25">8494 2015 8192,'4'0'907,"0"0"-1,0 0 1,0-1 0,1 1 0,-1-1 0,0 0 0,0-1 0,0 1-1,0-1 1,0 0 0,-1 0 0,6-3 0,-5 2-559,-1 0 1,1-1-1,-1 1 1,0-1-1,0 1 1,0-1-1,0 0 1,-1 0-1,0 0 1,0-1-1,0 1 0,0 0 1,-1-1-1,1 1 1,-1-1-1,1-9 1,-2 11-340,0 0 0,1 0 1,-1 0-1,0 0 0,-1 0 1,1 0-1,-1 0 0,1 0 1,-1 0-1,0 0 0,0 0 1,0 0-1,0 0 0,-1 0 1,1 1-1,-1-1 0,0 1 1,1-1-1,-1 1 0,-1 0 1,1-1-1,0 1 0,0 0 1,-1 0-1,1 1 0,-1-1 1,1 0-1,-1 1 0,0 0 1,0 0-1,0-1 0,1 2 1,-1-1-1,0 0 0,-4 0 1,-4-1-13,1 1 0,-1 0 1,1 0-1,-1 1 0,0 0 0,1 1 1,-1 0-1,1 1 0,-13 3 1,9 0-40,1 0 1,-1 1 0,1 0 0,0 1 0,1 1 0,0 0-1,0 0 1,0 1 0,-12 14 0,10-9-367,1 2 1,0 0-1,1 0 0,1 1 1,1 1-1,-10 21 0,8-11-358,1 1-1,2 0 0,1 0 1,1 1-1,2-1 0,1 2 1,1-1-1,2 59 0,2-71 12,1-1 0,1 0 0,0 0-1,1 0 1,1 0 0,1-1 0,8 18-1,-9-24 622,1 0 0,0-1 0,0 1 0,1-1-1,0 0 1,1-1 0,0 0 0,0 0 0,1 0-1,0-1 1,18 10 0,-9-7 114,1-2 0,0 0-1,1-1 1,0-1 0,0-1 0,0-1 0,0-1-1,1 0 1,-1-2 0,32-1 0,-20-1 22,-1-3 1,0 0 0,0-2-1,0-1 1,-1-2-1,36-15 1,-50 17-3,0-1 0,18-12 0,13-15 0</inkml:trace>
  <inkml:trace contextRef="#ctx0" brushRef="#br0" timeOffset="11287.33">3287 5847 8192,'10'0'11991,"22"-7"-5960,31-3-6031,37-13-3356,30-4 3356,18 4-5996,6-2 5996,-9 3-7460,-26 5 7460,-33 6-1210</inkml:trace>
  <inkml:trace contextRef="#ctx0" brushRef="#br0" timeOffset="11494.4">4006 5529 8192,'-1'-10'11991,"12"-12"-11991,15-1 6031,9 3-6031,10 8 0,8 17 0,3 19 0,-9 20 0,-12 12 0,-13 12 0,-9 9 0,-17 5 0,-20 3 0,-16-1 0,-9-9 0,4-17 0</inkml:trace>
  <inkml:trace contextRef="#ctx0" brushRef="#br0" timeOffset="12258.54">5869 4852 8192,'-1'-31'10269,"-2"-2"-4306,1 20-5204,-1 0 1,0 0 0,-5-13 0,6 20-973,-1 0 0,1 0 0,-1 0 0,-1 0 0,1 1-1,-1-1 1,0 1 0,0 0 0,0 0 0,-1 1 0,-8-8 0,8 9 431,1 0 0,-1 1 0,1-1 0,-1 1 0,-8-2 0,9 3-217,0 0 1,0 1-1,1-1 1,-1 1-1,0 0 1,0 0-1,0 1 1,1-1-1,-1 1 1,0 0 0,0 0-1,1 0 1,-1 0-1,0 1 1,1-1-1,0 1 1,-1 0-1,1 0 1,0 0-1,0 1 1,0-1-1,0 1 1,0-1 0,1 1-1,-5 6 1,-2 4-92,0 0 1,0 0 0,1 1 0,1 0 0,-6 16-1,3-3-420,2-1 0,0 1 0,-4 35-1,7-28-951,2 0 0,2 1 0,1-1 0,7 53 0,-2-49 100,3-2-1,1 1 1,1-1 0,16 35-1,-13-40 978,2-1 0,25 38-1,-32-56 361,0 0 0,1-1 0,0 0 0,1-1 0,0 1 0,1-2 0,0 0 0,1 0 0,0-1 0,15 9 0,-20-14 55,0 0 0,0-1 0,0 1 0,1-1 0,-1-1 0,0 0-1,1 0 1,-1 0 0,1-1 0,0 0 0,-1 0 0,1-1-1,-1 0 1,1 0 0,-1 0 0,0-1 0,0-1 0,1 1-1,-2-1 1,14-7 0,-10 4 408,0-1 1,0 0-1,-1-1 0,15-13 1,-12 7-683,0-1 0,0 0 1,-2 0-1,15-28 1,-8 5-268,-1-1 0,22-79 0,-18 22 511,-3-1 0,-5 0 0,-4-1 0,-6-138 0,-12 304 0,-5 55 0,6 1 0,13 218 0,-2-317-41,2-1 0,1 0 0,0 0 0,10 25 0,-12-42 208,-1 0 0,1 0-1,0 0 1,1-1 0,0 1 0,0-1-1,0 0 1,1 0 0,0 0-1,0-1 1,0 1 0,1-1 0,0-1-1,0 1 1,0-1 0,0 0 0,8 3-1,18 0 394</inkml:trace>
  <inkml:trace contextRef="#ctx0" brushRef="#br0" timeOffset="12912.37">6017 5402 8192,'13'-1'10252,"1"-3"-4875,2-2-3019,9-7-2981,-3 2 785,95-47-4157,-2-6-1,-4-4 0,174-140 1,-266 193 3677,65-60-741,-76 67 1038,0 0 0,-1-1 1,0 0-1,0-1 0,-1 1 0,-1-1 0,7-15 0,-11 24 73,-1-1 0,1 1 0,-1 0 0,1-1 0,-1 1-1,1 0 1,-1-1 0,0 1 0,0 0 0,1-1 0,-1 1 0,0-1 0,0 1 0,-1 0 0,1-1 0,0 1 0,0-1 0,-1 1 0,1 0 0,0-1 0,-1 1 0,0-1 0,0 1 14,0 0 1,0 1-1,0-1 0,0 0 1,0 1-1,0-1 1,0 1-1,-1 0 1,1-1-1,0 1 1,0 0-1,0 0 0,0 0 1,0 0-1,-1 0 1,1 0-1,0 0 1,0 0-1,0 0 1,-2 1-1,-5 1 186,0 0 0,1 1 0,-1-1 1,1 2-1,0-1 0,-10 7 0,6-2 1670,1 0 0,0 1 0,0 0 0,-13 16 0,20-22-1708,0 0 0,0 1 0,1-1 0,-1 1 1,1 0-1,0 0 0,0 0 0,1 0 0,-1 0 0,1 0 1,-1 0-1,1 1 0,1-1 0,-1 0 0,1 1 1,-1-1-1,2 8 0,-1-10-205,1 0 1,0 0 0,0 0-1,0 0 1,0 0 0,1 0-1,-1-1 1,0 1-1,1 0 1,-1-1 0,1 1-1,0-1 1,-1 1-1,1-1 1,0 0 0,0 0-1,0 0 1,0 0 0,0 0-1,0 0 1,0 0-1,3 0 1,7 2-21,-1 0 0,24 1 0,-28-4 25,13 2-14,0-2 0,0 0 0,0-2 0,0 0 0,0-1 0,-1-1 0,1-1 0,-1 0 0,0-2 0,35-17 0,-30 13 0,-23 11 0,-1 0 0,0-1 0,0 1 0,0 0 0,1 0 0,-1 0 0,0 0 0,1 0 0,-1 0 0,0 0 0,0 0 0,1 0 0,-1 0 0,0 0 0,0 0 0,1 0 0,-1 0 0,0 0 0,0 0 0,1 0 0,-1 0 0,0 0 0,1 0 0,-1 0 0,0 0 0,0 0 0,1 1 0,-1-1 0,0 0 0,0 0 0,0 0 0,1 0 0,-1 1 0,0-1 0,0 0 0,0 0 0,0 0 0,1 1 0,-1-1 0,0 0 0,0 0 0,0 1 0,0-1 0,0 0 0,0 0 0,0 1 0,0-1 0,0 0 0,0 1 0,1-1 0,-1 0 0,-1 0 0,1 1 0,0-1 0,0 0 0,0 0 0,0 1 0,0-1 0,0 0 0,0 0 0,0 1 0,-7 19 0,6-18 0,-5 11 0,1-1 0,0 0 0,0 0 0,1 1 0,1 0 0,-3 17 0,5-26 0,1-1 0,0 0 0,0 0 0,0 0 0,1 0 0,-1 0 0,1 0 0,-1 0 0,1 0 0,0 0 0,0 0 0,0 0 0,1 0 0,-1-1 0,1 1 0,0 0 0,-1-1 0,1 0 0,0 1 0,1-1 0,-1 0 0,0 0 0,0 0 0,1 0 0,0 0 0,-1-1 0,1 1 0,0-1 0,3 2 0,-1-1-2,-1 0 0,1-1 1,-1 1-1,1-1 0,0 0 1,0 0-1,0-1 0,-1 1 1,1-1-1,0 0 0,0 0 1,0-1-1,0 0 0,0 1 1,-1-2-1,7-1 0,-5 0-263,0 0 0,0 0 1,0-1-1,0 1 0,-1-2 0,1 1 0,-1-1 0,0 1 0,0-1 0,5-8 0,1-2-692,-2-1 1,1 0-1,-2 0 1,0-1-1,-2 0 1,1 0-1,6-34 1,-1-37-4390,-10 62 4474,-4-41 1,1 51 837,-1 1 0,-1-1 1,0 1-1,-1-1 0,0 1 0,-1 0 0,-1 0 0,-1 1 1,-11-19-1,16 30 34,0-1 0,0 1 0,0 0 0,-1 1 0,0-1 0,1 0 0,-1 1 0,0-1 0,0 1 0,0 0 0,-1 0 0,1 0 0,0 1 0,-1-1 0,1 1 0,-1-1 0,0 1 0,1 0 0,-1 1 0,0-1 0,-4 1 0,5 0 0,-1 0 0,1 1 0,-1 0 0,1-1 0,0 2 0,-1-1 0,1 0 0,0 1 0,0-1 0,0 1 0,0 0 0,0 0 0,0 0 0,0 0 0,1 0 0,-1 1 0,1-1 0,0 1 0,0 0 0,0 0 0,0 0 0,0 0 0,-2 4 0,-2 9 0,0-1 0,0 1 0,2 0 0,0 0 0,0 1 0,2-1 0,0 1 0,1 0 0,1-1 0,0 1 0,4 20 0,-1-13 0,1 1 0,2-1 0,0 0 0,2-1 0,0 0 0,2 0 0,12 22 0,-15-33 0,1-1 0,0 0 0,1 0 0,0-1 0,1 0 0,0 0 0,0-1 0,1 0 0,0-1 0,1-1 0,0 1 0,0-2 0,0 0 0,20 7 0,-16-8 0,-1-1 0,1 0 0,0-1 0,-1-1 0,1 0 0,0-1 0,1-1 0,-1-1 0,0 0 0,0-1 0,-1 0 0,18-6 0,14-9 0</inkml:trace>
  <inkml:trace contextRef="#ctx0" brushRef="#br0" timeOffset="13145.24">7753 4958 8192,'10'0'11332,"4"-3"-11332,11-2 0,11-7 6690,14-2-6690,17-15 0,29-11 0,20-6-3356,5 5 3356,-12-1-5996,-16 7 5996,-24 1 2971,-25 7-2971</inkml:trace>
  <inkml:trace contextRef="#ctx0" brushRef="#br0" timeOffset="13366.49">8070 4365 8192,'15'7'8819,"0"14"-8819,-3 10 7350,6 14-7350,-2 13 1853,-3 13-1853,-3 7 0,-5-2 0,9-6 0,13-16 0,1-17 0</inkml:trace>
  <inkml:trace contextRef="#ctx0" brushRef="#br0" timeOffset="13752.08">8536 4196 8192,'22'-24'9005,"4"9"-3414,-20 14-5200,-1-1 0,0 1 0,1 0 0,-1 0 0,0 1 0,1 0 0,-1 0 0,1 0 0,6 1 0,-2 1-431,-1 1-1,0-1 1,0 1 0,1 1-1,-2 0 1,1 0 0,0 1-1,-1 0 1,0 0-1,0 1 1,8 7 0,-3 1 40,0 0 0,-1 1 0,0 1 0,14 25 0,34 76 0,-40-74 0,-16-34 80,76 145-838,-61-123-439,0 0-1,43 49 1,-57-75 305,0 1 1,0-1-1,1 0 0,-1-1 1,1 0-1,0 1 1,10 4-1,-14-9 712,0 1-1,0 0 0,0 0 1,0-1-1,0 1 1,0-1-1,0 0 1,0 0-1,0 1 0,0-1 1,0 0-1,0-1 1,0 1-1,0 0 1,0-1-1,0 1 0,0-1 1,0 0-1,0 1 1,0-1-1,0 0 1,0 0-1,-1 0 0,1 0 1,0-1-1,-1 1 1,1 0-1,-1-1 1,1 1-1,1-3 0,3-6 67,0-1 0,0 0-1,-1-1 1,0 1-1,-1-1 1,0 0 0,-1 0-1,3-20 1,-5 27 122,15-82-8,6-139 0,-16-92 0,-6 242 0,0-44 0,-1 31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06.9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 2520 8192,'-20'-18'16583,"20"17"-16179,8-13 631,-2 9-1075,1 0 0,0 0 0,0 0 0,1 1 0,0 0 0,13-5 0,-8 3-240,123-48-3989,208-56 1,152-6-3431,681-124 7086,2 0 0,202-63 613,-829 193 0,225-54 0,5-43 0,-363 95 0,185-53 0,589-148 0,-720 192-47,-8-35 653,-441 145 1302,-18 7-200,1 1 0,-1 0 0,1 1 0,0-1 0,0 1 0,13-2 0,-18 4-1469,-1 0 0,0 0 0,1 0-1,-1 0 1,0 0 0,1 1 0,-1-1 0,0 0 0,0 1 0,0-1 0,1 1 0,-1 0 0,0-1-1,0 1 1,0 0 0,0-1 0,2 3 0,-2-1-293,1 0 0,-1 0 0,0 0 0,0 0 0,0 0 0,0 1 0,0-1 0,0 0 0,0 0 0,-1 1 1,1-1-1,-1 5 0,3 38 54,-4 49 0,1 15 0,22 185-2426,0-22 4356,-18-187-2943,81 1016-660,43-220 3051,107 437-4290,-80-708-6545,40-7 5005,-41-131 5055,63 192-603,40 135 0,-171-467-39,-62-189 4023,-17-108 231,-5-28-2982,0 0 0,-1 0-1,1 0 1,-2 0 0,1 0-1,-1 0 1,0 9 0,-1-15-1233,1 0 0,-1 0 0,1 0 0,-1 0 0,1-1 0,-1 1 0,0 0 0,1 0 0,-1-1 0,0 1 0,0-1 0,0 1 0,1 0 0,-1-1 0,0 0 0,0 1 0,0-1 0,0 1 0,0-1 0,0 0 0,0 0 0,0 1 0,0-1 0,0 0 0,0 0 0,0 0 0,0 0 0,0 0 0,0 0 0,0-1 0,0 1 0,-1-1 0,-44-9 0,29 5 0,5 3 13,-67-16-950,-1 4 1,-127-6-1,50 22 1803,-219 33 0,-156 58-2277,193-18 3586,-170 52-3918,-146 34 3291,-1170 185-2517,1304-255-748,82-17 4495,-585 80-5171,819-128 4887,-372 24-4720,332-39 4259,-29 6-3642,19-1 952,84-12 3419,153-4-2762,-1 2 0,1 1 0,-21 4 0,2 1 0,17-5 0</inkml:trace>
  <inkml:trace contextRef="#ctx0" brushRef="#br0" timeOffset="1745.81">45 2605 8192,'-19'8'16119,"8"12"-12621,2 30-6301,9-43 4011,-4 49-1564,3 0-1,2 0 1,13 85 0,45 164-5977,-3-22-1379,20 360 5120,-35-265 2632,-3-69-40,43 401 0,-40 3 0,-41-505 0,22 395 0,7-388 0,20 224 0,-6 86 2476,-30-431-5656,5 0 6373,13 95 9500,-27-106-9853,-2-63-2840,0 0 0,1 1 0,11 33 0,-2-7 0,-11-42 0,0-1 0,0 1 0,1 0 0,-1-1 0,1 1 0,0-1 0,0 1 0,1-1 0,0 0 0,-1 0 0,1 0 0,1 0 0,-1-1 0,6 6 0,-3-5 0,-1-1 0,1 0 0,-1-1 0,1 1 0,0-1 0,0 0 0,0-1 0,0 1 0,0-1 0,1 0 0,6 0 0,101 2 0,-74-4 0,0 3 0,0 1 0,43 9 0,-5 3-62,1-3 1,94 1 0,160-12-1518,-180-3 2461,-35 1-2493,190 2 1736,-104 15-6881,-65 0 305,2-6 4165,-85-8 2232,0-3 0,107-15 0,-93 2 54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12.45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3035 8192,'1'24'12749,"2"1"-7310,3 4-4045,6 15-3797,0-1 3246,327 1239-18136,-89-433 16564,-13 15 729,-198-714 0,-35-132 0,200 647 0,-197-646 206,2 0 1,0-1-1,1 0 0,14 17 1,9 5 8139,-18-22-1893,-4 0-3905,-10-15-2567,1 0 1,-1 1-1,1-1 0,0 0 0,1 0 0,-1 0 0,0-1 1,1 1-1,-1 0 0,1-1 0,0 0 0,0 0 1,0 0-1,0 0 0,0 0 0,1 0 0,-1-1 0,5 2 1,10 1-62,0 0 0,1-1 0,0-2 1,-1 1-1,1-2 0,37-4 0,116-28-2272,-124 21 2466,183-43 2224,113-41-5789,105-27-2785,-162 58 261,145-25 4243,-46 11 1563,110-25 169,355-77 0,-400 84 0,526-127 0,1037-366 0,-1632 473 0,285-96 0,103-46 0,17 65 0,-650 167 0,470-106 0,-573 123 657,0-2 1,0-1 0,-1-1-1,-1-2 1,54-33-1,-82 45 9,1-1 0,-1 1 0,0-1 0,0 0 0,-1 0-1,1 0 1,-1 0 0,0-1 0,0 0 0,5-9 0,-7 11-303,0-1 1,0 1-1,0-1 1,-1 0 0,1 1-1,-1-1 1,0 0-1,0 1 1,0-1-1,0 0 1,0 1 0,-1-1-1,0 0 1,0 1-1,0-1 1,0 1-1,-2-5 1,-15-34-303,2 0-1,2-2 1,-9-47-1,-14-136-178,19 104-294,4 38-849,-72-382 1940,32 268-3871,-42-83-4534,-14 2 3502,-274-532 2422,-97-2 1802,308 535 0,78 117-77,2 5 2344,-7 5 5708,54 95-1489,39 50-6257,0-1-1,-1 2 1,0-1-1,0 1 0,-10-5 1,15 10-229,1 0 0,-1 0 0,0 0 0,0 0 0,0 1 0,0-1 0,0 1 0,0 0 0,0 0 0,0 0 0,0 0 0,0 0 0,0 1 0,0-1 0,0 1 0,0 0 0,1 0 0,-1 0 0,0 0 0,-2 2 0,-8 4 0,1 0 0,0 1 0,-10 9 0,5-4 0,-72 47-179,-2-3 0,-3-4 0,-2-5 0,-109 39 0,-106 19-2495,-3-17-3353,-49 6-543,-2-4 4696,-455 120 1892,-786 161-18,748-190 0,288-21 0,-63 16 0,300-99 0,-45 12 0,-682 237 0,235-67 0,675-216 0,45-9 1136,65-19 3152,0 1 1,1 3-1,-62 41 1,29-5-4557,32-21 268,-53 42 0,69-63 0,0-1 0,-1-1 0,0-2 0,-29 9 0,27-10 0,-1 3 0,0 1 0,-32 20 0,36-19 0,-1 0 0,-49 18 0,49-25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03.25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593 980 24575,'9'24'0,"-2"-9"0,1 16 0,-1 0 0,-2 1 0,-1 0 0,-1 35 0,4 25 0,27 375 0,-33-452 0,4 63 0,-4-70 0,0 0 0,1 0 0,0-1 0,0 1 0,1-1 0,0 1 0,4 8 0,-7-16 0,0 0 0,0 0 0,0 0 0,0 1 0,0-1 0,1 0 0,-1 0 0,0 0 0,0 0 0,0 1 0,0-1 0,0 0 0,0 0 0,0 0 0,0 0 0,0 0 0,0 0 0,0 1 0,1-1 0,-1 0 0,0 0 0,0 0 0,0 0 0,0 0 0,0 0 0,1 0 0,-1 0 0,0 0 0,0 1 0,0-1 0,0 0 0,0 0 0,1 0 0,-1 0 0,0 0 0,0 0 0,0 0 0,0 0 0,1 0 0,-1 0 0,0 0 0,0 0 0,0 0 0,0 0 0,1-1 0,-1 1 0,0 0 0,0 0 0,0 0 0,0 0 0,0 0 0,1 0 0,-1 0 0,0 0 0,3-13 0,-2-20 0,-27-276 0,-3-56 0,28 347 0,5-212 0,-2 203 0,1 1 0,2 0 0,1 0 0,0 0 0,2 0 0,18-38 0,-23 59 8,-1 0-1,1 0 1,0 0-1,0 1 1,1-1-1,-1 1 1,1 0-1,0 0 1,0 0-1,0 1 1,1-1-1,-1 1 1,1 0-1,0 1 1,10-5-1,-11 6-78,0 0 1,0 0-1,1 0 0,-1 1 0,0-1 1,1 1-1,-1 1 0,0-1 1,1 0-1,-1 1 0,0 0 0,0 0 1,1 0-1,-1 1 0,0-1 1,0 1-1,0 0 0,-1 0 0,1 0 1,4 4-1,23 19-6755</inkml:trace>
  <inkml:trace contextRef="#ctx0" brushRef="#br0" timeOffset="220.68">720 1615 24575,'0'-3'0,"7"-13"0,9-3 0,14-9 0,8 0 0,5-2 0,2 3 0,1 7 0,-7 0 0,-4 2 0,-7 6-8191</inkml:trace>
  <inkml:trace contextRef="#ctx0" brushRef="#br0" timeOffset="546.18">1122 1318 24575,'0'-3'0,"7"-9"0,2 9 0,0 11 0,-1 17 0,-3 13 0,-2 8 0,-1 4 0,-2 0 0,4-5 0,11-10 0,11-10 0,4-11 0,5-17 0,3-20 0,-5-16 0,-8-10 0,-8 5-8191</inkml:trace>
  <inkml:trace contextRef="#ctx0" brushRef="#br0" timeOffset="655.23">1122 1107 24575</inkml:trace>
  <inkml:trace contextRef="#ctx0" brushRef="#br0" timeOffset="1589.55">1440 1403 24575,'-1'17'0,"-1"14"0,2 0 0,1 0 0,8 54 0,-9-84 0,0 0 0,0-1 0,0 1 0,1 0 0,-1 0 0,0 0 0,0 0 0,1 0 0,-1 0 0,0-1 0,1 1 0,-1 0 0,1 0 0,-1-1 0,1 1 0,0 0 0,-1 0 0,1-1 0,-1 1 0,1-1 0,0 1 0,0-1 0,-1 1 0,1-1 0,0 1 0,0-1 0,0 0 0,0 1 0,0-1 0,-1 0 0,1 0 0,0 1 0,0-1 0,0 0 0,0 0 0,0 0 0,0 0 0,0 0 0,0-1 0,0 1 0,-1 0 0,1 0 0,0 0 0,0-1 0,0 1 0,0-1 0,0 1 0,-1 0 0,1-1 0,0 1 0,0-1 0,-1 0 0,1 1 0,0-1 0,-1 0 0,1 1 0,0-2 0,5-4 0,0-1 0,0 0 0,0 0 0,7-14 0,-3 2 0,0-1 0,6-23 0,-10 26 0,0 1 0,1 0 0,1 1 0,13-21 0,-21 35 0,0 0 0,1 0 0,-1 0 0,1 1 0,-1-1 0,1 0 0,-1 0 0,1 1 0,0-1 0,-1 0 0,1 1 0,0-1 0,-1 1 0,1-1 0,0 1 0,0-1 0,-1 1 0,1-1 0,0 1 0,0 0 0,0-1 0,0 1 0,0 0 0,0 0 0,0 0 0,-1 0 0,1 0 0,0 0 0,0 0 0,0 0 0,0 0 0,0 0 0,0 0 0,1 1 0,0 1 0,0 0 0,1 0 0,-1 0 0,0 1 0,0-1 0,0 0 0,-1 1 0,3 4 0,5 7 0,0-2 0,0-1 0,0 0 0,1 0 0,0-1 0,0-1 0,1 1 0,1-2 0,0 0 0,0 0 0,0-1 0,1 0 0,0-1 0,0-1 0,1 0 0,0-1 0,-1 0 0,1-1 0,25 2 0,-18-3 0,-1-2 0,0 0 0,0-1 0,0-1 0,0-1 0,0 0 0,0-2 0,-1 0 0,1-2 0,24-11 0,-36 15 0,-1-1 0,1 0 0,-1-1 0,0 0 0,0 0 0,-1 0 0,0-1 0,1 0 0,-2 0 0,1-1 0,-1 1 0,0-1 0,0-1 0,-1 1 0,0 0 0,-1-1 0,1 0 0,-1 0 0,-1 0 0,0 0 0,0-1 0,0 1 0,-1 0 0,0-1 0,-1 1 0,0-1 0,-1-9 0,1 14 0,-1 0 0,1 0 0,-1-1 0,0 1 0,0 0 0,0 0 0,-1 0 0,0 0 0,1 1 0,-1-1 0,-1 0 0,1 1 0,0-1 0,-1 1 0,0 0 0,0 0 0,0 0 0,0 0 0,-4-3 0,4 5 0,0-1 0,0 1 0,0 0 0,0 0 0,0 0 0,0 1 0,0-1 0,0 1 0,-1 0 0,1-1 0,0 1 0,0 1 0,0-1 0,-1 0 0,1 1 0,0 0 0,0 0 0,0-1 0,0 2 0,0-1 0,0 0 0,0 1 0,1-1 0,-1 1 0,0 0 0,-2 3 0,-3 2 0,0 0 0,1 0 0,-1 1 0,2 0 0,0 1 0,0 0 0,0 0 0,1 0 0,0 0 0,1 1 0,-5 14 0,4-9 0,1 0 0,1 0 0,0 0 0,0 0 0,2 1 0,0-1 0,1 19 0,1-31 0,-1 0 0,0 0 0,1 0 0,-1 0 0,1 0 0,0 0 0,0 0 0,0 0 0,0-1 0,1 1 0,-1 0 0,1-1 0,0 1 0,3 3 0,-3-4 0,-1-1 0,1 0 0,0 0 0,0 0 0,-1 0 0,1 0 0,0 0 0,0 0 0,0 0 0,0-1 0,0 1 0,1-1 0,-1 0 0,0 1 0,0-1 0,3 0 0,0-1 0,0 0 0,0 0 0,0 0 0,0-1 0,-1 1 0,1-1 0,0 0 0,-1 0 0,0-1 0,1 0 0,-1 1 0,0-1 0,-1-1 0,1 1 0,0 0 0,4-6 0,2-6 0,0 0 0,-1-1 0,0 0 0,-1 0 0,-1-1 0,0 0 0,5-26 0,-4 8 0,-2 0 0,4-68 0,-9 67 0,-2 1 0,-2-1 0,-1 1 0,-1 0 0,-2 1 0,-2-1 0,-1 1 0,-16-38 0,3 30 0,22 40 0,0 0 0,0 0 0,-1 0 0,1 0 0,-1 1 0,1-1 0,-1 0 0,0 1 0,0-1 0,1 1 0,-1 0 0,0 0 0,0 0 0,-1 0 0,1 0 0,-3-1 0,4 2 0,0 0 0,0 0 0,0 0 0,0 0 0,0 0 0,0 1 0,0-1 0,0 0 0,0 1 0,0-1 0,0 1 0,0-1 0,0 1 0,1-1 0,-1 1 0,0-1 0,0 1 0,0 0 0,1 0 0,-1-1 0,0 1 0,1 0 0,-1 0 0,1 0 0,-1 0 0,1 0 0,-1 0 0,0 1 0,-9 32 0,10-33 0,-6 28 0,2 0 0,1 0 0,1 0 0,1 1 0,5 31 0,-3-42 0,2 0 0,0-1 0,2 1 0,0-1 0,0 0 0,2-1 0,0 1 0,1-1 0,12 17 0,-15-26 5,1-1 1,0 0-1,0-1 0,1 0 0,0 0 0,0 0 1,0 0-1,1-1 0,0-1 0,0 1 1,0-1-1,1-1 0,-1 1 0,1-1 0,0-1 1,-1 0-1,1 0 0,0-1 0,1 0 0,-1 0 1,0-1-1,15-2 0,-5 1-140,-1-2 0,0 0 0,0-2 0,0 1 0,-1-2 0,0-1 0,0 0 0,0-1 0,-1 0 0,20-15 0,3-8-6691</inkml:trace>
  <inkml:trace contextRef="#ctx0" brushRef="#br0" timeOffset="1920.07">2773 1107 24575,'-4'0'0,"3"0"0,12-3 0,15-9 0,17-10 0,13-7 0,7-7 0,0 3 0,1-4 0,-4 5 0,-12 7-8191</inkml:trace>
  <inkml:trace contextRef="#ctx0" brushRef="#br0" timeOffset="2245.75">3112 726 24575,'-8'0'0,"-2"-7"0,8-3 0,12 1 0,7 2 0,8 1 0,7 14 0,2 12 0,2 13 0,-5 16 0,0 14 0,-6 10 0,-14 8 0,-17 4 0,-17-2 0,-9-10 0,-6-12 0,4-16-8191</inkml:trace>
  <inkml:trace contextRef="#ctx0" brushRef="#br0" timeOffset="3116.36">4064 493 24575,'0'-22'0,"-1"-1"0,-1 0 0,-7-37 0,8 56 0,0-1 0,0 1 0,0-1 0,-1 1 0,0-1 0,0 1 0,0 0 0,0 0 0,0 0 0,-1 0 0,0 0 0,0 0 0,0 1 0,0 0 0,-1-1 0,1 1 0,-1 0 0,0 1 0,0-1 0,0 1 0,0-1 0,0 1 0,-1 0 0,-7-2 0,9 4 0,-1 0 0,1 0 0,-1 0 0,1 0 0,-1 1 0,1-1 0,-1 1 0,1 0 0,-1 0 0,1 0 0,0 0 0,-1 1 0,1-1 0,0 1 0,0 0 0,0 0 0,0 0 0,1 0 0,-1 0 0,0 1 0,1 0 0,0-1 0,0 1 0,-1 0 0,-1 4 0,-4 6 0,1 0 0,0 0 0,1 0 0,0 1 0,-4 15 0,-1 13 0,2 1 0,1 0 0,3 0 0,1 1 0,3-1 0,1 1 0,2 0 0,2-1 0,2 0 0,14 54 0,-15-81 0,0 0 0,1-1 0,1 0 0,0 0 0,1 0 0,1-1 0,0 0 0,1-1 0,0 0 0,25 23 0,-30-31 0,1-1 0,0 1 0,0-1 0,0 0 0,1-1 0,-1 1 0,1-1 0,0-1 0,0 1 0,0-1 0,0 0 0,0-1 0,0 1 0,1-2 0,-1 1 0,0-1 0,1 0 0,-1 0 0,0-1 0,1 0 0,-1 0 0,0-1 0,0 0 0,0 0 0,0-1 0,9-5 0,-1 0 0,-1-1 0,0-1 0,0 0 0,-1-1 0,0 0 0,-1-1 0,-1 0 0,0-1 0,0-1 0,-2 1 0,1-2 0,-2 1 0,0-1 0,8-20 0,-3 1 0,-2 0 0,-1-1 0,-1 0 0,-2 0 0,4-63 0,-8-17 0,-3 98 0,-1 1 0,-1 0 0,-1-1 0,-8-27 0,11 42 0,-1 0 0,1 1 0,-1-1 0,0 0 0,0 1 0,1-1 0,-1 0 0,0 1 0,0-1 0,-1 1 0,1 0 0,0-1 0,-2 0 0,3 1 0,-1 1 0,1 0 0,0 0 0,-1 0 0,1 0 0,-1 0 0,1 0 0,0 0 0,-1 0 0,1 0 0,-1 0 0,1 0 0,0 0 0,-1 0 0,1 0 0,-1 0 0,1 1 0,0-1 0,-1 0 0,1 0 0,-1 0 0,1 1 0,0-1 0,-1 0 0,1 0 0,0 1 0,0-1 0,-1 0 0,1 1 0,0-1 0,0 0 0,-1 1 0,1 0 0,-3 3 0,1 1 0,0 0 0,0 1 0,0-1 0,0 0 0,-1 11 0,-2 27 0,1 0 0,3 0 0,1 0 0,2 0 0,2 0 0,2-1 0,1 1 0,3-1 0,23 65 0,-27-94 17,0 1 0,1-1 1,0 0-1,1-1 0,1 0 0,18 22 0,-23-31-34,-1 0 0,1 0 1,0 0-1,-1 0 0,1 0 0,1-1 1,-1 0-1,0 1 0,0-2 0,1 1 1,4 1-1,-6-3-47,0 1 0,0-1-1,0 0 1,0 0 0,0 0 0,0 0 0,0-1-1,0 1 1,-1-1 0,1 0 0,0 0 0,0 0-1,-1 0 1,1 0 0,0-1 0,-1 1 0,1-1-1,-1 0 1,4-2 0,12-16-6762</inkml:trace>
  <inkml:trace contextRef="#ctx0" brushRef="#br0" timeOffset="3819.1">4149 980 24575,'0'1'0,"0"0"0,0-1 0,0 1 0,0-1 0,0 1 0,1-1 0,-1 1 0,0-1 0,0 1 0,1-1 0,-1 1 0,0-1 0,1 1 0,-1-1 0,1 1 0,-1-1 0,1 0 0,-1 1 0,0-1 0,1 0 0,-1 1 0,1-1 0,0 0 0,-1 1 0,1-1 0,-1 0 0,1 0 0,-1 0 0,1 0 0,0 0 0,-1 0 0,1 0 0,-1 0 0,1 0 0,0 0 0,-1 0 0,1 0 0,26-4 0,1-5 0,-1-1 0,0-1 0,0-1 0,37-25 0,-16 6 0,57-49 0,-76 55 0,37-40 0,-58 57 0,-1-1 0,0 0 0,0 0 0,-1-1 0,0 0 0,-1 0 0,0 0 0,-1 0 0,4-13 0,-8 21 0,1 1 0,-1-1 0,1 0 0,-1 0 0,0 0 0,1 0 0,-1 0 0,0 0 0,0 0 0,-1 0 0,1 0 0,0 0 0,-1 0 0,1 0 0,-1 0 0,1 1 0,-1-1 0,0 0 0,0 0 0,0 0 0,0 1 0,0-1 0,0 1 0,0-1 0,-1 1 0,1-1 0,-1 1 0,1 0 0,-1-1 0,1 1 0,-1 0 0,0 0 0,1 0 0,-1 0 0,-2 0 0,0 0 0,0 0 0,1 0 0,-1 1 0,1 0 0,-1-1 0,0 1 0,1 1 0,-1-1 0,0 0 0,1 1 0,-1 0 0,0 0 0,1 0 0,0 0 0,-1 0 0,1 1 0,-6 3 0,4-1 0,-1 0 0,2 0 0,-1 1 0,1 0 0,-1 0 0,1 0 0,1 0 0,-1 0 0,1 1 0,0-1 0,0 1 0,0 0 0,1 0 0,0 0 0,0 1 0,1-1 0,-2 7 0,3-10 0,-1 1 0,1-1 0,0 1 0,0-1 0,1 1 0,-1-1 0,0 0 0,1 1 0,0-1 0,0 0 0,0 1 0,0-1 0,1 0 0,-1 0 0,1 0 0,0 0 0,0 0 0,0-1 0,0 1 0,0 0 0,1-1 0,-1 1 0,1-1 0,-1 0 0,1 0 0,0 0 0,0 0 0,0-1 0,0 1 0,0-1 0,1 0 0,-1 0 0,4 1 0,12 2 0,0-2 0,1 0 0,-1-1 0,1-1 0,-1 0 0,1-2 0,-1 0 0,25-7 0,-43 9 0,-1 0 0,1-1 0,0 1 0,0 0 0,0 0 0,-1 0 0,1 0 0,0 0 0,0 1 0,0-1 0,-1 0 0,1 0 0,0 0 0,0 1 0,-1-1 0,1 0 0,0 1 0,-1-1 0,1 1 0,0-1 0,-1 1 0,1-1 0,-1 1 0,1-1 0,0 1 0,-1-1 0,1 1 0,-1 0 0,0-1 0,1 1 0,-1 0 0,0 0 0,1-1 0,-1 1 0,0 0 0,0 0 0,1-1 0,-1 1 0,0 0 0,0 0 0,0 0 0,0-1 0,0 2 0,-5 44 0,3-33 0,1-7 0,0 1 0,1-1 0,0 0 0,0 0 0,1 1 0,-1-1 0,1 0 0,1 0 0,-1 0 0,1 0 0,3 8 0,-2-10 0,-1 0 0,1 0 0,0-1 0,0 1 0,0-1 0,0 0 0,1 0 0,-1 0 0,1 0 0,0 0 0,0-1 0,0 1 0,0-1 0,0 0 0,0-1 0,5 2 0,-4-1 0,0-1 0,0 0 0,0 0 0,0 0 0,0 0 0,0-1 0,0 0 0,0 0 0,0 0 0,0-1 0,0 0 0,0 0 0,0 0 0,0 0 0,5-3 0,-2 0 0,0 0 0,-1 0 0,0-1 0,0 0 0,0 0 0,0-1 0,-1 1 0,8-10 0,-2-1 0,1-1 0,-2 0 0,0 0 0,-1-1 0,-1-1 0,12-34 0,-12 20 0,-1-1 0,-1 0 0,-2 0 0,-1 0 0,-2-1 0,-1 1 0,-2-1 0,-1 0 0,-2 1 0,-11-46 0,-7 13 0,19 62 0,1 0 0,-1-1 0,0 2 0,0-1 0,0 0 0,0 0 0,-1 1 0,0 0 0,-6-6 0,9 9 0,0 1 0,0-1 0,0 0 0,0 0 0,0 1 0,-1-1 0,1 1 0,0-1 0,0 1 0,0 0 0,-1-1 0,1 1 0,0 0 0,-1 0 0,1 0 0,0 0 0,0 0 0,-1 0 0,1 0 0,0 0 0,0 0 0,-1 1 0,1-1 0,0 1 0,0-1 0,-1 1 0,1-1 0,0 1 0,0-1 0,-1 2 0,-1 1 0,0 0 0,0 0 0,0 0 0,1 0 0,-1 0 0,1 1 0,0 0 0,-3 5 0,-4 12 0,2 0 0,0 1 0,1-1 0,1 1 0,-4 43 0,7-18 0,4 87 0,0-116 0,0 0 0,1-1 0,0 1 0,2-1 0,0 0 0,1 0 0,1 0 0,0-1 0,12 20 0,-14-30 0,-1 1 0,1-1 0,0 0 0,1 0 0,-1 0 0,1-1 0,0 0 0,1 0 0,-1 0 0,1-1 0,0 0 0,0 0 0,1-1 0,-1 0 0,1 0 0,-1-1 0,1 0 0,0 0 0,0-1 0,0 0 0,0 0 0,13-1 0,-9-1-170,1 0-1,-1-2 0,0 1 1,0-1-1,0-1 0,-1 0 1,17-9-1,19-12-6655</inkml:trace>
  <inkml:trace contextRef="#ctx0" brushRef="#br0" timeOffset="4037.43">5546 641 24575,'7'0'0,"6"-7"0,8-2 0,11-11 0,11-9 0,6 0 0,5-5 0,4 3 0,-1-1 0,-10 5-8191</inkml:trace>
  <inkml:trace contextRef="#ctx0" brushRef="#br0" timeOffset="4285.25">5715 260 24575,'-1'4'0,"1"15"0,1 12 0,-1 15 0,-1 18 0,1 15 0,4 17 0,1-1 0,7-10 0,15-19 0,11-21 0,-1-18-8191</inkml:trace>
  <inkml:trace contextRef="#ctx0" brushRef="#br0" timeOffset="4707.22">6266 175 24575,'3'72'0,"4"-1"0,22 95 0,-2-14 0,-22-116 0,1-2 0,-2 1 0,0 62 0,-12-124 0,-13-81 0,5 0 0,5-1 0,4-177 0,8 271 0,0 0 0,1 0 0,0 0 0,1 0 0,1 0 0,10-27 0,-12 37 0,0 1 0,0 0 0,1 0 0,-1 0 0,1 0 0,0 1 0,0-1 0,0 1 0,1-1 0,-1 1 0,1 0 0,-1 1 0,1-1 0,0 0 0,0 1 0,0 0 0,1 0 0,-1 0 0,0 1 0,1-1 0,0 1 0,-1 0 0,1 1 0,-1-1 0,1 1 0,6 0 0,-6 0 9,0 1-1,0 0 1,0 0-1,-1 0 1,1 0-1,0 1 1,-1 0 0,1 0-1,-1 0 1,1 1-1,-1-1 1,0 1-1,5 5 1,-2-2-257,0 1 1,0 0-1,-1 0 1,0 0-1,9 16 1,1 10-6579</inkml:trace>
  <inkml:trace contextRef="#ctx0" brushRef="#br0" timeOffset="4863.74">6308 493 24575,'7'-3'0,"13"-9"0,18-13 0,16-10 0,11-5 0,-3 3 0,-12 9-8191</inkml:trace>
  <inkml:trace contextRef="#ctx0" brushRef="#br0" timeOffset="5800.63">318 3520 24575,'0'-7'0,"0"5"0,0 13 0,0 23 0,0 24 0,0 27 0,0 31 0,0 25 0,0 14 0,0-5 0,0-21 0,0-26 0,0-40 0,0-31-8191</inkml:trace>
  <inkml:trace contextRef="#ctx0" brushRef="#br0" timeOffset="6207.42">21 4007 24575,'-1'-4'0,"1"1"0,-1-1 0,0 0 0,0 0 0,0 0 0,-3-5 0,-3-15 0,5 9 0,0 0 0,2 0 0,0 0 0,1 0 0,0 0 0,1 0 0,1 0 0,0 1 0,1-1 0,0 1 0,2 0 0,-1 0 0,2 0 0,15-24 0,-3 8 0,2 1 0,1 1 0,2 1 0,0 1 0,32-26 0,-29 29 0,1 2 0,0 0 0,2 2 0,0 2 0,1 0 0,1 2 0,0 2 0,1 0 0,1 3 0,56-12 0,-81 21 0,1 0 0,-1 1 0,1-1 0,-1 2 0,1 0 0,-1 0 0,0 0 0,1 1 0,-1 1 0,0-1 0,0 2 0,0-1 0,-1 1 0,11 6 0,-14-6 0,0 0 0,0 0 0,0 0 0,0 1 0,-1-1 0,0 1 0,0 0 0,0 1 0,-1-1 0,1 0 0,-1 1 0,-1 0 0,1 0 0,-1 0 0,0 0 0,0 0 0,-1 0 0,0 1 0,0-1 0,0 0 0,-1 1 0,0 7 0,-1 4 0,-1 0 0,-1 1 0,-1-1 0,0 0 0,-2-1 0,-8 22 0,-55 101 0,29-69 0,-4-1 0,-2-2 0,-3-2 0,-91 93 0,112-128 0,27-31 0,1 1 0,-1-1 0,1 0 0,0 1 0,-1-1 0,1 1 0,0-1 0,0 0 0,-1 1 0,1-1 0,0 1 0,0-1 0,0 1 0,-1-1 0,1 1 0,0-1 0,0 1 0,0-1 0,0 1 0,0-1 0,0 1 0,0-1 0,0 1 0,0-1 0,0 1 0,0-1 0,1 1 0,-1-1 0,0 0 0,0 1 0,0-1 0,1 1 0,-1-1 0,0 1 0,0-1 0,1 0 0,-1 1 0,0-1 0,1 1 0,-1-1 0,0 0 0,1 0 0,-1 1 0,1-1 0,-1 0 0,1 0 0,-1 1 0,1-1 0,28 5 0,-18-5 0,5 3 0,1 1 0,-1 0 0,1 2 0,-2 0 0,31 15 0,68 51 0,-101-64 0,-7-3-91,1 0 0,-1-1 0,1 0 0,1 0 0,-1-1 0,0 0 0,1 0 0,-1-1 0,1 1 0,0-2 0,0 1 0,0-1 0,0-1 0,10 1 0,14-7-6735</inkml:trace>
  <inkml:trace contextRef="#ctx0" brushRef="#br0" timeOffset="6984.56">868 4218 24575,'3'3'0,"1"-1"0,-1 0 0,1-1 0,0 1 0,0-1 0,0 1 0,0-1 0,0 0 0,0-1 0,0 1 0,1-1 0,-1 0 0,6 0 0,4 1 0,-7-1 0,-1 1 0,1-1 0,0 0 0,-1-1 0,1 1 0,0-1 0,-1-1 0,1 1 0,0-1 0,-1 0 0,0-1 0,0 0 0,0 1 0,0-2 0,0 1 0,0-1 0,-1 0 0,8-7 0,-8 5 0,1 0 0,-1-1 0,-1 0 0,1 0 0,-1 0 0,-1-1 0,1 1 0,-1-1 0,0 0 0,-1 0 0,0 0 0,0 0 0,-1 0 0,1-14 0,-2 12 0,0 1 0,0-1 0,-1 0 0,-1 1 0,1-1 0,-5-9 0,6 16 0,-1 0 0,0 0 0,0 0 0,-1 0 0,1 0 0,0 0 0,-1 0 0,0 0 0,0 1 0,0-1 0,0 1 0,0 0 0,0-1 0,-1 1 0,1 0 0,-1 0 0,1 0 0,-1 1 0,0-1 0,0 1 0,-5-3 0,6 4 0,1 0 0,-1-1 0,0 1 0,1 0 0,-1 0 0,0 0 0,1 1 0,-1-1 0,0 0 0,1 0 0,-1 1 0,1-1 0,-1 1 0,1 0 0,-1-1 0,1 1 0,-1 0 0,1 0 0,-3 2 0,1-1 0,0 1 0,1 1 0,-1-1 0,0 0 0,1 0 0,0 1 0,-3 6 0,-1 4 0,1 0 0,1-1 0,-5 24 0,6-21 0,1 1 0,0-1 0,1 0 0,1 1 0,0-1 0,6 32 0,-5-44 0,0 1 0,0-1 0,1 0 0,0 1 0,-1-1 0,1 0 0,1 0 0,-1 0 0,1-1 0,-1 1 0,1-1 0,6 7 0,-6-8 0,0 0 0,0 0 0,1-1 0,-1 1 0,0-1 0,1 1 0,-1-1 0,1 0 0,-1 0 0,1-1 0,0 1 0,-1-1 0,1 0 0,0 0 0,-1 0 0,1 0 0,-1-1 0,6 0 0,2-2 0,0 0 0,-1-1 0,1-1 0,-1 1 0,1-2 0,-2 1 0,1-1 0,-1-1 0,1 0 0,-2 0 0,15-15 0,-1-2 0,-1 0 0,34-54 0,-33 39 0,-1-1 0,-2-1 0,-1-1 0,-3 0 0,-1-1 0,-3-1 0,-1 0 0,-2-1 0,-2 1 0,-2-1 0,-3-58 0,-1 93 0,-4-44 0,4 51 0,-1 0 0,0 0 0,1 0 0,-1 0 0,0 0 0,0 0 0,-1 0 0,1 0 0,-1 0 0,1 1 0,-1-1 0,0 1 0,-2-4 0,3 6 0,1-1 0,-1 1 0,1 0 0,-1-1 0,1 1 0,-1 0 0,0 0 0,1-1 0,-1 1 0,1 0 0,-1 0 0,0 0 0,1 0 0,-1 0 0,1 0 0,-1 0 0,0 0 0,1 0 0,-1 0 0,0 0 0,1 0 0,-1 0 0,1 0 0,-1 1 0,0-1 0,1 0 0,-1 0 0,1 1 0,-1-1 0,1 0 0,-1 1 0,1-1 0,-1 1 0,1-1 0,-1 1 0,1-1 0,0 1 0,-1-1 0,1 1 0,0-1 0,-1 1 0,1-1 0,0 1 0,0-1 0,-1 2 0,-12 31 0,4 14 0,1 0 0,3 0 0,1 82 0,2-75 0,0 198 0,10-1 0,63 387 0,-60-573 0,39 185 0,-42-227 0,-6-45 0,-27-368 0,8 195 0,9-205 0,10 354 0,15-80 0,-15 115 0,0 0 0,1 0 0,1 0 0,0 1 0,0-1 0,1 1 0,0 0 0,1 1 0,0-1 0,0 1 0,1 0 0,14-13 0,-19 20 0,-1 0 0,2 1 0,-1-1 0,0 0 0,0 1 0,0 0 0,1-1 0,-1 1 0,1 0 0,-1 0 0,1 1 0,-1-1 0,1 0 0,-1 1 0,1 0 0,0-1 0,-1 1 0,1 0 0,0 0 0,-1 1 0,1-1 0,3 1 0,-3 1 0,0-1 0,-1 0 0,1 1 0,-1 0 0,0-1 0,1 1 0,-1 0 0,0 0 0,0 1 0,0-1 0,0 0 0,-1 1 0,1-1 0,-1 1 0,1-1 0,-1 1 0,0 0 0,0-1 0,0 1 0,0 4 0,2 5 7,-1 0-1,0 0 0,-1 0 0,0 1 1,-1-1-1,0 1 0,-1-1 1,-1 0-1,0 0 0,0 1 1,-2-1-1,1-1 0,-1 1 0,-1 0 1,0-1-1,-1 0 0,0 0 1,-10 13-1,3-7-155,0 0 1,-1-1-1,-1-1 1,0 0-1,-1-1 1,-1-1-1,0-1 1,-1 0-1,-37 18 1,26-18-6678</inkml:trace>
  <inkml:trace contextRef="#ctx0" brushRef="#br0" timeOffset="7719.4">1545 4197 24575,'10'0'0,"1"-1"0,-1-1 0,1 0 0,-1 0 0,1-1 0,-1 0 0,0-1 0,0 0 0,0 0 0,-1-1 0,0-1 0,0 0 0,0 0 0,-1 0 0,1-1 0,-2-1 0,1 1 0,-1-1 0,13-18 0,-6 5 0,-1-1 0,0-1 0,-2 0 0,0 0 0,-2-1 0,-1 0 0,8-34 0,-12 33 0,0 0 0,-2-1 0,-1 1 0,-1 0 0,-1-1 0,-5-29 0,-5-7 0,-24-77 0,24 102 0,-1 0 0,-29-57 0,39 91 0,1 0 0,-1 0 0,0 1 0,0-1 0,0 0 0,0 1 0,0-1 0,-1 1 0,-2-3 0,4 5 0,1 0 0,-1-1 0,1 1 0,-1 0 0,1 0 0,0 0 0,-1-1 0,0 1 0,1 0 0,-1 0 0,1 0 0,-1 0 0,1 0 0,-1 0 0,1 0 0,-1 0 0,1 0 0,-1 0 0,1 0 0,-1 1 0,1-1 0,-1 0 0,1 0 0,-1 0 0,1 1 0,-1-1 0,1 0 0,0 0 0,-1 1 0,1-1 0,-1 0 0,1 1 0,-1 0 0,-2 4 0,1 0 0,0 0 0,0 0 0,0 0 0,0 1 0,1-1 0,0 1 0,0-1 0,-1 9 0,-2 33 0,2 0 0,2 1 0,2-1 0,3 1 0,1-1 0,2 0 0,17 53 0,-22-90 0,1 1 0,0 0 0,1-1 0,0 0 0,0 0 0,1 0 0,0-1 0,1 0 0,0 0 0,0-1 0,16 14 0,-15-16 0,0 0 0,1-1 0,-1 0 0,1-1 0,0 0 0,1 0 0,-1-1 0,1 0 0,-1-1 0,1 0 0,0 0 0,0-1 0,14 0 0,0-2 0,-1-1 0,1 0 0,0-2 0,-1-1 0,0 0 0,35-14 0,-23 4 0,-1 0 0,-1-2 0,46-31 0,-72 43 0,0 0 0,0 0 0,0-1 0,-1 0 0,0 0 0,0-1 0,8-11 0,-12 16 0,-1 0 0,0 0 0,0 0 0,0-1 0,-1 1 0,1 0 0,0-1 0,-1 1 0,1 0 0,-1-1 0,0 1 0,0-1 0,0 1 0,0 0 0,-1-1 0,1 1 0,0-1 0,-1 1 0,0 0 0,1-1 0,-1 1 0,0 0 0,0 0 0,-1 0 0,1 0 0,0 0 0,-1 0 0,1 0 0,-1 0 0,1 0 0,-3-1 0,-59-56 0,56 53 0,0 1 0,0 0 0,0 1 0,-1-1 0,0 2 0,1-1 0,-17-4 0,21 7 0,0 1 0,0 0 0,-1-1 0,1 1 0,0 1 0,0-1 0,0 0 0,0 1 0,0 0 0,0 0 0,0-1 0,1 2 0,-1-1 0,0 0 0,0 1 0,1-1 0,-1 1 0,1 0 0,-1 0 0,1 0 0,0 0 0,0 0 0,0 0 0,0 1 0,0-1 0,0 1 0,0-1 0,1 1 0,0 0 0,-2 2 0,-3 8 0,1 0 0,0 1 0,1-1 0,0 1 0,-2 14 0,2-6 0,1 1 0,1-1 0,1 33 0,2-48 0,-1-1 0,1 1 0,1-1 0,-1 1 0,1-1 0,0 0 0,4 8 0,-5-12 0,1 1 0,0 0 0,-1 0 0,1-1 0,1 1 0,-1-1 0,0 0 0,0 0 0,1 1 0,0-1 0,-1-1 0,1 1 0,0 0 0,0-1 0,4 2 0,-3-1 0,0-1 0,0 0 0,0-1 0,0 1 0,0-1 0,1 1 0,-1-1 0,0-1 0,0 1 0,0 0 0,1-1 0,-1 0 0,0 0 0,0 0 0,0-1 0,0 1 0,-1-1 0,1 0 0,0 0 0,-1 0 0,1-1 0,-1 1 0,0-1 0,0 0 0,0 0 0,4-4 0,0-1 0,-1 0 0,-1 0 0,1 0 0,-1-1 0,-1 0 0,1 0 0,-1 0 0,-1 0 0,0 0 0,2-12 0,2-71 0,-7 100 0,-1 0 0,1 1 0,1-1 0,-1 1 0,2-1 0,-1 1 0,1-1 0,0 0 0,1 0 0,0 0 0,0 0 0,1-1 0,0 1 0,0-1 0,1 0 0,0 0 0,0 0 0,0-1 0,1 1 0,10 7 0,-7-6 0,1-1 0,0-1 0,0 0 0,1 0 0,-1-1 0,1-1 0,0 1 0,0-2 0,1 0 0,-1 0 0,1-1 0,0 0 0,0-1 0,18 0 0,-11-3-105,1 0 0,-1-2 0,1 0 0,-1-1 0,0-1 0,-1-1 0,0-1 0,0 0 0,0-1 0,-1-1 0,0-1 0,29-24 0,-5-1-6721</inkml:trace>
  <inkml:trace contextRef="#ctx0" brushRef="#br0" timeOffset="8186.42">2731 3583 24575,'9'-13'0,"3"-3"0,-12 16 0,0-1 0,1 1 0,-1 0 0,0-1 0,0 1 0,0 0 0,0-1 0,1 1 0,-1-1 0,0 1 0,0 0 0,0-1 0,0 1 0,0-1 0,0 1 0,0 0 0,0-1 0,0 1 0,0 0 0,-1-1 0,1 1 0,0-1 0,0 1 0,0 0 0,0-1 0,0 1 0,-1 0 0,1-1 0,0 1 0,0 0 0,-1-1 0,1 1 0,0 0 0,0 0 0,-1-1 0,0 1 0,0 0 0,1-1 0,-1 1 0,0 0 0,0 0 0,0 0 0,0 0 0,0 0 0,0 0 0,0 0 0,1 0 0,-1 0 0,0 1 0,0-1 0,0 0 0,0 1 0,1-1 0,-1 0 0,0 1 0,0-1 0,0 1 0,1-1 0,-2 2 0,-17 14 0,5-1 0,2 1 0,-1 0 0,2 1 0,0 0 0,2 1 0,-1 0 0,2 1 0,1-1 0,0 2 0,1-1 0,-4 24 0,10-39 0,-1 1 0,1-1 0,0 0 0,0 1 0,1-1 0,-1 0 0,1 0 0,0 1 0,0-1 0,0 0 0,0 0 0,1 0 0,0 0 0,0 0 0,0-1 0,0 1 0,1 0 0,-1-1 0,1 0 0,0 1 0,0-1 0,0 0 0,0-1 0,1 1 0,-1 0 0,1-1 0,-1 0 0,1 0 0,0 0 0,0 0 0,0-1 0,0 1 0,7 0 0,-2 1 0,1-1 0,0-1 0,-1 0 0,1 0 0,0 0 0,0-2 0,0 1 0,0-1 0,-1 0 0,1-1 0,0 0 0,-1-1 0,15-6 0,-13 3 0,-1-1 0,0 0 0,0 0 0,0-1 0,-1 0 0,-1-1 0,1 0 0,-1 0 0,-1-1 0,0 0 0,0-1 0,-1 1 0,0-1 0,-1 0 0,0-1 0,-1 1 0,0-1 0,-1 0 0,0 0 0,-1 0 0,-1 0 0,0 0 0,0 0 0,-1-1 0,-2-18 0,1 28 0,1 1 0,-1-1 0,1 1 0,-1 0 0,0-1 0,0 1 0,0 0 0,0 0 0,0 0 0,-2-3 0,2 4 0,1 0 0,-1 1 0,1-1 0,-1 1 0,0-1 0,1 1 0,-1-1 0,0 1 0,1 0 0,-1-1 0,0 1 0,0 0 0,1-1 0,-1 1 0,0 0 0,0 0 0,1 0 0,-1 0 0,0 0 0,0 0 0,-1 0 0,0 0 0,0 1 0,0 0 0,0 0 0,0 0 0,0 0 0,0 1 0,0-1 0,0 1 0,0-1 0,1 1 0,-1-1 0,1 1 0,-1 0 0,1 0 0,0 0 0,0 0 0,-1 0 0,1 0 0,1 0 0,-2 3 0,-1 2 0,0 1 0,1-1 0,0 1 0,1 0 0,0 0 0,0 0 0,1-1 0,-1 1 0,2 0 0,-1 0 0,1 0 0,0 0 0,1-1 0,0 1 0,0 0 0,1-1 0,0 0 0,4 8 0,-4-9 0,0-1 0,1 0 0,-1 0 0,1 0 0,0 0 0,1-1 0,-1 1 0,1-1 0,0 0 0,0-1 0,0 1 0,0-1 0,1 0 0,-1 0 0,1-1 0,0 0 0,0 0 0,0 0 0,0 0 0,0-1 0,0 0 0,0-1 0,12 1 0,3-4-170,0 0-1,0-1 0,0-2 1,-1 0-1,0-1 0,0-1 1,33-18-1,8-7-6655</inkml:trace>
  <inkml:trace contextRef="#ctx0" brushRef="#br0" timeOffset="8687.32">3323 3604 24575,'29'-1'0,"0"-2"0,0 0 0,0-3 0,-1 0 0,44-16 0,132-64 0,-181 75 0,121-61 0,-121 59 0,0-1 0,-1-1 0,38-36 0,-56 48 0,-1 0 0,1 0 0,-1-1 0,0 1 0,0-1 0,0 0 0,-1 0 0,1 0 0,-1 0 0,0 0 0,0 0 0,-1-1 0,1 1 0,-1-1 0,0 1 0,0-1 0,-1 0 0,1 1 0,-1-1 0,0 0 0,0 1 0,0-1 0,-1 1 0,0-1 0,0 0 0,0 1 0,0-1 0,-1 1 0,0 0 0,0-1 0,0 1 0,0 0 0,0 0 0,-1 0 0,0 1 0,0-1 0,0 1 0,0-1 0,-5-2 0,20 19 15,-2 1 0,0 0 0,0 1 0,-2 0 0,0 0 0,0 1 0,8 27 0,-10-27-164,-1 0 1,-1 0-1,-1 1 1,0-1-1,-1 0 1,-1 1-1,-1 0 1,0-1-1,-4 32 1,-9 0-6678</inkml:trace>
  <inkml:trace contextRef="#ctx0" brushRef="#br0" timeOffset="9611.34">4805 2652 24575,'-1'-12'0,"1"0"0,-2 0 0,1 0 0,-2 0 0,1 0 0,-10-23 0,11 32 0,0 0 0,0 1 0,0-1 0,0 0 0,-1 1 0,1-1 0,-1 1 0,0 0 0,0-1 0,0 1 0,0 0 0,0 0 0,0 0 0,-1 1 0,1-1 0,0 0 0,-1 1 0,1-1 0,-1 1 0,0 0 0,0 0 0,1 0 0,-1 0 0,0 1 0,0-1 0,0 1 0,0 0 0,0-1 0,0 1 0,1 1 0,-1-1 0,0 0 0,0 1 0,-5 1 0,3 0 0,0 0 0,0 0 0,0 1 0,1 0 0,-1 0 0,1 0 0,0 0 0,0 1 0,0-1 0,0 1 0,0 0 0,1 1 0,0-1 0,-5 9 0,-2 5 0,1 1 0,-11 32 0,9-17 0,2 2 0,1 0 0,2 0 0,1 0 0,2 0 0,1 1 0,7 69 0,0-65 0,1-1 0,2 1 0,2-2 0,2 0 0,1 0 0,34 68 0,-39-93 0,0 0 0,1 0 0,0-1 0,1 0 0,0-1 0,1 0 0,1-1 0,0 0 0,0 0 0,26 14 0,-31-20 0,1-1 0,0-1 0,-1 0 0,2 0 0,-1 0 0,0-1 0,0-1 0,1 1 0,-1-1 0,1-1 0,-1 1 0,1-1 0,0-1 0,-1 0 0,1 0 0,-1-1 0,0 1 0,0-2 0,1 1 0,-1-2 0,14-6 0,-10 3 0,0 0 0,0-1 0,-1 0 0,0-1 0,0-1 0,-1 1 0,0-2 0,-1 1 0,13-20 0,-11 12 0,-1 0 0,0-1 0,-2 0 0,0-1 0,9-36 0,-7 2 0,-2 0 0,-2-1 0,-3 1 0,-4-61 0,0 90 0,1-8 0,-2 0 0,0 0 0,-13-53 0,14 123 0,5 7-273,3-2 0,1 1 0,3-1 0,22 60 0,-8-44-6553</inkml:trace>
  <inkml:trace contextRef="#ctx0" brushRef="#br0" timeOffset="10293.56">4953 3181 24575,'13'0'0,"0"-2"0,0 1 0,0-2 0,-1 0 0,1 0 0,0-1 0,12-7 0,83-45 0,-99 51 0,47-27 0,92-71 0,-131 90 0,0-1 0,-2-1 0,0-1 0,0 0 0,-2-1 0,0 0 0,-1-1 0,0-1 0,10-25 0,-21 42 0,0-1 0,0 1 0,0-1 0,0 0 0,0 1 0,-1-1 0,1 0 0,-1 0 0,0 0 0,0 1 0,0-1 0,0 0 0,0 0 0,-1 0 0,1 1 0,-1-1 0,0 0 0,0 0 0,0 1 0,0-1 0,0 1 0,-3-5 0,2 5 0,0 1 0,1 0 0,-1 0 0,0-1 0,0 1 0,0 0 0,1 1 0,-1-1 0,0 0 0,0 0 0,0 1 0,-1 0 0,1-1 0,0 1 0,0 0 0,0 0 0,0 0 0,0 0 0,0 0 0,0 0 0,0 1 0,0-1 0,0 1 0,0-1 0,0 1 0,0 0 0,0 0 0,0 0 0,0 0 0,0 0 0,-1 2 0,-5 2 0,1 0 0,0 0 0,0 1 0,0 0 0,1 0 0,0 1 0,-8 10 0,12-14 0,0-1 0,0 1 0,1 0 0,-1-1 0,0 1 0,1 0 0,0 0 0,0 0 0,0 0 0,0 0 0,0 0 0,0 1 0,1-1 0,0 0 0,0 0 0,0 1 0,0-1 0,0 0 0,0 0 0,1 0 0,0 1 0,-1-1 0,3 5 0,-1-5 0,0-1 0,0 1 0,1-1 0,-1 0 0,0 0 0,1 0 0,-1 0 0,1 0 0,0-1 0,-1 1 0,1-1 0,0 0 0,0 0 0,0 0 0,0 0 0,0 0 0,6 0 0,58 3 0,-55-3 0,3-2 0,-1 0 0,1 0 0,-1-1 0,0-1 0,0-1 0,0 0 0,0 0 0,0-2 0,-1 1 0,13-9 0,-25 14 0,-1-1 0,0 1 0,1 0 0,-1 0 0,0 0 0,1 0 0,-1 0 0,0 0 0,1 0 0,-1 0 0,1 0 0,-1 0 0,0 1 0,1-1 0,-1 0 0,0 0 0,1 0 0,-1 0 0,0 0 0,0 1 0,1-1 0,-1 0 0,0 0 0,1 0 0,-1 1 0,0-1 0,0 0 0,1 0 0,-1 1 0,0-1 0,0 0 0,0 1 0,0-1 0,1 0 0,-1 1 0,0-1 0,0 0 0,0 1 0,0-1 0,0 0 0,0 1 0,0-1 0,0 0 0,0 1 0,0-1 0,0 1 0,0-1 0,0 0 0,0 1 0,0-1 0,-1 1 0,1 24 0,-1-22 0,0 9 0,0 0 0,1 0 0,1 0 0,-1-1 0,2 1 0,0 0 0,3 13 0,-3-21 0,0 1 0,0 0 0,1-1 0,0 1 0,-1-1 0,1 0 0,1 0 0,-1 0 0,1 0 0,-1-1 0,1 1 0,0-1 0,0 0 0,0 0 0,1-1 0,-1 1 0,1-1 0,0 0 0,6 2 0,-5-1 0,-1-1 0,1 0 0,0-1 0,0 0 0,0 1 0,0-2 0,0 1 0,0-1 0,0 0 0,0 0 0,0-1 0,0 1 0,0-2 0,0 1 0,0 0 0,0-1 0,-1 0 0,1-1 0,0 1 0,-1-1 0,0 0 0,0 0 0,0-1 0,0 1 0,0-1 0,-1 0 0,1-1 0,-1 1 0,0-1 0,-1 0 0,1 0 0,3-8 0,6-8 0,-2-1 0,-1-1 0,0 1 0,-2-2 0,-1 1 0,0-1 0,-2 0 0,2-27 0,-2 1 0,-3-1 0,-7-96 0,3 124 0,-1 1 0,-1 0 0,-2 0 0,0 0 0,-13-30 0,18 49 0,0-1 0,-1 1 0,1 0 0,-1 0 0,0 0 0,0 1 0,0-1 0,0 0 0,-1 1 0,1-1 0,-1 1 0,1 0 0,-1 0 0,0 0 0,0 0 0,0 0 0,-5-2 0,6 4 0,-1 0 0,1 0 0,0 0 0,0 0 0,-1 0 0,1 0 0,0 1 0,0-1 0,-1 1 0,1 0 0,0-1 0,0 1 0,0 0 0,0 0 0,0 1 0,0-1 0,0 0 0,0 1 0,1-1 0,-1 1 0,0-1 0,1 1 0,-1 0 0,1 0 0,0 0 0,-2 3 0,-5 8 0,0 0 0,2 1 0,0 0 0,0 0 0,1 0 0,1 0 0,0 1 0,1 0 0,-1 23 0,1-5 0,3 1 0,0-1 0,7 42 0,-5-57 0,1 0 0,1-1 0,1 0 0,1 0 0,0 0 0,1-1 0,0 1 0,14 20 0,-16-29 0,1-1 0,-1 0 0,1 0 0,0-1 0,1 1 0,0-1 0,0-1 0,0 1 0,0-1 0,1 0 0,0-1 0,0 0 0,0 0 0,1-1 0,-1 0 0,1 0 0,0-1 0,12 1 0,-9-2-170,1-1-1,0 0 0,0-1 1,0 0-1,0-2 0,0 1 1,18-7-1,21-10-6655</inkml:trace>
  <inkml:trace contextRef="#ctx0" brushRef="#br0" timeOffset="10498.83">6329 2694 24575,'7'0'0,"6"0"0,12-10 0,12-12 0,11-8 0,7 0 0,3-5 0,-2 3 0,-11 4 0,-13 6-8191</inkml:trace>
  <inkml:trace contextRef="#ctx0" brushRef="#br0" timeOffset="10713.83">6456 2313 24575,'0'8'0,"3"5"0,2 12 0,-1 15 0,7 17 0,2 11 0,-2 14 0,-3 2 0,5-1 0,-1-8 0,6-17 0,3-15 0,5-14 0,-1-12-8191</inkml:trace>
  <inkml:trace contextRef="#ctx0" brushRef="#br0" timeOffset="10996.84">6922 2059 24575,'2'-26'0,"2"20"0,3 19 0,6 32 0,-3 0 0,7 57 0,-5-22 0,55 358 0,-63-412 0,12 37 0,-13-55 0,0 0 0,1 0 0,-1 0 0,1-1 0,1 1 0,0-1 0,0 0 0,6 7 0,-10-13-36,0 0 0,-1 0 0,1 0 1,0 0-1,-1 0 0,1 0 0,0-1 0,0 1 0,0 0 0,0 0 0,0-1 0,0 1 0,0-1 0,0 1 0,0-1 0,0 1 0,0-1 1,0 1-1,0-1 0,0 0 0,0 0 0,1 0 0,-1 0 0,0 0 0,0 0 0,0 0 0,0 0 0,1 0 0,-1 0 0,0 0 0,0-1 1,0 1-1,0-1 0,0 1 0,0-1 0,0 1 0,2-2 0,9-14-6790</inkml:trace>
  <inkml:trace contextRef="#ctx0" brushRef="#br0" timeOffset="11343.79">6943 2652 24575,'18'-1'0,"0"-1"0,1 0 0,-1-2 0,0 0 0,0-1 0,-1-1 0,0-1 0,0 0 0,0-1 0,-1-1 0,0-1 0,-1 0 0,0-1 0,0 0 0,-1-2 0,17-19 0,-20 18 0,-1-1 0,0-1 0,-2 1 0,0-2 0,0 1 0,-2-1 0,0 0 0,-1 0 0,-1-1 0,3-21 0,-3 5 0,-1-2 0,-2 1 0,-1 0 0,-6-42 0,-3 26 0,8 49 0,1-1 0,-1 1 0,0 0 0,0 0 0,0 0 0,0-1 0,0 1 0,0 0 0,0 1 0,-1-1 0,1 0 0,-1 0 0,1 0 0,-1 1 0,0-1 0,0 1 0,-3-3 0,4 4 0,0 0 0,0 0 0,0 0 0,0 0 0,0 0 0,-1 0 0,1 0 0,0 0 0,0 0 0,0 0 0,0 1 0,0-1 0,0 0 0,0 1 0,0-1 0,0 1 0,0-1 0,1 1 0,-1-1 0,0 1 0,0 0 0,0-1 0,1 1 0,-1 0 0,0 0 0,1 0 0,-1 0 0,0-1 0,1 1 0,-1 0 0,1 0 0,0 0 0,-1 2 0,-14 38 0,15-41 0,-8 34 0,1 1 0,2 0 0,1 0 0,2 0 0,5 63 0,1-54 0,2 0 0,2-1 0,2 0 0,19 53 0,-20-72-273,1 1 0,2-2 0,0 0 0,30 43 0,-21-40-6553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20.31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24575,'-1'0'-8191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33.06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8:03.34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19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6666 3520 8192,'-7'0'18022,"17"-5"-18022,19-11 0,27-13 0,21-13 0,12-7 0,1 0 0,-11 8 0,-17 4 0,-20 8 0</inkml:trace>
  <inkml:trace contextRef="#ctx0" brushRef="#br0" timeOffset="217.67">6854 3149 8192,'5'0'11332,"6"0"-11332,4 2 0,5 9 6690,-2 7-6690,4 9 0,-2 12 0,1 6 0,-4 8 0,3-2 0,-1-6 0,5-12 0,3-10 0,-3-11 0</inkml:trace>
  <inkml:trace contextRef="#ctx0" brushRef="#br0" timeOffset="513.02">7346 3020 8192,'3'-10'13198,"-2"9"-12727,-1 1-230,1 0 1,0 1-1,0-1 0,-1 0 1,0 0-1,1 0 0,0 0 1,-1 0-1,1 1 1,0-1-1,-1 0 0,0 1 1,1-1-1,0 0 0,-1 1 1,0-1-1,1 1 0,18 23-232,13 34-269,-11-17 490,50 72 0,-63-102-602,0-1-1,0 0 1,1-1-1,1 0 1,-1 0-1,2-1 0,0-1 1,0 1-1,-1-2 1,2 0-1,18 8 1,-24-12-96,-1 0 1,1-1 0,0 1-1,-1-2 1,1 1-1,0 0 1,-1-1 0,1 0-1,0 0 1,-1-1-1,1 0 1,-1 0-1,1 0 1,0-1 0,-1 0-1,1 0 1,-1 0-1,0 0 1,7-5 0,-6 3 144,1-1 0,-1 0 0,0-1-1,0 0 1,0 0 0,-1 0 0,0-1 0,0 0 0,-1 1 0,0-2 0,0 1 0,5-15 0,-4 9 310,-2-1 0,0 0 0,-1 0 0,0-1 0,0 1 0,-1 0 0,-1 0-1,-1-1 1,-1 1 0,0 0 0,0-1 0,-2 1 0,1 1 0,-2-1 0,0 1 0,-6-13 0,3 11 14,1 0 0,-2 1 1,1 0-1,-3 1 0,2 1 1,-2-1-1,-1 1 0,1 0 0,-2 1 1,1 1-1,-2 0 0,1 1 0,-26-13 1,-11 3-2</inkml:trace>
  <inkml:trace contextRef="#ctx0" brushRef="#br0" timeOffset="-4342.98">4454 1137 8192,'-1'-25'10077,"0"-1"-4172,-8-22-2737,7 40-3262,0 1 0,0-1 0,-2 2 0,2-1 0,-3 0 0,2 0 0,-1 1 0,-1 0 0,0 0 0,1-1 0,-9-5 0,7 7 94,0 0 0,0-1 0,-1 1 0,-1 1 0,2 0 0,-14-6 0,18 9 0,-1 0 0,1 0 0,-1 0 0,1 1 0,0 0 0,-1-1 0,1 1 0,0-1 0,-1 1 0,1 0 0,-1 1 0,1-1 0,-1 1 0,1-1 0,0 0 0,-1 1 0,1 0 0,0-1 0,0 2 0,0-2 0,-1 2 0,1-1 0,0 0 0,0 1 0,0-1 0,0 0 0,-2 4 0,0 0-31,0-1 0,1 2 1,-1-1-1,1 1 0,1-1 1,-1 1-1,0 0 1,1 0-1,-1 9 0,-2 7-968,-1 30-1,5-47 830,-4 56-3278,6 104-1,2-130 1927,2-1 0,0 0-1,3 0 1,17 50 0,-20-70 1414,1-1 0,1 0 1,-1-1-1,2 0 1,0 0-1,1-1 0,0 0 1,0 0-1,22 18 1,-26-25 108,0-1 1,0 1-1,1 0 1,-1-1-1,1 0 1,-1 0-1,1-1 1,0 0-1,0 0 1,0 0-1,0-1 1,0 0-1,0 0 1,1 0 0,-1-1-1,1 0 1,-1 0-1,1 0 1,-1-1-1,0 0 1,0-1-1,0 1 1,0-1-1,11-4 1,-10 1-2,1 0 0,0 1 0,-1-2 0,0 0 0,0 0 0,0 0 0,-1-1 0,0 1 0,0-2 0,-1 1 0,0-1 0,0 0 0,0 1 0,-2-2 0,4-8 0,1-5 0,0 0 0,-2 0 0,-2-1 0,5-40 0,-7 28-17,-2 1 1,0-2-1,-9-40 1,3 39 3486,-7-3 10909,11 57-14700,3 43-2680,2 2-1,4-2 0,2 1 0,18 60 1,12 14 940,-34-120 2005,1-1 0,1 0 0,1 0-1,-1 0 1,2-1 0,18 22 0,-2-14 56,-5-11 0</inkml:trace>
  <inkml:trace contextRef="#ctx0" brushRef="#br0" timeOffset="-3652.97">4555 1608 8192,'45'-4'11379,"-1"-6"-5749,-28 4-5465,0 0-1,-1-1 0,22-13 1,-19 7-2023,0 1 1,-1-1 0,30-31-1,-13 4 1382,-26 29 1340,-1 1-1,0-1 0,5-13 1,-10 21-544,1 0 1,-2-1-1,0 0 1,0 1-1,0-1 0,0 0 1,0 0-1,-1 0 1,0 1-1,1-1 1,-1 0-1,0 0 1,-1 0-1,0-4 1,1 7-350,-1 0 0,1 0 0,0 0 0,-1 1 0,0-2 0,1 2 0,-1-1 0,0 0 0,1 1 0,-1-1 0,0 0 0,0 0 0,1 1 0,-2-1 1,2 0-1,-1 1 0,0-1 0,0 1 0,0-1 0,0 1 0,0 0 0,0 0 0,0-1 0,0 1 0,0 0 0,0 0 0,-1 0 0,2 0 0,-2 0 0,2 0 1,-2 0-1,2 0 0,-2 1 0,2-1 0,-2 0 0,2 0 0,-3 2 0,-1-1-327,0 1 0,0 0 1,0-1-1,0 1 0,1 1 0,-1-1 1,-6 6-1,7-5-186,-1 0 0,1 1 0,1 1 0,-1-2 0,0 1 0,0 1 0,1-1-1,0 0 1,1 0 0,-1 1 0,1-1 0,0 1 0,0 0 0,0-1 0,0 1 0,1 5 0,0-7 628,0 0 1,1-1-1,-1 1 1,1 0-1,-1 0 1,1 0-1,0-1 0,0 0 1,0 1-1,1 0 1,-1 0-1,2 1 1,-1-2 367,0 0 0,0 0 0,0 0 0,1 0 0,-1 0 0,0 0 0,1 0 0,-1-1 0,1 0 0,-1 1 0,1-1 0,0 0 0,4 1 0,1 0 882,1-1 1,0 1 0,10 0-1,4-2-1245,22-4 0,-1 1 62,-43 3-153,0 0 0,-1 0 0,0 0 0,1 0 0,0 0 0,-1 1 0,1-1 0,0 0 0,-1 0 0,0 0 0,1 0 0,0 0 0,-1 1 0,1-1 0,-1 0 0,1 1 0,-1-1 0,0 0 0,1 1 0,0-1 0,-1 1 0,0-1 0,0 0 0,1 1 0,-1 0 0,1-1 0,-1 0 0,1 1 0,-1 0 0,0-1 0,0 0 0,0 1 0,0 0 0,0-1 0,0 1 0,0 0 0,1-1 0,-1 0 0,0 1 0,-1 0 0,1 0 0,0 4 0,0 1 0,-2-1 0,-2 11 0,0 2 0,4-15-227,-1 1 0,1-1 0,0 0 0,0 1 0,1 0 0,0-1 1,-1 1-1,1-1 0,0 0 0,0 1 0,0-1 0,1 0 1,-1 1-1,1-2 0,0 2 0,0-1 0,0 0 0,0 0 0,0-1 1,5 5-1,-3-5-308,-2 0 1,2 0 0,-1 0-1,1-1 1,0 1 0,-1-1-1,1 1 1,0-2 0,-1 2 0,1-2-1,0 0 1,0 1 0,-1-1-1,1 0 1,0 0 0,0-1-1,0 1 1,-1 0 0,8-3-1,-1-1 315,1 0 0,0 0 0,0-1 0,-1 0 0,-1-1 0,1-1 0,0 1 0,-2-2 0,1 1 0,0 0 0,9-13 0,-6 6 230,0-1 0,-1-1 0,-1 0-1,0 0 1,-2-1 0,9-19 0,-12 23-10,-1 1 0,1-1 0,-3 0 0,1 0 0,-1-1 0,-1 1 0,1 0 0,-2 0 0,-1-1 0,0 1 0,0-1 0,-1 1 0,-1 0 0,0 0 0,-1 0 0,0 0 0,-7-11 0,10 21 0,0 1 0,0 0 0,0-1 0,-1 1 0,0 0 0,1 0 0,-1 0 0,0 0 0,0 0 0,0 1 0,0-1 0,0 0 0,-1 1 0,1 0 0,-3-2 0,4 3 0,1-1 0,-2 1 0,2 0 0,-1 0 0,-1 0 0,2 0 0,-2 0 0,2 0 0,-1 0 0,0 0 0,0 1 0,0-1 0,0 0 0,0 1 0,1-1 0,-1 0 0,-2 2 0,1-1 0,1 0 0,-1 1 0,0-1 0,1 1 0,-1-1 0,1 1 0,-1 0 0,2 0 0,-2 0 0,0 2 0,-3 7 0,1-1 0,-1 0 0,2 2 0,0-1 0,-3 22 0,-1 60 0,7-71 0,0 0 0,2-2 0,0 2 0,0 0 0,3-2 0,0 1 0,12 31 0,-13-42 0,0 0 0,1-1 0,1 0 0,-1 0 0,1 0 0,0-1 0,1 0 0,1 0 0,-1-1 0,1 0 0,0 0 0,0-1 0,1 0 0,0 0 0,0-1 0,0 0 0,15 6 0,-11-7 0,0-1 0,0 0 0,0-1 0,0 0 0,0-1 0,1 0 0,-1-1 0,17-2 0,35-8 0</inkml:trace>
  <inkml:trace contextRef="#ctx0" brushRef="#br0" timeOffset="-3405.27">5784 1408 8192,'2'0'18022,"9"0"-18022,9 0 0,12 0 0,14-6 0,12-5 0,7-7 0,1-3-2971,-5 1 2971,-11 4-5849,-14-1 5849,-12 3-7957</inkml:trace>
  <inkml:trace contextRef="#ctx0" brushRef="#br0" timeOffset="-3170.36">5957 1109 8192,'0'3'2971,"2"0"-2971,2 5 0,-1 8 5848,7 11 2109,1 11-7957,0 11 0,2 7-2971,-1 3 2971,3-1-5849,3-5 5849,4-12 2971,2-13-2971,-1-11 0</inkml:trace>
  <inkml:trace contextRef="#ctx0" brushRef="#br0" timeOffset="-2246.58">6796 767 8192,'-13'4'15812,"6"9"-12159,1 18-6171,6-27 3593,-5 267-1075,7-174 0,-2-78 1284,0 4-10703,1-45-468,-2-93 9887,2-140 0,0 227 0,1 1 0,1 0 0,2 0 0,7-29 0,-9 46 0,1 1 0,0 0 0,0 0 0,1 0 0,0 0 0,8-10 0,-9 14 0,0 1 0,0 0 0,0 0 0,1 0 0,-1 0 0,1 1 0,0-1 0,0 1 0,1 0 0,-1 1 0,10-4 0,-12 5 0,1 0 0,-1 0 0,0 0 0,1 1 0,-1-1 0,1 1 0,0 0 0,-1 0 0,1 0 0,0 1 0,-1-1 0,1 0 0,-1 2 0,0-2 0,1 2 0,-1-1 0,1 0 0,-1 1 0,0-1 0,0 1 0,0 0 0,0 0 0,0 0 0,0 1 0,0-1 0,-1 1 0,0-1 0,0 1 0,4 5 0,-3-4 0,-1 1 0,0 0 0,0-1 0,0 1 0,1 0 0,-2-1 0,0 2 0,0-2 0,0 2 0,-1-1 0,1 0 0,-1 0 0,0 0 0,0 0 0,-1 0 0,1 1 0,-2-1 0,1 0 0,0-1 0,-3 7 0,-8 13 934,-1-1-1,-19 27 1,7-13 5720,23-34-5817,1 0 0,-1-1 0,1 1-1,0 0 1,-1 0 0,2 0-1,-2 0 1,1 4 0,1-6-805,0-1 1,0 2-1,0-2 0,0 1 1,0 0-1,0 0 0,0 0 1,1 0-1,-1 0 1,1-1-1,-1 1 0,1 0 1,-1 0-1,0 0 0,1-1 1,0 1-1,-1 0 1,1-1-1,0 1 0,-1 0 1,1 0-1,0-1 0,-1 0 1,1 1-1,0 0 0,0-1 1,0 0-1,-1 0 1,1 1-1,1-1 0,0 1 1,9 1-33,-1 0 0,1 0 0,0-2 0,0 1 0,0-1 0,14-1 0,-9 0 0,1 1 0,20 2 0,-32-1 0,0-1 0,-1 2 0,1-1 0,-1 0 0,0 1 0,1 0 0,-1 0 0,0 0 0,0 0 0,0 0 0,0 1 0,5 5 0,-8-7 1,1 1 0,0-1 1,-1 1-1,0 0 0,1 0 0,-1-1 1,0 1-1,0 0 0,0 0 1,0 0-1,0 0 0,0 0 0,-1 0 1,0 0-1,1 0 0,0 0 1,-1 1-1,0-1 0,0 0 1,0 0-1,0 0 0,-1 1 0,1-1 1,-1 0-1,1 0 0,0 0 1,-1 0-1,0 0 0,0 0 1,0 0-1,0 0 0,-1 0 0,2-1 1,-2 1-1,1 0 0,-4 2 1,-2 4-89,0-1 0,-1-1 0,1 0 1,-1 0-1,-1 1 0,-15 6 0,-1 0-1585,-1 0-1,-1-3 0,0 0 1,0-1-1,-55 10 1,77-18 1116,0-1 0,0 0 0,0 0 0,0 0 1,0 0-1,0-1 0,0 0 0,1 0 1,-1 0-1,0-1 0,0 0 0,-5-2 1,-11-11 353</inkml:trace>
  <inkml:trace contextRef="#ctx0" brushRef="#br0" timeOffset="-1500.67">6160 2350 8192,'-4'6'8819,"15"-3"-8819,18-3 7350,21-6-7350,17-8-3356,4 0 3356,-4-6-5996,-10-5-821,-14 4 6817</inkml:trace>
  <inkml:trace contextRef="#ctx0" brushRef="#br0" timeOffset="-1295.98">6363 2036 8192,'-1'5'11332,"6"9"-4642,1 11-6690,6 14 0,0 13 0,7 9-3356,6 4 3356,4-4-5484,-1-7 5484,3-14-7956,-5-13 7956</inkml:trace>
  <inkml:trace contextRef="#ctx0" brushRef="#br0" timeOffset="-734.07">7085 1922 8192,'1'24'12586,"1"-1"-6848,1-7-5798,0-1-1,1 0 1,0 0-1,14 26 1,-1-3 60,23 51 0,-35-73 0,1-1 0,-2 1 0,5 30 0,-9-44-23,1-1-1,-1 1 1,0 0 0,0-1 0,0 1 0,0 0 0,-1 0 0,1-1 0,-1 1 0,1-1 0,-1 1 0,1 0 0,-1-1 0,0 1-1,1 0 1,-2-1 0,2 0 0,-1 1 0,0-1 0,-1 0 0,2 1 0,-2-1 0,1 0 0,-1 1 0,1-2 0,-2 2 0,-1 0 29,1 0 0,-1-1 1,0 0-1,0 1 0,0-2 1,0 1-1,0 0 1,0-1-1,-6 0 0,26 0 100,1-2 1,32-6-1,-32 4-1138,-1-1 1,31-14 0,-33 12-183,-2 1 1,1-2-1,-1 0 1,0-1-1,0 1 1,-1-2-1,0 0 1,-2-1-1,18-21 1,-3-11-113,-7 4 1326</inkml:trace>
  <inkml:trace contextRef="#ctx0" brushRef="#br0" timeOffset="-576.25">6652 2007 8192,'4'0'2971,"8"0"2877,13-4-5848,15-8 0,18-7 7957,18-12-7957,14-4-2971,1 3 2971,-6 0-5849,-20 5 5849</inkml:trace>
  <inkml:trace contextRef="#ctx0" brushRef="#br0" timeOffset="1602.43">4497 2735 8192,'-4'-39'13101,"2"31"-11920,1-1-1,-1 1 1,-5-11 0,6 16-1146,-1 0 0,0-1 0,0 1 0,0 0 1,0 0-1,-1 0 0,1 0 0,-5-5 0,5 7-42,0 0 0,0-1 0,0 1 0,1 0 0,-1 0 0,0 0 0,0 1 0,0-2 0,-1 2 0,1 0 0,0-1 0,0 1 0,0-1 1,-1 1-1,1 0 0,-3 0 0,3 0 7,0 1 0,0 0 0,0-1 0,0 1 0,0 0 0,0-1 0,0 1 0,0 0 0,0 0 0,0 0 0,0 1 0,0-1 0,1 0 0,-1 1 0,1-1 0,-1 1 0,1 0 0,-1 0 0,1-1 0,0 1 0,0 0 0,0 0 0,-1 2 0,-1 4 0,-1-1 0,2 2 0,0-1 0,-2 15 0,1 1-506,1-1 0,2 0 1,1 1-1,0 0 0,2-2 1,1 2-1,8 25 0,-4-20-514,1-2 0,2 1 0,1-2 0,1 0 0,23 35 0,-27-47 214,2 0 0,0-1 0,0 0 0,1-1 0,1 0 0,0-1 0,0-1 0,16 10 0,-21-16 773,0 0-1,-1 0 1,1 0-1,1-1 1,0 1-1,-1-2 1,1 0-1,0 0 1,-1-1 0,1 0-1,0 0 1,0-1-1,0 0 1,0-1-1,0 1 1,-1-2-1,12-2 1,-11 1 33,1 0 0,-1-2 0,1 1 0,-1 0 0,0-1 0,0 0 0,-1-1 0,0-1 0,0 1 0,-1 0 0,11-13 0,-9 8 0,-1 0 0,-1-2 0,1 1 0,-1 0 0,-1-1 0,0 0 0,6-20 0,-6 7 0,-1 0 0,-1 0 0,0 0 0,-3 0 0,1 0 0,-3-1 0,-1 0 0,-6-35 0,3 41 140,0 0-1,0 1 1,-16-33 0,20 51-76,1 0 1,-2 0-1,2 0 0,-2 0 0,1 0 1,0 0-1,-1 0 0,1 0 1,-1 0-1,0 1 0,1 0 0,-1-1 1,0 0-1,-3 0 0,5 2-99,-1-1 0,1 1 0,0 0 0,-1 0-1,1 0 1,-1 0 0,1 0 0,0 0 0,-1 0 0,1 0 0,-1 1-1,1-1 1,0 0 0,-1 0 0,1 0 0,-1 0 0,1 0 0,0 0 0,0 0-1,-1 1 1,1-1 0,-1 1 0,1-1 0,0 0 0,0 0 0,0 0-1,-1 1 1,1 0 0,-1 1 34,-1-1 0,1 1 0,1 0 0,-1 0 0,0 0 0,1 0 0,-1 0 0,0 4 0,0 9 666,0 0 0,1 0 1,1 0-1,0-1 0,1 1 0,5 18 1,1-2 1780,21 56 0,-20-67-717,1-1-1,0 1 1,20 26-1,-25-38-1872,0-1-1,1-1 1,0 0-1,0 1 1,0-2 0,1 2-1,0-2 1,0 0-1,1-1 1,-1 1-1,15 5 1,3-4-415</inkml:trace>
  <inkml:trace contextRef="#ctx0" brushRef="#br0" timeOffset="2253.5">4801 2992 8192,'-25'12'15577,"25"-12"-15530,0 0-1,0 0 1,0 0 0,0 0-1,0 0 1,0 0-1,0 0 1,0 0 0,0 0-1,0 0 1,0 0-1,1 0 1,-1 0 0,0 0-1,0 0 1,0 0-1,0 0 1,0 0 0,1 0 186,-1 0-187,0 0 1,0 0-1,0 0 1,0 1 0,0-1-1,0 0 1,0 0-1,0 0 1,0 0 0,0 0-1,0 0 1,0 1-1,0-1 1,0 0 0,0 0-1,0 0 1,0 0-1,0 0 1,0 0 0,0 0-1,0 0 1,0 0-1,0 0 1,0 0 0,0 0-1,0 1 1,0-1-1,0 0 1,0 0-1,0 0 1,0 0 0,0 0-1,12-4-257,43-25 211,-3-3 0,77-59 0,-112 79 0,24-26 0,-37 36 0,-1-2 0,0 1 0,0 0 0,-1-1 0,0 0 0,1 1 0,-1-1 0,0 0 0,0 0 0,-1 0 0,0 0 0,1 0 0,-1-1 0,0-5 0,-1 9 0,1 0 0,-1 1 0,0 0 0,0 0 0,0-1 0,0 1 0,0-1 0,0 1 0,0 0 0,0-1 0,0 1 0,0-1 0,0 1 0,0 0 0,0-1 0,0 1 0,-1-1 0,1 1 0,0 0 0,0 0 0,0-1 0,0 1 0,0-1 0,-1 1 0,1 0 0,-1 0 0,1-1 0,0 1 0,0 0 0,0-1 0,-1 1 0,1 0 0,-1 0 0,1 0 0,0 0 0,-1 0 0,1-1 0,-1 1 0,1 0 0,0 0 0,0 0 0,-1 0 0,0 0 0,1 0 0,0 0 0,0 0 0,-1 0 0,0 0 0,1 0 0,-1 0 0,1 0 0,0 1 0,0-1 0,-1 0 0,1 0 0,-1 0 0,1 0 0,0 0 0,0 1 0,-1-1 0,1 0 0,-1 1 0,1-1 0,-3 2 0,0 0 0,1 0 0,-1 0 0,1 0 0,0 0 0,-4 6 0,5-5 1,-1-1 1,1 0-1,0 0 1,0 1 0,0 0-1,0-1 1,0 1-1,1 0 1,0-1 0,-1 1-1,1 0 1,0 0-1,0-1 1,0 1 0,0 0-1,1-1 1,-1 1 0,0 0-1,1-1 1,0 1-1,0 0 1,0-1 0,0 1-1,0-1 1,1 0-1,3 4 1,-2-2-43,0 0-1,2 0 1,-2 0-1,1-1 1,1 1-1,-1-1 1,1 0 0,0-1-1,-1 1 1,1-1-1,0 0 1,10 3-1,-5-3-555,0 0-1,0 0 0,0-1 0,0-1 1,1 1-1,-1-2 0,0 1 0,0-2 1,12-2-1,-7 1-1597,-1-2 0,0 0 0,14-7 0,-26 12 1979,0-2 0,0 1 1,-1 1-1,1-1 0,0 0 1,0 1-1,0-1 0,0 1 1,0-1-1,0 1 0,-1 0 1,4 0-1,-4 0 237,0 1 0,0 0 1,-1-1-1,1 0 0,0 1 0,-1 0 0,1-1 1,0 1-1,0 1 0,-1-2 0,0 1 0,1 0 1,0-1-1,-1 2 0,0-2 0,0 1 0,1 0 1,-1 0-1,0 0 0,1 0 0,-1 0 0,0 0 1,0 0-1,0 1 0,0 0 539,0 1 0,1 0 0,0 0 0,0 0 0,0 0 0,0-1 0,0 0 0,1 1 0,-1 0 0,1-1 0,-1 0 0,1 0 0,0 0 0,0 0 0,0 0 0,3 3 0,-3-4-253,0 0 1,0 0 0,0 0 0,0 0-1,0 0 1,0-1 0,1 1 0,-1 0-1,0-1 1,1 0 0,-1 0 0,1 0-1,-1 0 1,0 0 0,0 0 0,0 0 0,1-1-1,-1 0 1,0 1 0,4-2 0,1-2-177,0 1 1,0 0 0,-1-1 0,0 0 0,0 0 0,1-1-1,6-6 1,-5 2-647,0 1-1,-1-2 1,0 2 0,7-15-1,-4 6-667,-2-1 0,-1 1 0,0-1 0,-1-1-1,5-26 1,-9 33 194,0 0 0,-1 0-1,-1 0 1,1 0 0,-2 0-1,-2-13 1,2 18 912,-1-1-1,0 2 0,0-1 1,0 0-1,-1 1 0,-1-1 1,1 1-1,0-1 1,-1 1-1,-1 1 0,-4-8 1,7 11 77,0 0 0,0 0 0,0 0 0,0 1 0,0-1 0,0 1 0,0-1 0,-1 1 0,1 0 0,0-1 0,0 2 0,-1-2 0,0 1 0,1 1 0,-1-1 0,-4 0 0,5 1 0,0 0 0,0 1 0,0-1 0,0 1 0,0-1 0,-1 1 0,2 0 0,-1 0 0,0 0 0,1 0 0,-1 0 0,0 0 0,0 1 0,1-1 0,-1 0 0,1 1 0,0-1 0,-1 0 0,1 1 0,0 0 0,-1 0 0,0 2 0,-4 8 0,1-1 0,0 1 0,0 1 0,1-1 0,1 1 0,0-1 0,1 0 0,-2 18 0,4-11 0,-1 0 0,2 0 0,0-1 0,1 1 0,6 22 0,-5-32 0,0 1 0,0 0 0,1-1 0,1 1 0,0-1 0,0 0 0,0 0 0,1-1 0,0 0 0,1 0 0,0-1 0,9 9 0,-9-11 0,0 1 0,0-2 0,0 0 0,1 1 0,-1-1 0,1-1 0,0 0 0,0 0 0,1 0 0,-1-1 0,0-1 0,1 0 0,-1 1 0,1-2 0,9 0 0,-7 0 0,0-2 0,0 0 0,0 0 0,-1 0 0,1-1 0,-1 0 0,14-8 0,12-9 0</inkml:trace>
  <inkml:trace contextRef="#ctx0" brushRef="#br0" timeOffset="3175.41">5090 3990 8192,'-2'-21'10112,"-3"-1"-4196,3 14-5288,0 1 1,-1 1 0,0-1 0,-5-9 0,5 12-679,1 1 0,0 0 0,0 0 0,0 0 0,-1 1 0,1-1 0,-1 0 0,0 0 0,0 1 0,0 0 0,0 0 0,-1 0 0,1 0 0,0 0 0,-1 1 0,1 0 0,-1-1 0,1 2 0,-1-1 0,0 0 0,0 1 0,-5-1 0,6 1 50,1 0 0,-1 1 0,0-1 0,1 1 0,0 0 0,0 0 0,-1 0 0,1 0 0,-1 0 0,1 0 0,0 0 0,0 1 0,0 0 0,0-1 0,0 1 0,0 0 0,0-1 0,1 1 0,0 0 0,-1 1 0,0 1 0,-4 6 0,1 0 0,0 0 0,-5 18 0,1 2-737,1 2 0,2-1 1,1 0-1,1 2 1,2-2-1,1 2 0,2-2 1,1 2-1,2-2 1,0 1-1,18 54 0,-19-75 384,1-1 0,1 1 0,0-1 0,0 0 0,1 0-1,0 0 1,1-2 0,1 1 0,-1 0 0,1-1-1,1 0 1,15 12 0,-18-15 111,2-1 1,-1 0-1,0 0 0,1-1 1,0 0-1,-1 0 1,2-1-1,-1 0 0,0 0 1,0-1-1,0 0 0,1 0 1,-1-1-1,0 0 0,0 0 1,0-2-1,1 2 0,9-4 1,-9 1 227,0 0 0,0 1 0,0-2 0,-1 0 0,0-1 1,0 1-1,0-1 0,0 0 0,-1-1 0,0 0 0,0 0 0,6-7 1,-5 3 173,0 0 0,-1 0 0,-1-1 0,0 0 0,-1 0 0,1-1 0,-2 1 0,3-13 0,1-9-213,-2-1 1,-2 0-1,-1 1 0,-2-2 1,-4-51-1,3 79 319,-8-79 1983,6 75-2628,0 0-1,-1 0 1,-1-1-1,1 2 1,-7-13 0,3 13 1143,2 9 111,5 2-872,0 1 0,-1-1 0,1 0 0,-1 1 0,1-2 0,0 2 0,0-1 0,-1 0 0,1 1 0,0-1 0,1 1 0,-1 1 0,8 46-2185,13 28 3040,25 47 1346,-29-82-2601,15 22 5444,-26-53-3770,1-1 1,0 1-1,1-1 1,0 0 0,1 0-1,18 15 1,-1-7-590</inkml:trace>
  <inkml:trace contextRef="#ctx0" brushRef="#br0" timeOffset="3842.26">5134 4347 8192,'44'-4'8245,"1"-8"-7154,40-23-4083,-46 17 435,69-43 0,-92 51 2381,-1-2 0,-1 1 1,1-1-1,-2-1 0,0-1 0,22-28 1,-31 34 118,1 0 1,-1 0-1,0 0 0,0-1 1,3-17-1,-6 23 233,0-1 0,-1 1-1,0 0 1,1-1 0,-1 1 0,-1 0-1,1-1 1,-1-4 0,0 6 195,1 1 0,0-1 1,-1 0-1,0 0 0,0 1 1,0 0-1,0-1 0,0 0 0,0 1 1,0 0-1,0-1 0,-1 2 1,1-2-1,0 1 0,-1 0 0,1 0 1,-3-1-1,3 1-129,0 0 1,0 1-1,0 0 0,-1 0 0,1-1 1,0 1-1,0-1 0,-1 1 1,1 0-1,0 0 0,-1 0 0,1 0 1,0 0-1,-1 1 0,1-1 1,0 1-1,-1-1 0,2 0 0,-2 0 1,1 1-1,-1 0 0,2 0 1,-2-1-1,1 1 0,0 0 0,0-1 1,0 2-1,1-2 0,-2 1 0,2 0 1,-1 0-1,0 0 0,0 0 1,-1 2-1,0 1-80,0 0-1,0 0 1,0 0 0,-1 1-1,2-1 1,0 0 0,-1 1-1,1-1 1,0 6 0,1-6-154,-1 0 1,1-1 0,1 1 0,-1-1 0,0 1-1,0 0 1,2-1 0,-2 1 0,2 0-1,-2-1 1,2 0 0,0 1 0,-1-1 0,1 0-1,0 1 1,0-2 0,0 2 0,1-1-1,-1-1 1,4 4 0,-2-3-208,1 0 0,-1-1 1,0 1-1,1 0 0,0-1 1,0 0-1,0 0 0,0-1 0,0 1 1,0-1-1,1 0 0,-1-1 0,0 1 1,6-1-1,0 0 453,0-1 0,-1 0 1,1 0-1,0-1 0,-1-1 0,1-1 1,-1 1-1,1 0 0,-2-2 0,11-5 1,-15 7-255,11-4 0,-15 7 0,-1 0 0,0 0 0,1 0 0,-1 0 0,1 0 0,-1 0 0,1 0 0,-1 0 0,0 0 0,1 1 0,-1-1 0,1 0 0,-1 1 0,0-1 0,1 0 0,-1 0 0,1 0 0,-1 1 0,0-1 0,0 1 0,0-1 0,1 1 0,-1-1 0,0 0 0,1 0 0,-1 1 0,0 0 0,0-1 0,0 0 0,0 0 0,0 1 0,0 0 0,0-1 0,0 0 0,0 1 0,0 0 0,3 38 0,-3-30 0,0 1 0,1-2 0,3 18 0,-3-23 0,-1-1 0,1 0 0,0 1 0,0-1 0,0 1 0,1-1 0,-1 0 0,0 0 0,2 0 0,-2 0 0,1 0 0,-1 0 0,1-1 0,0 1 0,0 0 0,0 0 0,1-1 0,2 2 0,-3-3 1,0 1 1,0 0 0,1-1 0,-1 1-1,1-1 1,-1 1 0,0-1 0,0 0-1,1 0 1,-1 0 0,0 0 0,1-1 0,-1 0-1,1 1 1,-1 0 0,0-1 0,0 0-1,1 0 1,-1 0 0,0 0 0,0 0-1,0-1 1,0 1 0,-1 0 0,4-3-1,3-3-101,-2 0-1,1 0 0,-2 0 0,1-1 0,6-10 0,1-5-1241,-2 1-1,0-1 0,-2-1 0,-1 0 0,0-1 1,-2 0-1,4-27 0,-8 29 529,0-1-1,0 1 1,-3-1-1,0 1 1,-1-1-1,-1 0 1,-11-40-1,12 56 795,-1 0-1,0 0 1,0 0-1,-1 0 1,0 1-1,-1-1 1,1 1 0,-1 0-1,-8-9 1,12 15 20,1 0 0,-1 1 0,0-1 0,0 0 0,0 1 0,0-1 0,1 0 0,-1 1 0,0 0 0,0 0 0,0-1 0,0 1 0,0-1 0,0 1 0,0 0 0,1 0 0,-2 0 0,1 0 0,0 0 0,0 0 0,0 0 0,0 0 0,0 0 0,0 0 0,1 0 0,-3 2 0,1-1 0,0 0 0,0 0 0,1 0 0,-1 2 0,1-2 0,-1 0 0,1 1 0,0 0 0,0 0 0,0-1 0,0 1 0,-2 3 0,-2 7 0,1 0 0,-1 0 0,2 0 0,0 1 0,1-1 0,-1 24 0,2-6 0,6 54 0,-2-58 0,1 1 0,1-1 0,2 0 0,1 0 0,15 36 0,-18-52 0,-1-2 0,1 1 0,0 0 0,1 0 0,0-1 0,0-1 0,1 1 0,0 0 0,1-2 0,-1 1 0,1-1 0,0 0 0,1 0 0,0-1 0,-1 0 0,1 0 0,19 5 0,-16-7 0,-1-1 0,0 0 0,0-1 0,1-1 0,0 1 0,-1-2 0,0 1 0,1-2 0,-1 0 0,0 0 0,0 0 0,0-2 0,0 0 0,0 0 0,12-7 0,21-16 0</inkml:trace>
  <inkml:trace contextRef="#ctx0" brushRef="#br0" timeOffset="4837.2">2921 1879 8192,'-7'5'18137,"16"-7"-18252,400-131-445,-394 127-319,64-28-1039,-71 30 445,0-1-1,0 0 0,13-11 0,-20 14 1155,0 2-1,0-1 1,0 0-1,-1 0 1,1 0-1,0 0 1,-1 0-1,1 0 1,0 0-1,-1 0 1,1 0 0,0 0-1,-1 0 1,1 0-1,-1-1 1,0 1-1,0 0 1,0 0-1,0-2 1,0 2 188,0 0 0,0 0 0,-1 0 0,1 0 0,-1 0 0,0-1 0,1 2 0,0-2 0,-1 2 0,0-2 0,1 2 0,-2-1 0,2-1 0,-1 2 0,-2-2 0,-3-2 130,-1 0 1,1 0-1,-1 0 0,-13-4 0,15 6-280,-52-19 2134,11 5 4219,38 6 383,8 10-6353,15-2 3257,-4 2-4200,5 1 800,0 1 0,1 0 1,-1 1-1,0 0 0,0 1 0,-1 2 1,0-1-1,1 2 0,20 11 0,-27-12 96,-1-1 0,1 1 0,-1 0 0,-1 1 0,1 0 0,-1 0 0,0 1 0,-1 0 0,0 0 0,0 0 0,-1 1 0,1 0 0,-2 0 0,1 1 0,-2-1 0,5 15-1,-4-2-1104,-1 0 1,-2 1-1,0-1 0,-1 0 0,-1 0 0,-5 27 0,-2 1 75</inkml:trace>
  <inkml:trace contextRef="#ctx0" brushRef="#br0" timeOffset="5522.99">3354 3234 8192,'-16'22'17889,"16"-22"-17756,6 0-133,0 0 0,0 0 0,0-2 0,-1 2 0,2-2 0,-2 1 0,9-4 0,-3 2 0,229-85-5507,-87 13-3931,-140 69 8786,-7 4 450,-1-1 0,1 0 0,-1 0-1,0 0 1,0-1 0,0 0 0,0 0 0,-1 0 0,0-1 0,0 1 0,4-6 0,-8 10 202,1-1 0,-1 1 0,0-1 0,1 0 0,-1 1 0,0 0 0,0-1 0,0 0 0,0 1 0,0-1 0,0 1 0,0-1 0,0 1 0,0-1 0,0 0 0,0 1 0,0 0 0,0-1 0,0 0 0,0 1 0,0 0 0,-1-1 0,1 0 0,-1 1 0,1 0 0,0-1 0,0 1 0,0-1 0,-1 1 0,1 0 0,-1-1 0,1 1 0,0-1 0,-1 1 0,0 0 0,1 0 0,0-1 0,-1 1 0,1 0 0,-1-1 0,1 1 0,-1 0 0,1 0 0,-1 0 0,0 0 0,1 0 0,-1 0 0,1 0 0,-1 0 0,0 0 0,-30-1 0,23 2 0,3-1 0,-1 0 0,1 1 0,-1 0 0,1 1 0,-1-1 0,-7 3 0,29 1 495,30 2 1762,-37-5-1000,0 0 0,-1 1 0,1 0 0,0 1 0,10 6 0,-14-6-585,1-1 0,-2 1 0,1 0 0,-1 0 1,1 0-1,-1 0 0,0 1 0,0 0 0,2 6 0,-3-7-557,0 2-1,0-1 0,-1 1 0,0-1 0,-1 0 0,2 9 0,-2-1-421,1 0 0,-2 1 1,0-1-1,-1 1 0,-1-1 0,0 0 0,-5 19 0,-33 86-5210,38-115 5344,-22 57-826</inkml:trace>
  <inkml:trace contextRef="#ctx0" brushRef="#br0" timeOffset="6130.71">3803 4447 8192,'-7'14'18575,"15"-11"-19128,4-1 553,-1-2 0,1 0 0,-1 0 0,1-1 0,0 0 0,-1-1 0,0-1 0,18-5 0,-10 4 0,234-73-2782,-208 60 941,-1-2 0,-2-2 0,63-41 0,-91 53-982,25-23 0,-36 29 2667,0-1 1,0 2-1,-1-2 0,1 0 1,0 1-1,-1-1 1,0 0-1,0 0 1,0 0-1,-1 0 0,1 0 1,1-5-1,-3 7 150,0 1 0,0 0-1,0-1 1,0 1 0,0 0 0,0-1-1,0 1 1,0 0 0,0-1-1,0 1 1,-1 0 0,0-1 0,1 1-1,0 0 1,-1-1 0,0 2-1,0-2 1,1 1 0,-1 0 0,0 0-1,0 0 1,0 0 0,0 0-1,0 0 1,0 0 0,0 0 0,0 1-1,0-1 1,-1 0 0,1 1-1,0-1 1,0 1 0,-1-1-1,1 1 1,-3-1 0,3 1 135,0 0 0,0 0 0,0 0 1,-1 0-1,1 0 0,0 0 0,0 0 0,0 0 0,0 1 0,0-1 1,0 0-1,0 0 0,0 1 0,0 0 0,0-1 0,-1 0 1,0 2-1,1 0 201,0-2 1,1 1 0,-1 1 0,0-2-1,1 2 1,-1-2 0,0 2 0,1-1-1,0 0 1,-1 0 0,1 0 0,-1 0-1,1 0 1,0 1 0,0-1-1,0 0 1,0 0 0,0 0 0,0 1-1,0 0 1,9 35 6291,5 1-4838,-7-24-1663,-2 1 1,7 26 0,-11-31-243,0-1 1,-1 1 0,0 0 0,0-1 0,-2 1-1,1-1 1,-1 0 0,0 1 0,-1-1 0,0 1 0,0-1-1,-7 11 1,-4 6-478,-1-2 0,-33 42 1,-13 6 597</inkml:trace>
  <inkml:trace contextRef="#ctx0" brushRef="#br0" timeOffset="7146.13">708 2179 8192,'0'-9'18022,"5"16"-18022,1 16 0,11 19 0,1 14 0,3 13 0,-3 10 0,-3 1 0,0-7 0,-3-11 0,-3-26 0,-3-19 0</inkml:trace>
  <inkml:trace contextRef="#ctx0" brushRef="#br0" timeOffset="7582.44">679 2236 8192,'-1'-12'0,"2"-1"0,0 0 0,0 0 0,1 1 0,1-1 0,0 1 0,1 0 0,0 0 0,1 1 0,6-14 0,-1 8-8,-1 2-1,2-1 1,1 2 0,0 0 0,22-22 0,-23 26 75,0 2 1,0 0-1,0-1 1,1 2 0,0 0-1,1 1 1,-1 0-1,19-5 1,-25 9 322,-2 1 0,2 0 0,-1 0 0,0 0 0,0 1 0,0 0-1,1 0 1,-1 0 0,0 1 0,0 0 0,1-1 0,-1 2 0,0-1 0,0 1 0,0-1 0,-1 1 0,1 1-1,6 2 1,-7-1 142,0-1 0,1 1 1,-1 0-1,0 0 0,0 0 0,-1 0 0,1 1 0,-1 0 0,0 0 0,0-1 0,-1 2 0,0-2 0,0 2 0,0-1 1,0 1-1,1 8 0,-1-3-411,-1-1-1,0 0 1,-1 0 0,0 0 0,-1 0-1,0 1 1,-1-1 0,-5 18 0,1-10-141,-1-1 1,-1 0-1,-18 31 1,23-45 19,-6 16 0,9-19 0,-1 1 0,1 0 0,0-1 0,0 0 0,0 1 0,0-1 0,0 1 0,0-1 0,0 0 0,0 1 0,0-1 0,0 1 0,0-1 0,0 0 0,0 1 0,1 0 0,-1-1 0,0 0 0,0 0 0,1 1 0,-1 0 0,0-1 0,0 0 0,0 0 0,1 1 0,-1-1 0,0 1 0,1-1 0,-1 0 0,0 0 0,1 0 0,-1 0 0,1 1 0,-1-1 0,0 0 0,0 1 0,1-1 0,0 0 0,-1 0 0,0 0 0,1 0 0,-1 0 0,1 0 0,13 1 10,0 0 0,0-1 1,16-2-1,-15 0-144,0 1 0,0 1 0,15 2-1,-22-1-262,-1 0-1,0 1 0,-1-1 1,2 2-1,-2-1 0,1 2 1,0-2-1,-1 2 0,0-1 1,0 1-1,0 0 0,9 8 1,-13-8-69,2-1 0,-1 0 0,-1 1 0,1 0 0,0 0 0,-1 1 0,0-1 0,0 0 0,-1 0 0,1 0 0,-1 0 0,0 1 0,0 0 0,0 0 0,-1-1 0,1 0 0,-1 1 0,0 0 0,-1-1 0,0 9 0,-2 0 195,-1 1-1,-1-1 1,0 1-1,-1-2 1,0 1-1,-1 0 1,0-1-1,-12 15 0,-8 7 209,-44 43-1,49-54 64,-2-1 0,0-1 0,-1 0 0,-37 21 0,59-40 0,1-1 0,-1 1 0,1 0 0,-1-1 0,0 0 0,0 0 0,0 0 0,0 0 0,0 0 0,0-1 0,0 1 0,0-1 0,0 0 0,0 1 0,0-2 0,0 1 0,-1 0 0,2-1 0,-6 0 0,-12-11 0</inkml:trace>
  <inkml:trace contextRef="#ctx0" brushRef="#br0" timeOffset="8656.54">1373 2278 8192,'0'23'12712,"-1"0"-6979,0 7-5945,4 44 1,-2-71 211,-1 1 0,1-2 0,0 2 0,0-1 0,0-1 0,1 2 0,-1-2 0,0 1 0,2 0 0,-2-1 0,1 0 0,0 1 0,0-1 0,0 1 0,1-1 0,-1 0 0,1 0 0,-1 0 0,1-1 0,0 1 0,0 0 0,-1-1 0,1 0 0,0 0 0,0 0 0,0 0 0,0 0 0,1-1 0,-2 1 0,2-1 0,-1 0 0,0 0 0,0 0 0,0 0 0,1-1 0,-1 1 0,0 0 0,0-1 0,0 0 0,0 0 0,0 0 0,0-1 0,-1 1 0,2 0 0,-2-1 0,1 0 0,-1 0 0,1 0 0,-1 0 0,0-1 0,1 1 0,-1 0 0,2-4 0,0 0 0,0-2 0,-1 1 0,0-1 0,0 1 0,0 0 0,-1-2 0,0 1 0,-1 1 0,0-1 0,0 0 0,-1 0 0,0 0 0,0 0 0,0-1 0,-2 1 0,1 0 0,-1 0 0,0 1 0,-4-10 0,2 6 0,0 0 0,-1 1 0,0-1 0,0 1 0,-2 0 0,1 1 0,-1-1 0,-1 1 0,0 1 0,0-1 0,0 1 0,-18-12 0,23 18 0,0 0 0,0 0 0,-1 1 0,1 0 0,0-1 0,-2 1 0,2 0 0,0 0 0,-1 0 0,0 1 0,0 0 0,1-1 0,-2 1 0,-3 1 0,6-1 0,-1 0 0,1 1 0,-1 0 0,0-1 0,1 2 0,0-2 0,-1 2 0,1-1 0,0 0 0,0 1 0,0 0 0,0-1 0,0 0 0,0 1 0,0 0 0,1 1 0,-1-1 0,0 0 0,1 0 0,0 0 0,-1 3 0,-2 2-504,1-1 0,1 1 0,0 0 0,0 0 0,0 0 0,1 1 0,0-1 1,0 0-1,1 0 0,0 0 0,0 1 0,1-1 0,0 0 0,0 0 0,4 12 1,-4-15 113,1 1 1,0 0 0,1 0 0,0-1 0,0 1 0,-1-1-1,2 0 1,-2 0 0,3 0 0,-2 0 0,1 0-1,0-1 1,0 0 0,0 1 0,1-2 0,-1 1 0,1 0-1,0-1 1,0 0 0,-1 0 0,1-1 0,8 3 0,-3-2 324,0-1 1,0 0-1,0-1 0,-1 0 1,2 0-1,-2-1 1,1 0-1,0-1 1,0 0-1,-1-1 1,1 0-1,-1 0 1,0-1-1,0 0 0,0-1 1,11-7-1,-9 4 72,-1 1 0,-1-1 0,1 0 0,-1-1-1,0 0 1,-1-1 0,-1 0 0,1 0 0,-1-1-1,-1 0 1,0 1 0,6-19 0,-7 15-7,-1-1 0,0 1 0,-1-1 0,-1 0 0,0 0 0,-1 0 0,-1 0 0,0-1 0,-4-18 0,3 25 0,-1 0 0,0 1 0,0-1 0,-1 0 0,0 1 0,-1-1 0,0 1 0,0 0 0,-1 1 0,1-1 0,-2 1 0,1-1 0,-1 2 0,-1-1 0,1 1 0,-14-10 0,18 14 108,0 0 1,0 2 0,0-2 0,0 1-1,0 0 1,0 0 0,0 0-1,0 0 1,0 1 0,0-1-1,-1 1 1,1-1 0,0 1-1,-1 0 1,1 0 0,0 0-1,0 0 1,-1 0 0,1 1 0,0-1-1,0 1 1,-2 0 0,1 1 149,1-1 0,0 0 1,0 1-1,0 0 0,0-1 1,1 1-1,-1 0 0,0 0 1,1 0-1,0 0 1,-1 0-1,1 0 0,0 0 1,0 1-1,0-1 0,1 0 1,-1 1-1,0-1 0,1 0 1,-1 4-1,-1 6 284,2-1 0,0 1 0,0 0 0,0 0 0,2-1 0,0 2 0,0-2 0,1 0 0,1 1 0,4 10 0,-2-7 188,1-1 0,0 0 0,15 21 1,-14-25-1668,0 0 1,13 12 0,-8-11 257,1 0-1,0-1 1,1-1 0,0-1 0,0 0-1,1 0 1,0-1 0,0-1 0,1-2-1,0 1 1,0-1 0,32 3 0,-20-5-585,-1-1 1,1-1 0,43-6 0,-42 1 1205,39-10 0,-43 7 43,-1 0 1,38-19-1,-56 23 57,1 0-1,-1 0 1,0 0-1,-1-1 0,1 0 1,-1-1-1,1 1 1,-1-1-1,-1 0 1,1-1-1,-2 0 0,6-7 1,-9 12 16,0 0 0,0 0-1,0-1 1,0 1 0,-1 0 0,1-1 0,-1 1 0,1 0 0,-1-1 0,0 1-1,0-1 1,0 1 0,0 0 0,-1-1 0,1 1 0,-1-1 0,1 1-1,-1-1 1,0 1 0,-1-4 0,0 3-33,0 0 0,-1 0 0,1 0 0,-1 0 0,0 0 1,1 1-1,-1-1 0,-1 1 0,2 0 0,-2 0 0,1 0 0,-7-2 0,5 2 305,1 0 0,-2 0 0,1 1 0,0 0 0,0 0 0,-1 0 0,1 1 0,0 0 0,-7 0-1,9 0 305,-1 0-1,2 0 1,-2 1-1,1 0 0,0 0 1,0 0-1,0 0 1,0 0-1,0 1 0,0-1 1,0 0-1,1 1 0,0 0 1,-1 0-1,-3 3 1,3-1-501,0 0 0,0 0 0,1 0 0,0 1 0,0 0 0,0-1 0,0 1 0,0-1 0,1 2 0,0-2 0,0 1 0,1 0 0,-1 0 0,1 0 0,-1 0 0,2 0 0,0 6 0,0-4-164,0-1 0,0 1 0,1-1 0,0 1 0,0-1 1,1 0-1,0 0 0,0 0 0,0 0 0,0 0 0,1 0 0,5 5 0,-5-7-353,0-1 0,0 1-1,0-1 1,1 1 0,-1-1-1,1 0 1,-1-1 0,1 0-1,0 0 1,7 2 0,-10-2 100,2-2 1,-1 1 0,0-1 0,0 1 0,1-1 0,-1 0 0,0 0 0,0-1 0,0 1 0,0-1 0,1 1 0,-1-1 0,0 0 0,0 0 0,0 0 0,0-1-1,0 1 1,4-4 0,-2 1-658,0 0-1,0 0 0,0-1 0,0 1 0,6-9 1,-4 4 352,-1-2 1,8-15 0,-4 4 441,-2-1 0,9-31 0,-12 34 147,-1 0 0,-1 0 0,-1 0 0,0-1 0,-2 1 0,0 0 0,-1-1 0,-2 0 0,0 1 0,-1 0 0,0 0 0,-3 1 0,1-1 0,-2 1 0,0 1 0,-1-1 0,-22-32 0,28 47 0,-1-1 0,2 2 0,-2-1 0,0 0 0,1 1 0,-1-1 0,0 1 0,-1 0 0,-8-5 0,12 7 0,0 1 0,-1 0 0,1 0 0,0-1 0,-1 1 0,1-1 0,0 1 0,-2 0 0,2 0 0,0 0 0,-1 0 0,1 1 0,0-1 0,-1 1 0,-2-1 0,2 2 0,0-2 0,0 2 0,0-1 0,0 0 0,0 1 0,1 0 0,-2-1 0,2 1 0,-1 0 0,1 0 0,-1 0 0,0 2 0,-6 10 0,2 0 0,0 0 0,0 1 0,2 0 0,0 0 0,1-1 0,-3 30 0,2-7 0,2 0 0,2 0 0,5 48 0,-2-61 0,1-1 0,1 1 0,1 0 0,1-2 0,1 1 0,14 26 0,-18-40 0,1-2 0,0 1 0,0 0 0,1-1 0,0 0 0,0 0 0,1-1 0,0 0 0,0 0 0,9 6 0,-11-9 0,-1-1 0,1 0 0,-1 0 0,1 0 0,0 0 0,0-1 0,0 0 0,0 0 0,0 0 0,0 0 0,0-1 0,1 0 0,-2 0 0,2 0 0,-1-1 0,0 1 0,0-2 0,0 2 0,7-4 0,-5 0 0,1 1 0,-1-1 0,0-1 0,0 1 0,0-1 0,0 0 0,-1 0 0,0-1 0,0 0 0,6-9 0,14-22 0</inkml:trace>
  <inkml:trace contextRef="#ctx0" brushRef="#br0" timeOffset="11275.03">694 3705 8192,'-5'17'15870,"-6"-1"-12137,-20 13-6739,23-23 4431,-8 8-1425,-1-1 0,0-1 0,-27 15 0,36-23 0,0-1 0,1 0 0,-1 0 0,0 0 0,0-1 0,1 0 0,-2-1 0,1 1 0,0-2 0,0 1 0,-17-2 0,22 1 2,-1-1 0,1 0 0,-1-1 0,0 1 0,1 0 0,0-1 1,0 0-1,-1 0 0,2 0 0,-2 0 0,2-1 0,-1 1 0,0 0 0,1-1 1,-1 0-1,1 1 0,0-2 0,0 2 0,0-2 0,0 1 0,1-1 1,-2-2-1,0-3-78,-1-1 0,1 2 0,1-2-1,0 2 1,1-2 0,0 1 0,0-14 0,2 14-683,-1 0-1,2 0 1,-1 0-1,1 0 1,1 0-1,-1 0 1,9-15 0,-10 21 272,0 0 1,1-1 0,0 2 0,0-2 0,0 2-1,0-1 1,0 0 0,1 1 0,0-1 0,-1 0-1,0 1 1,2 0 0,-2 0 0,1 0 0,1 0-1,-1 1 1,0-1 0,0 0 0,1 1 0,-1 0-1,0 0 1,7 0 0,-8 1 474,0 0 0,0 0 0,0 0 0,0 0 0,1 0 0,-1 1 0,0 0 0,0-1 0,0 1 0,0 0 0,0 0 0,0 0 0,0 0 0,-1 0 0,4 3 0,-2-2 8,0 2 0,0-1 1,0 1-1,0-1 0,-1 1 0,1-1 1,1 6-1,2 5 8,-1-2 1,-1 2-1,5 26 1,-1 9-5,-3 1 0,-1 68 0,-18 99 0,13-203 0,-14 84 0,13-88 0,0-1 0,-1 1 0,-1-2 0,1 1 0,-1 0 0,-1 0 0,-9 13 0,13-20-3,0-2 1,1 2-1,-1-1 1,0 0-1,0 0 1,0 0-1,0 0 1,0 0-1,0 0 1,0-1 0,0 1-1,-1 0 1,2-1-1,-2 1 1,1 0-1,0-1 1,-1 0-1,1 1 1,0-1-1,0 1 1,0-1-1,-4 0 1,4 0 86,0-1 1,-1 0-1,1 1 1,0-1-1,0 0 0,0 1 1,0-1-1,0 0 1,-1 0-1,1 0 1,1 0-1,-2 0 1,2 0-1,-1 0 0,0 0 1,1-1-1,-1 2 1,0-3-1,-3-6 124,0 1 1,1-2-1,1 1 0,0 0 0,-2-10 0,1-2-1036,1 0-1,1-25 0,2 37 1347,-1 0-1,2 1 0,2-11 1,-3 15 165,1 0 0,-1 0 0,1-1 0,0 1 0,0 0 0,0 0 1,4-4-1,-4 6-435,-1 1 1,0 0 0,0-1 0,1 2 0,0-2-1,-1 1 1,0 0 0,1 0 0,0 0 0,-1 0-1,1 1 1,0-1 0,-1 0 0,2 1 0,-2-1-1,1 1 1,0-1 0,0 1 0,-1 0 0,1 0-1,1 0 1,-1 0 0,-1 0 0,1 1 0,0-1-1,-1 1 1,1-1 0,3 2 0,3 1 96,1 1 0,-1 0-1,-1 1 1,12 8 0,-14-10-848,46 29-1386,-31-20 2679,43 15 0,-47-21-603,0-1-1,0-1 0,0-1 0,1 0 1,-1-1-1,1-1 0,19 0 0,-29-1-550,-1-1 0,0 0 0,0 0 0,0 0 0,0-1 0,0 0 0,0 0 0,-1 0 1,1 0-1,-1-1 0,1 0 0,-1-1 0,0 1 0,0-1 0,6-5 0,-6 2-402,1 1 1,-1 0-1,-1-1 1,0 0 0,0 0-1,1 0 1,-2-1-1,0 1 1,-1-1-1,1 1 1,1-11 0,-1 1 453,-1-1 0,-1 0 0,0 1 0,-2-1 0,1 0 0,-2 1 0,-5-25 0,0 14 462,-1-1 0,-2 2 1,-20-45-1,27 67 76,-14-27 1166,16 31-1457,0-1 0,1 1 0,-1 0 0,0 0 0,1 0 1,-1 0-1,0 0 0,0 0 0,0 0 0,0 1 0,-1-1 1,2 0-1,-2 1 0,1-1 0,0 0 0,0 1 0,0-1 1,-1 1-1,-2-1 0,4 1 47,-1 0 1,1 0-1,-1 1 0,0-1 1,1 1-1,0-1 0,-1 0 0,0 1 1,1-1-1,0 1 0,-1-1 1,1 0-1,-1 1 0,1 0 1,0-1-1,0 0 0,-1 1 1,1 0-1,0-1 0,-1 1 1,1 0-1,0-1 0,0 0 1,0 1-1,0 0 0,0-1 0,0 2 1,-1 8-20,0-1 1,1 0-1,0 1 0,0-1 1,3 17-1,14 48-147,-14-64 203,-3-10-18,32 103 68,-27-90 1065,14 23 0,-15-30 233,0 1-1,1-1 1,0 0-1,9 8 1,9 2 4912,-3-8-4953</inkml:trace>
  <inkml:trace contextRef="#ctx0" brushRef="#br0" timeOffset="11444.14">781 4004 8192,'2'0'0,"6"-4"3356,9-7-3356,11-9 0,14-13 5996,9-10-5996,8-7-2971,-1 8 2971,-5 4-5849,-7 9 5849,-11 10 2971</inkml:trace>
  <inkml:trace contextRef="#ctx0" brushRef="#br0" timeOffset="12305.21">1417 3876 8192,'-5'-35'10664,"-6"4"-4585,6 23-5684,1 1 0,0 0 0,-1 0-1,-1 1 1,1 0 0,-7-7 0,1 4-893,0 0-1,0 1 0,-1 0 1,0 1-1,-13-6 1,-12-3 2004,31 14-1506,-1 0 0,1 0 0,-1 1 0,1 0 0,-1 0 0,1 0 0,-1 1 0,-7 0 0,11 0 0,0 1 0,0-1 0,0 1 0,0 0 0,0 0 0,0-1 0,0 2 0,0-1 0,1 0 0,-1 1 0,1 0 0,-1-1 0,1 1 0,-1 0 0,1 0 0,0 0 0,0 0 0,0 1 0,0-1 0,-1 3 0,-1 3-99,0 0 0,0 1 0,1-1 0,-1 0-1,2 1 1,0 0 0,0 0 0,1 0 0,0 0 0,0 0 0,1 14 0,0-17-373,1 0-1,0 0 1,0 1-1,0-2 1,1 1-1,-1 0 1,1-1 0,1 1-1,-1 0 1,1-1-1,0 1 1,0-2-1,1 2 1,-1-2-1,2 1 1,-1 0-1,0-1 1,5 4-1,-5-5 47,1 1-1,0-2 1,0 1-1,0 0 0,0-1 1,1 0-1,-2 0 1,2-1-1,-1 1 0,1-1 1,0 0-1,-1-1 1,1 0-1,7 0 1,-6 0 189,-1-1 1,1 0-1,-1-1 1,0 0-1,0 0 1,0 0-1,0 0 1,0-2-1,-1 1 1,1 0-1,6-6 1,-5 4 493,0-1 0,-1 0 0,0 0 0,0-1 0,0 0 1,-1 0-1,0-1 0,4-8 0,-5 10 649,-1-1 0,-1-1 0,1 1 0,-1 0-1,0-1 1,-1 1 0,1-1 0,-1 0 0,-1-10 0,1 17-845,-1 1 0,0-1 0,0 0 0,0 1 0,-1-2 0,1 2 1,0-1-1,0 0 0,0 1 0,0-1 0,0 0 0,-1 1 0,1-1 0,-1 0 1,0-1-1,1 2 0,0 1 1,-1-1 0,1 1-1,0-1 1,0 0-1,-1 0 1,1 1 0,0-1-1,0 1 1,0-1 0,0 0-1,0 1 1,0-1-1,0 1 1,0-1 0,0 0-1,0 1 1,0-1 0,0 1-1,0-1 1,0 0 0,1 0-1,-1 1 1,0-1-1,0 1 1,1-1 0,-1 0-1,0 1 1,13 25 4267,-10-21-4158,1-1 1,-1 0 0,0 0-1,2-1 1,-2 2-1,1-2 1,6 4 0,-8-6-191,0 1 1,1-1 0,0 1 0,0-1-1,-1 0 1,1 0 0,0 0 0,0 0-1,0 0 1,0-1 0,0 0 0,0 1-1,0-1 1,1 0 0,-2 0 0,2 0-1,-1-1 1,0 1 0,0-1 0,-1 0-1,2 1 1,-1-1 0,5-3 0,-1-1 18,1 0 0,-1 0 0,-1-1 0,1 0 0,-1-1 0,0 1 0,-1-1 0,1 0 0,-1 0 0,0-1 0,4-9 0,-4 6 0,0 0 0,-1 0 0,0 0 0,0 0 0,-1-1 0,-1 1 0,0-2 0,0-10 0,-3 11-311,0 0 0,0-1-1,0 1 1,-2 1 0,0-1 0,0 0 0,-7-13 0,5 12-1359,-1 1-1,-1-1 0,-10-13 1,15 22 763,-1 1 1,0 0 0,0 0 0,1-1-1,-2 2 1,1-1 0,-4-2-1,6 5 864,1-1 0,-1 0 0,0 1-1,0 0 1,0 0 0,1-1 0,-2 1-1,1-1 1,1 1 0,-2 0 0,2 0-1,-1 0 1,0 0 0,0 0 0,0 0-1,0 0 1,0 0 0,1 1-1,-2-1 1,2 0 0,-1 1 0,-1-1-1,2 0 1,-1 0 0,0 1 0,1 0-1,-1-1 1,0 0 0,0 1 0,0 0-1,1-1 1,-1 1 0,1 0 0,-1-1-1,1 1 1,-2 1 0,0 3 43,-1 0 0,1 0 0,-1 0 0,1 0 0,1 0 0,-1 1 0,1-1 0,-1 1 0,2 0 0,-1-1 0,1 0 0,0 2 0,1 7 0,1 6 0,1-1 0,9 32 0,-7-33 0,1 0 0,1-1 0,2 0 0,-1 0 0,1-1 0,13 17 0,-17-25 0,0-2 0,1 1 0,0-1 0,0 0 0,1 0 0,-1 0 0,2-1 0,-2 0 0,2-1 0,0 1 0,0-1 0,-1 0 0,1-1 0,1 0 0,10 3 0,-15-6 0,-1 0 0,1 1 0,-1-1 0,1 0 0,-1 0 0,0-1 0,1 1 0,-1 0 0,1-1 0,-1 0 0,0 0 0,0 0 0,1 0 0,-1 0 0,5-4 0,-4 2 0,0 0 0,-1 0 0,1 0 0,0-1 0,-1 0 0,0 0 0,0 0 0,0 0 0,4-8 0,-2 3 0,-2 0 0,0-1 0,1 1 0,-1 0 0,-1-1 0,0 0 0,-1 0 0,0 0 0,-1 0 0,0-12 0,-2 12-40,1 0-1,-1 0 1,-6-18 0,6 23 336,0 1 0,0 0-1,0 0 1,-1-1 0,1 1 0,-1 0-1,0 0 1,0 0 0,-7-6-1,9 9-362,0 0 0,1 1 1,-2-1-1,1 0 0,1 1 0,-2-1 0,2 1 0,-2-1 0,1 1 0,0 0 0,0-1 0,0 1 0,0-1 0,0 1 0,0 0 0,0 0 0,-2 0 0,2 0 54,0 0-1,1 0 0,-1 1 0,0-1 0,1 1 0,-1-1 0,1 0 1,-1 0-1,1 1 0,-1-1 0,1 1 0,-1-1 0,1 0 0,0 1 1,-1 0-1,0-1 0,1 1 0,0-1 0,0 1 0,0-1 0,-1 2 1,-1 1 217,2 0 1,0-1-1,-1 1 1,0 0-1,1 0 1,0 0-1,0 0 1,0-1-1,1 1 1,-1 0-1,1 0 1,1 3-1,1 2 877,0-1-1,0 0 0,2 0 0,-1 0 0,0 0 1,0-1-1,2 0 0,-1 0 0,8 7 0,-9-10-611,0 0-1,0 1 1,1-1-1,0 0 0,-1-1 1,8 3-1,-9-3-468,1-1-1,-1 0 1,1-1-1,-1 1 1,1 0 0,0-1-1,-1 0 1,0 0-1,2 0 1,3-1 0,-1 0 0,-1-1 0,1 0 0,-1 0 0,0-1 0,1 0 0,-1 0 0,-1-1 0,11-6 0,10-12 0</inkml:trace>
  <inkml:trace contextRef="#ctx0" brushRef="#br0" timeOffset="12441.34">1822 3363 8192,'5'0'18022,"1"0"-18022</inkml:trace>
  <inkml:trace contextRef="#ctx0" brushRef="#br0" timeOffset="13018.89">2097 3477 8192,'0'-2'1354,"-1"-1"0,1 1 1,0-1-1,-1 1 1,1 0-1,-1-1 0,0 1 1,-1-3-1,2 4-958,0-1-1,-1 1 1,0 0 0,0 0 0,0 0 0,0 0-1,0 0 1,0 0 0,0 0 0,0 0 0,0 0-1,-2 0 1,2 0-366,-1 1 0,0-1 0,0 0 0,0 1 0,1 0 0,-1 0-1,0 0 1,1 0 0,-1 0 0,-1 0 0,1 0 0,1 0 0,-1 0 0,1 0 0,-1 1-1,0 0 1,0-1 0,0 1 0,1 0 0,-1-1 0,0 2 0,-2 0 0,0 2-30,0-2 0,0 3 0,1-2 0,-1 1 0,1-1 0,-1 1 0,1 1 0,0-1 0,0 1 0,1 0 0,0-1 0,0 1 0,0 0 0,0-1 0,1 1 0,-1 1 0,2-1 0,-2 10 0,2-10 0,0 0 0,0 0 0,0 0 0,0 0 0,1-1 0,0 2 0,-1-1 0,2-1 0,-1 1 0,1 0 0,0-1 0,0 1 0,0-1 0,1 0 0,0 1 0,0-1 0,-1 0 0,2-1 0,6 8 0,-2-5 0,0-2 0,0 1 0,1 0 0,-1-2 0,1 1 0,0-1 0,0 0 0,-1-1 0,2 0 0,0 0 0,-2 0 0,14-1 0,-11-1 0,0 0 0,1-1 0,-1 0 0,0 0 0,0-1 0,1-1 0,-1 0 0,-1-1 0,19-8 0,-23 9 0,-1-1 0,0 1 0,1-1 0,-2 0 0,1 0 0,-1-1 0,0 0 0,0 1 0,0-1 0,-1-1 0,1 1 0,-2 0 0,1-1 0,0 0 0,-1 1 0,0-1 0,0 0 0,-1 0 0,1 0 0,-2 0 0,1-1 0,0 1 0,-1 0 0,0 0 0,-1 0 0,0-1 0,1 1 0,-2 0 0,1 0 0,-1 0 0,-5-11 0,7 16 0,-1-1 0,0 1 0,0-1 0,0 1 0,0 0 0,-1-1 0,1 1 0,0 0 0,0-1 0,0 1 0,-1 0 0,0 0 0,-2-1 0,4 2 0,0 0 0,0 0 0,-1 0 0,1 0 0,0 0 0,0-1 0,0 1 0,0 0 0,-1 0 0,1 0 0,0 0 0,-1 0 0,1 0 0,0 0 0,0 0 0,0 0 0,-1 1 0,1-1 0,0 0 0,-1 0 0,1 0 0,0 0 0,0 0 0,0 0 0,0 0 0,0 0 0,-1 0 0,1 0 0,0 1 0,0-1 0,-1 0 0,1 1 0,0-1 0,0 1 0,0 0 0,0 0 0,-1 0 0,1 0 0,0 0 0,0 0 0,0-1 0,0 2 0,1-2 0,-1 1 0,0 0 0,0 0 0,0 1 0,2 1-64,-1 1 1,1 0-1,-1 0 0,1 0 1,0-1-1,1 1 1,-1-1-1,1 0 1,-1 1-1,1-2 1,0 2-1,0-2 1,0 1-1,1-1 1,-1 1-1,1-1 1,-1 0-1,1 0 1,4 1-1,-2 0-484,1-1 0,-1 0 0,1 0 1,-1-1-1,1 1 0,0-2 0,0 1 0,0-1 0,0 0 0,-1 0 1,8-1-1,-4-1-720,-1-1 1,0 0-1,1 0 0,-1-1 1,14-8-1,3-4-58</inkml:trace>
  <inkml:trace contextRef="#ctx0" brushRef="#br0" timeOffset="13175.77">2285 3192 8192,'2'0'18022,"3"0"-18022,2 0 0</inkml:trace>
  <inkml:trace contextRef="#ctx0" brushRef="#br0" timeOffset="14083.56">2559 3463 8192,'2'-14'9303,"4"1"-3711,13-12-2148,-10 16-3550,0 1 0,20-13 1,-20 16 105,-1 0 0,1 0 0,1 1 0,-2 0 0,2 1 0,16-4 0,-23 6 0,1 1 0,-1-1 0,1 1 0,-1 0 0,1 0 0,0 1 0,-1-1 0,0 0 0,8 3 0,-9-2 0,0-1 0,-1 2 0,1-2 0,0 2 0,0-1 0,0 0 0,0 1 0,-1-1 0,1 0 0,-1 1 0,1 0 0,-1-1 0,1 1 0,-1 0 0,0 0 0,2 4 0,-1-1 0,0 0 0,-1 1 0,2-1 0,-3 1 0,2-1 0,-2 1 0,1-1 0,-1 1 0,0 0 0,-1 5 0,-1 8 0,-10 31 0,7-32 0,-4 32 0,8-44 0,1 0 0,0 0 0,0 0 0,1 0 0,-1 0 0,1 0 0,0-1 0,1 1 0,3 9 0,2-1 25,1-1 0,0-1 0,1 0 0,0 1 1,1-2-1,14 13 0,-13-14-614,-1 1 0,0 0 0,-1 1 0,0 0 1,-1 0-1,12 24 0,-19-33 293,0-1 0,0 1 0,0 0 1,0 0-1,-1-1 0,0 2 0,1-2 0,-1 1 0,0 0 1,0 0-1,0 0 0,-1 0 0,1 0 0,0 0 1,-1-1-1,0 1 0,-2 4 0,1-3-208,0 0 1,-1-1-1,1 1 0,-1-1 1,0 0-1,0 1 0,0-2 1,0 1-1,-1 0 0,-6 4 0,1-2-221,1-1 0,-1 0-1,0-1 1,-14 5-1,14-6 831,-2 0-1,2 0 0,-18 0 0,22-2-104,-1 0 0,0 0 0,1-2 0,-2 2 0,2-2 0,0 1 0,-1-1 0,1 1 0,-1-2 0,1 1 0,0-1 0,0 1 0,0-2 0,1 1 0,-1-1 0,1 1 0,0-1 0,-1 0 0,1 0 0,1 0 0,-1-1 0,1 1 0,0-1 0,0 0 0,0 0 0,-2-7 0,1 0 0,0 1 0,1 0 0,0-1 0,0 1 0,2-1 0,0 0 0,0 1 0,1-1 0,0 0 0,1 0 0,1 1 0,2-13 0,1 3 0,2 1 0,1 0 0,0 1 0,14-25 0,51-70 0,-48 78 0,-2-1 0,26-54 0,-40 66 0,-10 19 0,-2 8 0,-5 10 0,3-3 207,0 1 1,1 0-1,0 0 1,1 0-1,0 0 1,0 0-1,1 0 1,1 1-1,0 18 1,1-25-173,0-1 0,0 0 1,0 1-1,1 0 1,0-1-1,-1 0 1,2 1-1,-2-1 1,2 1-1,0-1 1,-1 0-1,1 0 1,0 0-1,0 0 1,0 0-1,0-1 1,0 1-1,1 0 1,0 0-1,0-1 1,-1 0-1,2 0 1,-1 0-1,0 0 1,0 0-1,0-1 1,1 0-1,-1 1 1,0-1-1,1 0 1,-1-1-1,7 2 1,1-1 26,1-1 1,0 0 0,-1-1 0,1 0 0,-1 0 0,1-1 0,0-1 0,-1 0-1,0-1 1,0 0 0,0 0 0,-1-2 0,20-11 0,-1-4-63</inkml:trace>
  <inkml:trace contextRef="#ctx0" brushRef="#br0" timeOffset="15346">650 5246 8192,'0'-24'19355,"0"27"-19210,0 19-2970,1-2 4172,4 18-1753,1 1 1,19 62-1,36 73-2323,5-27-1690,-50-118 2057,1 0 0,38 47 0,-47-66 2042,0-1-1,0-1 0,1 0 0,-1-1 1,17 11-1,-22-16 285,2 0 0,-1 0 0,0 1 0,0-1 0,0-1 0,0 0 0,0 0 0,0 0 0,1 0 0,-1 0 0,1-1 0,-1 0 0,1 0 1,-1 0-1,0 0 0,1-1 0,6-2 0,-4 1 36,-1 0 0,1-2 0,-1 1 0,0-1 0,0 1 0,-1-1 0,2 0 0,-2-1 0,1 0 0,-2 0 0,1 0 0,0 0 0,7-11 0,0-4 0,-1 0 0,18-42 0,-12 18 0,-2 0 0,-3-1 0,-1-1 0,-2 1 0,4-76 0,-11 83 0,-3 1 0,0-1 0,-3 1 0,-1 0 0,-1 0 0,-3 0 0,-17-49 0,20 70 0,-1 1 0,-10-17 0,14 27 0,0-1 0,-2 2 0,2-2 0,-1 2 0,-1 0 0,1-1 0,-1 1 0,-6-5 0,9 8 0,-1-1 0,1 1 0,-1 0 0,1 0 0,-1 0 0,1 0 0,-1 0 0,0 1 0,0-1 0,1 1 0,-4-1 0,2 1 0,0 1 0,1 0 0,-2-1 0,1 1 0,-4 2 0</inkml:trace>
  <inkml:trace contextRef="#ctx0" brushRef="#br0" timeOffset="17604.9">1373 5403 8192,'0'-11'17381,"2"29"-16466,-2 7-1189,9 42 274,19 77 0,-26-138 0,-2-2 0,1-2 0,0 1 0,-1 1 0,1-2 0,0 1 0,0 0 0,0-1 0,1 1 0,-1 0 0,1-1 0,4 6 0,-6-8 0,0 0 0,1 0 0,-1 0 0,1 0 0,-1 0 0,0 0 0,1 0 0,-1 1 0,1-1 0,-1 0 0,0 0 0,1 0 0,-1-1 0,1 1 0,-1 0 0,0 0 0,1 0 0,0 0 0,-1 0 0,0 0 0,0 0 0,1 0 0,-1-1 0,1 1 0,-1 0 0,1-1 0,-1 1 0,0 0 0,0 0 0,1-1 0,-1 1 0,1-1 0,-1 1 0,0 0 0,0 0 0,0-1 0,0 0 0,10-16 0,-10 17 0,7-22-893,-1 1 1,0 0-1,4-32 1,-8 32-554,2 1 1,1-1-1,1 1 1,8-20 0,-13 37 842,0 0 1,0 1 0,1 0-1,-1 0 1,1-1 0,0 1-1,0 0 1,0 0-1,3-4 1,-4 6 568,0 0-1,0-1 1,-1 1 0,1-1-1,0 1 1,0 0 0,-1 0-1,2 0 1,-2 0 0,1 0-1,0-1 1,0 1 0,0 0-1,-1 0 1,1 1 0,0-1 0,0 0-1,0 0 1,-1 0 0,1 0-1,1 0 1,-2 1 0,1-1-1,0 1 1,-1-1 0,1 0-1,0 1 1,-1 0 0,1-1-1,0 0 1,-1 1 0,1 0-1,-1-1 1,1 2 0,33 38 34,-25-27 0,2 0 0,0 0 0,1-1 0,23 19 0,-31-29 0,0 0 0,-1 1 0,1-1 0,1 0 0,-1 0 0,0-1 0,0 0 0,0 1 0,1-2 0,-1 2 0,0-2 0,1 0 0,-1 1 0,1-1 0,-1-1 0,1 1 0,-1 0 0,0-1 0,0 0 0,1 0 0,-1 0 0,0-1 0,5-2 0,-2 1 365,0-1 1,0-1 0,0 1-1,-1-1 1,0 0 0,-1-1-1,1 1 1,-1-1-1,0 0 1,7-9 0,-9 10-64,1-1 1,-2 1 0,1 0 0,0-1-1,-1 0 1,0 1 0,0-1 0,-1 0-1,1 0 1,-2-1 0,2 1 0,-2 0-1,0-10 1,0 13-676,-1 1 0,0 0-1,1 0 1,0 0 0,-1 0-1,0 0 1,0 0 0,0 0 0,0 0-1,0 0 1,-1 1 0,1-1-1,-1 0 1,1 0 0,0 1 0,-3-2-1,2 1 194,-1 0 0,0 0 0,0 1-1,1 0 1,-2-1 0,1 1 0,0 0 0,0 1-1,0-1 1,-5 0 0,4 0 184,0 0 0,-1 1 0,1 0 0,0 0 0,-1 1 0,1 0 0,0-1 0,0 1 0,0 0 0,0 1 0,0-1 0,0 0 0,0 1 0,0 0 0,0 0 0,-5 5 0,4-2-7,1 0 1,0 0-1,0 0 0,1 0 1,0 1-1,0 0 1,0-1-1,1 1 1,0 0-1,0 0 0,0 0 1,0 0-1,2 0 1,-1 1-1,0-1 0,1 0 1,0 1-1,2 12 1,-2-15 9,1 1-1,0-1 1,0 0 0,1 1 0,-1-1 0,1 1 0,1-1 0,-1 0-1,0 0 1,0 0 0,7 6 0,-7-8 22,0 1 0,1-1 1,0 0-1,0 0 0,-1 0 0,2 0 1,-2-1-1,2 1 0,-1-1 0,0 0 1,0 1-1,1-2 0,-1 1 0,1 0 0,-1-1 1,0 0-1,5 1 0,-5-1 276,0-1 0,1 1 0,-1 0 0,0 0 0,0-2 0,0 2 0,0-1-1,0 0 1,0-1 0,0 1 0,0 0 0,0-1 0,-1 0 0,0 1 0,1-1 0,0 0 0,-1 0 0,0-1 0,0 1-1,0-1 1,0 1 0,0 0 0,0-1 0,0 0 0,-1 1 0,0-2 0,1-1 0,2-7 978,1 0 0,-3-1 0,1 1 0,-1 0 1,1-19-1,-2 8-1866,-1 0 0,-2 1 1,-1-1-1,0 1 1,-1 0-1,-10-29 0,-1 7-2450,-42-83-1,49 111 1926,-1 0 0,-1 0 0,0 1 1,-1 0-1,-19-20 0,28 33 1108,0 0-1,0 0 1,0 1 0,-1-1-1,1 1 1,-1-1 0,1 1-1,-5-2 1,7 3 0,-2 0 0,1 0 0,0 0 0,0 0 0,0 0 0,0 0 0,-1 0 0,2 0 0,-2 0 0,2 0 0,-2 0 0,1 0 0,0 0 0,0 1 0,0-1 0,-1 1 0,-1 1 0,1 0 0,0-1 0,1 1 0,-1 0 0,1 0 0,-1 0 0,0 0 0,1 1 0,-1-1 0,2 0 0,-2 1 0,2-1 0,-2 0 0,2 1 0,-1 0 0,0-1 0,1 3 0,-2 12 0,0 0 0,0 0 0,2 0 0,0 0 0,2 1 0,-1-2 0,2 1 0,0-1 0,7 18 0,-5-16 0,1 0 0,2-1 0,-1 0 0,2-1 0,1 1 0,-1-2 0,2 1 0,15 16 0,-20-26-4,1 0 1,-1-1 0,1 1 0,1-1-1,-2 0 1,3 0 0,-2-1 0,1 0-1,0-1 1,0 0 0,1 0 0,-1 0-1,1-1 1,11 1 0,-15-2 24,-1-1 1,1 0 0,-1 0 0,1 0-1,0-1 1,0 1 0,-1-1 0,1 0-1,-1-1 1,1 1 0,-1-1-1,1 0 1,-1 0 0,0 0 0,0-1-1,0 0 1,0 1 0,0-1 0,-1 0-1,1-1 1,-1 1 0,0-1-1,0 0 1,0 1 0,-1-1 0,1 0-1,2-7 1,0-2 982,0 1-1,-2-1 1,0 0-1,0 0 1,-1 0-1,-1-1 1,0 1 0,-1-1-1,-2-19 1,1 28 65,0-1 0,1 2 0,-2-2-1,-2-6 1,4 11-1023,0 0-1,0 1 0,-1-1 0,1 0 1,0 0-1,-1 1 0,1-1 0,0 0 1,0 1-1,-1 0 0,1-1 1,-1 0-1,0 1 0,1 0 0,0-1 1,-1 0-1,1 1 0,-1 0 0,1 0 1,-1-1-1,0 1 0,1-1 0,-1 1 1,0 0-1,1 0 0,0 0 1,-1 0-1,0 0 0,1-1 0,-1 1 1,0 0-1,1 0 0,-1 0 0,0 0 1,0 0-1,1 1 0,-1-1 0,0 0 1,1 0-1,-1 0 0,0 0 1,1 0-1,-1 1 0,0-1 0,0 1 1,0 1-46,-1-1 0,0 0 0,1 1 0,-1-1 0,1 1 0,0 0 0,0-1 0,0 1 0,0 0 0,0-1 0,0 1 0,0 0 0,1 0 0,-1 0 0,0 0 0,1 0 0,0 0 0,0 0 0,0 0 0,0 0 0,0 0 0,0 0 0,0 0 0,0 0 0,0 0 0,1 0 0,0 0 0,-1 0 0,1 0 0,0 0 0,1 3 0,0-1 0,0 1 0,0-1 0,1 0 0,0 0 0,0 0 0,0-1 0,1 1 0,-1-1 0,1 1 0,-1-1 0,2 0 0,5 4 0,-3-5 0,-1 0 0,1 0 0,-1 0 0,1-1 0,-1 0 0,1 0 0,0 0 0,0-1 0,0 0 0,0-1 0,-1 0 0,1 1 0,0-2 0,-1 1 0,1-1 0,-1 0 0,1-1 0,9-4 0,-11 4 0,0 1 0,-1-1 0,1-1 0,-1 2 0,-1-2 0,2 0 0,-1 1 0,-1-1 0,0 0 0,0 0 0,3-5 0,-4 6 0,0-1 0,-1 1 0,0-1 0,1 1 0,-1-1 0,0 0 0,0 0 0,-1 1 0,0-1 0,0 0 0,0 0 0,0 0 0,0 0 0,0 1 0,-1-1 0,-1-4 0,0 4 0,1 0 0,-1 1 0,0-1 0,0 0 0,0 1 0,-1 0 0,-4-6 0,7 8 0,-1 0 0,0 0 0,1 1 0,-1-2 0,0 2 0,1-1 0,-1 0 0,0 1 0,0-1 0,0 0 0,0 1 0,0 0 0,0-1 0,0 1 0,0-1 0,1 1 0,-2 0 0,2 0 0,-2-1 0,2 1 0,-2 0 0,1 0 0,0 0 0,0 0 0,0 0 0,0 0 0,0 0 0,0 1 0,0-1 0,0 0 0,0 0 0,0 0 0,0 1 0,-1 0 0,1-1 0,0 1 0,1 0 0,0-1 0,-1 1 0,0 0 0,1-1 0,0 1 0,-1 0 0,1-1 0,-1 1 0,1 0 0,0-1 0,0 1 0,0 0 0,0 0 0,0 0 0,0-1 0,-1 1 0,1 0 0,0-1 0,1 2 0,-1-2 0,0 1 0,0 0 0,0-1 0,0 1 0,0 0 0,1 0 0,-1 0 0,1-1 0,-1 1 0,0 0 0,0-1 0,1 1 0,0 0 0,-1 0 0,1-1 0,-1 0 0,1 1 0,1 0 0,1 2 0,0 0 0,0-1 0,1 1 0,0 0 0,-1-1 0,7 2 0,-3-2 0,0 0 0,-1 0 0,1-1 0,0 0 0,1 0 0,-2-1 0,1 0 0,8-1 0,-6 0 0,-1 1 0,0 0 0,0 1 0,14 2 0,-21-3 1,1 1-1,0 0 1,-1-1 0,1 1 0,0 0 0,-1 0 0,0 0 0,1 0 0,-1 0 0,0 1 0,1-2 0,-1 2 0,0-1 0,0 0-1,1 1 1,-2 0 0,1-1 0,0 0 0,-1 1 0,1 0 0,0 0 0,-1-1 0,1 1 0,0 2 0,0 6-37,0-1 1,0 1-1,-1 13 0,0-3-404,0-20 397,1 16-1016,1-1 0,0 0 0,4 17 0,-5-29 567,-1 1-1,2-1 1,-2 0-1,2 0 1,-1 0-1,1-1 1,-1 2-1,1-2 1,0 1-1,-1 0 0,1 0 1,1-1-1,-1 0 1,0 0-1,1 0 1,0 0-1,-1 0 1,1 0-1,0 0 1,0 0-1,6 2 1,-7-4 390,0 1 1,1-1 0,0 0 0,-1 0 0,1 0 0,-1 0 0,1-1-1,-1 1 1,1-1 0,0 0 0,-1 1 0,0-1 0,0 0 0,0 0 0,1 0-1,-1-1 1,0 1 0,0 0 0,0-1 0,0 1 0,0-1 0,1 0 0,-2 1-1,3-4 1,1-2 127,0 0 0,1-1 0,-2 1-1,1 0 1,-2-1 0,5-9 0,-2-4-26,0-1 0,-1 1 0,-1-1 0,-2 0 0,0 0 0,-1 0 0,-1 0 0,-3-30 0,-5-4 0,-3 0 0,-17-57 0,17 78 0,-23-58 0,31 88 0,0 0 0,0 0 0,1 0 0,-7-6 0,9 11 0,0 0 0,0-1 0,-1 1 0,1-1 0,-1 1 0,1 0 0,0 0 0,0-1 0,0 1 0,-1-1 0,1 1 0,-1 0 0,1 0 0,0 0 0,-1-1 0,1 1 0,-1 0 0,1 0 0,0-1 0,-1 1 0,1 0 0,-1 0 0,0 0 0,1 0 0,0 0 0,-1 0 0,1 0 0,-1 0 0,1 0 0,0 0 0,-1 0 0,1 0 0,-1 1 0,1-1 0,0 0 0,-1 0 0,1 1 0,-1-1 0,1 0 0,-1 0 0,0 2 0,0 0 0,0-1 0,0 1 0,0-1 0,1 1 0,-1 0 0,0 0 0,1 0 0,-1 2 0,-1 10 0,0 1 0,1-1 0,1 1 0,1 0 0,-1-1 0,7 27 0,27 88 0,-23-94-12,1-2 0,2 1-1,1-2 1,37 57 0,-43-75 348,1-1-1,1 0 1,0-1 0,1 0-1,19 14 1,-22-20 304,0 0 0,1 0 0,-1-1 0,1 0 0,0-1 0,0 0-1,0-1 1,1 0 0,13 2 0,-20-4-768,0-1-1,-1 1 1,1-1 0,-1 0-1,1 0 1,0-1 0,-1 1-1,0-1 1,1 0-1,0 0 1,-1 0 0,1 0-1,-1 0 1,1-1 0,-2 0-1,2 1 1,3-4-1,-3 1-190,0 1-1,-1 0 1,0-1-1,0-1 0,0 1 1,0 0-1,0 0 0,-1 0 1,0-1-1,0 1 0,2-7 1,-1-1-195,0 0 0,-1 0 1,0 0-1,-1-1 1,0-12-1,-5-26 1390,3 49-877,1 1-1,0 0 1,0-1 0,-1 0 0,1 1-1,-1-1 1,1 1 0,-1 0 0,0-1 0,0 1-1,1 0 1,-3-2 0,3 3 13,0-1 1,0 1-1,0 0 0,0 0 1,-1 0-1,1 0 0,0 0 1,0 0-1,0 0 0,0 0 1,0 0-1,0 0 0,0 0 1,0 0-1,0 0 1,0 0-1,0 0 0,0 0 1,0 0-1,0 0 0,0 0 1,-1 0-1,1 0 0,0 0 1,0 0-1,0 0 0,0 1 1,0-1-1,0 0 0,0 0 1,0 0-1,-1 0 1,1 0-1,0 0 0,0 0 1,0 0-1,0 0 0,0 0 1,0 1-1,0-1 0,0 0 1,0 0-1,0 0 0,0 0 1,0 0-1,0 0 0,0 0 1,0 0-1,0 0 1,0 0-1,0 0 0,0 0 1,0 0-1,0 1 0,1 12 2121,9 19-1882,-8-28 568,0 1 0,1-1 0,0 1-1,0-1 1,-1 0 0,9 7 0,-8-7-271,1-1 0,0 0 0,0 0 0,0 0 0,1-1 0,-1 1 0,1-1 0,0 0 1,0-1-1,-1 0 0,1 1 0,0-1 0,0 0 0,5 0 0,-4 0-439,0-1 0,0 0 0,0 0 0,0-1 0,-1 0 0,2 1 0,-2-2 0,1 1 0,0-1 0,7-3 0,-9 3-264,0 0 0,0-1 0,-1 1 0,1 0 0,-1-1 0,0 0 0,0 0 0,0 0 0,0 0 1,0 0-1,-1-1 0,1 0 0,-1 1 0,0-1 0,2-4 0,10-36 2457,-14 47-2302,0 0 0,0 0 0,1 1 0,-1-1 0,0 0 0,2 0 0,-2 0 0,2 1 0,-2-2 0,2 2 0,-1-1 0,1-1 0,0 2 0,0-2 0,0 1 0,0-1 0,0 1 0,5 3 0,-5-4 0,0-1 0,-1 0 0,1 1 0,0-1 0,0 0 0,0 0 0,0 0 0,0 0 0,0-1 0,0 1 0,1 0 0,-1-1 0,0 0 0,0 0 0,1 0 0,-1 0 0,0 0 0,1 0 0,-1 0 0,0 0 0,1-1 0,-1 0 0,0 1 0,0-1 0,0 0 0,0 0 0,0 0 0,0 0 0,2-2 0,1 0 0,0-1 0,-1 0 0,0 0 0,0 0 0,0 0 0,0-1 0,0 0 0,2-6 0,21-45 0,-2 5 0,-14 38 0,-11 13 0,0-1 0,0 1 0,1-1 0,-1 1 0,1 0 0,-1 0 0,0 0 0,1 0 0,-1 0 0,1 0 0,-1-1 0,0 1 0,1 0 0,0 0 0,-1 0 0,0 0 0,0 0 0,1 0 0,1 1 0,0-1 0,-1 1 0,0 0 0,1 1 0,0-2 0,-1 2 0,0-1 0,1 0 0,-1 1 0,1 0 0,0 2 0,2 1 0,2 1 147,0 0 0,-1 0 0,2 0 0,-1-1 0,1 0 0,0 0 0,1-1 0,-2 0 0,14 5 0,-12-5-685,2-1 1,-1 0-1,0-1 0,1-1 0,0 0 1,-1 1-1,1-2 0,-1 0 1,2 0-1,-2-1 0,1 0 0,14-4 1,-16 3-97,0 0 1,0-1-1,0 0 0,0-1 1,-1 0-1,1 0 1,-1 0-1,0-1 0,0 0 1,0-1-1,-1 1 1,0-1-1,0 0 1,5-9-1,-6 9 361,-1 0 1,0-1-1,-1 0 1,0 0-1,0 0 1,0 0-1,-1-1 0,-1 1 1,1-1-1,0-12 1,-1 11 272,-1-1 0,0 2 0,-1-2 0,1 1 0,-2 0 0,-4-15 0,6 21 0,-2-1 0,1 1 0,-1-1 0,0 1 0,0-1 0,1 1 0,-1 0 0,-1 0 0,1 0 0,-1 1 0,1-1 0,-1 0 0,0 1 0,0-1 0,0 1 0,0 0 0,0 0 0,-7-3 0,9 4 0,-1 1 0,0-1 0,0 0 0,0 1 0,0 0 0,0 0 0,0-1 0,0 1 0,0 0 0,-1 0 0,1 1 0,0-1 0,0 0 0,0 0 0,0 1 0,0 0 0,0-1 0,0 1 0,0 0 0,1 0 0,-1 0 0,0 0 0,0 0 0,1 1 0,-1-1 0,0 0 0,1 1 0,0-1 0,-1 1 0,1 0 0,0-1 0,0 1 0,0-1 0,0 1 0,-1 4 0,-1-1 0,1 0 0,0 1 0,1-1 0,-1 1 0,1 0 0,0-1 0,0 1 0,1 0 0,0 0 0,0 0 0,1 9 0,1-9 0,-1 0 0,1-1 0,0 0 0,0 1 0,1-1 0,0 1 0,-1-2 0,2 2 0,-1-2 0,1 1 0,0-1 0,0 1 0,0-1 0,0 0 0,1-1 0,-1 1 0,1 0 0,0-2 0,1 2 0,-2-1 0,2-1 0,-1 0 0,1 0 0,0 0 0,-1 0 0,1-2 0,7 2 0,-8-1 0,1 0 0,1-1 0,-1 0 0,0 0 0,-1 0 0,1-1 0,1 0 0,-2 0 0,1 0 0,0-1 0,0 0 0,-1 0 0,1-1 0,-1 0 0,0 0 0,0 0 0,0 0 0,0-1 0,0 1 0,0-1 0,-1 0 0,0-1 0,0 1 0,-1-1 0,1 1 0,5-11 0,-7 10 0,0 0 0,0 0 0,0 0 0,-1 0 0,1 0 0,-2-1 0,2 1 0,-2-1 0,0 1 0,0 0 0,-1-10 0,-5-18 0</inkml:trace>
  <inkml:trace contextRef="#ctx0" brushRef="#br0" timeOffset="17712.95">3007 4561 8192,'-9'0'16796,"18"-7"-16796,2-3 0</inkml:trace>
  <inkml:trace contextRef="#ctx0" brushRef="#br0" timeOffset="19129.22">6999 82 8192,'10'-12'2745,"-4"9"-2635,0-1-1,0 1 1,10-5 0,-8 4 651,10-3 3205,24-8-1,22-1-239,-37 12-4098,-2 2 1,2 0-1,-1 1 0,1 1 1,40 6-1,-50-3-137,0 1-1,-1 1 1,1 0 0,-1 1 0,0 1-1,-1 0 1,1 1 0,-1 0-1,-1 2 1,17 13 0,-12-6-439,0 1 0,-1 0 1,-2 1-1,0 1 0,-1 0 1,17 31-1,-8-5 742,-2 0 0,-3 1 0,-1 1 0,-3 1 0,10 53 0,25 256 306,-29-58-100,0 11 0,-11-216 0,29 112 0,-32-178 0,1 0 0,2 0 0,1 0 0,20 37 0,-26-57 0,1 0 0,0 0 0,1-1 0,0 0 0,0 0 0,17 13 0,-19-17 0,1-1 0,0 1 0,0 0 0,0-2 0,0 1 0,1 0 0,0-1 0,-1 0 0,1 0 0,0-1 0,12 1 0,-5-2 0,-1 0 0,2-1 0,-2-1 0,1 0 0,0-1 0,-1 0 0,0-1 0,14-7 0,-9 3 0,-2 0 0,0 0 0,0-1 0,0-1 0,21-19 0,-37 29 0,20-19 252,-20 19-128,1-2-1,0 2 1,0-1-1,0 0 1,-1 0-1,0 0 1,1 0-1,0 0 1,-1 0-1,0 0 1,1 0-1,-1 0 1,1 0-1,-1 0 1,0-1-1,0 2 1,0-3 0,0 2-59,0 1 0,0 0 1,-1 0-1,1-1 1,-1 1-1,1-1 1,0 1-1,0 0 1,-1 0-1,1 0 0,-1-1 1,1 1-1,0 0 1,0 0-1,-1-1 1,1 1-1,-1 0 1,1 0-1,0 0 0,-1 0 1,1-1-1,-1 1 1,1 0-1,0 0 1,-1 0-1,1 0 1,-1 1-1,0-1 0,1 0 1,0 0-1,-1 0 1,1 0-1,-1 1 1,1-1-1,-19 6 2720,18-5-2491,-6 1 367,0 2 0,1-2 0,-1 2 0,1 0 0,0 0 1,1 1-1,-2-1 0,2 1 0,0 0 0,0 0 0,-6 9 0,8-10-529,0 1 0,1 0 0,-1-1 0,1 2 0,0-1 0,0 0 0,0 0 0,1 1 0,0-1 0,1 0 0,-1 1 0,0-1 0,1 1 0,0-1 0,1 1 0,0 5 0,1 0-173,1 0 0,0 0 1,2 0-1,-1-1 0,0 1 1,2-1-1,-1 0 0,12 14 1,7 6-1015,34 34 0,151 128-3644,29 28-2613,-209-188 6757,-1 1 1,-1 1-1,-2 1 0,-2 2 1,26 54-1,-38-66 533,-1 0-1,-1 2 1,-2-1-1,-1 1 0,-1 0 1,-1 0-1,-1 0 1,-2 0-1,-3 48 1,-3-38 24,-1-2 1,-1 1-1,-2 0 1,-1-2 0,-3 1-1,-28 58 1,11-42-3,0-1 0,-3-1 0,-3-2 0,-1-1 0,-2-2 0,-2-3 0,-2 0 0,-2-3 0,-2-1 0,-1-2 0,-2-3 0,0-2 0,-2-2 0,-76 29 0,87-42 0,-1-2 0,-1-2 0,0-1 0,0-3 0,0-1 0,0-2 0,-1-2 0,-54-4 0,-19-12 0</inkml:trace>
  <inkml:trace contextRef="#ctx0" brushRef="#br0" timeOffset="20189.48">347 1623 8192,'-1'-4'1746,"1"0"0,0-1 1,-1 1-1,0 0 1,1 0-1,-3-4 0,2 5-1048,-1 0 0,1-1-1,-1 1 1,0 0-1,0 0 1,-4-5 0,3 6-655,1 0 1,0 0-1,0 0 1,-1 0-1,1 0 1,-1 1-1,0-1 1,1 1-1,-1 0 1,0-1-1,0 2 1,1-1-1,-1 0 1,0 1-1,0-1 1,0 0 0,0 1-1,0 0 1,0 0-1,-4 1 1,3 0-44,2-1 0,-2 1 0,1 0 0,-1 0 0,2 0 0,-2 1 0,1-1 0,1 1 0,-1 0 0,0 0 0,1 0 0,-1 0 0,0 0 0,-2 4 0,-3 3 0,1 0 0,-12 20 0,1 5 0,1-1 0,2 2 0,-12 43 0,-23 116 0,30-96 0,4 1 0,6 1 0,3 1 0,4-1 0,5 0 0,23 148 0,103 302 26,-30-165-48,-78-284-260,14 189 0,-33-264-679,-2 2 0,0 0 0,-1-1 0,-2 0 0,-15 53 0,15-67 249,0-1-1,-1 0 1,-1 0-1,0 0 1,-1-1-1,1 0 1,-2 0-1,0 0 1,0-1-1,-1 0 1,-1-1-1,1 0 1,-2 0-1,-14 9 1,19-15 579,0 0 0,-1 0 1,0 0-1,0 0 0,0-1 0,-7 1 1,12-3 123,1 1 1,-1-1 0,0 0-1,0 0 1,0 0 0,1 0-1,-1 0 1,0-1 0,0 1-1,1-1 1,0 1 0,-1 0-1,-2-2 1,3 2 9,1-1 1,-1 0-1,0 1 1,1-1-1,-1 0 1,0 1-1,1-1 0,0 0 1,-1 0-1,0 0 1,1 0-1,0 1 0,-1-1 1,1 0-1,0 0 1,-1 0-1,1 0 0,0 0 1,0 0-1,0 0 1,0 1-1,0-2 1,0 2-1,0-1 0,1-2 1,0 0 143,-1 0 0,1 1 0,0-1 0,1 0 0,-1 0 0,0 1 0,1 0 0,0-1 1,-1 0-1,1 1 0,0 0 0,0 0 0,0 0 0,1 0 0,-1 0 0,1 0 0,2-1 0,0-1 685,1 2 0,-1-2 0,1 2 0,0 0 0,0-1 0,0 1 0,8-1 0,-11 3-441,-1-1 0,1 1 0,0-1 0,-1 1 1,0 1-1,1-1 0,0 0 0,0 1 0,-1-1 0,0 1 0,1 0 0,-1-1 0,1 1 0,-1 0 0,0 1 0,1-1 0,1 2 0,-1-1-222,0 0-1,0 1 0,-1 0 1,1 0-1,-1 1 0,0-2 1,0 2-1,0-1 0,0 0 1,1 6-1,2 6-277,-1 0-1,-1 0 1,0 1-1,1 28 0,-3 14-1220,-6 76-1,-19 59-1400,13-108 782,-6 48 487,-28 241-4746,36-258 5062,8 142 0,4-212 1042,10 54 0,-9-82 107,0 0-1,1-1 1,1 0 0,1 1 0,14 26 0,-16-37-1,-1 0 0,2 1 0,-1-1 0,1-1 0,0 1 0,0-1 0,1 0 0,13 9 0,-14-11 0,0-1 0,-1 0 0,2 0 0,-1 0 0,1-1 0,-1 0 0,1 0 0,0-1 0,0 0 0,0 0 0,12 0 0,-6-3 0,-1 1 0,1-1 0,-1-1 0,1 1 0,-1-2 0,14-6 0,71-37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58.1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8192,'-1'0'0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28:58.47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6.6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40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97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8.5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28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8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50.4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06.03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 17 24575,'-8'0'0,"-1"-7"0,0-3-8191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0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67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24575,'0'3'0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1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24575,'7'0'0,"3"0"-8191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24575,'7'0'0,"3"0"-8191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5.06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31.43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85 0 24575,'-4'8'0,"-8"8"0,-9 7 0,-1 5 0,6-1 0,7-6-8191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20:40.5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4466 279 24575,'-7'0'0,"4"0"0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16:31.13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2733 428 24575,'-3'6'0,"-2"13"0,-9 12 0,-8 14 0,-2 13 0,-6 9 0,-4 7 0,4-3 0,-4-4 0,5-6 0,7-8 0,7-15 0,6-22 0</inkml:trace>
  <inkml:trace contextRef="#ctx0" brushRef="#br0" timeOffset="233.86">2367 543 24575,'0'-3'0,"7"-1"0,12 9 0,12 15 0,11 13 0,5 11 0,0 4 0,3 4 0,-1 0 0,-2-9 0,-6-5 0,-3-10 0,-8-9-8191</inkml:trace>
  <inkml:trace contextRef="#ctx0" brushRef="#br0" timeOffset="1275.27">135 659 24575,'0'-1'0,"1"1"0,-1 0 0,0-1 0,0 1 0,0 0 0,0-1 0,0 1 0,0-1 0,0 1 0,0 0 0,0-1 0,0 1 0,0 0 0,0-1 0,0 1 0,0-1 0,0 1 0,0 0 0,-1-1 0,1 1 0,0 0 0,0-1 0,0 1 0,0 0 0,-1-1 0,1 1 0,0 0 0,-1-1 0,1 1 0,0 0 0,0 0 0,-1-1 0,1 1 0,0 0 0,-1 0 0,1 0 0,0 0 0,-1-1 0,1 1 0,-1 0 0,1 0 0,0 0 0,-1 0 0,1 0 0,0 0 0,-1 0 0,1 0 0,-1 0 0,0 1 0,0-1 0,0 1 0,0 0 0,0-1 0,0 1 0,0 0 0,0 0 0,1 0 0,-1 0 0,0 0 0,0 0 0,1 0 0,-1 0 0,1 0 0,-1 0 0,1 0 0,-1 2 0,-5 20 0,2 0 0,0 0 0,0 43 0,6 71 0,-1-124 0,0 0 0,1 0 0,0 0 0,1 0 0,0-1 0,1 0 0,7 15 0,-10-24 0,0 0 0,1 0 0,-1 0 0,1 0 0,0-1 0,0 1 0,0-1 0,0 1 0,0-1 0,1 0 0,-1 0 0,1 0 0,0 0 0,-1 0 0,1 0 0,0-1 0,0 1 0,0-1 0,0 0 0,0 0 0,0 0 0,1 0 0,-1-1 0,0 1 0,0-1 0,0 0 0,1 0 0,-1 0 0,0 0 0,0-1 0,1 1 0,-1-1 0,0 0 0,4-1 0,4-3 9,0 1 1,-1-2-1,1 0 0,-1 0 0,0-1 1,0 0-1,-1 0 0,0-1 0,0-1 0,-1 1 1,0-1-1,10-17 0,-4 5-306,0-1 0,-2 0 0,-1-1 0,16-47 0,-12 16-6529</inkml:trace>
  <inkml:trace contextRef="#ctx0" brushRef="#br0" timeOffset="1417.23">1 543 24575,'3'0'0,"8"0"0,2 0-8191</inkml:trace>
  <inkml:trace contextRef="#ctx0" brushRef="#br0" timeOffset="2504.86">405 794 24575,'0'-2'0,"2"5"0,3 11 0,4 20 0,-3-8 0,15 36 0,-21-61 0,0-1 0,0 1 0,0-1 0,0 1 0,0-1 0,0 1 0,0-1 0,1 1 0,-1-1 0,0 0 0,0 1 0,1-1 0,-1 1 0,0-1 0,0 0 0,1 1 0,-1-1 0,0 1 0,1-1 0,-1 0 0,1 0 0,-1 1 0,0-1 0,1 0 0,-1 0 0,1 1 0,-1-1 0,1 0 0,-1 0 0,0 0 0,1 0 0,-1 0 0,1 0 0,-1 0 0,1 0 0,0 0 0,11-15 0,3-30 0,-9 6 0,8-34 0,-13 69 0,0 0 0,1 0 0,0-1 0,-1 1 0,1 0 0,1 0 0,-1 1 0,0-1 0,1 0 0,0 1 0,0-1 0,5-4 0,-7 7 0,0 1 0,1-1 0,-1 0 0,0 1 0,0-1 0,1 0 0,-1 1 0,0 0 0,1-1 0,-1 1 0,0 0 0,1 0 0,-1-1 0,1 1 0,-1 0 0,0 1 0,1-1 0,-1 0 0,1 0 0,-1 0 0,0 1 0,1-1 0,-1 1 0,0-1 0,0 1 0,1 0 0,-1-1 0,0 1 0,0 0 0,0 0 0,0 0 0,0 0 0,0 0 0,0 0 0,0 0 0,0 0 0,0 0 0,1 2 0,3 6 0,1 0 0,-1 0 0,-1 0 0,4 11 0,-5-12 0,8 27 0,-7-20 0,1-1 0,9 20 0,-13-31 0,0-1 0,0 0 0,1 1 0,-1-1 0,0 0 0,1 0 0,0 0 0,-1 0 0,1 0 0,0-1 0,0 1 0,0-1 0,0 1 0,1-1 0,-1 1 0,0-1 0,0 0 0,1 0 0,-1 0 0,4 0 0,-5-1 0,1 0 0,-1 0 0,0 0 0,1 0 0,-1 0 0,1-1 0,-1 1 0,1-1 0,-1 1 0,0-1 0,1 1 0,-1-1 0,0 0 0,0 0 0,1 1 0,-1-1 0,0 0 0,0 0 0,0 0 0,0-1 0,0 1 0,0 0 0,1-2 0,17-34 0,-17 32 0,17-52 0,-17 46 0,1-1 0,1 1 0,0 0 0,0 1 0,1-1 0,11-15 0,-16 26 0,0-1 0,0 1 0,0 0 0,1-1 0,-1 1 0,0-1 0,0 1 0,1 0 0,-1 0 0,0-1 0,0 1 0,1 0 0,-1-1 0,0 1 0,1 0 0,-1 0 0,1 0 0,-1-1 0,0 1 0,1 0 0,-1 0 0,1 0 0,-1 0 0,0 0 0,1 0 0,-1 0 0,1 0 0,-1 0 0,1 0 0,-1 0 0,0 0 0,1 0 0,-1 0 0,1 0 0,-1 0 0,0 0 0,1 0 0,-1 1 0,1-1 0,-1 0 0,0 0 0,1 1 0,-1-1 0,0 0 0,1 0 0,-1 1 0,0-1 0,0 0 0,1 1 0,-1-1 0,0 0 0,0 1 0,1-1 0,-1 1 0,0-1 0,0 0 0,0 1 0,11 32 0,-8-20 0,2-1 0,0-1 0,0 1 0,1-1 0,1 0 0,0 0 0,0 0 0,1-1 0,13 13 0,-18-20 0,0 0 0,0 0 0,0-1 0,0 1 0,1 0 0,-1-1 0,1 0 0,-1 0 0,1 0 0,0-1 0,0 1 0,0-1 0,0 0 0,0 0 0,0 0 0,0-1 0,1 1 0,-1-1 0,0 0 0,0 0 0,0 0 0,0-1 0,1 0 0,-1 0 0,0 0 0,0 0 0,0 0 0,0-1 0,4-2 0,1-2 0,0-1 0,0 0 0,-1 0 0,0 0 0,-1-1 0,0-1 0,0 1 0,0-1 0,-1 0 0,-1-1 0,0 1 0,8-20 0,-7 13 0,0 0 0,-2 0 0,0 0 0,0 0 0,-2-1 0,0 1 0,0-29 0,-8 24 0,4 15 0,3 10 0,6 6 0,-1-1 0,2 0 0,-1 0 0,1 0 0,1-1 0,-1-1 0,1 1 0,17 9 0,13 14 0,-21-15 0,31 35 0,-44-45 0,-1 1 0,1-1 0,-1 1 0,0-1 0,-1 1 0,1 0 0,-1 0 0,-1 1 0,4 14 0,-6-19 0,0 0 0,0 0 0,0 0 0,0 0 0,-1 0 0,1 0 0,-1 0 0,0 0 0,0 0 0,0-1 0,-1 1 0,1 0 0,0 0 0,-1-1 0,0 1 0,0-1 0,1 0 0,-2 1 0,1-1 0,0 0 0,0 0 0,-1 0 0,1-1 0,-1 1 0,1 0 0,-1-1 0,0 0 0,1 0 0,-6 2 0,-3 1 0,0 0 0,0-1 0,0-1 0,0 0 0,0 0 0,-20 0 0,22-2-151,1-1-1,-1 0 0,1-1 0,-1 0 1,1 0-1,0 0 0,0-1 1,-9-5-1,-14-9-6674</inkml:trace>
  <inkml:trace contextRef="#ctx0" brushRef="#br0" timeOffset="3284.24">1386 659 24575,'0'9'0,"0"3"0,0 0 0,0-1 0,1 1 0,1 0 0,4 14 0,-5-23 0,0 1 0,0-1 0,1 0 0,-1 0 0,1-1 0,0 1 0,0 0 0,0 0 0,0-1 0,0 1 0,1-1 0,-1 0 0,1 0 0,-1 0 0,1 0 0,0 0 0,0-1 0,0 1 0,0-1 0,0 1 0,0-1 0,0 0 0,6 1 0,-6-2 0,1 1 0,0-1 0,0 0 0,-1 1 0,1-2 0,0 1 0,0 0 0,-1-1 0,1 1 0,0-1 0,-1 0 0,1-1 0,-1 1 0,1 0 0,-1-1 0,0 0 0,1 0 0,-1 0 0,0 0 0,0-1 0,0 1 0,-1-1 0,1 1 0,2-5 0,5-6 0,-1-1 0,0 0 0,-1 0 0,8-20 0,3-5 0,-15 38 0,-3 8 0,0 11 0,-1-5 0,0-3 0,0-1 0,0 1 0,1-1 0,0 1 0,3 11 0,-3-18 0,0 0 0,1 0 0,-1 0 0,0 0 0,1-1 0,0 1 0,0-1 0,0 1 0,0-1 0,0 0 0,0 1 0,0-1 0,1 0 0,-1-1 0,1 1 0,-1 0 0,1-1 0,0 1 0,0-1 0,0 0 0,2 1 0,3 0 0,-1 0 0,0 0 0,1-1 0,-1 0 0,1-1 0,-1 1 0,1-1 0,0-1 0,-1 1 0,1-2 0,-1 1 0,0-1 0,1 0 0,-1 0 0,0-1 0,0 0 0,0 0 0,-1 0 0,1-1 0,-1 0 0,0-1 0,0 1 0,0-1 0,0-1 0,-1 1 0,8-11 0,-2 2 0,0-1 0,-1-1 0,-1 1 0,0-2 0,-2 1 0,1-1 0,-2 0 0,-1-1 0,0 1 0,3-24 0,0-25 0,-3 1 0,-3-1 0,-2 1 0,-4-1 0,-15-85 0,18 145 0,-1-1 0,1 0 0,-1 1 0,-1-1 0,-3-6 0,6 13 0,0-1 0,0 1 0,0-1 0,0 1 0,0-1 0,-1 1 0,1-1 0,0 1 0,-1-1 0,1 1 0,0 0 0,-1-1 0,1 1 0,0 0 0,-1-1 0,1 1 0,0 0 0,-1-1 0,1 1 0,-1 0 0,1 0 0,-1-1 0,1 1 0,-1 0 0,1 0 0,-1 0 0,1 0 0,-1 0 0,1 0 0,-1 0 0,1 0 0,-1 0 0,1 0 0,-1 0 0,1 0 0,-1 0 0,1 0 0,-1 0 0,1 1 0,-1-1 0,1 0 0,-1 0 0,1 0 0,-1 1 0,1-1 0,0 0 0,-1 1 0,1-1 0,0 0 0,-1 1 0,0 0 0,-13 25 0,7-1 0,1 0 0,0 0 0,2 0 0,1 0 0,1 1 0,2-1 0,0 1 0,1-1 0,2 1 0,1-1 0,0 0 0,11 29 0,-12-46 0,1 0 0,0 0 0,0 0 0,1-1 0,0 1 0,0-1 0,1-1 0,-1 1 0,2-1 0,-1 0 0,1 0 0,0-1 0,0 0 0,0 0 0,15 7 0,-17-10 0,1 0 0,-1 0 0,1 0 0,-1-1 0,1 0 0,0 0 0,0 0 0,-1-1 0,1 1 0,0-2 0,0 1 0,0 0 0,0-1 0,-1 0 0,1-1 0,0 1 0,-1-1 0,1 0 0,-1-1 0,0 1 0,0-1 0,0 0 0,0 0 0,7-6 0,-5 3 0,-1 0 0,0-1 0,0 1 0,-1-1 0,0 0 0,6-10 0,-9 14 0,-1-1 0,1 1 0,0-1 0,-1 0 0,0 0 0,1 1 0,-2-1 0,1 0 0,0 0 0,-1 0 0,0 0 0,0 0 0,0 0 0,0 0 0,-1-6 0,1 10 0,0-1 0,0 1 0,0-1 0,0 0 0,-1 1 0,1-1 0,0 1 0,0-1 0,0 0 0,0 1 0,-1-1 0,1 1 0,0-1 0,-1 1 0,1-1 0,0 1 0,-1-1 0,1 1 0,-1-1 0,1 1 0,-1-1 0,1 1 0,-1 0 0,1-1 0,-1 1 0,1 0 0,-1 0 0,1-1 0,-1 1 0,1 0 0,-1 0 0,0 0 0,1-1 0,-1 1 0,1 0 0,-1 0 0,0 0 0,1 0 0,-1 0 0,0 0 0,1 1 0,-2-1 0,2 0 0,-1 1 0,1-1 0,-1 1 0,1 0 0,-1-1 0,1 1 0,0-1 0,-1 1 0,1 0 0,0-1 0,-1 1 0,1 0 0,0-1 0,0 1 0,0 0 0,0-1 0,0 1 0,-1 0 0,1 0 0,0-1 0,1 1 0,-1 0 0,0-1 0,0 1 0,0 0 0,0 0 0,0-1 0,1 1 0,-1 0 0,0-1 0,1 1 0,-1-1 0,1 1 0,-1 0 0,1 0 0,1 2 0,1-1 0,0 1 0,-1-1 0,1 1 0,0-1 0,0 0 0,0 0 0,0 0 0,1 0 0,-1-1 0,0 0 0,1 1 0,-1-1 0,1 0 0,0-1 0,-1 1 0,6 0 0,4 0 0,0-1 0,0 0 0,21-3 0,19-6-1365,-6-3-5461</inkml:trace>
  <inkml:trace contextRef="#ctx0" brushRef="#br0" timeOffset="3998.96">482 1505 24575,'13'0'0,"30"-13"0,38-14 0,44-9 0,34-12 0,28-7 0,29-1 0,4 0-929,-13 8 929,-22 7 0,-35 10 0,-44 3 0,-33 8 228,-33 9-228,-22 7-7490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29:4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0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3:42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8413 424 24575,'3'0'0,"-1"0"0,0 0 0,1-1 0,-1 1 0,0-1 0,1 1 0,-1-1 0,0 0 0,0 0 0,0 0 0,0-1 0,0 1 0,0 0 0,0-1 0,0 1 0,-1-1 0,1 1 0,0-1 0,-1 0 0,1 0 0,-1 0 0,0 0 0,0 0 0,0 0 0,0 0 0,0 0 0,0 0 0,0-1 0,-1 1 0,1 0 0,-1-1 0,1 1 0,-1-4 0,1 0 0,-1 1 0,0-1 0,0 1 0,0-1 0,-1 0 0,0 1 0,0-1 0,0 1 0,-1-1 0,1 1 0,-1 0 0,-1 0 0,-3-7 0,1 5 0,0 1 0,-1 1 0,0-1 0,0 1 0,-1 0 0,0 0 0,1 1 0,-2-1 0,1 2 0,0-1 0,-1 1 0,1 0 0,-1 1 0,0-1 0,0 2 0,-15-3 0,5 2 0,0 1 0,-1 1 0,1 0 0,0 2 0,-1 0 0,-26 6 0,26-3 0,1 2 0,0 0 0,0 0 0,0 2 0,1 0 0,0 1 0,1 1 0,0 0 0,0 2 0,-22 22 0,19-15 0,1 2 0,1 0 0,1 1 0,1 1 0,1 0 0,1 1 0,-11 29 0,13-27 0,2 0 0,1 0 0,1 1 0,1-1 0,1 1 0,2 1 0,1-1 0,1 1 0,1-1 0,2 0 0,1 1 0,1-1 0,1 0 0,2-1 0,16 47 0,-17-61 0,1-1 0,0 1 0,0-1 0,1 0 0,1-1 0,0 0 0,0-1 0,1 1 0,0-2 0,1 1 0,0-2 0,1 1 0,22 11 0,-18-13 0,0 0 0,0-1 0,0-1 0,1-1 0,0-1 0,0 0 0,0-1 0,0 0 0,0-2 0,24-1 0,-15-2 0,-1-1 0,0-1 0,0-1 0,0-1 0,-1-1 0,0-1 0,0-1 0,-1-2 0,-1 0 0,0-1 0,0-1 0,-2-1 0,0-1 0,0-1 0,20-24 0,-22 18 0,-1-1 0,-1-1 0,-1 0 0,-1-1 0,-1 0 0,-2-1 0,0-1 0,-2 0 0,-2 0 0,0-1 0,-2 0 0,0 0 0,-3 0 0,0-1 0,-2 1 0,-1-1 0,-1 1 0,-2 0 0,-1 0 0,-1 0 0,-1 1 0,-2 0 0,-1 0 0,-13-27 0,23 54 0,-1 1 0,1-1 0,0 1 0,0-1 0,0 0 0,0 1 0,0-1 0,-1 1 0,1-1 0,0 1 0,0 0 0,-1-1 0,1 1 0,0-1 0,-1 1 0,1-1 0,0 1 0,-1 0 0,1-1 0,-1 1 0,1 0 0,-1-1 0,1 1 0,-1 0 0,1 0 0,-1-1 0,1 1 0,-1 0 0,1 0 0,-1 0 0,1 0 0,-1 0 0,1 0 0,-1 0 0,1 0 0,-1 0 0,0 0 0,1 0 0,-1 0 0,-10 24 0,4 42 0,7 20 0,4-1 0,4 1 0,4-2 0,3 1 0,4-2 0,32 87 0,-43-143 24,2-1 0,1 0 0,0 0 0,26 37 0,-34-57-86,1 0 0,0 0 0,0-1 0,1 0 1,-1 0-1,1 0 0,0 0 0,1-1 0,-1 0 0,1 0 0,0 0 0,0-1 1,0 0-1,0 0 0,0 0 0,1-1 0,0 0 0,-1 0 0,1-1 0,0 0 1,0 0-1,-1 0 0,12-1 0,32-13-6764</inkml:trace>
  <inkml:trace contextRef="#ctx0" brushRef="#br0" timeOffset="661.93">8382 957 24575,'-1'0'0,"1"1"0,-1-1 0,0 1 0,1 0 0,-1-1 0,1 1 0,-1-1 0,1 1 0,-1 0 0,1 0 0,0-1 0,-1 1 0,1 0 0,0 0 0,-1-1 0,1 1 0,0 0 0,0 0 0,0 0 0,0-1 0,0 1 0,0 0 0,0 0 0,0 0 0,0 0 0,0-1 0,0 1 0,0 0 0,1 0 0,-1 0 0,0-1 0,0 1 0,1 0 0,-1 0 0,1-1 0,-1 1 0,1 0 0,-1-1 0,1 1 0,-1-1 0,1 1 0,0 0 0,-1-1 0,1 1 0,0-1 0,-1 0 0,1 1 0,0-1 0,0 0 0,-1 1 0,1-1 0,2 1 0,48 13 0,-17-11 0,0 0 0,0-2 0,0-2 0,1-1 0,-1-1 0,-1-2 0,1-2 0,-1-1 0,41-15 0,-49 14 0,0-1 0,-1-1 0,0-1 0,-1-1 0,0-2 0,-1 0 0,0-1 0,-2-1 0,0-1 0,-1-1 0,0 0 0,20-29 0,-35 41 0,0 0 0,0 0 0,0-1 0,-1 1 0,0-1 0,-1 1 0,1-1 0,1-15 0,-4 21 0,0 1 0,0-1 0,0 0 0,0 0 0,0 1 0,0-1 0,-1 0 0,1 1 0,0-1 0,-1 1 0,0-1 0,1 0 0,-1 1 0,0-1 0,0 1 0,0 0 0,0-1 0,-2-1 0,2 1 0,-1 1 0,0 0 0,0 0 0,0 0 0,-1 0 0,1 1 0,0-1 0,0 1 0,0-1 0,0 1 0,-1 0 0,1 0 0,0 0 0,0 0 0,-1 0 0,1 0 0,0 0 0,-3 2 0,-9 1 0,1 0 0,0 2 0,0 0 0,0 0 0,-15 10 0,22-13 0,1 1 0,0 0 0,0 0 0,0 1 0,1-1 0,-1 1 0,1 0 0,0 0 0,0 1 0,0-1 0,0 1 0,1 0 0,0 0 0,0 0 0,-3 7 0,6-11 0,0 1 0,0-1 0,0 0 0,0 0 0,0 1 0,0-1 0,1 0 0,-1 0 0,0 1 0,1-1 0,-1 0 0,1 0 0,-1 0 0,1 1 0,-1-1 0,1 0 0,0 0 0,0 0 0,0 0 0,-1 0 0,1 0 0,0-1 0,0 1 0,0 0 0,0 0 0,1-1 0,-1 1 0,0 0 0,0-1 0,0 1 0,0-1 0,1 0 0,-1 1 0,0-1 0,2 0 0,51 9 0,-48-8 0,119-1 0,-98-2 0,0 1 0,0 2 0,1 0 0,-1 2 0,35 8 0,-59-10 0,0 0 0,0 0 0,-1 1 0,1-1 0,0 1 0,0-1 0,-1 1 0,1 0 0,-1 0 0,1 0 0,-1 0 0,0 1 0,0-1 0,0 1 0,0-1 0,-1 1 0,1-1 0,0 1 0,-1 0 0,0 0 0,0 0 0,0 0 0,0 0 0,0 0 0,-1 0 0,1 0 0,-1 0 0,0 1 0,0 2 0,-1 12 0,0 0 0,-1 0 0,-2 0 0,-5 21 0,-3 16 0,11-51 0,1 0 0,-1 0 0,1 0 0,0 1 0,0-1 0,1 0 0,-1 0 0,1 0 0,0 0 0,0 1 0,0-1 0,1 0 0,-1-1 0,1 1 0,0 0 0,0 0 0,1-1 0,-1 1 0,5 4 0,-3-4 0,1 0 0,0-1 0,0 0 0,0 0 0,0 0 0,0-1 0,0 1 0,1-1 0,-1-1 0,1 1 0,0-1 0,10 1 0,2 0 0,0-2 0,0 0 0,0-1 0,-1-1 0,1-1 0,0 0 0,-1-1 0,24-9 0,-21 5 0,-1-1 0,0-1 0,0 0 0,-1-2 0,0 0 0,-1-1 0,-1 0 0,0-2 0,-1 1 0,0-2 0,-1 0 0,15-24 0,-15 16 0,0 0 0,-2-1 0,-1 0 0,-1-1 0,-1 0 0,-1 0 0,-2-1 0,0 0 0,1-31 0,-6 45 0,7-113 0,-8 116 0,-1 0 0,0 0 0,0 0 0,-1 1 0,0-1 0,-1 0 0,0 1 0,0-1 0,-1 1 0,-5-9 0,9 17 0,-1-1 0,0 1 0,1-1 0,-1 1 0,0 0 0,0-1 0,0 1 0,0 0 0,0 0 0,0-1 0,0 1 0,-1 0 0,1 0 0,0 0 0,-1 1 0,1-1 0,0 0 0,-1 0 0,1 1 0,-1-1 0,1 1 0,-1-1 0,0 1 0,1 0 0,-1 0 0,1 0 0,-1-1 0,1 1 0,-1 1 0,0-1 0,1 0 0,-1 0 0,1 1 0,-1-1 0,1 1 0,-1-1 0,1 1 0,-1-1 0,1 1 0,-1 0 0,-1 1 0,-2 2 0,1 1 0,-1-1 0,1 1 0,1 0 0,-1 0 0,0 0 0,1 0 0,0 0 0,1 1 0,-3 6 0,-5 16 0,2 0 0,1 1 0,2 0 0,1 0 0,1 0 0,1 1 0,1-1 0,2 1 0,1-1 0,2 1 0,0-1 0,2 0 0,13 37 0,-12-47 0,0 0 0,2 0 0,0-1 0,1 0 0,1-1 0,0 0 0,1-1 0,28 29 0,-28-35 0,-1 0 0,1-1 0,1 0 0,-1-1 0,2 0 0,-1-1 0,1-1 0,0 0 0,0-1 0,1 0 0,-1-2 0,31 5 0,-19-6-195,0-2 0,0 0 0,0-2 0,0-1 0,0-1 0,37-11 0,36-16-6631</inkml:trace>
  <inkml:trace contextRef="#ctx0" brushRef="#br0" timeOffset="912.9">10762 926 24575,'22'-6'0,"22"-1"0,26-10 0,16-3 0,15-8 0,7 1 0,-5 4 0,-14 7 0,-23 6-8191</inkml:trace>
  <inkml:trace contextRef="#ctx0" brushRef="#br0" timeOffset="1130.4">11044 487 24575,'0'11'0,"0"14"0,0 18 0,6 24 0,1 27 0,0 19 0,9 5 0,2-10 0,8-15 0,11-22 0,-1-29 0,-7-21-8191</inkml:trace>
  <inkml:trace contextRef="#ctx0" brushRef="#br0" timeOffset="1615.92">11733 550 24575,'70'1'0,"0"-3"0,0-3 0,117-24 0,-169 25 0,1-1 0,-1-1 0,-1 0 0,1-1 0,-1-1 0,0-1 0,-1-1 0,0 0 0,0-1 0,-1 0 0,-1-1 0,0-1 0,0-1 0,-2 0 0,1 0 0,-2-1 0,0-1 0,12-23 0,-11 13 0,4-10 0,-16 36 0,0 0 0,1 0 0,-1 0 0,0 0 0,0 0 0,0 0 0,0 0 0,0 0 0,0 0 0,0 0 0,0 0 0,0 0 0,0 0 0,0 1 0,0-1 0,0 0 0,0 0 0,0 0 0,0 0 0,0 0 0,1 0 0,-1 0 0,0 0 0,0 0 0,0 0 0,0 0 0,0 0 0,0 0 0,0 0 0,0 0 0,0 0 0,0 0 0,0 0 0,1 0 0,-1 0 0,0 0 0,0 0 0,0 0 0,0 0 0,0 0 0,0 0 0,0 0 0,0-1 0,0 1 0,0 0 0,0 0 0,0 0 0,1 0 0,-5 24 0,-15 77 0,5 1 0,-1 155 0,15-196 0,3 0 0,2 0 0,4 0 0,2-1 0,29 94 0,-34-136 30,2 0 0,-1-1 0,21 32 0,-24-43-154,1 0 0,0 1 1,0-1-1,1-1 0,-1 1 0,1-1 1,0 0-1,1 0 0,-1-1 0,1 0 1,12 5-1,15 0-6702</inkml:trace>
  <inkml:trace contextRef="#ctx0" brushRef="#br0" timeOffset="2396.66">5751 1333 24575,'0'-11'0,"16"-8"0,27-2 0,26-7 0,24 0 0,12 6 0,4 6 0,-6 6 0,-15 16 0,-23 16 0,-22 6-8191</inkml:trace>
  <inkml:trace contextRef="#ctx0" brushRef="#br0" timeOffset="2537.73">6158 1677 24575,'6'0'0,"17"0"0,26-5 0,26-13 0,22-13 0,10-13 0,-2 1 0,-19-2 0,-25 6-8191</inkml:trace>
  <inkml:trace contextRef="#ctx0" brushRef="#br0" timeOffset="2738.58">6534 988 24575,'11'0'0,"24"0"0,28 6 0,36 11 0,21 15 0,1 17 0,-19 11 0,-28 17 0,-26 27 0,-58 38 0,-60 38 0,-45 21 0,-18-9 0,-8-36 0,20-46-8191</inkml:trace>
  <inkml:trace contextRef="#ctx0" brushRef="#br0" timeOffset="3833.69">19 644 24575,'-19'-5'0,"27"-7"0,35-12 0,351-164 0,-317 144 0,-1-3 0,132-111 0,-197 148 0,0 0 0,-1-1 0,17-23 0,-25 31 0,0 0 0,1 0 0,-2-1 0,1 1 0,0-1 0,-1 1 0,1-1 0,-1 0 0,0 1 0,0-1 0,-1 0 0,1 0 0,-1 0 0,0 0 0,0 0 0,0 1 0,0-1 0,-2-8 0,1 11 0,1 0 0,0 0 0,0 0 0,0 0 0,-1 0 0,1 0 0,0 0 0,-1 0 0,1 0 0,-1 0 0,0 0 0,1 0 0,-1 0 0,0 0 0,1 0 0,-1 1 0,0-1 0,0 0 0,0 0 0,0 1 0,1-1 0,-1 1 0,0-1 0,0 1 0,0-1 0,0 1 0,-1 0 0,1-1 0,0 1 0,0 0 0,0 0 0,0 0 0,0-1 0,0 1 0,0 1 0,0-1 0,0 0 0,-1 0 0,1 0 0,0 0 0,0 1 0,0-1 0,0 1 0,0-1 0,0 1 0,0-1 0,0 1 0,0-1 0,0 1 0,1 0 0,-2 0 0,-4 4 0,1 0 0,0 0 0,1 0 0,-1 0 0,1 1 0,0-1 0,-5 11 0,-9 23 0,2 1 0,1 0 0,3 1 0,1 1 0,-7 58 0,-11 219 0,27-275 0,-2 17 0,6 84 0,-2-130 0,2-1 0,0 1 0,1-1 0,0 0 0,1 0 0,0 0 0,2 0 0,-1-1 0,2 0 0,-1 0 0,13 16 0,-16-25-68,1 0 0,-1 0-1,1 0 1,0 0 0,0-1 0,0 0-1,1 0 1,-1 0 0,1 0 0,-1-1-1,1 1 1,0-1 0,0-1 0,0 1-1,0-1 1,0 1 0,1-2-1,-1 1 1,9 0 0,29-9-6758</inkml:trace>
  <inkml:trace contextRef="#ctx0" brushRef="#br0" timeOffset="5005.35">1554 1051 24575,'0'2'0,"0"-1"0,0 1 0,1 0 0,-1 0 0,1-1 0,-1 1 0,1 0 0,-1 0 0,1-1 0,0 1 0,0-1 0,0 1 0,0-1 0,0 1 0,0-1 0,0 0 0,0 1 0,1-1 0,-1 0 0,0 0 0,1 0 0,-1 0 0,1 0 0,0 0 0,-1 0 0,1-1 0,0 1 0,-1 0 0,1-1 0,0 1 0,-1-1 0,1 0 0,0 0 0,0 0 0,0 0 0,-1 0 0,4 0 0,0 0 0,0 0 0,-1-1 0,1 0 0,0 1 0,-1-1 0,1-1 0,-1 1 0,1-1 0,-1 0 0,0 0 0,0 0 0,1 0 0,4-5 0,-1-2 0,-1 0 0,0 0 0,0-1 0,-1 0 0,-1 0 0,0-1 0,0 0 0,-1 0 0,0 0 0,-1 0 0,0 0 0,-1-1 0,0 1 0,0-20 0,-1 11 0,-1 1 0,-1-1 0,-1 1 0,0-1 0,-2 1 0,0 0 0,-14-36 0,15 45 0,-2 1 0,1-1 0,-1 1 0,-1 1 0,0-1 0,0 1 0,0 0 0,-1 0 0,-1 1 0,-14-13 0,18 18 0,0-1 0,0 1 0,-1-1 0,0 1 0,1 1 0,-1-1 0,0 1 0,1-1 0,-1 1 0,0 1 0,0-1 0,0 1 0,0 0 0,0 0 0,0 0 0,0 1 0,0-1 0,0 1 0,0 0 0,0 1 0,1-1 0,-1 1 0,1 0 0,-9 5 0,-10 7 0,0 2 0,1 1 0,1 0 0,0 2 0,1 0 0,2 1 0,0 1 0,-21 31 0,-3 12 0,-61 127 0,-27 103 0,111-241 0,1-1 0,4 2 0,-15 97 0,28-137 0,0 0 0,0 0 0,1 1 0,1-1 0,1 0 0,0 0 0,6 24 0,-6-34 0,-1 0 0,1 1 0,0-1 0,0-1 0,0 1 0,0 0 0,1 0 0,-1-1 0,1 1 0,0-1 0,0 0 0,0 0 0,1 0 0,-1-1 0,1 1 0,0-1 0,-1 1 0,1-1 0,0 0 0,0-1 0,0 1 0,1-1 0,-1 0 0,0 0 0,0 0 0,1 0 0,7-1 0,2-1 0,-1 0 0,1-1 0,-1-1 0,0 0 0,0-1 0,0 0 0,-1-1 0,1-1 0,-1 0 0,0 0 0,-1-1 0,1-1 0,-1 0 0,-1 0 0,19-19 0,-5 2 0,-1-1 0,0-1 0,-2-1 0,-2-1 0,17-31 0,34-91 0,-56 132 0,-8 32 0,-4 51 0,-2-38 0,0-20 0,0-1 0,1 1 0,0 0 0,0 0 0,1 0 0,0-1 0,0 1 0,0-1 0,1 0 0,-1 1 0,1-1 0,1 0 0,-1 0 0,1-1 0,-1 1 0,1-1 0,1 0 0,-1 0 0,0 0 0,1 0 0,0-1 0,0 0 0,0 0 0,8 3 0,-5-3 0,1-1 0,0 0 0,-1 0 0,1-1 0,0 0 0,0-1 0,0 0 0,0 0 0,0-1 0,-1 0 0,1 0 0,0-1 0,-1 0 0,1-1 0,13-6 0,7-5 0,-1-1 0,0-1 0,-1-2 0,-1 0 0,-1-2 0,-1-1 0,-1-1 0,0-1 0,-2-1 0,-1 0 0,0-2 0,-2 0 0,15-30 0,-11 14 0,-2-2 0,-1 0 0,-3 0 0,-1-2 0,-3 0 0,-1 0 0,-3-1 0,4-56 0,-9-62 0,-3 146 0,-2 0 0,0 0 0,-1 0 0,-1 1 0,-1-1 0,-10-24 0,15 42 0,-1 0 0,1 0 0,0 0 0,0 0 0,-1 0 0,1 0 0,-1 0 0,1 0 0,-1 0 0,1 0 0,-1 0 0,1 0 0,-1 0 0,0 1 0,0-1 0,1 0 0,-1 0 0,0 1 0,0-1 0,0 1 0,0-1 0,0 0 0,0 1 0,1 0 0,-1-1 0,0 1 0,-1 0 0,1-1 0,0 1 0,0 0 0,0 0 0,0 0 0,0 0 0,0 0 0,-1 0 0,0 2 0,0-1 0,0 1 0,0-1 0,0 1 0,0 0 0,0 0 0,1 0 0,-1 0 0,1 0 0,-1 0 0,1 1 0,0-1 0,0 0 0,-1 4 0,-7 17 0,1 1 0,1 1 0,1 0 0,-4 46 0,1 109 0,9-159 0,-1 50 0,3 0 0,3 0 0,3-1 0,26 105 0,-25-143 0,2-1 0,1 0 0,1 0 0,35 56 0,-37-70 0,2 0 0,0 0 0,1-1 0,1-1 0,0 0 0,1-1 0,1-1 0,30 19 0,-35-25 0,0 0 0,1-2 0,-1 1 0,1-2 0,1 0 0,-1 0 0,0-1 0,1-1 0,0 0 0,-1-1 0,1 0 0,0-1 0,0-1 0,-1 0 0,1-1 0,0 0 0,17-7 0,-19 6 0,-1-2 0,-1 0 0,1 0 0,0-1 0,-1 0 0,0-1 0,-1 0 0,0 0 0,0-1 0,0-1 0,-1 1 0,0-1 0,-1-1 0,0 1 0,0-1 0,-1 0 0,-1-1 0,1 0 0,-2 0 0,5-13 0,-3 3 0,0 1 0,-1-1 0,-2 1 0,0-1 0,-1 0 0,-1-1 0,-1 1 0,-1 0 0,0 0 0,-2 0 0,-1 0 0,0 1 0,-9-25 0,12 42 0,0 0 0,-1 1 0,1-1 0,-1 1 0,1-1 0,-1 1 0,0 0 0,0 0 0,0 0 0,0 0 0,-4-3 0,6 4 0,-1 1 0,0-1 0,0 1 0,0 0 0,0-1 0,0 1 0,0 0 0,0-1 0,1 1 0,-1 0 0,0 0 0,0 0 0,0 0 0,0 0 0,0 0 0,0 0 0,0 0 0,0 1 0,0-1 0,0 0 0,0 0 0,-1 2 0,0-1 0,0 0 0,0 1 0,1 0 0,-1-1 0,1 1 0,0 0 0,0 0 0,-1 0 0,1 0 0,0 0 0,0 0 0,1 0 0,-1 0 0,0 0 0,1 0 0,-1 1 0,1-1 0,0 0 0,0 0 0,0 1 0,0-1 0,0 0 0,0 0 0,1 1 0,0 2 0,0 0 0,-1 0 0,2 1 0,-1-1 0,0 0 0,1-1 0,0 1 0,0 0 0,1 0 0,-1-1 0,1 1 0,0-1 0,0 0 0,1 0 0,-1 0 0,1 0 0,0-1 0,0 0 0,0 1 0,0-1 0,1-1 0,-1 1 0,1-1 0,-1 1 0,1-1 0,0-1 0,0 1 0,0-1 0,0 1 0,0-2 0,1 1 0,-1 0 0,0-1 0,0 0 0,7-1 0,1 0 0,1-1 0,0 0 0,-1-2 0,1 1 0,-1-1 0,0-1 0,0-1 0,-1 1 0,1-2 0,-1 0 0,20-16 0,-10 3 0,-2 0 0,0-2 0,-1 0 0,-1-1 0,-2-1 0,0-1 0,-1 0 0,-2-1 0,-1-1 0,12-36 0,0-12 0,-3-2 0,16-123 0,-26 137 0,-3 0 0,-3 0 0,-3-1 0,-8-87 0,6 147 0,-1 1 0,1 0 0,-1-1 0,0 1 0,1 0 0,-1 0 0,-1-1 0,1 1 0,0 0 0,-4-5 0,4 8 0,1 0 0,0 0 0,-1-1 0,1 1 0,-1 0 0,1 0 0,-1 0 0,1 0 0,0 0 0,-1 0 0,1 0 0,-1 0 0,1 0 0,-1 0 0,1 0 0,-1 0 0,1 0 0,0 0 0,-1 0 0,1 1 0,-1-1 0,1 0 0,-1 0 0,1 0 0,0 1 0,-1-1 0,1 0 0,0 1 0,-1-1 0,1 0 0,0 1 0,-1-1 0,1 0 0,0 1 0,0-1 0,-1 0 0,1 1 0,0-1 0,0 1 0,0-1 0,-1 1 0,-4 10 0,0 1 0,1-1 0,0 1 0,-4 16 0,-10 64 0,3 0 0,5 1 0,1 101 0,10-119 0,3 1 0,4-1 0,3 0 0,27 99 0,-31-148 0,2-1 0,1 1 0,1-1 0,1-1 0,1 0 0,1-1 0,1 0 0,1-1 0,1-1 0,37 35 0,-40-44 0,0-1 0,1 0 0,0-1 0,1-1 0,0 0 0,0-1 0,1-1 0,0-1 0,1 0 0,-1-1 0,1-1 0,0 0 0,0-2 0,0 0 0,1-1 0,35-2 0,-31-2 0,-1-1 0,0-1 0,0-1 0,-1-1 0,0-1 0,0 0 0,0-2 0,-1 0 0,-1-2 0,0 0 0,0-1 0,-1-1 0,-1 0 0,-1-2 0,25-28 0,-20 19 0,-1-1 0,-1-1 0,-2 0 0,-1-1 0,-1-1 0,-1-1 0,-2 0 0,-1-1 0,-1 0 0,7-39 0,-14 49 0,0 1 0,-2-1 0,0-32 0,-1 48 0,0 1 0,-1-1 0,1 1 0,-1-1 0,0 1 0,0 0 0,0-1 0,0 1 0,-1 0 0,0 0 0,0 0 0,0 0 0,0 0 0,0 0 0,-1 1 0,0-1 0,0 1 0,0-1 0,0 1 0,0 0 0,-1 0 0,-4-2 0,7 4 0,-1 0 0,0 1 0,0-1 0,0 0 0,0 1 0,0 0 0,0-1 0,0 1 0,0 0 0,0 0 0,0 0 0,0 0 0,0 1 0,0-1 0,0 0 0,0 1 0,0-1 0,0 1 0,0 0 0,0 0 0,-3 1 0,1 1 0,0 1 0,0-1 0,0 1 0,0-1 0,1 1 0,0 0 0,-1 0 0,-3 7 0,-2 7 0,0 0 0,1 0 0,-9 31 0,8-21 0,2 0 0,1 1 0,1 0 0,1 0 0,2 0 0,1 0 0,1 1 0,6 40 0,-5-58 0,2 0 0,0-1 0,0 1 0,1-1 0,0 1 0,1-1 0,0-1 0,1 1 0,0-1 0,1 0 0,0 0 0,1-1 0,0 0 0,0 0 0,1-1 0,0 0 0,0 0 0,1-1 0,0 0 0,0-1 0,1 0 0,0-1 0,15 6 0,2-2 11,0-2 0,1-1 0,0-1-1,0-1 1,0-2 0,0 0 0,0-3 0,44-4-1,0-6-497,0-3-1,80-27 1,61-30-6339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29.31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1838 905 24575,'-4'141'0,"-24"151"0,-42 134 0,-23 212 0,92-631 0,0 11 0,1-40 0,14-475 32,41-3-2011,-19 311 1546,9 1 0,9 3-1,106-249 1,-136 378 433,2 1 0,59-88 0,-81 137-8,-1 1-1,1 0 1,0 0 0,1 0 0,-1 1 0,1 0 0,0 0-1,0 0 1,0 0 0,8-4 0,-11 8 13,-1-1 0,0 1 0,1 0 0,-1-1 0,1 1 0,-1 0 0,1 0 0,-1 0 0,1 0 0,-1 0 0,1 0 0,-1 0 0,1 1 0,-1-1 0,1 0 0,-1 1 0,3 0 0,-2 1 25,1 0 0,-1-1 0,0 1 0,1 0 0,-1 0 0,0 1 0,0-1 0,-1 0 0,1 1 0,0-1 0,2 5 0,5 14 332,0 0-1,-1 1 0,-1 0 0,-1 0 0,-1 1 0,2 24 1,5 145 429,-12-142-791,-3-1 0,-2 0 0,-2-1 0,-2 1 0,-2-1 0,-2-1 0,-2 0 0,-2-1 0,-3-1 0,-1-1 0,-2 0 0,-2-2 0,-2-1 0,-2-1 0,-1-1 0,-50 49 0,46-54 0,-1-1 0,-2-1 0,-2-2 0,0-2 0,-2-2 0,-50 25 0,33-28 0,54-21 0,0-1 0,-1 0 0,1 0 0,0-1 0,0 1 0,-1-1 0,1 0 0,0 0 0,0-1 0,-9-1 0,12 2 0,0 0 0,-1-1 0,1 1 0,0-1 0,0 1 0,0-1 0,-1 1 0,1-1 0,0 0 0,0 1 0,0-1 0,0 0 0,0 0 0,1 0 0,-1 0 0,0 0 0,0 0 0,0 0 0,1 0 0,-1 0 0,1 0 0,-1 0 0,1-1 0,-1 1 0,1 0 0,0 0 0,-1 0 0,1-1 0,0 1 0,0 0 0,0-1 0,0 1 0,0 0 0,0 0 0,0-1 0,1 1 0,-1 0 0,0 0 0,1-2 0,1-2 0,0 1 0,0-1 0,0 1 0,1 0 0,-1 0 0,1 0 0,0 0 0,0 1 0,5-6 0,-3 5 0,-1 1 0,1 0 0,0-1 0,-1 2 0,1-1 0,1 0 0,-1 1 0,0 0 0,1 0 0,-1 1 0,0 0 0,1 0 0,0 0 0,-1 0 0,1 1 0,0 0 0,-1 0 0,1 0 0,0 1 0,-1 0 0,1 0 0,-1 1 0,7 2 0,2 1 0,-1 1 0,0 0 0,0 2 0,0-1 0,-1 1 0,0 1 0,-1 0 0,14 14 0,2 6 0,-1 0 0,38 58 0,34 75 0,-56-89 0,-19-35 0,124 191 0,-129-205 0,0-1 0,2-1 0,1-1 0,1-1 0,0-1 0,1-1 0,29 17 0,-42-29 0,0 0 0,1-1 0,-1 0 0,1-1 0,0 0 0,1-1 0,-1 0 0,0-1 0,1 0 0,-1-1 0,1 0 0,0-1 0,-1 0 0,1-1 0,0 0 0,-1-1 0,1 0 0,-1-1 0,0 0 0,0-1 0,0 0 0,0-1 0,12-8 0,-6 2-151,0-1-1,-1-1 0,0 0 0,-2-1 1,1-1-1,-2 0 0,0-1 1,17-27-1,19-43-6674</inkml:trace>
  <inkml:trace contextRef="#ctx0" brushRef="#br0" timeOffset="1532.05">3046 1690 24575,'0'-29'0,"-2"1"0,0-1 0,-11-44 0,11 63 0,0 1 0,-1-1 0,-1 1 0,1 0 0,-1 0 0,-1 0 0,0 0 0,0 1 0,-1 0 0,0 0 0,0 0 0,-1 1 0,0-1 0,0 2 0,-15-12 0,19 16 0,1 1 0,-1-1 0,0 1 0,0 0 0,1 0 0,-1 0 0,0 0 0,0 1 0,0-1 0,0 1 0,0-1 0,0 1 0,0 0 0,0 0 0,0 0 0,0 1 0,0-1 0,-5 3 0,3-2 0,0 2 0,1-1 0,0 0 0,0 1 0,0 0 0,0 0 0,0 0 0,0 1 0,1-1 0,-5 7 0,-3 4 0,2 1 0,0 0 0,1 1 0,0-1 0,-7 26 0,2 2 0,2 0 0,1 1 0,3 0 0,2 0 0,0 75 0,5-112 0,0 1 0,1 0 0,0 0 0,0-1 0,1 1 0,0-1 0,1 1 0,5 13 0,-6-18 0,0 0 0,-1-1 0,1 1 0,0 0 0,0-1 0,1 0 0,-1 1 0,0-1 0,1 0 0,-1 0 0,1-1 0,0 1 0,0 0 0,-1-1 0,1 1 0,0-1 0,0 0 0,1 0 0,-1-1 0,0 1 0,0 0 0,0-1 0,5 0 0,-1 0 0,0-1 0,0 0 0,-1 0 0,1-1 0,0 0 0,-1 0 0,1 0 0,-1-1 0,1 0 0,-1 0 0,0-1 0,-1 0 0,1 0 0,-1 0 0,1-1 0,-1 1 0,4-7 0,5-4 0,-2 0 0,0-2 0,-1 1 0,15-30 0,-14 21 0,-1 0 0,-2-1 0,0 0 0,-2 0 0,7-50 0,-15 99 0,-1-3 0,1 0 0,1 1 0,1-1 0,4 24 0,-4-40 0,-1 0 0,1 0 0,0 0 0,1 0 0,-1 0 0,1-1 0,-1 1 0,1 0 0,0-1 0,1 1 0,-1-1 0,1 0 0,-1 0 0,1 0 0,0 0 0,0 0 0,0 0 0,0-1 0,1 1 0,-1-1 0,1 0 0,-1 0 0,1-1 0,0 1 0,0-1 0,8 2 0,-5-2 0,1-1 0,0 1 0,-1-2 0,1 1 0,0-1 0,-1 0 0,1-1 0,-1 0 0,1 0 0,-1-1 0,0 0 0,0 0 0,0 0 0,0-1 0,-1 0 0,10-8 0,0-1 0,0 0 0,-1-2 0,0 0 0,23-31 0,-16 13 0,26-53 0,-1 2 0,-47 83 0,1-1 0,0 1 0,0 0 0,0 0 0,0 0 0,0-1 0,0 1 0,0 0 0,0 0 0,0 0 0,1 1 0,0-2 0,-1 2 0,-1 0 0,0 0 0,1 0 0,-1 0 0,0 0 0,1 0 0,-1 0 0,1 0 0,-1 0 0,0 0 0,1 0 0,-1 0 0,0 0 0,1 0 0,-1 0 0,0 0 0,1 1 0,-1-1 0,0 0 0,0 0 0,1 0 0,-1 1 0,0-1 0,0 0 0,1 0 0,-1 1 0,0-1 0,0 0 0,1 1 0,-1-1 0,0 1 0,2 4 0,0 0 0,0 0 0,-1 0 0,1 0 0,0 8 0,0 0 0,3 9 0,1 0 0,1-1 0,12 28 0,-15-40 0,1 0 0,0-1 0,1 1 0,0-1 0,0 0 0,0 0 0,1-1 0,1 0 0,14 12 0,-18-17 0,0 1 0,0-1 0,0 0 0,1 0 0,-1-1 0,1 1 0,-1-1 0,1 0 0,-1 0 0,1-1 0,0 1 0,-1-1 0,1 0 0,0 0 0,-1-1 0,1 1 0,0-1 0,-1 0 0,1 0 0,-1-1 0,5-1 0,5-3 0,-1-1 0,0 0 0,0-1 0,-1 0 0,18-16 0,13-16 0,-2-3 0,-2-1 0,51-75 0,-28 36 0,-51 69 0,-7 7 0,1 0 0,0 1 0,1-1 0,-1 1 0,1 0 0,0 0 0,1 1 0,-1 0 0,1 0 0,13-7 0,-19 12 0,0 0 0,0 0 0,0-1 0,0 1 0,0 0 0,0 0 0,0 0 0,0 0 0,0 0 0,0 0 0,0 0 0,0 1 0,0-1 0,0 0 0,0 0 0,0 1 0,0-1 0,0 1 0,0-1 0,-1 1 0,1-1 0,0 1 0,0 0 0,0-1 0,-1 1 0,1 0 0,0 0 0,-1-1 0,1 1 0,0 0 0,-1 0 0,1 0 0,-1 0 0,1 0 0,-1 0 0,0 0 0,1 0 0,-1 0 0,0 1 0,2 6 0,0 1 0,-1-1 0,1 16 0,-2-17 0,1 9 0,1 1 0,0 0 0,8 29 0,-8-40 0,0-1 0,0 1 0,1-1 0,0 0 0,0 0 0,0 0 0,0-1 0,1 1 0,0-1 0,0 1 0,0-1 0,0 0 0,1-1 0,-1 1 0,8 3 0,-2-2 0,0-1 0,1 0 0,-1-1 0,1 0 0,0 0 0,0-2 0,0 1 0,0-1 0,0 0 0,0-1 0,0-1 0,1 0 0,-1 0 0,13-4 0,12-4 0,-1-1 0,0-2 0,35-17 0,-33 12 0,-1-2 0,0-1 0,-1-2 0,45-37 0,-62 44 0,-1-1 0,0-1 0,-1 0 0,-1-1 0,-1 0 0,-1-1 0,0-1 0,-2 0 0,12-26 0,-20 38 0,0 0 0,-1 1 0,0-1 0,0 0 0,-1 0 0,0 0 0,0 0 0,-1-11 0,0 16 0,-1 0 0,1 1 0,0-1 0,-1 0 0,0 1 0,0-1 0,0 0 0,0 1 0,0-1 0,0 1 0,-1-1 0,1 1 0,-1 0 0,1 0 0,-1 0 0,0 0 0,0 0 0,0 0 0,0 0 0,0 0 0,-1 1 0,1-1 0,0 1 0,-1 0 0,1 0 0,-1 0 0,-3-2 0,0 2 0,0 0 0,-1 0 0,1 0 0,0 1 0,0 0 0,0 0 0,-1 1 0,1-1 0,-10 4 0,0 0 0,0 1 0,-23 11 0,11-3 0,2 1 0,0 2 0,0 0 0,2 2 0,-34 30 0,42-33 0,1 1 0,0 1 0,1 0 0,1 1 0,0 1 0,1 0 0,2 0 0,-11 25 0,18-37 0,0 1 0,1 0 0,0 0 0,0 1 0,-1 15 0,3-21 0,0 0 0,0-1 0,0 1 0,0 0 0,1-1 0,0 1 0,-1-1 0,1 1 0,0-1 0,0 1 0,0-1 0,0 1 0,1-1 0,-1 0 0,1 1 0,-1-1 0,1 0 0,0 0 0,0 0 0,0-1 0,0 1 0,3 2 0,1-1 0,1 1 0,0-1 0,1-1 0,-1 1 0,0-1 0,1-1 0,-1 1 0,1-1 0,-1 0 0,1-1 0,0 0 0,-1 0 0,12-2 0,0-1 0,0 0 0,0-2 0,0 0 0,21-9 0,-17 3 0,-1-1 0,0-1 0,0-1 0,23-20 0,32-21 0,-76 54 0,1 0 0,-1 0 0,1 0 0,-1 1 0,1-1 0,-1 0 0,1 1 0,0-1 0,-1 1 0,1-1 0,0 1 0,-1 0 0,1 0 0,0 0 0,0 0 0,-1 0 0,1 0 0,0 0 0,0 0 0,1 1 0,-1 0 0,-1 0 0,1 0 0,-1 0 0,0 0 0,1 0 0,-1 1 0,0-1 0,0 0 0,0 1 0,0-1 0,0 1 0,0-1 0,0 1 0,0-1 0,-1 1 0,2 2 0,1 9 0,-1-1 0,0 1 0,0 0 0,-1 19 0,-1-23 0,-2 440 0,-2-227 0,4-193 0,-9 293 0,3-248 0,-3-1 0,-24 95 0,27-145 0,-1-1 0,-1 1 0,-1-2 0,-22 41 0,27-56 0,1 0 0,-1-1 0,0 1 0,0-1 0,0 0 0,-1-1 0,0 1 0,0-1 0,0 1 0,0-1 0,-1-1 0,0 1 0,0-1 0,0 0 0,0-1 0,0 1 0,0-1 0,-1 0 0,1-1 0,-1 0 0,-8 1 0,9-2 0,1 0 0,-1-1 0,1 0 0,0 0 0,-1 0 0,1-1 0,0 0 0,0 0 0,0 0 0,0-1 0,0 1 0,1-1 0,-1-1 0,1 1 0,0 0 0,-1-1 0,-5-7 0,0-1 0,1 0 0,1 0 0,0-1 0,1 1 0,-9-23 0,3 1 0,1-1 0,2 0 0,2-1 0,1 0 0,-4-61 0,9 40 0,2 0 0,3 1 0,10-59 0,-2 59 0,3 0 0,2 0 0,3 2 0,1 0 0,3 1 0,3 1 0,2 2 0,61-87 0,-5 32 0,3 2 0,168-149 0,-211 212 0,126-122 0,-133 124 0,-2-1 0,40-61 0,-66 86 0,-1 1 0,0-1 0,0 0 0,-2 0 0,0-1 0,0 0 0,3-17 0,-8 30 0,-1 1 0,1-1 0,-1 0 0,0 1 0,1-1 0,-1 0 0,0 0 0,0 1 0,0-1 0,0 0 0,-1 0 0,1 1 0,0-1 0,-1 0 0,1 1 0,-1-1 0,0 1 0,1-1 0,-1 1 0,0-1 0,0 1 0,0-1 0,0 1 0,0-1 0,0 1 0,0 0 0,-1 0 0,1 0 0,0 0 0,-1 0 0,1 0 0,-3-1 0,1 1 0,-1 1 0,1-1 0,0 1 0,-1 0 0,1 0 0,-1 0 0,1 0 0,0 1 0,-1-1 0,1 1 0,0 0 0,-1 0 0,1 0 0,0 1 0,-5 2 0,-5 3 0,1 1 0,0 0 0,0 1 0,1 1 0,0 0 0,1 0 0,0 1 0,0 0 0,1 1 0,1 0 0,0 1 0,1-1 0,0 1 0,1 1 0,0-1 0,-6 25 0,10-28 0,-1 1 0,1 0 0,1 0 0,0 0 0,1 0 0,0 0 0,1 0 0,0 0 0,0 0 0,4 12 0,-2-15 0,0 0 0,0 1 0,1-1 0,0-1 0,0 1 0,1-1 0,0 1 0,0-1 0,1 0 0,0-1 0,0 0 0,0 0 0,13 9 0,0-3 0,0-1 0,1-1 0,-1-1 0,2-1 0,-1-1 0,1 0 0,0-2 0,43 6 0,-11-6 0,1-2 0,81-6 0,8-13-1365,-14-7-5461</inkml:trace>
  <inkml:trace contextRef="#ctx0" brushRef="#br0" timeOffset="2284.11">7165 425 24575,'1'0'0,"-1"0"0,0 0 0,1 0 0,-1-1 0,0 1 0,1 0 0,-1 0 0,0 0 0,1 0 0,-1-1 0,0 1 0,1 0 0,-1 0 0,1 0 0,-1 0 0,0 0 0,1 0 0,-1 0 0,0 0 0,1 0 0,-1 0 0,1 0 0,-1 0 0,0 1 0,1-1 0,-1 0 0,0 0 0,1 0 0,-1 0 0,0 1 0,1-1 0,-1 0 0,0 0 0,0 1 0,1-1 0,-1 0 0,0 0 0,0 1 0,1-1 0,-1 0 0,0 1 0,0-1 0,0 0 0,1 1 0,-1-1 0,2 23 0,-2-23 0,-2 29 0,-1-1 0,-1 0 0,-11 38 0,0-1 0,11-42 0,-28 155 0,27-139 0,1 0 0,4 61 0,0-98 0,5 39 0,-5-40 0,1 0 0,-1 0 0,0 0 0,0 0 0,1 0 0,-1 0 0,0 0 0,1 0 0,-1 0 0,1 0 0,-1 0 0,1-1 0,0 1 0,-1 0 0,1 0 0,0 0 0,-1-1 0,1 1 0,0 0 0,0-1 0,0 1 0,0-1 0,0 1 0,0-1 0,0 1 0,0-1 0,0 0 0,0 0 0,0 1 0,0-1 0,1 0 0,0 0 0,-1-1 0,1 1 0,0-1 0,-1 0 0,1 0 0,-1 1 0,1-1 0,-1 0 0,0 0 0,1 0 0,-1-1 0,0 1 0,0 0 0,0 0 0,0-1 0,0 1 0,0 0 0,0-1 0,1-2 0,15-38 0,-11 17 0,0-1 0,-2 1 0,2-43 0,-8-79 0,1 89 0,-6-87 0,2 61 0,3-1 0,12-114 0,-9 190 0,1-1 0,0 1 0,0-1 0,1 1 0,1 0 0,-1 0 0,1 0 0,1 0 0,-1 1 0,2 0 0,10-15 0,-10 17 0,1 0 0,-1 1 0,1 0 0,0 0 0,0 0 0,1 1 0,-1 0 0,1 0 0,0 1 0,0 0 0,0 0 0,0 1 0,12-2 0,-10 3 0,0-1 0,1 2 0,-1-1 0,1 2 0,-1-1 0,1 1 0,-1 1 0,0 0 0,1 0 0,-1 1 0,0 0 0,0 1 0,-1 0 0,1 1 0,-1 0 0,0 0 0,0 1 0,-1 0 0,9 8 0,-3-1 0,-2 0 0,1 1 0,-2 1 0,0 0 0,0 0 0,-2 1 0,0 1 0,-1-1 0,0 1 0,6 24 0,2 15 10,-3 1 0,13 115 0,-14 125-465,-33 225-1729,-35-1 2336,40-383-248,-21 174 94,-36 358-141,71-643 124,-2 54 3,4-75 16,0-1 1,1 1-1,-1-1 1,1 0 0,0 1-1,1-1 1,0 0 0,-1 0-1,1 0 1,5 8-1,-7-12 0,1-1 0,0 1 0,-1 0 0,1 0 0,0-1 0,-1 1 0,1 0 0,0-1 0,0 1 0,0-1 0,0 1 0,0-1 0,-1 1 0,1-1 0,0 0 0,0 1 0,0-1 0,0 0 0,0 0 0,0 0 0,0 1 0,0-1 0,0 0 0,0-1 0,0 1 0,0 0 0,0 0 0,0 0 0,0-1 0,0 1 0,0 0 0,0-1 0,0 1 0,0-1 0,0 1 0,1-1 0,6-5 0,0 0 0,-1 0 0,0 0 0,0-1 0,0 0 0,8-12 0,35-48 0,-4-3 0,49-100 0,-12 4-148,-7-3-1,-8-4 0,-7-2 0,48-232 1,-72 180-320,-34 205 450,-1 1-1,-2-1 1,0 1 0,-1-1-1,-1 1 1,-1 0 0,-8-31 0,8 44 19,0-1 0,-1 1 1,0 1-1,0-1 1,-1 1-1,0-1 0,0 1 1,-1 1-1,1-1 1,-2 1-1,1 0 0,-1 0 1,1 1-1,-2 0 1,1 0-1,0 0 0,-1 1 1,0 1-1,0-1 1,-11-2-1,-10-2-1,0 1 0,0 1 0,-1 2 0,0 1 0,-42 1 0,-148 17 0,112-1 0,98-12-11,-27 1-101,37-3 115,0 0-1,0 0 0,0 0 0,-1 0 1,1 0-1,0 0 0,0 0 0,0 0 1,0 0-1,0 0 0,0 0 1,0 0-1,-1 0 0,1-1 0,0 1 1,0 0-1,0 0 0,0 0 1,0 0-1,0 0 0,0 0 0,0 0 1,0 0-1,-1 0 0,1 0 1,0 0-1,0-1 0,0 1 0,0 0 1,0 0-1,0 0 0,0 0 1,0 0-1,0 0 0,0 0 0,0 0 1,0-1-1,0 1 0,0 0 0,0 0 1,0 0-1,0 0 0,0 0 1,0 0-1,0 0 0,0-1 0,0 1 1,0 0-1,0 0 0,0 0 1,0 0-1,0 0 0,0 0 0,0 0 1,1 0-1,-1-1 0,0 1 1,0 0-1,0 0 0,0 0 0,0 0 1,0 0-1,0 0 0,0 0 1,1 0-1,18-13 474,60-25 348,24-8-6288</inkml:trace>
  <inkml:trace contextRef="#ctx0" brushRef="#br0" timeOffset="3679.24">4904 3166 24575,'0'-8'0,"0"0"0,-1 0 0,0 0 0,0 0 0,-1 1 0,0-1 0,-1 1 0,-3-9 0,5 15 0,1-1 0,-1 0 0,0 1 0,0-1 0,0 1 0,0 0 0,0-1 0,-1 1 0,1 0 0,0-1 0,-1 1 0,1 0 0,0 0 0,-1 0 0,0 0 0,1 0 0,-1 1 0,1-1 0,-1 0 0,0 1 0,0-1 0,1 1 0,-1 0 0,0-1 0,0 1 0,1 0 0,-1 0 0,0 0 0,0 0 0,0 1 0,1-1 0,-1 0 0,0 1 0,0-1 0,1 1 0,-1 0 0,0-1 0,1 1 0,-1 0 0,1 0 0,-3 2 0,-4 3 0,1 1 0,-1-1 0,2 1 0,-1 1 0,1-1 0,0 1 0,1 0 0,-1 1 0,2-1 0,-6 12 0,-8 18 0,2 1 0,1 1 0,2 1 0,-13 68 0,-9 174 0,33-267 0,-10 215 0,12-197 0,2 1 0,1 0 0,2 0 0,14 50 0,-17-75 0,1 0 0,1 0 0,0 0 0,1 0 0,0-1 0,0 0 0,1 0 0,0 0 0,0-1 0,1 1 0,0-2 0,1 1 0,-1-1 0,2 0 0,-1-1 0,1 1 0,0-2 0,0 1 0,0-2 0,1 1 0,0-1 0,0 0 0,0-1 0,0 0 0,0-1 0,1 0 0,-1-1 0,15 1 0,-1-3 0,-1 0 0,1-2 0,0 0 0,-1-2 0,1-1 0,-1 0 0,-1-2 0,1 0 0,-2-2 0,1-1 0,22-14 0,7-8 0,-1-2 0,-2-2 0,51-53 0,-63 55 0,-1-2 0,-2-2 0,49-75 0,-64 84 0,-2-1 0,0 0 0,-2-2 0,-2 1 0,0-1 0,7-44 0,-16 65 0,0 0 0,-2 0 0,1 0 0,-2 0 0,1 0 0,-2-1 0,0 1 0,0 0 0,-1 0 0,0 0 0,-6-16 0,7 26 0,0-1 0,0 1 0,0 0 0,0-1 0,0 1 0,-1 0 0,1 0 0,-1-1 0,1 1 0,-1 0 0,0 1 0,0-1 0,0 0 0,0 0 0,0 1 0,0-1 0,0 1 0,0 0 0,-1 0 0,1 0 0,-1 0 0,1 0 0,-1 0 0,1 1 0,-1-1 0,1 1 0,-1-1 0,0 1 0,1 0 0,-1 0 0,1 0 0,-1 1 0,1-1 0,-1 1 0,0-1 0,1 1 0,-4 1 0,-1 1 0,0 1 0,1 0 0,-1 0 0,0 0 0,1 1 0,0 0 0,0 0 0,1 0 0,-1 1 0,1 0 0,-6 9 0,1 0 0,1 1 0,1-1 0,1 2 0,0-1 0,1 1 0,0 0 0,2 0 0,0 0 0,-2 22 0,5-31 0,0 1 0,1-1 0,0 0 0,1 0 0,-1 0 0,1 0 0,1 0 0,0 0 0,0 0 0,0-1 0,1 1 0,0-1 0,1 1 0,-1-1 0,1 0 0,1 0 0,-1-1 0,1 1 0,1-1 0,-1 0 0,1-1 0,9 8 0,-6-6 0,1-1 0,0 0 0,0-1 0,1 0 0,0-1 0,0 0 0,0-1 0,0 0 0,0 0 0,1-1 0,18 1 0,-14-3 0,-1-1 0,1-1 0,0 0 0,0 0 0,0-2 0,-1 0 0,27-11 0,-18 4 0,0-1 0,0-2 0,-2 0 0,0-1 0,0-1 0,-1-1 0,-2-1 0,1-1 0,30-41 0,-32 34 0,-1-1 0,-1-2 0,-2 1 0,-1-2 0,-1 1 0,-1-2 0,8-39 0,-6 1 0,-2-1 0,2-85 0,-10 103 0,-3 1 0,-2-1 0,-14-79 0,13 115 0,-1 0 0,-1 0 0,-11-27 0,15 41 0,0 0 0,0-1 0,-1 1 0,1 0 0,0 0 0,-1 0 0,1 0 0,-1 0 0,0 0 0,0 0 0,0 1 0,0-1 0,0 1 0,0-1 0,0 1 0,0 0 0,0-1 0,-5 0 0,5 2 0,0 0 0,0 0 0,0 0 0,0 1 0,1-1 0,-1 1 0,0-1 0,0 1 0,0-1 0,0 1 0,0 0 0,1 0 0,-1 0 0,0 0 0,1 0 0,-1 1 0,1-1 0,-1 0 0,1 1 0,0-1 0,-1 1 0,1-1 0,-2 4 0,-4 6 0,1 0 0,0 0 0,0 1 0,1 0 0,0 0 0,-3 16 0,-16 85 0,13-38 0,2 0 0,4 0 0,5 91 0,1-133 0,2-1 0,2 0 0,1 0 0,1 0 0,2-1 0,1 0 0,1 0 0,2-1 0,1-1 0,19 29 0,-23-44 0,0 1 0,2-2 0,0 0 0,0 0 0,1-1 0,1 0 0,19 12 0,-22-17 0,0-1 0,1 0 0,-1-1 0,1 0 0,0 0 0,1-2 0,-1 1 0,1-2 0,-1 0 0,23 1 0,-16-3 0,1-2 0,0 0 0,-1-1 0,0-1 0,1-1 0,-2 0 0,1-2 0,-1 0 0,0-1 0,0-1 0,-1 0 0,0-2 0,0 0 0,-2 0 0,1-2 0,15-16 0,-8 6 0,-2-1 0,0-1 0,-1-1 0,-2-1 0,-1-1 0,-1 0 0,-1-1 0,-2-1 0,11-34 0,-12 28 0,-3-1 0,-1 0 0,4-44 0,-10 67 0,-1 1 0,-1-1 0,0 0 0,-1 0 0,-1 0 0,0 0 0,0 0 0,-2 1 0,0-1 0,0 1 0,-11-22 0,14 33 0,0 0 0,0 0 0,0 0 0,0 0 0,0 0 0,-1 0 0,1 0 0,-1 1 0,0-1 0,1 0 0,-1 1 0,0-1 0,0 1 0,0 0 0,0 0 0,0-1 0,0 1 0,0 0 0,0 1 0,-1-1 0,1 0 0,0 1 0,0-1 0,-1 1 0,1 0 0,0 0 0,-1 0 0,1 0 0,0 0 0,-1 0 0,-2 1 0,0 1 0,0 1 0,0 0 0,0-1 0,0 1 0,0 1 0,1-1 0,-1 1 0,1 0 0,0 0 0,0 0 0,0 1 0,-4 7 0,-8 11 0,2 1 0,1 1 0,1 0 0,-18 53 0,-18 116 0,37-132 0,-5 76 0,15-109 0,1 1 0,1 0 0,1-1 0,11 49 0,-11-68 0,1 0 0,0-1 0,1 0 0,0 1 0,0-1 0,1-1 0,0 1 0,0-1 0,1 1 0,0-2 0,10 10 0,-11-12 0,1 0 0,0 0 0,1-1 0,-1 0 0,1 0 0,0-1 0,0 0 0,0 0 0,1 0 0,-1-1 0,0 0 0,1-1 0,0 1 0,14-1 0,-3-1 0,-1-1 0,0-1 0,0-1 0,0 0 0,0-1 0,0-2 0,-1 1 0,28-14 0,-2-3 0,-2-2 0,46-34 0,-24 11 0,-3-3 0,-1-2 0,-3-3 0,-3-2 0,-2-2 0,-3-3 0,-2-2 0,70-131 0,-105 175 0,0-2 0,-2 1 0,0-1 0,-2-1 0,0 0 0,4-29 0,-10 50 0,-1-1 0,0 1 0,1 0 0,-1-1 0,-1 1 0,1 0 0,0-1 0,0 1 0,-1 0 0,1-1 0,-1 1 0,0 0 0,0 0 0,0 0 0,0 0 0,0-1 0,0 1 0,-2-1 0,3 2 0,-1 1 0,1 0 0,-1-1 0,1 1 0,-1 0 0,1 0 0,-1-1 0,1 1 0,-1 0 0,1 0 0,-1 0 0,1 0 0,-1 0 0,0 0 0,1 0 0,-1 0 0,1 0 0,-1 0 0,1 0 0,-1 0 0,1 0 0,-1 0 0,1 1 0,-1-1 0,0 0 0,-1 1 0,0 1 0,1-1 0,-1 0 0,1 0 0,-1 1 0,1-1 0,-1 1 0,1-1 0,0 1 0,-2 2 0,-1 4 0,0 0 0,1-1 0,0 2 0,0-1 0,1 0 0,0 1 0,0-1 0,1 1 0,0-1 0,0 1 0,1 0 0,0-1 0,1 1 0,0-1 0,0 1 0,1-1 0,0 1 0,4 9 0,6 17 0,3 1 0,35 61 0,-30-60 0,-16-29 0,0-1 0,-1 1 0,0 0 0,0 0 0,0 0 0,-1 0 0,1 11 0,-3-15 0,0 1 0,0-1 0,0 1 0,-1-1 0,0 1 0,0-1 0,0 0 0,0 1 0,-1-1 0,0 0 0,0 0 0,0 0 0,0 0 0,0 0 0,-7 6 0,-2 3 0,-1 0 0,-1-1 0,-1-1 0,1 0 0,-2 0 0,-25 13 0,-101 43 0,140-67 0,-69 27-455,0-3 0,-129 26 0,120-36-6371</inkml:trace>
  <inkml:trace contextRef="#ctx0" brushRef="#br0" timeOffset="4033.25">10097 3683 24575,'2'1'0,"-1"0"0,1 1 0,-1-1 0,0 0 0,1 1 0,-1 0 0,0-1 0,0 1 0,0-1 0,0 1 0,0 0 0,0 0 0,-1 0 0,1-1 0,-1 1 0,1 0 0,-1 0 0,0 0 0,1 0 0,-1 0 0,0 0 0,0 0 0,0 0 0,-1 0 0,0 2 0,0 0 0,-1-1 0,-1 0 0,1 0 0,0 0 0,-1 0 0,0 0 0,1 0 0,-1-1 0,0 1 0,-1-1 0,1 0 0,0 0 0,-6 2 0,-28 14 0,-1-2 0,-1-1 0,-63 14 0,99-28 0,-193 48 0,-73 10-709,-110 24-2130,-155 40 2129,-193 57-185,-202 63-2687,-190 64 2087,-3465 1114-3738,3943-1201 5894,280-103-496,274-96-113,68-20 151,12-6 117,8 3-244,0 0-1,0 0 1,0 1 0,1-1 0,-1 0 0,0 1 0,1-1 0,-1 1-1,1-1 1,-1 1 0,1 0 0,3-3 0,48-31 1367,110-60 1999</inkml:trace>
  <inkml:trace contextRef="#ctx0" brushRef="#br0" timeOffset="4593.22">7587 1039 24575,'0'1'0,"-1"-1"0,1 1 0,0 0 0,-1 0 0,1 0 0,-1-1 0,1 1 0,-1 0 0,0-1 0,1 1 0,-1 0 0,1-1 0,-1 1 0,0-1 0,0 1 0,1-1 0,-1 1 0,0-1 0,0 1 0,0-1 0,-1 0 0,-2 3 0,-24 11 0,-2-1 0,-48 15 0,61-23 0,-151 48 0,-80 18-604,-102 29-1815,-103 29 1259,-95 29-1059,219-64 1225,-928 271-2147,27 33 701,974-303 2268,227-83 422,1 0 0,-35 22 0,62-33-240,0-1 1,0 1 0,0-1 0,1 1 0,-1-1 0,0 1 0,1-1-1,-1 1 1,0 0 0,1-1 0,-1 1 0,1 0 0,-1 0 0,1-1-1,-1 1 1,1 0 0,-1 0 0,1 0 0,-1 1 0,2-1 5,-1-1-1,1 1 1,-1-1 0,0 1 0,1-1 0,-1 0-1,1 1 1,0-1 0,-1 0 0,1 1 0,-1-1-1,1 0 1,-1 0 0,1 0 0,0 1 0,-1-1-1,1 0 1,-1 0 0,1 0 0,0 0 0,-1 0 0,1 0-1,0 0 1,0 0 0,19-2 632,0-1 1,30-7-1,74-22 1003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39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219 1 24575,'30'2'0,"-1"1"0,1 2 0,47 14 0,-68-16 0,-1-1 0,0 2 0,0-1 0,0 1 0,0 0 0,-1 1 0,1-1 0,-1 2 0,0-1 0,-1 1 0,1 1 0,6 7 0,-6-4 0,0 0 0,0 1 0,-1 0 0,0 0 0,-1 1 0,0-1 0,5 23 0,-2 9 0,-2-2 0,-1 2 0,-3 87 0,-2-113 0,17 338 0,-1-90 0,15 293 0,63 342 0,-62-448 0,-33 0 0,-2-198 0,3-80 0,-25 525 0,-9-232 0,28-351 0,-13 126 0,-5 153 0,26-74 0,-4 150 0,-50 18 0,22-257 0,12-105 0,-8 103 0,24-19 0,-12 171 0,-8-193 0,-26 372 0,48-557 0,-1 10 0,1 0 0,0 0 0,1 0 0,1 1 0,5 17 0,-6-28 0,0-1 0,1 1 0,-1-1 0,1 2 0,0-2 0,0 0 0,0 0 0,1 0 0,-1 0 0,1 0 0,0 0 0,-1-1 0,1 0 0,0 1 0,1-1 0,-1 0 0,0 0 0,1-1 0,-1 1 0,1-1 0,-1 1 0,1-1 0,0 0 0,4 0 0,8 2 0,0 0 0,0-1 0,1-1 0,-1-1 0,1 0 0,-1-3 0,18-2 0,-26 4 0,0-1 0,-1 0 0,1 0 0,0-1 0,-1 0 0,0-1 0,0 0 0,0 0 0,0 0 0,-1-1 0,1 0 0,-1 0 0,-1-1 0,1 0 0,-1 0 0,7-9 0,0-7 0,-1 0 0,-1-1 0,-1 0 0,-2 0 0,0-2 0,-1 2 0,-1-2 0,-1 1 0,1-47 0,-5 64 0,0-1 0,-1 2 0,1-1 0,-1 0 0,0 0 0,-1 1 0,0-1 0,0 0 0,0 1 0,-1-1 0,0 1 0,-6-10 0,7 13 0,0 1 0,-1-1 0,1 1 0,-1-1 0,1 1 0,-1-1 0,0 1 0,0 0 0,0 1 0,0-1 0,0 1 0,0-1 0,0 1 0,-1 0 0,1 0 0,0 0 0,-1 1 0,1-1 0,0 1 0,-1 0 0,1 0 0,-1 0 0,1 0 0,-1 1 0,1-1 0,-6 3 0,3-2 0,0 1 0,1 0 0,-1 1 0,1 0 0,-1 0 0,1 1 0,0-1 0,0 1 0,0-1 0,0 1 0,1 1 0,-1-1 0,1 1 0,0-1 0,1 1 0,-1 0 0,1 2 0,0-2 0,0 0 0,1 1 0,-4 11 0,-1 10 0,0-1 0,2 2 0,-3 48 0,2-17 0,-27 390 0,35 1 0,0-333 0,8 133 0,60 358 0,-19-312 0,66 470 0,-83-503 0,26 375 0,-60-616 0,0 0 0,-2 1 0,-8 41 0,7-52 0,-1 1 0,0-2 0,-1 1 0,0-1 0,0 0 0,-2 1 0,1-2 0,-12 14 0,-16 18 0,-2-2 0,-2-1 0,-1-3 0,-2 0 0,-55 35 0,70-56 0,-1-2 0,0-1 0,-1-2 0,0 0 0,0-1 0,-1-2 0,0-2 0,-1 0 0,1-2 0,-32-1 0,53-1 0,0-2 0,0 1 0,0-1 0,0 0 0,0 0 0,0-1 0,0-1 0,1 1 0,-1-1 0,1 0 0,0-1 0,0 1 0,0-2 0,0 0 0,1 0 0,-1 0 0,1 0 0,0 0 0,1-1 0,-1 0 0,1 0 0,1-2 0,-1 2 0,1-1 0,0 0 0,-5-14 0,0-5-273,2 1 0,0-2 0,2 2 0,-4-46 0,2-25-6553</inkml:trace>
  <inkml:trace contextRef="#ctx0" brushRef="#br0" timeOffset="2325.93">854 5243 24575,'24'-1'0,"-1"-1"0,0 0 0,0-2 0,34-11 0,85-37 0,-108 38 0,40-13 0,-19 6 0,-1 0 0,-1-4 0,60-37 0,-107 58 0,0 0 0,-1 0 0,1 0 0,-1-1 0,0 0 0,-1 0 0,1 0 0,-1-2 0,0 2 0,4-7 0,-7 9 0,-1 1 0,1 0 0,0 0 0,-1 0 0,1 0 0,-1-1 0,0 1 0,0 0 0,0 0 0,0 0 0,0-1 0,0 1 0,0 0 0,-1-1 0,1 1 0,-1-1 0,0 1 0,0 0 0,0 0 0,0 0 0,0 0 0,0 0 0,0 0 0,0 1 0,-1-1 0,1 0 0,-1 1 0,1-1 0,-1 1 0,0-1 0,0 1 0,0 0 0,-2-2 0,-5-3 0,-1-1 0,0 1 0,0 0 0,-1 2 0,0-1 0,0 1 0,0 1 0,0 0 0,0 0 0,-1 1 0,1 1 0,-1 0 0,-13 0 0,23 2 0,1-1 0,-1 0 0,1 1 0,-1-1 0,1 1 0,-1-1 0,1 1 0,0-1 0,-1 1 0,1 0 0,0 0 0,0 0 0,-1 0 0,1 0 0,0 0 0,0 0 0,0 0 0,0 0 0,0 1 0,0-1 0,1 0 0,-1 1 0,0-1 0,1 0 0,-1 1 0,1-1 0,-1 1 0,1-1 0,-1 1 0,1-1 0,0 1 0,0-1 0,0 5 0,1 3 0,-1 0 0,2 0 0,-1 0 0,6 15 0,-7-23 0,63 208 0,30 118 0,32 506 0,-119-789 90,-5-42-122,-1-5-171,0-20-1017,-1-23-5606</inkml:trace>
  <inkml:trace contextRef="#ctx0" brushRef="#br0" timeOffset="3739.72">2357 5826 24575,'0'-7'0,"-1"0"0,0-1 0,0 1 0,-1 0 0,0 1 0,0-1 0,0 0 0,-1 1 0,0 0 0,0-1 0,0 1 0,-1 0 0,0 0 0,-1 0 0,1 1 0,-1 0 0,0 0 0,0 0 0,0 1 0,-1-1 0,1 1 0,-8-4 0,-1 0 0,-1 1 0,-1 0 0,1 0 0,-1 2 0,-1-1 0,1 2 0,0 0 0,-20-1 0,28 4 0,-1 1 0,1 0 0,0 0 0,0 1 0,0 0 0,-1 0 0,1 1 0,0 0 0,1 0 0,-1 1 0,0 1 0,1-1 0,-1 1 0,-9 7 0,9-5 0,0 0 0,1 1 0,0-1 0,0 2 0,1 0 0,0 0 0,0 0 0,1 0 0,0 1 0,0 0 0,-6 18 0,3-3 0,1 1 0,1-1 0,1 1 0,1 0 0,1 1 0,1 47 0,3-57 0,0 1 0,1-1 0,0 0 0,1 1 0,1-2 0,1 1 0,0 0 0,1-1 0,0-1 0,1 1 0,16 24 0,-17-32 0,-1-1 0,1 0 0,0 1 0,0-1 0,1-1 0,0 0 0,0 0 0,0-1 0,0 1 0,1-2 0,0 1 0,0-1 0,0 0 0,0-1 0,0 1 0,0-1 0,1 0 0,-1-1 0,1-1 0,-1 0 0,1 0 0,-1 0 0,1-1 0,-1 0 0,0-1 0,1-1 0,-1 1 0,0-1 0,0 0 0,0 0 0,-1-1 0,1 0 0,-1 0 0,0-1 0,0 0 0,0 0 0,-1-1 0,0 0 0,0-1 0,0 1 0,7-11 0,-2-3 0,-1-1 0,-1 1 0,-1-1 0,0 0 0,-2 0 0,0-2 0,-2 1 0,0-1 0,0-25 0,-4 47 0,0-2 0,0 1 0,0-1 0,0 0 0,1 1 0,-1-1 0,1 0 0,0 1 0,0-1 0,1-3 0,-1 6 0,-1-1 0,1 0 0,0 1 0,0-1 0,0 1 0,0 0 0,0-1 0,0 1 0,-1-1 0,1 1 0,0 0 0,0 0 0,0 0 0,0 0 0,0-1 0,0 1 0,0 1 0,0-1 0,0 0 0,0 0 0,0 0 0,0 0 0,0 1 0,0-1 0,0 0 0,0 1 0,0-1 0,1 1 0,27 10 0,-13-5 0,0-1 0,1 0 0,25 5 0,-37-9 0,0-1 0,0 0 0,0 0 0,0 0 0,0-1 0,-1 1 0,1-2 0,0 1 0,0-1 0,0 1 0,-1-1 0,1 0 0,-1 0 0,1 0 0,-1-1 0,8-5 0,-4 1 0,-1-1 0,0-1 0,0 0 0,0 0 0,-1 0 0,-1-1 0,0 1 0,0-1 0,0-1 0,-2 1 0,1-1 0,3-21 0,1-9 0,4-86 0,-12 96 0,-1 0 0,-1 0 0,-2 1 0,-1-1 0,-1 1 0,-2 0 0,0 1 0,-20-45 0,4 23 0,-1 2 0,-3 0 0,-57-75 0,84 123 0,-44-53 0,42 52 0,1-1 0,0 1 0,-1 0 0,1 0 0,-1 0 0,0 0 0,0 0 0,1 0 0,-1 1 0,0 0 0,-1-1 0,1 1 0,0 0 0,0 1 0,-6-3 0,8 3 0,0 1 0,0-1 0,0 0 0,0 2 0,0-2 0,0 1 0,0 0 0,0-1 0,0 1 0,1-1 0,-1 1 0,0 0 0,0 0 0,1 0 0,-1-1 0,0 1 0,1 0 0,-1 0 0,1 0 0,-1 0 0,1 0 0,-1 0 0,1 0 0,0 0 0,0 0 0,-1 0 0,1 1 0,0-1 0,0 0 0,0 0 0,0 0 0,0 0 0,0 0 0,1 0 0,-1 0 0,1 2 0,8 47 0,-9-50 0,16 51 0,2-1 0,3 0 0,33 59 0,93 137 0,-130-220 0,3 7 0,-2-3 0,40 51 0,-57-79 0,1 0 0,-1-1 0,1 1 0,0 0 0,-1-1 0,1 1 0,0-1 0,0 1 0,0-1 0,0 0 0,0 0 0,0 0 0,0 0 0,1 0 0,-1 0 0,0 0 0,0-1 0,1 1 0,-1-1 0,0 0 0,3 0 0,-3-1 0,0 1 0,0-1 0,0 0 0,-1-1 0,1 1 0,0 0 0,-1 0 0,1-1 0,-1 1 0,1-1 0,-1 0 0,0 1 0,1-1 0,-1 0 0,0 1 0,0-1 0,0 0 0,-1 0 0,1 0 0,0 0 0,-1 0 0,1 0 0,-1-4 0,7-28 0,-2-2 0,-1 2 0,-2-2 0,-1 0 0,-2 0 0,-2 1 0,-8-45 0,7 63 0,1 22 0,3 28 0,2-20 0,1 0 0,0 1 0,1 0 0,0-2 0,12 25 0,-13-31 0,0 0 0,0-1 0,1 0 0,0 1 0,0-2 0,0 1 0,0 0 0,1 0 0,0-1 0,0 0 0,0 0 0,0 0 0,1-1 0,10 5 0,-13-7 0,-1-1 0,1 1 0,0-1 0,0 1 0,0-1 0,0 0 0,0 0 0,0 0 0,0-1 0,0 1 0,0-1 0,0 1 0,-1-1 0,1 0 0,0 0 0,0 0 0,-1 0 0,1-1 0,-1 1 0,1-1 0,-1 0 0,0 0 0,1 0 0,-1 0 0,0 0 0,0 0 0,0 0 0,2-5 0,5-7 0,0 0 0,-1 0 0,12-29 0,-18 39 0,14-38 0,-1-1 0,-2-1 0,-2 1 0,-2-1 0,-2-1 0,2-72 0,-8 62 0,-2 0 0,-3 0 0,-2 0 0,-3 0 0,-15-55 0,23 107 0,-8-28 0,-23-57 0,30 82 0,-1-1 0,-1 1 0,1 0 0,-1 0 0,0-1 0,-1 1 0,1 1 0,-1 0 0,0 0 0,0 0 0,-1 0 0,1 1 0,-1 0 0,-9-6 0,14 9 0,-1 1 0,0-1 0,0 0 0,0 1 0,0-1 0,0 1 0,0 0 0,0-1 0,0 1 0,0 0 0,0 0 0,0 1 0,0-1 0,0 0 0,0 1 0,0-1 0,0 1 0,0-1 0,0 1 0,0 0 0,0 1 0,0-1 0,1 0 0,-1 0 0,0 1 0,1-1 0,-1 0 0,1 1 0,-1-1 0,1 1 0,-2 2 0,-1 3 0,0 0 0,0-1 0,1 1 0,0 0 0,0 2 0,1-2 0,-2 11 0,0 6 0,1-1 0,2 1 0,0 0 0,1-1 0,2 1 0,0 0 0,2 0 0,0-2 0,9 29 0,2-5 0,2-1 0,1 0 0,38 64 0,-36-76 0,1 1 0,1-2 0,29 30 0,-34-45 0,0 0 0,0 0 0,2-2 0,0-1 0,1-1 0,24 14 0,-38-24 0,0 0 0,0 0 0,1-1 0,-1 1 0,1-1 0,-1-1 0,1 1 0,0-1 0,0-1 0,0 1 0,9-1 0,-13-1 0,0 0 0,0 1 0,1-1 0,-1-1 0,-1 1 0,1 0 0,0-1 0,0 1 0,0-1 0,-1 0 0,1 0 0,-1 0 0,0 0 0,1 0 0,-1-1 0,0 1 0,0-1 0,0 1 0,-1-1 0,1 0 0,-1 0 0,1 0 0,-1-1 0,0 1 0,0 0 0,0-3 0,2-8 0,0 0 0,-2 0 0,0 0 0,0 0 0,-1 0 0,-1-1 0,0 1 0,-1 0 0,-1 0 0,0-1 0,-1 2 0,0 0 0,-1 0 0,0-1 0,-1 1 0,-1 1 0,0 0 0,-10-15 0,16 26 0,0-1 0,0 0 0,0 1 0,-1-1 0,1 1 0,0 0 0,-1-1 0,1 1 0,-1 0 0,0 0 0,1 0 0,-1 0 0,0 0 0,1 0 0,-1 0 0,0 1 0,0-1 0,0 1 0,0-1 0,-3 0 0,3 2 0,1 0 0,-1-1 0,1 1 0,0 0 0,-1 0 0,1 0 0,0 0 0,0 0 0,-1 0 0,1 0 0,0 0 0,0 1 0,0-1 0,1 0 0,-1 1 0,0-1 0,0 0 0,1 1 0,-1-1 0,1 1 0,-1-1 0,1 1 0,0 0 0,-1-1 0,1 1 0,0 2 0,-1 10 0,0 0 0,0 1 0,2-1 0,0 1 0,0-1 0,1-1 0,1 1 0,6 20 0,0-6 0,1 0 0,2 0 0,16 28 0,-12-30-136,1-1-1,2 0 1,0-1-1,1-2 1,2 0-1,0-1 1,1-1-1,1-1 0,45 26 1,-11-9-6690</inkml:trace>
  <inkml:trace contextRef="#ctx0" brushRef="#br0" timeOffset="3941.52">1913 7142 24575,'0'3'0,"28"-1"0,50-17 0,55-31 0,50-38 0,43-29 0,28-22-3195,15-2 3195,-14 10 0,-38 29 24,-58 21-24,-54 26-5020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32:49.67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24575,'-1'0'-8191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1:10.87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217 194 24575,'0'4'0,"0"4"0,0 9 0,0 8 0,0 3 0,0 9 0,0 8 0,0 3 0,0 5 0,0-3 0,0 1 0,7-20 0,3-25 0,-1-21 0,-2-8-8191</inkml:trace>
  <inkml:trace contextRef="#ctx0" brushRef="#br0" timeOffset="581.62">48 216 24575,'-1'-8'0,"1"0"0,0 0 0,0 0 0,1 0 0,1 0 0,-1 0 0,1 1 0,0-1 0,1 1 0,0-1 0,0 1 0,0 0 0,1 0 0,0 0 0,1 1 0,-1-1 0,1 1 0,0 0 0,1 0 0,0 1 0,0 0 0,0 0 0,0 0 0,10-5 0,0 1 0,0 1 0,1 1 0,0 0 0,0 1 0,-6 3 0</inkml:trace>
  <inkml:trace contextRef="#ctx0" brushRef="#br0" timeOffset="581.62">417 1 24575,'11'5'0,"-6"-1"0,-1-1 0,1 0 0,-1 1 0,0 0 0,0 0 0,0 0 0,-1 0 0,1 1 0,-1-1 0,0 1 0,0 0 0,-1 0 0,1 0 0,-1 0 0,0 1 0,1 5 0,-1-4 0,-1 0 0,0 0 0,-1 0 0,1 1 0,-1-1 0,0 0 0,-1 0 0,0 0 0,0 0 0,-1 0 0,1 0 0,-1 0 0,-1-1 0,-3 8 0,-3 5 0,-2 0 0,-1-1 0,-16 20 0,27-37 0,0 0 0,0 0 0,0 1 0,0-1 0,1 0 0,-1 1 0,0-1 0,1 1 0,-1-1 0,0 1 0,1-1 0,0 1 0,-1-1 0,1 1 0,0-1 0,0 1 0,0 0 0,0 2 0,0-3 0,1 0 0,-1 0 0,1 0 0,0 0 0,-1 0 0,1 0 0,0 0 0,0 0 0,-1 0 0,1-1 0,0 1 0,0 0 0,0-1 0,0 1 0,0 0 0,0-1 0,0 1 0,0-1 0,2 1 0,8 2 0,-1-1 0,1-1 0,-1 1 0,18-1 0,-7 0 0,-5 0 0,1 2 0,0 0 0,-1 0 0,0 2 0,0 0 0,18 9 0,-29-11 0,0-1 0,-1 1 0,1 0 0,-1 0 0,0 0 0,0 1 0,0-1 0,0 1 0,-1 0 0,5 7 0,-6-8 0,0 0 0,-1 1 0,0-1 0,0 0 0,0 1 0,0-1 0,0 0 0,-1 1 0,1-1 0,-1 1 0,0-1 0,0 1 0,0-1 0,-1 1 0,1-1 0,-1 1 0,-1 5 0,-3 2 0,0 0 0,0 0 0,-1-1 0,0 1 0,0-1 0,-1-1 0,-1 1 0,0-1 0,0 0 0,-1-1 0,-15 12 0,-3 0 0,0-2 0,-1-1 0,-34 16 0,17-12 0,-95 28 0,110-41 0,0-1 0,0-2 0,-1 0 0,-42-1 0,65-4-273,0-1 0,0 0 0,-1 0 0,-7-3 0,-16-9-6553</inkml:trace>
  <inkml:trace contextRef="#ctx0" brushRef="#br0" timeOffset="1043.54">725 406 24575,'-1'0'0,"0"1"0,0-1 0,0 1 0,0-1 0,0 1 0,0-1 0,1 1 0,-1 0 0,0-1 0,0 1 0,1 0 0,-1 0 0,0-1 0,1 1 0,-1 0 0,1 0 0,-1 0 0,1 0 0,-1 0 0,1 0 0,0 0 0,0 0 0,-1 0 0,1 0 0,0 0 0,0 0 0,0 0 0,0 0 0,0 0 0,0 0 0,0 0 0,1 2 0,2 36 0,0-28 0,0 0 0,1 1 0,0-1 0,1-1 0,0 1 0,1-1 0,0 1 0,0-2 0,1 1 0,0-1 0,1 0 0,10 10 0,-13-15 0,1 1 0,-1-1 0,0 1 0,1-2 0,0 1 0,0-1 0,0 0 0,1 0 0,-1 0 0,0-1 0,1 0 0,0 0 0,0-1 0,-1 0 0,1 0 0,0-1 0,0 1 0,0-2 0,0 1 0,0-1 0,-1 0 0,11-2 0,-12 0 0,1 1 0,-1-1 0,1 0 0,-1 0 0,0 0 0,0-1 0,-1 0 0,1 0 0,-1 0 0,0-1 0,0 1 0,0-1 0,0 0 0,-1 0 0,0 0 0,0 0 0,0-1 0,-1 0 0,0 1 0,0-1 0,0 0 0,-1 0 0,0 0 0,0 0 0,0-10 0,0 9 0,-1-1 0,0 1 0,0-1 0,-1 1 0,1 0 0,-2-1 0,1 1 0,-1 0 0,0 0 0,-1 0 0,0 0 0,0 0 0,0 0 0,-1 1 0,0 0 0,0 0 0,0 0 0,-1 0 0,0 0 0,-10-7 0,9 8-49,-1 0 1,0 1-1,0 0 0,-1 1 0,1 0 1,-1 0-1,0 0 0,0 1 0,0 0 1,0 1-1,0 0 0,0 0 0,0 1 1,0 0-1,-1 0 0,1 0 0,0 1 1,0 1-1,0 0 0,0 0 0,0 0 1,1 1-1,-1 0 0,0 0 0,1 1 0,0 0 1,-11 8-1,-5 12-6777</inkml:trace>
  <inkml:trace contextRef="#ctx0" brushRef="#br0" timeOffset="1338.65">1127 343 24575,'0'-8'0,"7"6"0,3 6 0,-1 13 0,-2 15 0,-2 9 0,-1 8 0,-3 4 0,0-5 0,-1-2 0,0-14 0,-1-11-8191</inkml:trace>
  <inkml:trace contextRef="#ctx0" brushRef="#br0" timeOffset="1600.83">1169 300 24575,'0'-1'0,"1"-1"0,-1 1 0,0-1 0,1 1 0,-1 0 0,1-1 0,-1 1 0,1 0 0,0-1 0,-1 1 0,1 0 0,0 0 0,0-1 0,0 1 0,0 0 0,0 0 0,0 0 0,0 0 0,0 0 0,1 1 0,-1-1 0,0 0 0,0 0 0,1 1 0,-1-1 0,1 1 0,-1-1 0,0 1 0,2 0 0,47-7 0,-48 7 0,20-1 0,-1 1 0,0 1 0,1 1 0,-1 1 0,0 1 0,33 10 0,-44-11 0,0 1 0,0 0 0,-1 0 0,0 1 0,1 1 0,-2-1 0,1 1 0,-1 1 0,0 0 0,0 0 0,-1 0 0,1 1 0,-2 0 0,1 1 0,8 14 0,-13-18 0,0 0 0,-1 0 0,1 0 0,-1 0 0,0 0 0,0 1 0,0-1 0,-1 0 0,0 1 0,0-1 0,0 1 0,-1-1 0,0 0 0,0 1 0,0-1 0,0 0 0,-1 0 0,0 0 0,0 0 0,0 0 0,-1 0 0,0-1 0,0 1 0,-4 4 0,-5 6 0,-1 0 0,0 0 0,-1-2 0,-1 0 0,-21 15 0,14-13 0,0 0 0,0-2 0,-1-1 0,-1 0 0,0-2 0,0-1 0,-46 11 0,66-19-72,-1 0 1,0 0-1,0-1 0,1 1 0,-1-1 0,0 0 0,0-1 0,0 1 1,1-1-1,-1 0 0,0 0 0,1 0 0,-1 0 0,1-1 0,-1 0 1,1 0-1,0 0 0,-6-5 0,-15-19-6754</inkml:trace>
  <inkml:trace contextRef="#ctx0" brushRef="#br0" timeOffset="2366.39">1826 279 24575,'1'100'0,"2"-30"0,-4 0 0,-15 118 0,14-184 0,1-5 0,-2-13 0,1-23 0,0-12 0,0 5 0,2 0 0,8-69 0,-8 111 0,0-1 0,0 1 0,1 0 0,-1-1 0,1 1 0,0 0 0,0-1 0,0 1 0,0 0 0,0 0 0,0 0 0,1 0 0,-1 0 0,0 0 0,3-2 0,-3 4 0,1-1 0,-1 1 0,0 0 0,0 0 0,0 0 0,0 0 0,0 0 0,0 0 0,1 0 0,-1 0 0,0 0 0,0 0 0,0 0 0,0 1 0,0-1 0,0 1 0,0-1 0,0 1 0,0-1 0,0 1 0,0-1 0,0 1 0,0 0 0,0-1 0,0 1 0,0 0 0,-1 0 0,1 0 0,0 0 0,-1 0 0,2 1 0,21 27 0,-1 1 0,35 62 0,-25-37 0,-30-51 0,0 0 0,1 0 0,0 0 0,0 0 0,0-1 0,1 1 0,3 3 0,-6-7 0,0 1 0,0-1 0,0 1 0,0-1 0,1 1 0,-1-1 0,0 0 0,0 1 0,0-1 0,0 0 0,0 0 0,0 0 0,0 0 0,0 0 0,1 0 0,-1 0 0,0-1 0,0 1 0,0 0 0,0-1 0,0 1 0,0 0 0,0-1 0,0 1 0,0-1 0,0 0 0,0 1 0,0-1 0,0 0 0,-1 1 0,1-1 0,0 0 0,0 0 0,-1 0 0,1 0 0,1-2 0,7-11 0,-1-1 0,0-1 0,0 1 0,-2-1 0,0-1 0,-1 1 0,0-1 0,1-18 0,5-11 0,1-1 0,-2 8 0,0 1 0,19-41 0,-29 78 0,0 1 0,0-1 0,0 1 0,0 0 0,0-1 0,0 1 0,1-1 0,-1 1 0,0-1 0,0 1 0,0 0 0,1-1 0,-1 1 0,0-1 0,0 1 0,1 0 0,-1-1 0,0 1 0,1 0 0,-1-1 0,1 1 0,-1 0 0,0 0 0,1-1 0,-1 1 0,1 0 0,-1 0 0,0 0 0,1 0 0,-1-1 0,1 1 0,-1 0 0,1 0 0,5 15 0,-2 30 0,-3-34 0,11 167 0,-9-155 0,1 0 0,1-1 0,1 1 0,1-1 0,16 35 0,-20-52-76,-1 0 1,1 0-1,-1-1 0,1 0 0,0 1 0,1-1 0,-1 0 0,1 0 1,0-1-1,0 1 0,0-1 0,0 0 0,1 0 0,-1 0 1,1-1-1,0 1 0,5 1 0,27 1-6750</inkml:trace>
  <inkml:trace contextRef="#ctx0" brushRef="#br0" timeOffset="2853.18">2545 300 24575,'1'-6'0,"2"6"0,5 16 0,6 28 0,-6 12 0,-2 0 0,-2 79 0,-4-133 0,2 17 0,-2-18 0,0-1 0,0 0 0,0 0 0,1 0 0,-1 0 0,0 0 0,0 0 0,0 0 0,0 0 0,0 0 0,0 0 0,0 0 0,0 0 0,0 1 0,0-1 0,0 0 0,1 0 0,-1 0 0,0 0 0,0 0 0,0 0 0,0 0 0,0 0 0,0 0 0,0 0 0,1 0 0,-1 0 0,0 0 0,0 0 0,0 0 0,0 0 0,0 0 0,0 0 0,0 0 0,0 0 0,0-1 0,1 1 0,-1 0 0,0 0 0,0 0 0,0 0 0,0 0 0,0 0 0,0 0 0,0 0 0,0 0 0,0 0 0,0 0 0,0 0 0,0-1 0,1 1 0,-1 0 0,0 0 0,0 0 0,0 0 0,0 0 0,0 0 0,0 0 0,0 0 0,0-1 0,0 1 0,0 0 0,0 0 0,0 0 0,9-35 0,3-44 0,15-70 0,-25 139 0,1 0 0,0 0 0,7-13 0,-9 22 0,-1-1 0,1 1 0,-1 0 0,1 0 0,-1 0 0,1 0 0,0 1 0,-1-1 0,1 0 0,0 0 0,0 0 0,0 1 0,0-1 0,0 0 0,0 1 0,0-1 0,0 0 0,2 0 0,-3 1 0,1 0 0,0 0 0,-1 0 0,1 1 0,0-1 0,-1 0 0,1 0 0,0 1 0,-1-1 0,1 0 0,0 0 0,-1 1 0,1-1 0,-1 1 0,1-1 0,-1 1 0,1-1 0,-1 1 0,1-1 0,-1 1 0,1-1 0,-1 2 0,4 3 0,-1 1 0,-1 0 0,1 0 0,3 12 0,11 65-51,-12-51 125,14 43 0,-16-66-220,0-1-1,1 1 1,0-1 0,0 1 0,1-1 0,0-1 0,0 1-1,1-1 1,9 10 0,2-4-6680</inkml:trace>
  <inkml:trace contextRef="#ctx0" brushRef="#br0" timeOffset="2991.1">2588 533 24575,'-8'0'0,"6"0"0,13-7 0,16-3 0,21-10 0,14-1 0,6-9 0,0 1 0,-6 2 0,-12 6-8191</inkml:trace>
  <inkml:trace contextRef="#ctx0" brushRef="#br0" timeOffset="3302.65">3096 237 24575,'1'-1'0,"1"1"0,0-1 0,0 0 0,-1 0 0,1 1 0,-1-1 0,1 0 0,-1 0 0,1-1 0,-1 1 0,1 0 0,-1 0 0,0-1 0,0 1 0,1-1 0,-1 1 0,0-1 0,0 1 0,0-4 0,16-31 0,-17 36 0,0-1 0,1 1 0,-1-1 0,0 1 0,0-1 0,0 1 0,0 0 0,1-1 0,-1 1 0,0-1 0,0 1 0,0-1 0,0 1 0,0-1 0,0 1 0,0-1 0,0 1 0,0-1 0,-1 1 0,1-1 0,0 1 0,0-1 0,0 1 0,0 0 0,-1-1 0,1 1 0,0-1 0,0 1 0,-1 0 0,1-1 0,0 1 0,-1 0 0,1-1 0,0 1 0,-1 0 0,1-1 0,-1 1 0,1 0 0,-1 0 0,1-1 0,-1 1 0,-1 0 0,1 0 0,0 0 0,0 0 0,0 0 0,0 1 0,0-1 0,0 0 0,0 0 0,0 1 0,1-1 0,-1 1 0,0-1 0,0 1 0,0-1 0,0 1 0,0-1 0,-1 2 0,-1 1 0,0 0 0,1-1 0,-1 1 0,1 1 0,-1-1 0,1 0 0,0 0 0,0 1 0,0-1 0,1 1 0,-1 0 0,1-1 0,0 1 0,0 0 0,0 0 0,0 0 0,1 0 0,0 0 0,0-1 0,0 1 0,0 0 0,0 0 0,1 0 0,0 0 0,1 5 0,1-2 0,-1 0 0,2-1 0,-1 1 0,1-1 0,0 1 0,0-1 0,1 0 0,0-1 0,0 1 0,0-1 0,1 0 0,7 6 0,19 9 0,1 0 0,64 27 0,-46-24 0,-48-22 0,-1 0 0,1 0 0,-1 1 0,1-1 0,-1 1 0,1-1 0,-1 1 0,0 0 0,0 0 0,0 0 0,0 0 0,0 0 0,1 3 0,-2-5 0,-1 1 0,0-1 0,0 1 0,0-1 0,0 1 0,0-1 0,0 1 0,0-1 0,0 1 0,0-1 0,0 1 0,0-1 0,0 1 0,-1-1 0,1 1 0,0-1 0,0 1 0,0-1 0,-1 1 0,1-1 0,0 1 0,0-1 0,-1 0 0,1 1 0,0-1 0,-1 1 0,-23 11 0,-15-3-94,0-2 0,-1-1 0,0-3 0,-60-1-1,59-1-799,-27 0-5932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7:51.52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130 0 24575,'-2'2'0,"0"-1"0,0 1 0,1 0 0,-1 0 0,0 0 0,1 0 0,0 0 0,-1 0 0,1 0 0,0 0 0,0 0 0,0 1 0,0-1 0,0 0 0,0 5 0,-3 4 0,-17 42 0,3 2 0,2 1 0,-16 106 0,22-62 0,3 1 0,8 106 0,0-108 0,1-44 0,3-1 0,2 0 0,2 0 0,23 74 0,-2-8 0,-6 2 0,-5 0 0,5 176 0,21 265 0,-27 136 0,-20-488 0,3 19 0,-16 422 0,14-633 0,-2-1 0,0 0 0,-1 1 0,-12 31 0,14-44 0,-1 0 0,0 1 0,-1-1 0,1 0 0,-1-1 0,0 1 0,0-1 0,-1 0 0,0 1 0,0-1 0,0-1 0,0 0 0,-1 0 0,1 0 0,-11 5 0,14-8 0,0 0 0,0 0 0,1 0 0,-1-1 0,0 1 0,0-1 0,0 1 0,0-1 0,0 0 0,0 1 0,0-1 0,0 0 0,0 0 0,0-1 0,1 1 0,-1 0 0,0-1 0,0 1 0,0-1 0,0 1 0,0-1 0,1 0 0,-1 0 0,0 0 0,0 0 0,1 0 0,-1 0 0,1 0 0,-1-1 0,1 1 0,0-1 0,-1 1 0,1-1 0,0 1 0,0-1 0,0 0 0,0 1 0,0-1 0,1 0 0,-1 0 0,0 1 0,1-1 0,-1 0 0,1-3 0,-2-3 0,0 0 0,1 0 0,0 0 0,1-1 0,0 1 0,0 0 0,1 0 0,0-1 0,3-10 0,-2 13 0,0 0 0,1 0 0,0 1 0,0-1 0,0 1 0,0-1 0,1 1 0,8-9 0,-10 13 0,-1 0 0,0-1 0,1 1 0,-1 0 0,0 0 0,1 0 0,-1 0 0,1 0 0,0 0 0,-1 0 0,1 0 0,0 1 0,-1-1 0,1 1 0,0-1 0,0 1 0,0 0 0,-1 0 0,1 0 0,0 0 0,0 0 0,0 0 0,0 0 0,-1 0 0,1 1 0,0-1 0,0 1 0,-1-1 0,1 1 0,0 0 0,-1 0 0,1 0 0,-1 0 0,4 2 0,-2 0 0,1 1 0,-1 0 0,0-1 0,0 1 0,0 0 0,-1 0 0,1 1 0,-1-1 0,0 1 0,-1-1 0,3 9 0,9 57 0,-10-48 0,42 569 0,-44 7 0,-3-325 0,-1 40 0,6 475 0,50-99 0,-17-284 0,-14-151 0,12 231 0,-20-257 0,51 272 0,-17-285 0,-39-183 0,2-1 0,1 0 0,2-1 0,28 46 0,-35-66 0,1 1 0,0-1 0,1 0 0,0-1 0,0 0 0,1 0 0,0-1 0,1-1 0,0 1 0,14 6 0,-18-11 0,0 0 0,0 0 0,0-1 0,1 0 0,-1 0 0,1 0 0,-1-1 0,1-1 0,0 1 0,-1-1 0,1 0 0,0-1 0,-1 0 0,1 0 0,-1-1 0,1 1 0,-1-2 0,14-5 0,-5-1 0,0 0 0,0-1 0,-1-1 0,-1 0 0,23-23 0,63-81 0,19-54-1365,-11-2-5461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3:34.62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5567 14 24575,'34'-4'0,"-16"0"0,0 1 0,-1 1 0,1 1 0,31 2 0,-42 0 0,0 0 0,-1 1 0,1 0 0,-1 0 0,0 0 0,1 1 0,-1 0 0,0 0 0,0 1 0,-1 0 0,1 0 0,-1 0 0,0 0 0,0 1 0,0 0 0,-1 0 0,0 0 0,7 11 0,-5-5 0,-1 1 0,0 0 0,0 1 0,-2-1 0,1 1 0,-2 0 0,1 0 0,0 25 0,-8 304 0,2-279 0,-17 244 0,10-232 0,-28 108 0,18-98 0,-26 139 0,31-114 0,12-82 0,-1 2 0,-1-1 0,-1-1 0,-1 1 0,-2-1 0,-13 28 0,-41 60 0,35-68 0,2 1 0,-21 56 0,23-30 0,3 1 0,3 1 0,4 0 0,3 0 0,-1 93 0,6-17 0,-6 342 0,12-456 0,5 370 0,28-1 0,-14-244 0,-13-87 0,3-3 0,37 140 0,-9-94 0,56 159 0,-86-263 0,1 1 0,1 0 0,0-1 0,1-1 0,0 0 0,1-1 0,1-1 0,15 15 0,-21-22 0,0-1 0,1 0 0,-1-1 0,1 0 0,0 2 0,0-3 0,0 1 0,1-1 0,-1-1 0,1 1 0,-1-1 0,1 0 0,0-1 0,0 0 0,0 0 0,0-1 0,0 0 0,0 0 0,0-1 0,15-3 0,-15 1 0,0 0 0,0-1 0,0 0 0,0 0 0,-1-2 0,0 1 0,0 0 0,0-1 0,0 0 0,-1 0 0,0-1 0,0 1 0,-1-1 0,0 0 0,0 0 0,-1-1 0,1 0 0,4-13 0,-3 6 0,0-2 0,0 1 0,-2-1 0,0 1 0,-1 0 0,0 0 0,-2-1 0,0-33 0,-1 47 0,0 1 0,0-1 0,0 1 0,-1-1 0,1 1 0,-1 0 0,0-1 0,0 1 0,1 0 0,-1-1 0,-1 1 0,1 0 0,0 0 0,0 1 0,-1-1 0,-1-2 0,1 4 0,1-1 0,0 1 0,0-1 0,0 1 0,-1 0 0,1 0 0,0 0 0,0-1 0,-1 1 0,1 0 0,0 1 0,-1-1 0,1 0 0,0 0 0,0 0 0,-1 1 0,1-1 0,0 1 0,0-1 0,0 1 0,0-1 0,-1 1 0,1 0 0,0-1 0,0 1 0,0 0 0,0 0 0,1-1 0,-1 1 0,0 0 0,-1 1 0,-17 17 0,1 1 0,1 2 0,0 0 0,-13 22 0,-49 101 0,64-114 0,1 2 0,2-1 0,2 0 0,0 1 0,3 2 0,-4 32 0,6-11 0,2-2 0,3 0 0,6 56 0,11 619 0,-19-475 0,2-221 0,-1 47 0,18 147 0,62 300 0,-45 5 0,-33-452 0,0 14 0,-15 127 0,11-202 0,-1-1 0,0-1 0,-1 1 0,-1 0 0,-1-1 0,-1 0 0,0 1 0,-1-2 0,-1-1 0,0 0 0,-18 21 0,12-19 0,-1 0 0,-1-1 0,0-1 0,-1-2 0,0 0 0,-1-1 0,0 0 0,-41 15 0,-4-4 0,-2-1 0,0-4 0,-1-4 0,-1-3 0,0-2 0,-122 0 0,168-9 0,-1-2 0,1 0 0,-25-6 0,37 6 0,1-1 0,-1-1 0,1 0 0,0 0 0,0-1 0,0-1 0,1 2 0,-16-14 0,-24-32-1365,9 0-5461</inkml:trace>
  <inkml:trace contextRef="#ctx0" brushRef="#br0" timeOffset="1996">1799 9137 24575,'7'0'0,"2"4"0,0 3 0,-1 10 0,-3 11 0,-2 13 0,-1 13 0,-1 16 0,-9 17 0,-1 8 0,-1 0 0,-5-7 0,0-11 0,2-14 0,1-18 0,1-21 0,3-14-8191</inkml:trace>
  <inkml:trace contextRef="#ctx0" brushRef="#br0" timeOffset="2475.73">1523 9433 24575,'1'-9'0,"1"0"0,0 1 0,0 0 0,0 0 0,1-1 0,0 1 0,1-1 0,7-11 0,-1 1 0,8-16 0,2 1 0,1-1 0,48-57 0,-49 70 0,0 1 0,0 1 0,2 1 0,1 1 0,0 2 0,32-20 0,-46 32 0,-1-1 0,1 1 0,0 1 0,0-1 0,0 2 0,0-1 0,1 1 0,-1 1 0,16-1 0,-21 2 0,0 0 0,0 1 0,1-1 0,-1 1 0,0 0 0,0 0 0,0 1 0,0-1 0,0 1 0,-1 0 0,1 0 0,0 0 0,-1 0 0,1 1 0,-1 0 0,0-1 0,0 1 0,0 1 0,0 0 0,-1-1 0,1 0 0,-1 1 0,4 6 0,0 3 0,0 1 0,-1 0 0,-1 0 0,0 1 0,0 0 0,-2 0 0,2 22 0,-3 8 0,-4 54 0,0-73 0,-1 0 0,-1 0 0,-1 1 0,-1-3 0,-2 1 0,0-1 0,-24 45 0,10-31 0,-1 0 0,-2 0 0,-53 55 0,73-86 0,-45 43 0,49-48 0,-1 0 0,0 0 0,1 0 0,-1 0 0,0 0 0,0 0 0,-1-1 0,1 1 0,0-1 0,0 0 0,-1 0 0,1 0 0,-1-1 0,1 1 0,-1-1 0,-3 1 0,6-1 0,1 0 0,-1 0 0,0-1 0,1 1 0,-1 0 0,0 0 0,1 0 0,-1 0 0,0-1 0,1 1 0,-1 0 0,1 0 0,-1-1 0,1 1 0,-1-1 0,0 1 0,1 0 0,-1-1 0,1 1 0,-1-1 0,1 1 0,0-1 0,-1 0 0,1 1 0,0-1 0,-1 1 0,1-1 0,0 0 0,-1 0 0,1-1 0,0 1 0,1 0 0,-1-1 0,0 1 0,0-1 0,1 1 0,-1 0 0,1-1 0,-1 1 0,1 0 0,-1 1 0,1-2 0,1-1 0,1 0 0,0-1 0,0 0 0,0 1 0,0 0 0,1 0 0,-1-1 0,1 1 0,6-4 0,-4 5 0,0 0 0,1 0 0,-1 1 0,0-1 0,1 1 0,-1 1 0,0-1 0,1 1 0,-1 0 0,1 1 0,-1 0 0,0 0 0,1 0 0,-1 1 0,0-1 0,0 1 0,0 1 0,0-1 0,0 1 0,0 0 0,-1 2 0,0-2 0,1 1 0,4 5 0,11 10 0,-1 1 0,-1 1 0,-1 1 0,18 28 0,-21-31 0,3 8-99,20 26 319,-35-49-355,0-1 0,0 0 0,0 2 0,1-2 0,-1-1 0,1 1-1,-1 0 1,1-1 0,0 0 0,7 3 0,9-2-6691</inkml:trace>
  <inkml:trace contextRef="#ctx0" brushRef="#br0" timeOffset="3033.41">2180 9835 24575,'0'1'0,"0"0"0,0 0 0,0 0 0,0 0 0,0 0 0,1 0 0,-1 0 0,1 0 0,-1 0 0,1 0 0,-1 0 0,1 0 0,-1 0 0,1 0 0,0 0 0,0 0 0,-1 0 0,1-1 0,0 1 0,0 0 0,0 0 0,1 0 0,2 1 0,-1-1 0,1 1 0,-1-1 0,1 0 0,0 0 0,-1 0 0,5 0 0,2 0 0,-1 0 0,0-1 0,1 0 0,18-3 0,-23 2 0,0-1 0,0 1 0,0-1 0,-1 0 0,1-1 0,0 1 0,-1-1 0,1 1 0,-1-1 0,0-1 0,0 1 0,0-1 0,0 1 0,-1-1 0,1 0 0,-1 0 0,0-1 0,0 1 0,-1-1 0,1 1 0,2-10 0,0 1 0,-2-2 0,1 0 0,-2 1 0,0 0 0,-1-1 0,-1-23 0,0 33 0,0 0 0,-1 0 0,0 0 0,1 0 0,-2-1 0,1 1 0,-1 1 0,1-1 0,-2 0 0,-3-7 0,5 11 0,0-1 0,0 1 0,0 0 0,0 0 0,0 0 0,0 1 0,0-1 0,0 0 0,-1 0 0,1 1 0,0-1 0,0 0 0,-1 1 0,1-1 0,0 1 0,-1 0 0,1-1 0,-1 1 0,1 0 0,0 0 0,-1 0 0,1 0 0,-1 0 0,1 0 0,0 0 0,-1 1 0,1-1 0,-1 0 0,1 1 0,0-1 0,-1 1 0,1-1 0,0 1 0,0 0 0,0 0 0,-1-1 0,1 1 0,0 0 0,0 0 0,0 0 0,-1 2 0,-5 4 0,1-1 0,0 1 0,1 1 0,0 0 0,0 0 0,0 0 0,1 0 0,0-1 0,1 2 0,-5 16 0,0 7 0,-7 55 0,13-73 0,0 0 0,2 0 0,0 0 0,0 0 0,1 1 0,1 0 0,5 17 0,-6-27 0,1 0 0,0 1 0,0-1 0,1 0 0,0 0 0,-1 0 0,2 0 0,-1 0 0,0-1 0,1 0 0,0 1 0,0-1 0,0-1 0,1 1 0,-1-1 0,1 2 0,0-2 0,0-1 0,0 1 0,0-1 0,6 2 0,-3-1 0,1-1 0,-1 0 0,0-1 0,1 0 0,0-1 0,-1 1 0,1-1 0,-1 0 0,1-1 0,0 0 0,14-3 0,-11 0 0,-1 0 0,0-1 0,0 0 0,0-2 0,0 1 0,-1 0 0,16-14 0,-9 5 0,-1-1 0,0-1 0,-1 0 0,-1 0 0,-1-2 0,-1 0 0,0-1 0,14-33 0,-14 21 0,-1-2 0,-2 0 0,-1-1 0,-2 1 0,-1-1 0,-1 0 0,-3 1 0,0-3 0,-3 2 0,-1 0 0,-14-66 0,14 88 0,-1 1 0,-10-21 0,13 30 0,0 1 0,-1-1 0,1 0 0,-1 1 0,0-1 0,0 0 0,0 1 0,0-1 0,0 1 0,0 0 0,-1 0 0,1 1 0,-1-1 0,1 0 0,-1 1 0,-4-2 0,6 3 0,-1-1 0,1 1 0,0 0 0,-1 0 0,1 0 0,-1 0 0,1 0 0,-1 0 0,1 0 0,-1 1 0,1-1 0,-1 0 0,1 1 0,-1-1 0,1 1 0,0 0 0,-1-1 0,1 1 0,0 0 0,0 0 0,-1 0 0,1 0 0,0 0 0,0 0 0,0 0 0,-1 3 0,-2 1 0,0 2 0,1-2 0,0 1 0,0 0 0,-2 7 0,-1 6 0,2 1 0,0-1 0,1 1 0,1 1 0,1-2 0,1 0 0,0 1 0,2 0 0,0-1 0,1 1 0,6 20 0,-1-13 0,0 1 0,2-1 0,1 1 0,1-3 0,1 1 0,1-1 0,20 26 0,-22-36 11,1-1 0,0 0 0,1-1 0,0-1 0,1 0 0,1 0-1,0-2 1,0 0 0,1 0 0,28 11 0,-32-16-104,-1-1 0,1-1 1,1 0-1,-1 0 0,0-1 0,1-1 0,-1 0 0,1 0 1,-1-2-1,1 0 0,-1 0 0,0-1 0,1-1 1,-1 0-1,20-7 0,10-13-6733</inkml:trace>
  <inkml:trace contextRef="#ctx0" brushRef="#br0" timeOffset="3795.55">3280 9899 24575,'2'0'0,"-1"0"0,1-1 0,-1 1 0,0-1 0,1-1 0,-1 2 0,1-1 0,-1 0 0,0 0 0,0 0 0,1 1 0,-1-1 0,0-1 0,0 1 0,0 0 0,0 0 0,0 0 0,-1 0 0,1-1 0,0 1 0,0 0 0,-1-1 0,1 1 0,-1-1 0,1 1 0,-1-3 0,10-41 0,-10 44 0,1-9 0,0 1 0,-1 0 0,0 0 0,-1 0 0,0 0 0,-1-2 0,0 2 0,0 0 0,-1 0 0,0 1 0,0-1 0,-1 0 0,-1 1 0,-5-10 0,7 14 0,0-1 0,0 1 0,-1 1 0,1 0 0,-1-1 0,0 0 0,0 1 0,0 0 0,0 0 0,-1 0 0,1 1 0,-1-2 0,1 2 0,-1 0 0,0 1 0,0-1 0,0 1 0,0 0 0,0 0 0,0 0 0,0 1 0,-1-1 0,1 1 0,0 1 0,0-1 0,0 1 0,-5 1 0,5 0 0,0-1 0,1 1 0,0 0 0,-1 2 0,1-2 0,0 1 0,0 0 0,0 0 0,1 0 0,-1 0 0,1 1 0,0 0 0,0-2 0,0 2 0,0 0 0,1 1 0,-1-1 0,1 0 0,0 1 0,0-1 0,1 1 0,-2 7 0,-2 9 0,0 0 0,2 1 0,-1 34 0,4-43 0,0 0 0,1-1 0,1 1 0,0 0 0,0 0 0,2-1 0,-1 0 0,9 19 0,-10-27 0,0-1 0,0 1 0,0-1 0,1 0 0,-1 1 0,1-1 0,-1 0 0,1-1 0,0 1 0,0 0 0,1-1 0,-1 0 0,5 3 0,-5-4 0,0 0 0,0 0 0,1 0 0,-1 0 0,0-1 0,0 0 0,0 0 0,1 0 0,-1 0 0,0 0 0,0 0 0,1-1 0,-1 0 0,0 1 0,0-1 0,0-1 0,0 1 0,6-3 0,-1-1 0,0 0 0,-1-1 0,1 0 0,-1 0 0,0-1 0,0 0 0,-1 0 0,0 0 0,-1-1 0,1 0 0,-1 1 0,-1-1 0,5-11 0,-2 3 0,-1-1 0,0 0 0,-1 0 0,-1-1 0,0 1 0,1-19 0,-5 32 0,0 0 0,0 0 0,-1 1 0,1-1 0,-1 0 0,1 1 0,-1-1 0,-1 1 0,1-1 0,-2-4 0,2 7 0,1 1 0,0-1 0,-1 1 0,1-1 0,0 1 0,-1-1 0,1 1 0,-1-1 0,1 1 0,-1-1 0,1 1 0,-1 0 0,1-1 0,-1 1 0,1 0 0,-1-1 0,0 1 0,1 0 0,-1 0 0,0-1 0,1 1 0,-1 0 0,0 0 0,-1 0 0,1 1 0,0-1 0,0 1 0,0-1 0,0 1 0,0-1 0,0 1 0,0 0 0,0-1 0,0 1 0,0 0 0,0 0 0,1 0 0,-1 0 0,0 0 0,0 0 0,0 2 0,-2 1 0,1 0 0,1 0 0,-1 0 0,0 0 0,1 0 0,0 0 0,0 1 0,0-1 0,1 0 0,0 1 0,-1 0 0,1-1 0,1 1 0,-1-1 0,1 0 0,-1 1 0,1-2 0,1 1 0,-1 0 0,0 1 0,1-1 0,0 0 0,0-1 0,0 1 0,1 0 0,-1 0 0,1-1 0,0 0 0,0 1 0,0-1 0,4 3 0,-3-2 0,0-1 0,0 0 0,0 0 0,0 0 0,0 0 0,1 0 0,-1-1 0,1 0 0,-1 0 0,1 0 0,0 0 0,0-1 0,0 0 0,0 0 0,0 0 0,0-1 0,0 0 0,0 0 0,0 0 0,0 0 0,0-1 0,0 0 0,0 0 0,0 0 0,0-1 0,0 1 0,5-4 0,-1-1 0,-1 0 0,-1 0 0,1-1 0,-1-1 0,0 1 0,-1-1 0,1 0 0,-2 0 0,1-1 0,-1 1 0,-1-1 0,1 0 0,3-13 0,3-12 0,-1 0 0,7-51 0,1-57 0,-17 124 0,0 1 0,-2-1 0,0 2 0,-2-2 0,-7-32 0,9 50 0,1 0 0,0 0 0,0 1 0,0-1 0,0 0 0,0 0 0,0 0 0,-1 0 0,1 1 0,0-1 0,0 0 0,0 0 0,-1 0 0,1 0 0,0 0 0,0 0 0,0 0 0,-1 0 0,1 1 0,0-1 0,0 0 0,0 0 0,-1 0 0,1 0 0,0 0 0,0 0 0,0 0 0,-1 0 0,1 0 0,0 0 0,0 0 0,0-1 0,-1 1 0,1 0 0,0 0 0,0 0 0,0 0 0,-1 0 0,1 0 0,0 0 0,0 0 0,0-1 0,0 1 0,-1 0 0,1 0 0,0 0 0,0 0 0,0-1 0,0 1 0,0 0 0,0 0 0,-1 0 0,1-1 0,0 1 0,0 0 0,0 0 0,-5 22 0,-3 57 0,3 1 0,10 119 0,-5-199-2,1 31 63,10 47 0,-10-70-196,1 0 0,0 0 0,1 0 0,0 0 0,0-1 0,1 1 0,1-1 0,-1 0 0,0 0 0,12 13 0,7-2-6691</inkml:trace>
  <inkml:trace contextRef="#ctx0" brushRef="#br0" timeOffset="4126.61">3407 9708 24575,'-1'0'0,"0"-1"0,0 1 0,1 0 0,-1 0 0,0 1 0,0-1 0,0 0 0,0 0 0,0 0 0,0 0 0,1 1 0,-1-1 0,0 0 0,0 1 0,0-1 0,1 1 0,-1-1 0,0 1 0,-1 0 0,3 0 0,-1-1 0,1 1 0,-1-1 0,1 0 0,-1 1 0,1-1 0,-1 0 0,1 0 0,0 1 0,-1-1 0,1 0 0,-1 0 0,1 0 0,0 0 0,-1 0 0,1 0 0,-1 0 0,1 0 0,0 0 0,-1 0 0,1 0 0,0 0 0,-1 0 0,1 0 0,-1 0 0,1-1 0,-1 1 0,1 0 0,0-1 0,0 1 0,41-12 0,64-26 0,1-1 0,-105 38 0,0 1 0,0-1 0,-1 1 0,1-1 0,0 1 0,0 0 0,0-1 0,0 1 0,0 0 0,0 0 0,0 0 0,-1 1 0,1-1 0,0 0 0,0 1 0,0-1 0,0 1 0,-1 0 0,1 0 0,0 0 0,-1-1 0,1 1 0,-1 1 0,1-1 0,-1 0 0,1 1 0,-1-1 0,0 1 0,1-1 0,-1 1 0,0-1 0,0 1 0,0 0 0,0-1 0,0 1 0,0 2 0,2 6 0,0-1 0,0 1 0,-1 1 0,-1-1 0,1 14 0,-1-6 0,0-10 0,0 1 0,1 0 0,-1-1 0,2 1 0,-1-2 0,1 1 0,0 0 0,1-1 0,7 13 0,-9-17 0,0 0 0,1-1 0,-1 1 0,1-1 0,-1 1 0,1-1 0,0 0 0,0 0 0,0-1 0,0 1 0,0 0 0,0-1 0,1 0 0,-1 0 0,0 0 0,1 0 0,-1-1 0,1 1 0,-1-1 0,1 0 0,-1 0 0,1 0 0,-1 0 0,1 0 0,-1-1 0,6-1 0,7-3-114,-1-1 1,0 0-1,-1-1 0,1-1 0,-2 0 1,1 0-1,-1-2 0,0 0 0,-1 1 1,0-2-1,13-17 0,22-26-6712</inkml:trace>
  <inkml:trace contextRef="#ctx0" brushRef="#br0" timeOffset="4218.25">3853 9284 24575,'0'0'0,"-8"0"0,-1 8 0,0 1-8191</inkml:trace>
  <inkml:trace contextRef="#ctx0" brushRef="#br0" timeOffset="4836.26">4022 9623 24575,'0'17'0,"1"0"0,1-2 0,1 1 0,0 0 0,7 21 0,-7-28 0,0-1 0,1 2 0,0-2 0,0 0 0,1 0 0,0-1 0,0 0 0,1 1 0,0-1 0,11 10 0,-16-16 0,0 0 0,0 0 0,0 0 0,1 0 0,-1-1 0,0 1 0,0 0 0,1-1 0,-1 1 0,0-1 0,1 1 0,-1-1 0,1 0 0,-1 1 0,0-1 0,1 0 0,-1 0 0,1 0 0,-1 0 0,1 0 0,-1 0 0,0-1 0,1 1 0,-1 0 0,1-1 0,-1 1 0,0-1 0,1 1 0,-1-1 0,0 0 0,0 1 0,1-1 0,-1 0 0,0 0 0,0 0 0,0 0 0,0 0 0,0 0 0,0 0 0,0-1 0,0-1 0,4-4 0,0-1 0,-1 0 0,0 0 0,-1 0 0,4-13 0,1-14 0,-1 0 0,-2 0 0,1-44 0,1-1 0,-7 79 0,0 1 0,1-1 0,-1 1 0,0 0 0,1-2 0,-1 2 0,0-1 0,1 1 0,-1 0 0,1-1 0,-1 1 0,0 0 0,1-1 0,-1 1 0,1 0 0,-1 0 0,1-1 0,-1 1 0,1 0 0,-1 0 0,1 0 0,-1 0 0,1 0 0,-1 0 0,1-1 0,-1 1 0,1 1 0,-1-1 0,1 0 0,0 0 0,-1 0 0,1 0 0,-1 0 0,1 0 0,-1 0 0,1 1 0,-1-1 0,0 0 0,1 1 0,30 12 0,-19-9 0,-3 0 0,1-1 0,0-1 0,0 0 0,0 0 0,0-1 0,0 0 0,0-1 0,0 0 0,1-1 0,13-2 0,-16 1 0,-1 0 0,0-1 0,0 0 0,0 0 0,-1 0 0,1-1 0,-1 0 0,0-1 0,0 0 0,0 0 0,0 0 0,-1 0 0,0-1 0,8-11 0,-6 7 0,-1 1 0,0-2 0,-1 1 0,7-17 0,-10 23 0,0-1 0,-1 1 0,0-1 0,0 0 0,0 1 0,-1-1 0,0 1 0,1 0 0,-1-1 0,-1 1 0,1-1 0,-1 1 0,0-1 0,-2-7 0,2 11 0,1 0 0,-1 0 0,1 0 0,-1 0 0,0 0 0,1 0 0,-1 0 0,0 0 0,0 1 0,0-1 0,0 0 0,0 0 0,0 1 0,0-1 0,0 1 0,0-1 0,0 1 0,0-1 0,0 1 0,0 0 0,0 0 0,-1-1 0,1 1 0,0 0 0,0 0 0,0 0 0,0 0 0,-1 0 0,1 0 0,0 1 0,0-1 0,0 0 0,0 1 0,0-1 0,0 1 0,0-1 0,-1 1 0,0 0 0,-4 2 0,1 1 0,-1-1 0,1 1 0,0 0 0,-9 8 0,4 1 0,0 0 0,1 1 0,1 0 0,0 0 0,0-1 0,2 2 0,0-1 0,0 2 0,1-1 0,1 1 0,1 0 0,0 0 0,1-1 0,1 30 0,1-40 0,0 0 0,0 0 0,1 0 0,0 0 0,0 1 0,1-1 0,-1-1 0,1 1 0,0 0 0,0 1 0,1-2 0,-1 1 0,1-1 0,0 0 0,1 0 0,-1 0 0,0-1 0,1 1 0,6 4 0,-3-4 0,-1 0 0,0-1 0,1 0 0,0 0 0,0-1 0,-1 1 0,1-2 0,1 1 0,-1-1 0,0 0 0,0 0 0,0-1 0,13-1 0,6-2-151,-1-1-1,0-2 0,0 0 0,0-2 1,-1-1-1,0 1 0,-1-3 1,24-16-1,14-11-6674</inkml:trace>
  <inkml:trace contextRef="#ctx0" brushRef="#br0" timeOffset="6426.9">296 10893 24575,'-2'-4'0,"0"1"0,0 0 0,0-1 0,0 1 0,0 0 0,-1 0 0,1 0 0,-1 1 0,0-1 0,0 0 0,0 1 0,0 0 0,0 0 0,0 0 0,-1 0 0,1 0 0,-1 1 0,1-1 0,-1 1 0,0 0 0,0 0 0,1 0 0,-1 1 0,0 0 0,-6-1 0,4 2 0,0 0 0,1 0 0,-1 0 0,1 1 0,-1 0 0,1 0 0,0 0 0,-1 0 0,1 1 0,1 0 0,-1 0 0,0 1 0,1-1 0,-1 1 0,1 0 0,0 0 0,-4 5 0,-5 10 0,1-1 0,1 3 0,0-2 0,1 1 0,2 0 0,0 2 0,-9 38 0,8-20 0,2 0 0,2 1 0,0 59 0,5-88 0,0 0 0,1 1 0,1-2 0,0 1 0,1 0 0,0-1 0,0 1 0,1-1 0,1 0 0,0 0 0,9 13 0,-10-16 0,1-2 0,0-1 0,1 1 0,-1 0 0,1-1 0,0 1 0,0-2 0,1 1 0,0-1 0,0 0 0,0 0 0,0-1 0,0 0 0,1 0 0,-1 0 0,1-1 0,0 0 0,8 0 0,0-1 0,0 0 0,0-2 0,0 0 0,0 0 0,0-2 0,-1 0 0,1 0 0,19-9 0,7-4 0,68-37 0,-69 30 0,0-2 0,44-35 0,-63 40 0,0 1 0,-1-1 0,-2-2 0,32-43 0,-47 60 0,0 0 0,0-1 0,-1 1 0,0-1 0,0 0 0,-1 0 0,1 0 0,-1-1 0,-1 1 0,1 0 0,-1-1 0,0-12 0,0 19 0,-1-1 0,0 0 0,0 1 0,0-1 0,0 0 0,-1 1 0,1-1 0,0 0 0,0 1 0,0-1 0,0 0 0,-1 1 0,1-1 0,0 0 0,-1 1 0,1-1 0,0 0 0,-1 1 0,1-1 0,-1 1 0,1-1 0,-1 1 0,1-1 0,-1 1 0,1 0 0,-1-1 0,0 1 0,1-1 0,-1 1 0,0 0 0,1 0 0,-1-1 0,0 1 0,1 0 0,-1 0 0,0 0 0,1 0 0,-1 0 0,0 0 0,1 0 0,-1 0 0,0 0 0,0 0 0,1 0 0,-1 0 0,0 1 0,1-1 0,-1 0 0,0 0 0,1 1 0,-1-1 0,1 0 0,-1 1 0,0-1 0,0 1 0,-4 2 0,1 0 0,-1 1 0,1-1 0,0 1 0,-7 7 0,4-1 0,-1 1 0,2 1 0,-1-1 0,2 1 0,-1 0 0,2 1 0,-1 0 0,2-1 0,0 1 0,0-1 0,1 1 0,1 1 0,0-1 0,1 0 0,0 0 0,4 22 0,-3-28 0,0 1 0,0-1 0,1 0 0,0 1 0,1-1 0,0 0 0,0-1 0,0 1 0,1 0 0,0-1 0,0 0 0,0 0 0,1 0 0,0 0 0,0-1 0,1 0 0,-1 1 0,1-2 0,0 0 0,1 0 0,-1 0 0,1-1 0,-1 1 0,1-2 0,0 1 0,0-1 0,1 1 0,-1-2 0,0 1 0,11 0 0,-9-2 0,-1 0 0,1 0 0,0-1 0,-1 0 0,1 0 0,0-1 0,-1 0 0,0-1 0,1 0 0,-1 0 0,9-5 0,-6 1 0,0 1 0,0-2 0,-1 0 0,0-1 0,-1 0 0,17-19 0,-12 10 0,-1-1 0,-1 0 0,0-1 0,-2 0 0,0-1 0,-2 0 0,0-1 0,7-31 0,-6 7 0,-2-1 0,-2 0 0,-3-1 0,-5-82 0,2 118 0,0 0 0,-2 0 0,1 1 0,-6-14 0,7 23 0,1 0 0,-1 1 0,0-1 0,0 1 0,1-1 0,-1 1 0,0-1 0,0 1 0,-1 0 0,1-1 0,0 1 0,0 0 0,-1 0 0,1 0 0,-3-2 0,3 3 0,-1 0 0,1 0 0,0 0 0,0 0 0,0 0 0,0 0 0,-1 0 0,1 0 0,0 1 0,0-1 0,0 0 0,0 1 0,0-1 0,-1 1 0,1-1 0,0 1 0,0 0 0,0-1 0,0 1 0,1 0 0,-1 0 0,0-1 0,0 1 0,0 0 0,1 0 0,-2 2 0,-3 5 0,0 0 0,0 1 0,1-1 0,0 0 0,0 1 0,1 0 0,0 0 0,1 0 0,0 0 0,-1 15 0,-1 16 0,2 42 0,2-58 0,1 1 0,2-1 0,0 0 0,2 0 0,1-1 0,15 41 0,-17-53 0,1-1 0,0 0 0,1-1 0,0 1 0,0-1 0,1 0 0,12 11 0,-14-15 0,0-1 0,1 2 0,0-2 0,0-1 0,0 0 0,0 0 0,0 0 0,1 0 0,-1-1 0,1 0 0,0 0 0,13 2 0,-14-4 0,1 1 0,-1-1 0,1 0 0,0-1 0,-1 1 0,1-1 0,-1-1 0,1 1 0,-1-1 0,0 0 0,0-1 0,0 1 0,0-1 0,6-3 0,-4 0 0,0-1 0,-1 1 0,1-1 0,-2 0 0,1 0 0,-1 0 0,0-1 0,9-14 0,-6 4 0,0 0 0,-2 1 0,0-2 0,-1 0 0,0 0 0,-2 0 0,0 0 0,2-37 0,-6 49 0,0 0 0,-1 0 0,0 0 0,0 0 0,0 0 0,-1 0 0,0 1 0,-1-1 0,1 1 0,-6-10 0,7 14 0,0 0 0,0 1 0,0-1 0,0 1 0,0 0 0,-1-1 0,1 1 0,0 0 0,-1 0 0,1-1 0,-1 1 0,1 0 0,-1 1 0,0-1 0,1 0 0,-1 0 0,0 1 0,0-1 0,1 1 0,-1 0 0,0 0 0,0 0 0,0 0 0,1 0 0,-1 0 0,0 0 0,0 0 0,0 0 0,0 0 0,1 0 0,-1 1 0,0-1 0,0 1 0,1 0 0,-1-1 0,1 1 0,-1 0 0,0 0 0,1 0 0,-1 0 0,1 1 0,0-1 0,-2 2 0,-5 4 0,1 1 0,1 0 0,-1 0 0,1 0 0,1 1 0,-1 0 0,2 0 0,-1 0 0,1 0 0,0 1 0,1 1 0,-2 9 0,0 0 0,1 1 0,1 1 0,1-1 0,1 41 0,2-52 0,0 1 0,0-1 0,1 0 0,0 1 0,1-1 0,0 0 0,1 0 0,0-1 0,1 2 0,0-3 0,0 1 0,8 10 0,-7-12 0,0 0 0,1 0 0,0-1 0,0 0 0,1-1 0,-1 0 0,1 0 0,0 0 0,0-1 0,1 0 0,-1-1 0,1 0 0,0 0 0,12 2 0,3-2 14,-1 0-1,1-2 0,0 0 0,0-2 1,0 0-1,0-2 0,-1-1 1,26-7-1,-23 4-225,0-1 0,-1-1 0,0-2-1,0 0 1,-1-2 0,42-28 0,-16-3-6614</inkml:trace>
  <inkml:trace contextRef="#ctx0" brushRef="#br0" timeOffset="6954.62">2645 10787 24575,'-3'0'0,"-2"7"0,0 15 0,2 7 0,0 16 0,1 15 0,1 10 0,1 1 0,0-1 0,0-8 0,0-8 0,1-21 0,-1-15-8191</inkml:trace>
  <inkml:trace contextRef="#ctx0" brushRef="#br0" timeOffset="7325.02">2307 10872 24575,'0'-17'0,"2"1"0,0 1 0,1-2 0,1 1 0,0 0 0,1 0 0,1 1 0,0-1 0,1 2 0,1 0 0,0 0 0,1-1 0,1 2 0,0 0 0,1 0 0,0 1 0,1 1 0,20-16 0,-7 8 0,0 0 0,2 2 0,0 2 0,1 0 0,1 2 0,0 1 0,0 1 0,54-11 0,-66 19 0,-1 0 0,1 1 0,-1 0 0,1 2 0,0 0 0,-1 1 0,1 0 0,16 4 0,-26-3 0,0 0 0,0-1 0,0 2 0,-1-1 0,1 2 0,-1-1 0,0 1 0,0-1 0,0 2 0,0-1 0,-1 1 0,1 0 0,-1 0 0,-1 0 0,1 0 0,-1 1 0,0 0 0,0 0 0,0 0 0,-1 1 0,3 6 0,-2-1 0,-1 1 0,-1-2 0,1 1 0,-2 1 0,0-1 0,0 0 0,-1 0 0,-1 1 0,0-1 0,-1 0 0,0 1 0,-1-1 0,0-1 0,-9 21 0,1-3 0,-3-2 0,0 1 0,-1-2 0,-36 45 0,20-34 0,-2-3 0,-52 44 0,63-59 0,15-14 0,-23 25 0,30-29 0,-1-1 0,1 1 0,-1 0 0,1-1 0,-1 1 0,1-1 0,0 1 0,-1 0 0,1 0 0,0-1 0,-1 1 0,1 0 0,0-1 0,0 1 0,0 0 0,0 0 0,0-1 0,0 1 0,0 0 0,0 0 0,0 0 0,0-1 0,0 1 0,0 0 0,1-1 0,-1 1 0,0 0 0,0 0 0,1-1 0,-1 1 0,1 0 0,-1-1 0,1 1 0,-1-1 0,1 1 0,-1-1 0,1 1 0,-1-1 0,1 1 0,-1-1 0,1 1 0,0-1 0,-1 1 0,2-1 0,121 48 0,-27-12 0,106 61-1365,-156-73-5461</inkml:trace>
  <inkml:trace contextRef="#ctx0" brushRef="#br0" timeOffset="9050.9">3238 11232 24575,'6'0'0,"0"-1"0,1 1 0,-1-1 0,0 0 0,0-1 0,1 1 0,-1-1 0,0-1 0,-1 1 0,1 0 0,0-1 0,-1 0 0,0 0 0,1-2 0,-1 1 0,-1 0 0,1 0 0,-1-1 0,1 1 0,-1-1 0,0 0 0,-1-1 0,1 1 0,-1 0 0,0-1 0,-1 0 0,1 0 0,-1 0 0,0 0 0,2-12 0,-4 17 0,1-1 0,-1 0 0,1 0 0,-1 0 0,0 1 0,0-1 0,0 0 0,1 0 0,-2 0 0,1 1 0,0 0 0,0-1 0,-1 0 0,1 0 0,-1 1 0,1-1 0,-1 0 0,0 0 0,1 0 0,-1 0 0,0 1 0,0-1 0,0 1 0,-1-1 0,1 1 0,0 0 0,0 0 0,-1-1 0,1 1 0,-1 0 0,1 0 0,-1 0 0,1 0 0,-1 1 0,0-1 0,1 0 0,-1 1 0,0-1 0,0 1 0,-2-1 0,-1 1 0,1 0 0,-1 0 0,0 0 0,0 0 0,1 1 0,-1 0 0,0 0 0,1 0 0,-1 0 0,1 1 0,-1 0 0,1 0 0,0 0 0,-6 4 0,4-1 0,0 1 0,0 0 0,0-1 0,1 1 0,0 0 0,0 0 0,1 1 0,0 0 0,0 0 0,0 0 0,1 0 0,0 0 0,1 1 0,-1 0 0,1-1 0,1 1 0,-2 14 0,3-16 0,0-1 0,0-1 0,0 0 0,1 1 0,-1 0 0,1 0 0,0-1 0,1 1 0,-1 0 0,1-1 0,0 0 0,0 1 0,0-1 0,1 0 0,-1 0 0,1 0 0,0 0 0,0-1 0,0 1 0,1-1 0,-1 0 0,1 0 0,0 0 0,0 0 0,0 0 0,0-1 0,1 0 0,-1 0 0,0 0 0,8 1 0,1 0 0,0 0 0,0-1 0,0-1 0,0-1 0,1 0 0,-1 0 0,0-1 0,0-1 0,0 0 0,0-1 0,0 0 0,-1-1 0,1 0 0,-1-1 0,15-8 0,-9 3 0,0-1 0,-1 0 0,0-1 0,0-1 0,-2 0 0,1 0 0,-2-3 0,0 1 0,14-21 0,-14 13 0,-1 1 0,0-2 0,-2 0 0,-1 0 0,0-1 0,-2 0 0,-1 0 0,-1-2 0,-1 1 0,-2 0 0,0-1 0,-2 2 0,-1-3 0,-1 2 0,-6-38 0,-7 16 0,14 46 0,-1 0 0,0 0 0,0 0 0,0 0 0,0 0 0,0 0 0,-1 0 0,1 0 0,-1 1 0,1-1 0,-1 0 0,1 1 0,-1-1 0,0 1 0,0 0 0,0-1 0,-2 0 0,3 2 0,0 0 0,0 0 0,0 0 0,0 0 0,0 0 0,0 0 0,0 1 0,0-1 0,1 0 0,-1 0 0,0 1 0,0-1 0,0 1 0,0-1 0,0 1 0,1-1 0,-1 1 0,0 0 0,0-1 0,1 1 0,-1 0 0,0-1 0,1 1 0,-1 0 0,1 0 0,-1 0 0,1 0 0,-1-1 0,1 1 0,0 0 0,-1 0 0,1 2 0,-11 36 0,11-37 0,-10 56 0,4 2 0,1 103 0,5-99 0,-1 50 0,1 384 0,7-350 0,33 195 0,-37-323 0,0-1 0,2 0 0,0 0 0,1 0 0,1 0 0,17 30 0,-23-47 0,0 0 0,1 0 0,-1 0 0,1 0 0,-1-1 0,1 1 0,0 0 0,0-1 0,-1 1 0,1-1 0,0 1 0,3 0 0,-4-1 0,0-1 0,0 0 0,0 0 0,0 1 0,0-1 0,1 0 0,-1 0 0,0 0 0,0 0 0,0 0 0,0-1 0,0 1 0,0 0 0,0 0 0,0-1 0,0 1 0,0 0 0,0-1 0,0 1 0,1-2 0,1-1 0,0 0 0,0 0 0,0 0 0,0-1 0,0 1 0,-1-1 0,0 0 0,1 0 0,-1 0 0,-1 0 0,1 0 0,1-4 0,5-20 0,-1 0 0,-1-1 0,3-44 0,-3-92 0,-6 141 0,1-112 0,-7 1 0,-36-221 0,39 340 0,0-1 0,-2 1 0,1 1 0,-2 0 0,0-2 0,-1 2 0,0 1 0,-1-1 0,-1 1 0,0 0 0,-15-16 0,19 25 0,3 4 0,0-1 0,0 0 0,0 0 0,1 0 0,-1-1 0,1 1 0,0 0 0,-1 0 0,-1-5 0,3 6 0,1 1 0,-1-1 0,0 0 0,0 0 0,1 0 0,-1 0 0,0 0 0,1 0 0,-1 0 0,1 0 0,-1 1 0,1-1 0,0 0 0,-1 0 0,1 1 0,0-1 0,-1 0 0,1 1 0,0-1 0,0 1 0,-1-1 0,1 1 0,0-1 0,0 1 0,0 0 0,0-1 0,0 1 0,0 0 0,1-1 0,53-21 0,-19 8 0,-1-1 0,39-23 0,-66 33 0,1-1 0,-1 0 0,-1 0 0,1 0 0,-1-1 0,0 0 0,0 0 0,-1-1 0,0 0 0,-1 0 0,1 0 0,-1-1 0,5-13 0,-9 18 0,0 0 0,0 1 0,0-1 0,0 0 0,-1 0 0,0-1 0,0 0 0,0 1 0,0 0 0,-1 0 0,-1-8 0,1 10 0,1 1 0,0 0 0,-1-1 0,0 1 0,1 0 0,-1 0 0,0 0 0,1-1 0,-1 1 0,0 0 0,0 0 0,0 0 0,0 0 0,0 0 0,0 0 0,0 1 0,-1-1 0,1 0 0,0 1 0,0-1 0,-1 0 0,1 1 0,0 0 0,-1-1 0,1 1 0,0 0 0,-1-1 0,1 1 0,0 0 0,-1 0 0,1 0 0,-1 0 0,1 1 0,0-1 0,-1 0 0,1 0 0,0 1 0,-3 0 0,-3 2 0,0 0 0,1 1 0,-1 0 0,1 0 0,0 0 0,0 1 0,1-1 0,-1 1 0,1 1 0,0-1 0,0 2 0,1-1 0,0 0 0,0-1 0,0 2 0,1-1 0,-1 1 0,2 0 0,-4 9 0,4-9 0,0 0 0,0 0 0,1 0 0,-1 0 0,1 0 0,1 0 0,0 0 0,0 0 0,0 1 0,1 0 0,0-2 0,0 1 0,1 0 0,0-1 0,0 1 0,0 0 0,1-1 0,0 1 0,0-1 0,7 9 0,-3-8 0,0 0 0,0 0 0,0-1 0,1 0 0,0 0 0,1-1 0,-1 1 0,1-1 0,0-1 0,0-2 0,0 2 0,1-1 0,-1-1 0,1 0 0,-1 0 0,1-1 0,20 1 0,-21-2 0,0-1 0,0 1 0,0-2 0,0 1 0,0-1 0,0 0 0,0-1 0,-1 0 0,1 1 0,-1-2 0,0 0 0,0-2 0,0 1 0,0 0 0,-1 0 0,0-1 0,0 0 0,-1-1 0,9-9 0,-8 4 0,0-1 0,-1 0 0,0 0 0,-1-1 0,0 2 0,-1-3 0,-1 1 0,0-1 0,-1 1 0,0 0 0,-1-1 0,-2-19 0,1 30 0,0-1 0,0 0 0,-1 0 0,0 1 0,0 0 0,0 0 0,-1-1 0,1 1 0,-1 0 0,0 0 0,0 0 0,0 1 0,-1-1 0,1 0 0,-1 1 0,0 0 0,-4-5 0,5 7 0,0 0 0,0 0 0,0 0 0,0 0 0,-1 0 0,1 0 0,0 0 0,0 1 0,-1-1 0,1 1 0,0 0 0,-1-1 0,1 1 0,0 0 0,-1 0 0,1 1 0,0-1 0,-1 0 0,1 1 0,0 0 0,-1-1 0,1 1 0,0 0 0,0 0 0,0 0 0,0 0 0,0 1 0,0-1 0,0 0 0,0 1 0,0 0 0,1-1 0,-3 4 0,2-3 0,0 0 0,-1 0 0,1 0 0,0 0 0,1 1 0,-1-1 0,0 1 0,1 0 0,-1-1 0,1 1 0,0 0 0,0 0 0,0 0 0,0 0 0,1 0 0,-1 0 0,1 0 0,0 0 0,-1 1 0,2 4 0,-1-6 0,1 1 0,0-2 0,0 2 0,0-1 0,0 0 0,1 0 0,-1 1 0,0-1 0,1 0 0,-1 0 0,1 0 0,0-1 0,0 1 0,0 0 0,0-1 0,0 1 0,0-1 0,0 0 0,0 1 0,1-1 0,-1 0 0,0 0 0,1-1 0,-1 1 0,5 0 0,11 3 0,1-2 0,0 0 0,-1-1 0,1-1 0,0-1 0,32-5 0,-34 6 0,-12 7 0,-16 18 0,2-7 0,4-3 0,0 1 0,0-2 0,1 1 0,1 1 0,1-1 0,-1 18 0,3-28 0,0 0 0,0 0 0,1-1 0,0 1 0,0 0 0,0 0 0,0 0 0,1-1 0,0 0 0,4 8 0,-4-9 0,0-1 0,0 1 0,0-1 0,0 0 0,1 1 0,-1-1 0,1 0 0,0 0 0,-1-1 0,1 1 0,0-1 0,0 1 0,0-1 0,0 0 0,0 0 0,0 0 0,6 0 0,0 0 0,0 0 0,0-1 0,0-1 0,0 0 0,1 0 0,-2 0 0,1-1 0,0-1 0,0 0 0,-1 0 0,1 0 0,14-9 0,-8 3 0,1 0 0,-1-1 0,-1-2 0,0 1 0,19-21 0,-19 16 0,-1-1 0,0-1 0,-1 1 0,-1-2 0,10-21 0,-16 29 0,0 0 0,-1-1 0,0 0 0,-1 0 0,-1 1 0,1-1 0,-2-1 0,0 1 0,0-1 0,-2-13 0,1 22 0,-1-1 0,0 1 0,0 0 0,0 0 0,-1-1 0,1 1 0,-1 0 0,0 0 0,0 1 0,0-1 0,-1 0 0,-3-2 0,5 4 0,0 1 0,-1-1 0,1 1 0,-1 0 0,0 0 0,1 0 0,-1 0 0,0 0 0,1 0 0,-1 0 0,0 1 0,0-2 0,0 2 0,0-1 0,0 1 0,0 0 0,0 0 0,0 0 0,0 0 0,0 0 0,0 0 0,0 0 0,0 0 0,1 1 0,-1-1 0,0 2 0,0-1 0,-3 1 0,-1 1 0,0 1 0,1 0 0,-1-1 0,1 1 0,0 1 0,0-1 0,0 1 0,0 0 0,1 1 0,-5 8 0,-2 3 0,1 2 0,-10 23 0,15-31 0,0 1 0,1 1 0,1-1 0,0 1 0,0 0 0,1 0 0,1 0 0,0 0 0,1 2 0,2 13 0,-1-22 0,0 0 0,0 0 0,1-1 0,-1 1 0,2 0 0,-1-1 0,0 1 0,1-1 0,0 0 0,0 0 0,1 0 0,-1 0 0,1-1 0,0 1 0,1-1 0,-1 0 0,1 0 0,-1 0 0,1 0 0,0-1 0,0 0 0,1 0 0,-1 0 0,10 1 0,0 1 0,0-1 0,0-1 0,0 0 0,0-1 0,0-1 0,0-1 0,1 0 0,-1 0 0,0-2 0,25-4 0,-31 3 0,1 1 0,-1-1 0,0-1 0,0 2 0,0-3 0,0 1 0,-1-2 0,1 1 0,-2-1 0,1 0 0,0 0 0,-1-1 0,0 0 0,-1 0 0,1-1 0,-2 0 0,10-15 0,32-85 0,-47 108 0,0 0 0,0 0 0,0 0 0,0-1 0,0 1 0,0 0 0,0 0 0,0 0 0,0 0 0,0 0 0,0 0 0,0-1 0,0 1 0,0 0 0,0 0 0,0 0 0,1 0 0,-1 0 0,0 0 0,0 0 0,0-1 0,0 1 0,0 0 0,0 0 0,0 0 0,0 0 0,1 0 0,-1 0 0,0 0 0,0 0 0,0 0 0,0 0 0,0 0 0,0 0 0,1 0 0,-1 0 0,0 0 0,0 0 0,0 0 0,0 0 0,0 0 0,1 0 0,-1 0 0,0 0 0,0 0 0,0 0 0,0 0 0,0 0 0,0 0 0,1 0 0,-1 0 0,0 0 0,0 0 0,0 0 0,0 1 0,4 10 0,-2 15 0,-2-13 0,1-1 0,0 1 0,1-1 0,0 0 0,5 13 0,-7-21 0,1-1 0,0 0 0,1 0 0,-1 0 0,0 0 0,1 0 0,0-1 0,0 1 0,-1 0 0,2-1 0,-1 1 0,0-1 0,0 0 0,1 0 0,-1 0 0,1 0 0,0 0 0,0 0 0,-1-1 0,1 1 0,0-1 0,0 0 0,0 0 0,1 0 0,2 1 0,-2-3 0,-1 1 0,1 0 0,-1-1 0,1 0 0,-1 1 0,1-1 0,-1-1 0,0 1 0,0 0 0,1-1 0,-1 0 0,0 0 0,0 0 0,-1 0 0,1 0 0,0 0 0,-1-1 0,1 1 0,-1-1 0,4-5 0,6-9 0,0-1 0,12-25 0,-13 22 0,1-1 0,20-34 0,-29 51 0,1 1 0,-1 0 0,0 0 0,1 1 0,0-1 0,0 0 0,0 1 0,1-1 0,5-3 0,-7 6 0,-1 1 0,1-1 0,-1 1 0,0 0 0,1 0 0,-1 0 0,1 0 0,-1 0 0,0 1 0,1-1 0,-1 1 0,0-1 0,1 1 0,-1 0 0,0 0 0,0 0 0,0 0 0,0 0 0,0 2 0,0-2 0,0 1 0,0-1 0,2 3 0,17 9 0,-1-5 0,1 0 0,-1-1 0,1-1 0,1-1 0,-1-1 0,29 1 0,-2-2 0,87-7 0,-79-1 60,86-20 0,-121 20-246,0-1 1,0-1-1,-1 0 0,0-3 1,0 1-1,-1-2 1,19-13-1,1-10-6640</inkml:trace>
  <inkml:trace contextRef="#ctx0" brushRef="#br0" timeOffset="10591.43">5821 10745 24575,'0'-8'0,"0"0"0,0-1 0,-1 1 0,-1 0 0,1 1 0,-1 0 0,-6-17 0,7 22 0,0 0 0,0 0 0,0 0 0,-1 0 0,1 0 0,-1 0 0,1 1 0,-1-1 0,1 0 0,-1 1 0,0 0 0,0-1 0,0 1 0,0 0 0,0 0 0,0 0 0,0 0 0,0 0 0,0 0 0,0 1 0,-1-1 0,1 1 0,0 0 0,0-1 0,-1 1 0,1 0 0,0 0 0,-1 0 0,1 1 0,0-1 0,0 1 0,-1-1 0,-1 2 0,-1 0 0,-1 0 0,1 1 0,0 0 0,0 0 0,0 0 0,0 0 0,1 1 0,-1 0 0,1 0 0,0 0 0,0 1 0,0 0 0,1 0 0,0 0 0,-1 0 0,2-1 0,-1 1 0,-2 8 0,0 0 0,0 0 0,1 1 0,0-1 0,1 1 0,0 0 0,0 24 0,2-34 0,1 1 0,0 0 0,0 0 0,1 0 0,0 0 0,0 0 0,0 0 0,0 0 0,1 0 0,-1-1 0,1 1 0,0-1 0,1 1 0,-1-1 0,1 0 0,0 0 0,0 0 0,0 0 0,1 0 0,-1-1 0,1 1 0,0-1 0,0 0 0,0 1 0,0-2 0,0 1 0,1-1 0,-1 0 0,1 0 0,0 0 0,-1-2 0,1 1 0,0 0 0,0 0 0,9 0 0,3-1 0,0-2 0,0 0 0,-1 1 0,0-3 0,1 0 0,-1-1 0,0-1 0,-1-1 0,0 1 0,0-2 0,23-15 0,-24 14 0,0-1 0,-1-1 0,0 0 0,0-1 0,-1 0 0,-1 0 0,0-3 0,-1 2 0,0-2 0,-1 1 0,9-22 0,-16 32 0,0-1 0,0 0 0,0 1 0,-1-1 0,0 1 0,0-1 0,0 0 0,-1-9 0,-1 19 0,-5 29 0,7-29 0,0 0 0,1 0 0,-1 0 0,1 0 0,1 0 0,-1 0 0,0 0 0,1 0 0,0-1 0,0 0 0,1 1 0,-1-1 0,1 0 0,0-1 0,0 1 0,0-1 0,0 1 0,1-1 0,-1-1 0,10 5 0,-9-4 0,1-1 0,0 2 0,-1-2 0,1-1 0,0 1 0,0-1 0,0 0 0,0 0 0,0-1 0,1 0 0,-1 0 0,0 0 0,0-1 0,0 0 0,0 0 0,0 0 0,0-1 0,7-4 0,1-2 0,0 0 0,-1-1 0,14-12 0,-6 4 0,-20 16 0,0 0 0,0 0 0,0 0 0,0 0 0,0 1 0,0-1 0,1 0 0,-1 1 0,0-1 0,0 1 0,0 0 0,1-1 0,-1 1 0,0 0 0,1 0 0,-1-1 0,0 1 0,1 0 0,-1 0 0,0 1 0,1-1 0,-1 0 0,0 0 0,1 1 0,-1-1 0,0 0 0,0 1 0,0 0 0,1-1 0,-1 1 0,0 0 0,0-1 0,0 1 0,0 0 0,0 0 0,0 0 0,0 0 0,0 0 0,0 0 0,-1 0 0,1 0 0,0 0 0,0 2 0,0-2 0,0 1 0,0-1 0,0 1 0,0-1 0,0 0 0,0 1 0,1-1 0,-1 0 0,0 0 0,1 0 0,-1 0 0,1 0 0,-1 0 0,1-1 0,-1 1 0,1 0 0,0-1 0,-1 1 0,1-1 0,0 0 0,-1 1 0,1-1 0,0 0 0,0 0 0,-1 0 0,1 0 0,0 0 0,0-1 0,2 0 0,4-3 0,-1 0 0,0-1 0,0 0 0,0-1 0,0 1 0,-1-1 0,0-1 0,-1 1 0,1-1 0,-1 0 0,7-11 0,17-22 0,-26 36 0,0 0 0,1 1 0,0-1 0,0 1 0,0 0 0,0-1 0,6-2 0,-8 5 0,0 1 0,0-1 0,1 0 0,-1 1 0,0-1 0,1 1 0,-1 0 0,1-1 0,-1 1 0,0 1 0,1-1 0,-1 0 0,1 0 0,-1 1 0,0 0 0,1-1 0,3 3 0,43 18 0,-30-12 0,1 0 0,-1-1 0,1-1 0,1 0 0,-1-2 0,1-1 0,32 2 0,-47-7 0,0 0 0,1 1 0,-1-1 0,0-1 0,0 0 0,0 0 0,0-1 0,0 1 0,0-1 0,-1-1 0,1 0 0,-1 0 0,0 0 0,0 0 0,0 0 0,-1-1 0,0 1 0,1-1 0,3-6 0,-2 1 0,1 1 0,-1-1 0,-1-1 0,0 1 0,0-1 0,-1 1 0,0-1 0,-1-1 0,3-19 0,-5 29 0,-1-1 0,0 1 0,0-1 0,0 1 0,0-1 0,0 1 0,0-1 0,-1 1 0,1-1 0,-1 1 0,0-1 0,0 1 0,0 0 0,0-1 0,0 1 0,0 0 0,0 0 0,-1 0 0,1 0 0,-4-3 0,4 4 0,-1 0 0,0 0 0,1 0 0,-1 1 0,0-1 0,0 0 0,1 1 0,-1-1 0,0 1 0,0 0 0,0 0 0,1 0 0,-1 0 0,0 0 0,0 0 0,0 0 0,0 0 0,0 1 0,1-1 0,-1 1 0,0 0 0,0-1 0,1 1 0,-1 0 0,0 0 0,1 0 0,-1 0 0,-1 1 0,-6 5 0,1 0 0,-1 0 0,1 1 0,1 0 0,0 0 0,0 0 0,0 1 0,1 1 0,0-1 0,1 2 0,0-1 0,0-1 0,1 1 0,1 0 0,0 1 0,0 0 0,-2 18 0,5-27 0,0 1 0,0-1 0,0 1 0,0-1 0,1 1 0,-1-1 0,1 0 0,-1 1 0,1-1 0,0 0 0,0 1 0,0-1 0,0 0 0,1 0 0,-1 0 0,0 1 0,1-1 0,0 0 0,-1 0 0,1 0 0,0-1 0,0 1 0,0-1 0,0 1 0,0-1 0,0 0 0,0-1 0,1 1 0,-1 0 0,0 0 0,1 0 0,-1-1 0,0 1 0,1-1 0,-1 1 0,1-1 0,-1 0 0,4 0 0,2-1 0,0 1 0,-1-1 0,1 0 0,0-1 0,0 1 0,-1-1 0,1-1 0,-1 0 0,0 0 0,12-8 0,33-33 0,-19 14 0,-32 29 0,-1 1 0,0 0 0,1-1 0,-1 1 0,1 0 0,-1-1 0,0 1 0,1 0 0,-1 0 0,1 0 0,-1-1 0,1 1 0,-1 0 0,1 0 0,-1 0 0,1 0 0,-1 0 0,1 0 0,-1 0 0,1 0 0,-1 0 0,1 0 0,-1 0 0,1 0 0,-1 0 0,1 0 0,-1 0 0,1 0 0,-1 1 0,1-1 0,-1 0 0,1 0 0,-1 1 0,1-1 0,-1 0 0,0 1 0,1-1 0,-1 0 0,1 1 0,-1-1 0,0 1 0,0-1 0,1 1 0,-1-1 0,0 0 0,0 1 0,1-1 0,-1 1 0,0-1 0,0 1 0,0-1 0,0 1 0,0-1 0,0 1 0,0-1 0,0 2 0,4 38 0,-4-35 0,-1 458 0,-2-223 0,2-183 0,-10 444 0,11-493 0,-1 17 0,0 0 0,-2 0 0,0 0 0,-2 0 0,-15 45 0,19-66 0,0-3 0,-1 2 0,1 0 0,0-1 0,-1 0 0,0 1 0,0-1 0,1 0 0,-1 0 0,-1 0 0,1 0 0,-3 2 0,4-3 0,0-1 0,0 1 0,-1-1 0,1 1 0,0-1 0,0 0 0,0 1 0,-1-1 0,1 0 0,0 0 0,-1 0 0,1 0 0,0 0 0,0 0 0,-1-1 0,1 1 0,0 0 0,0-1 0,-1 1 0,0-1 0,-2-2 0,-1 0 0,1 0 0,0 0 0,0 0 0,1-1 0,-1 0 0,1 0 0,0 1 0,0-2 0,0 1 0,0-1 0,-2-5 0,-24-54 0,3-2 0,-30-118 0,43 139 0,3 0 0,1-1 0,3 2 0,-1-65 0,7 87 0,1-1 0,1 1 0,1 0 0,1 0 0,1 0 0,1 1 0,1-1 0,1 1 0,1 1 0,0 0 0,14-20 0,30-31 54,-38 51-409,0 0 0,-1 0 1,14-27-1,-15 17-6471</inkml:trace>
  <inkml:trace contextRef="#ctx0" brushRef="#br0" timeOffset="10731.17">6181 10449 24575,'0'-8'0,"4"0"0,8-10 0,9 1 0,8 3 0,0 3-8191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4:03.8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8192,'18'0'5089,"-1"1"-1,33 7 1,9 9-1243,-3 10-3500,-37-16-1031,-1 1 0,0 1 0,26 25 0,14 25 1989,-31-28-656,42 73 0,-41-55-2576,-2 3-1,22 71 0,59 292-10779,-86-320 12088,34 255 396,-27 5 260,-23-277-52,8 153 16,-21 273 0,-4-370 0,-6-1 0,-5-1 0,-56 180 0,-117 282 0,100-319 0,36-114 0,-38 180 0,73-224 0,5 1 0,5 1 0,2 144 0,15-199 0,3-1 0,24 115 0,-17-134 0,1-1 0,3 0 0,2-2 0,34 64 0,-41-88 128,1-2 1,1 1-1,1-1 1,18 18-1,-25-30 423,-1-1 0,1 0-1,0 0 1,1 0 0,-1-1-1,1 0 1,0 0 0,1-1 0,-1 0-1,1-1 1,-1 0 0,1 0 0,13 2-1,-17-5-39,0 0-1,0 0 0,0 0 1,1 0-1,-1-1 0,0 0 0,0 0 1,0 0-1,0 0 0,0-1 1,-1 0-1,9-4 0,-4 1-149,-1-1 1,-1 0-1,1 0 0,-1 0 0,0-1 0,8-10 0,1-4-260,-1-1 1,-1-1-1,-1 0 1,11-25 0,-12 15-102,-1 0 0,-1 0 0,-2-1 0,-2-1 0,-1 1 0,-1-1 0,-2-69 0,-2 96 0,-1 0 0,0 0 0,0 0 0,0 0 0,-1 0 0,0 0 0,-7-14 0,9 20 0,-1 1 0,0 0 0,0-1 0,0 1 0,0 0 0,0 0 0,0-1 0,0 1 0,0 0 0,0 0 0,0 0 0,-1 0 0,1 0 0,0 1 0,-1-1 0,1 0 0,-1 1 0,-2-2 0,2 2 0,0 0 0,0 0 0,-1 1 0,1-1 0,0 0 0,0 1 0,0-1 0,0 1 0,0 0 0,0 0 0,0 0 0,0 0 0,0 0 0,1 0 0,-1 0 0,0 1 0,0-1 0,-1 2 0,-5 6 0,-1 0 0,1 0 0,1 1 0,0 0 0,0 0 0,1 1 0,1 0 0,-1 0 0,2 0 0,-1 0 0,2 1 0,0 0 0,-3 15 0,-1 20 0,3 0 0,0 50 0,4-83 0,0-13-25,-2 362-1433,26 3 465,-9-272-2458,42 141 1,49 89-4044,-46-146 6550,103 419 719,-143-492 229,-5 0 1,-5 1-1,-5 193 1,-7-268-5,-1 0 0,-1 0 0,-2-1 0,-1 1 0,-2-1 0,-1-1 0,-1 0 0,-23 44 0,25-58 0,0 0 0,-1-1 0,-1 0 0,-1 0 0,0-1 0,0-1 0,-1 0 0,-1-1 0,0 0 0,0-1 0,-1 0 0,-1-2 0,1 0 0,-1 0 0,-1-1 0,-24 6 0,24-9 0,-1-1 0,1 0 0,-1-1 0,1-1 0,-1-1 0,0 0 0,1-1 0,-1-1 0,1-1 0,-1-1 0,1 0 0,0-1 0,1-1 0,-1 0 0,1-1 0,0-1 0,-21-14 0,7 1 0,2-1 0,0-1 0,2-1 0,1-1 0,1-2 0,1 0 0,-31-48 0,-14-35 0</inkml:trace>
  <inkml:trace contextRef="#ctx0" brushRef="#br0" timeOffset="1961.25">1651 2689 8192,'-2'166'14900,"-4"1"-10048,-8 31-7640,-18 93-12646,27-266 14035,5-25 1395,0 0-1,0-1 0,0 1 1,0 0-1,0 0 0,0 0 1,0 0-1,0 0 0,0 0 1,0 0-1,0 0 0,0-1 1,0 1-1,0 0 0,0 0 1,0 0-1,-1 0 0,1 0 1,0 0-1,0 0 0,0 0 1,0 0-1,0 0 0,0 0 1,0-1-1,0 1 1,0 0-1,0 0 0,0 0 1,0 0-1,0 0 0,-1 0 1,1 0-1,0 0 0,0 0 1,0 0-1,0 0 0,0 0 1,0 0-1,0 0 0,0 0 1,0 0-1,-1 0 0,1 0 1,0 0-1,0 0 0,0 0 1,0 0-1,0 0 0,0 0 1,0 0-1,-1 0 0,0-46 121,20-602-116,-18 626 0,1-35 0,-2 10 0,3 0 0,1-1 0,2 2 0,16-58 0,-22 102 60,1-1 0,-1 1 0,1-1 0,0 1 0,0-1-1,0 1 1,0 0 0,0-1 0,0 1 0,1 0 0,-1 0 0,1 0 0,0 0 0,-1 0 0,1 0 0,0 1 0,0-1 0,0 1 0,0-1 0,0 1 0,4-2 0,-5 3 26,0 0 0,1 0 0,-1 0 0,0 0 0,0 0 0,0 0 0,0 0 0,0 1 0,1-1 0,-1 0 0,0 1 0,0-1 0,0 1 0,0 0 0,0-1 0,0 1 1,1 1-1,20 25 991,8 31 2665,24 61 0,-21-43 279,46 117-2905,25 101-9781,-70-195 7394,-15-45-5359</inkml:trace>
  <inkml:trace contextRef="#ctx0" brushRef="#br0" timeOffset="2112.66">1630 3324 8192,'7'0'11991,"14"0"-11991,20-11 6031,26-14-6031,22-18-3356,11-8 3356,-1 5-5484,-10 2 5484,-20 9 0</inkml:trace>
  <inkml:trace contextRef="#ctx0" brushRef="#br0" timeOffset="2952.68">2329 3303 8192,'6'8'16921,"4"-18"-15820,-5-4-1101,0-1 0,-1 0 0,-1 0 0,0 0 0,-1 0 0,-1 0 0,-1-30 0,1 15 0,1-323-5415,-18 180 1556,-17 6-3359,30 156 6679,-16-49-462,18 57 1001,0 1 1,0 0-1,0 0 1,0-1-1,0 1 1,0 0-1,-1 0 1,1 0 0,-1 0-1,1 1 1,-1-1-1,0 0 1,0 1-1,0-1 1,0 1-1,0 0 1,0-1-1,-4-1 1,4 3-1,1 0 0,0 1 0,-1-1 0,1 0 0,0 0 0,-1 1 0,1-1 0,0 1 0,0-1 0,-1 1 0,1 0 0,0 0 0,0-1 0,0 1 0,0 0 0,0 0 0,0 0 0,0 0 0,0 0 0,0 0 0,0 0 0,1 0 0,-1 1 0,0-1 0,1 0 0,-1 0 0,1 1 0,-1-1 0,1 3 0,-14 47 0,13-48 0,-7 46 0,3 1 0,1 0 0,3 0 0,2 0 0,10 69 0,-3-60 0,4-1 0,2-1 0,2 0 0,31 70 0,-39-107 0,2-1 0,0-1 0,21 31 0,-28-45 0,0 0 0,0-1 0,0 1 0,1 0 0,-1-1 0,1 0 0,0 0 0,-1 0 0,1 0 0,1-1 0,-1 1 0,0-1 0,1 0 0,-1 0 0,1-1 0,0 1 0,-1-1 0,1 0 0,0-1 0,0 1 0,8-1 0,-9-1 27,0 0 0,0 0 0,0-1 0,0 1 1,0-1-1,0 0 0,-1 0 0,1-1 0,-1 1 0,1-1 0,-1 0 1,0 0-1,0 0 0,0 0 0,0 0 0,-1-1 0,1 1 0,-1-1 1,0 0-1,0 0 0,0 0 0,0 0 0,-1 0 0,2-5 1,1-7 516,0 0 1,0 0-1,-2 0 0,0 0 1,0-19-1,-2 12 1358,-1 0 0,-6-30 0,7 47-1319,-2 0 0,1 0 0,0 0 0,-1 0 0,0 0 0,-1 0 0,1 1 1,-1-1-1,0 1 0,0 0 0,-1 0 0,0 0 0,-6-7 0,9 11-577,1 1 0,0 0-1,-1-1 1,1 1 0,-1-1-1,1 1 1,-1 0 0,1-1 0,-1 1-1,0 0 1,1 0 0,-1 0 0,1-1-1,-1 1 1,1 0 0,-1 0 0,0 0-1,1 0 1,-1 0 0,1 0 0,-1 0-1,0 0 1,1 0 0,-1 0 0,1 1-1,-1-1 1,0 0 0,1 0 0,-1 0-1,1 1 1,-1-1 0,1 0 0,-1 1-1,-1 1-2,1-1 0,0 1 0,0-1-1,0 1 1,0 0 0,0-1 0,0 1-1,1 0 1,-1 0 0,0 3 0,-5 46-21,6-44 18,0-1 0,1 1 0,0 0 0,1-1 0,-1 1 0,1-1 0,0 1 0,1-1 0,-1 0 0,1 0 0,1 0 0,-1 0 0,6 6 0,-6-9 0,0 1 0,0-1 0,1 0 0,-1-1 0,1 1 0,-1 0 0,1-1 0,0 0 0,0 0 0,0 0 0,0-1 0,1 1 0,-1-1 0,0 0 0,1 0 0,-1 0 0,0-1 0,1 0 0,-1 1 0,1-2 0,6 0 0,-4 0-1,1-1 0,-1 0 0,1 0 1,-1-1-1,0 0 0,0-1 0,0 1 1,0-1-1,-1 0 0,0-1 0,0 0 1,0 0-1,0 0 0,-1-1 0,9-10 1,0-3-616,-1-1 0,0 0 0,18-41 0,20-58-2683,-12-3-7415,-37 114 10061,5-25-222,-7 33 875,0-1 0,1 0 0,-1 0 0,0 0-1,0 0 1,0 1 0,0-1 0,0 0 0,0 0-1,0 0 1,0 1 0,-1-1 0,1 0 0,0 0 0,0 0-1,-1 1 1,1-1 0,0 0 0,-1 0 0,1 1-1,-1-1 1,1 0 0,-1 1 0,1-1 0,-1 1-1,0-1 1,1 1 0,-2-2 0,1 2 0,1 0 0,-1 0 0,0 0 0,0 1 0,0-1 0,0 0 0,1 0 0,-1 0 0,0 0 0,0 1 0,1-1 0,-1 0 0,0 1 0,0-1 0,1 1 0,-1-1 0,0 1 0,1-1 0,-1 1 0,0-1 0,1 1 0,-1 0 0,1-1 0,-1 1 0,1 0 0,0-1 0,-1 1 0,1 0 0,0 0 0,-1-1 0,1 1 0,0 0 0,0 0 0,0 0 0,-1-1 0,1 1 0,0 0 0,0 0 0,1 1 0,-2 3 0,0 0 0,1-1 0,0 1 0,0 0 0,0 0 0,2 6 0,0-5-2,0-1 0,0 0-1,1 1 1,-1-1 0,1 0 0,1-1 0,-1 1 0,1 0 0,0-1 0,0 0 0,0 0 0,0 0-1,7 4 1,9 6 115,42 21-1,-37-22 252,-3-2 549,-2 1 0,0 0 0,0 2 0,-1 0 0,26 27 0,-41-37-621,0-1 0,-1 1 0,0 0 0,0 0 0,0 1 0,0-1 0,-1 1 0,1-1 0,-1 1 0,-1 0 0,1 0 0,0 0 0,-1 0 0,0 0 0,-1 0 0,1 0 0,-1 0 0,0 0 0,0 0 0,0 0 0,-1 1 0,1-1 0,-1 0 1,-1 0-1,1 0 0,-1 0 0,0-1 0,0 1 0,0 0 0,-1-1 0,1 1 0,-4 3 0,-5 6 64,-1 0 0,0-1 0,0-1 0,-1 0 0,-1-1-1,-26 17 1,19-14-384,-2-2-1,1-1 0,-2 0 0,-26 7 1,43-16 28,1 0 0,0 0 0,-1-1 0,0 0 0,1 0 0,-1-1 0,1 0 0,-1 0 0,0-1 0,1 1 0,-8-3 0,10 2 0,0-1 0,0 1 0,0-1 0,1 0 0,-1 0 0,0 0 0,1-1 0,0 1 0,-1-1 0,1 0 0,0 0 0,0 0 0,1 0 0,-1-1 0,1 1 0,-1-1 0,-2-6 0,-14-40 0</inkml:trace>
  <inkml:trace contextRef="#ctx0" brushRef="#br0" timeOffset="4061.59">3387 2710 8192,'-12'15'10206,"3"2"-4321,-3 24-2292,4 43-6596,7-69 4344,0 6-1341,1 0 0,1 0 0,0 0 0,7 29 0,-7-46 0,0 1 0,1 0 0,-1-1 0,1 1 0,0-1 0,0 0 0,1 0 0,-1 0 0,1 0 0,0 0 0,4 4 0,-5-6 0,0 0 0,1-1 0,-1 0 0,0 1 0,0-1 0,1 0 0,-1 0 0,1 0 0,-1 0 0,1-1 0,0 1 0,-1-1 0,1 1 0,-1-1 0,1 0 0,0 0 0,-1 0 0,1-1 0,0 1 0,-1-1 0,6-1 0,-5 1-3,0 0 1,0 0 0,0 0 0,0-1 0,0 0-1,0 1 1,0-1 0,0 0 0,-1 0 0,1-1 0,-1 1-1,1 0 1,-1-1 0,3-4 0,-1 1 13,-1 0 1,0 0 0,0-1-1,0 1 1,-1-1 0,3-12-1,-2 0-132,-1 0-1,-1-1 1,0 0-1,-3-23 0,-1 14-890,-1-1-1,-2 1 1,-9-30 0,11 44 553,-2 0 0,0 0 0,0 1 0,-1 0 0,-1 0 1,-1 1-1,-15-19 0,22 29 677,-1 0 1,0 0-1,0 0 1,1 0-1,-2 1 1,1 0 0,0-1-1,0 1 1,-1 0-1,1 1 1,-1-1-1,0 1 1,1-1-1,-1 1 1,0 0-1,0 1 1,0-1-1,0 1 1,-6-1 0,6 2-57,1 0 1,-1 0-1,1 0 1,-1 0-1,0 0 1,1 1 0,0 0-1,-1-1 1,1 1-1,0 1 1,0-1-1,0 0 1,0 1-1,1-1 1,-1 1 0,1 0-1,-1 0 1,1 0-1,0 0 1,-2 5-1,-1 1-598,0 1 0,1 0 0,0-1-1,1 1 1,0 1 0,0-1-1,1 0 1,1 1 0,0-1-1,0 1 1,1 13 0,1-16-172,0 0 1,0 0-1,0-1 1,1 1-1,1 0 1,-1-1-1,1 1 1,0-1 0,1 0-1,0 0 1,0 0-1,0 0 1,1-1-1,0 0 1,10 10-1,-4-6 420,0-1 0,1-1 0,0 0-1,0-1 1,1 0 0,0-1 0,0 0 0,1-1-1,0-1 1,0 0 0,0-1 0,0 0-1,26 1 1,-30-4 191,-1 0 0,0 0-1,1-1 1,-1 0 0,0-1 0,0 0 0,0 0-1,0-1 1,0 0 0,0-1 0,-1 1-1,1-2 1,-1 1 0,0-1 0,-1-1-1,1 0 1,-1 0 0,0 0 0,0 0-1,-1-1 1,0-1 0,7-10 0,-4 2-3,-1 1 0,-1-2 0,0 1 0,-2-1 0,0 0 0,0 0 0,-2-1 0,0 1 0,-1-1 0,-1 1 0,0-1 0,-3-26 0,-4-6 0,-1 0 0,-3 0 0,-18-53 0,1 13 0,-75-164 0,71 202 0,31 52 0,-1-1 0,1 0 0,-1 0 0,1 0 0,-1 1 0,1-1 0,-1 0 0,1 1 0,-1-1 0,0 1 0,1-1 0,-1 1 0,0-1 0,0 1 0,0-1 0,1 1 0,-1 0 0,0-1 0,0 1 0,0 0 0,0 0 0,0-1 0,1 1 0,-1 0 0,0 0 0,0 0 0,0 0 0,-1 1 0,1 0 0,0 0 0,0 0 0,0 0 0,0 0 0,0 0 0,0 0 0,0 0 0,1 1 0,-1-1 0,0 0 0,1 1 0,-1-1 0,1 0 0,0 1 0,-1-1 0,1 3 0,-3 21 0,2 0 0,0 0 0,1 1 0,2-1 0,7 38 0,-4-24 0,42 224 0,-39-230 0,2-1 0,1 0 0,2-1 0,1 0 0,34 54 0,-43-77 85,0-1 0,1 1 0,1-1 1,-1 0-1,1-1 0,0 0 0,0 0 0,1 0 1,0-1-1,11 6 0,-16-9 162,1-1 0,-1 0 0,1 0 1,-1 0-1,1 0 0,-1-1 0,1 1 0,-1-1 1,1 0-1,0 0 0,-1 0 0,1-1 0,-1 1 0,1-1 1,-1 0-1,1 0 0,-1 0 0,1 0 0,-1-1 0,0 0 1,0 1-1,1-1 0,-1 0 0,0 0 0,-1-1 1,1 1-1,0 0 0,-1-1 0,3-3 0,3-4 580,0 0 0,-1-1 0,0 0 0,-1 0 0,0-1 0,5-14 0,22-80 2946,-13 37-3665,-20 68-108,0 0 0,0 0 0,0 0 0,1 1 0,-1-1 0,0 0 0,1 0 0,-1 0 0,1 0 0,-1 0 0,1 0 0,-1 1 0,1-1 0,-1 0 0,1 0 0,0 1 0,-1-1 0,2 0 0,3 14 0,-4 39 0,-1-47 0,0 6 0,0 0 0,1 0 0,0 0 0,1 0 0,0 0 0,1 0 0,0 0 0,0-1 0,8 15 0,-8-20 0,0 0 0,0-1 0,0 1 0,1-1 0,-1 0 0,1 0 0,0 0 0,0 0 0,1-1 0,-1 0 0,1 0 0,0 0 0,-1 0 0,1-1 0,0 0 0,1 0 0,-1 0 0,0-1 0,0 1 0,1-1 0,6 0 0,-6 0 0,0-1 0,0 0 0,0 0 0,0 0 0,0-1 0,0 0 0,0 0 0,0-1 0,0 1 0,0-1 0,-1-1 0,1 1 0,-1-1 0,7-3 0,-5 1 0,-1-1 0,1 1 0,-1-1 0,0 0 0,-1-1 0,1 1 0,-1-1 0,-1 0 0,6-9 0,-1-5 0,0 0 0,-1-1 0,-1 0 0,-2 0 0,0 0 0,3-36 0,-5 28 0,-1-43 0,-5 56 0,3 17 0,0 0 0,0-1 0,0 1 0,0 0 0,0 0 0,0 0 0,0 0 0,0 0 0,0 0 0,0 0 0,0 0 0,0 0 0,0 0 0,-1-1 0,1 1 0,0 0 0,0 0 0,0 0 0,0 0 0,0 0 0,0 0 0,0 0 0,0 0 0,0 0 0,-1 0 0,1 0 0,0 0 0,0 0 0,0 0 0,0 0 0,0 0 0,0 0 0,0 0 0,-1 0 0,1 0 0,0 0 0,0 0 0,0 0 0,0 0 0,0 0 0,0 0 0,0 0 0,0 0 0,0 0 0,-1 1 0,1-1 0,0 0 0,0 0 0,0 0 0,0 0 0,0 0 0,0 0 0,0 0 0,0 0 0,0 0 0,0 0 0,0 1 0,-9 25 0,7-13 0,0 1 0,1-1 0,1 1 0,0 0 0,0-1 0,2 1 0,0 0 0,0-1 0,7 19 0,-8-28 0,0 0 0,1 1 0,0-1 0,0 0 0,1 0 0,-1 0 0,1-1 0,-1 1 0,1 0 0,0-1 0,1 0 0,-1 0 0,0 0 0,1 0 0,0 0 0,0-1 0,0 0 0,0 0 0,0 0 0,0 0 0,0 0 0,1-1 0,-1 0 0,1 0 0,-1 0 0,1 0 0,-1-1 0,1 0 0,-1 0 0,1 0 0,-1 0 0,6-2 0,-4 1-38,1-1 0,0 1 1,-1-2-1,1 1 0,-1-1 1,0 0-1,0 0 0,0 0 1,0-1-1,-1 0 0,1 0 1,-1-1-1,0 1 0,0-1 1,-1 0-1,0-1 0,1 1 1,-2-1-1,1 0 1,-1 0-1,0 0 0,0 0 1,4-12-1,0-5-1119,0 0 0,-2-1 0,-1 1 0,0-1 1,0-35-1,-3 35-412,-1 0 1,-1 0 0,0 0-1,-2 1 1,-11-44 0,14 65 1682,-1 0 0,1 0 0,-1 0 0,0 0 1,1 0-1,-1 1 0,0-1 0,0 0 0,0 0 1,0 1-1,0-1 0,-1 1 0,1-1 1,0 1-1,-3-2 0,4 3-140,-1 0 0,0 0 1,1 0-1,-1 0 0,1 0 0,-1 1 1,1-1-1,-1 0 0,1 0 0,-1 1 1,0-1-1,1 0 0,0 0 0,-1 1 0,1-1 1,-1 1-1,1-1 0,-1 0 0,1 1 1,0-1-1,-1 1 0,1-1 0,0 1 1,-1-1-1,1 1 0,0-1 0,0 1 1,0 0-1,-1-1 0,1 1 0,0 0 1,-3 10-265,-1 0 0,2 0 0,0 1 0,-1 11 1,-2 48 115,7 122 0,0-166 178,1 0-1,2 0 0,0 0 1,2-1-1,1 1 0,1-2 0,21 42 1,-25-57-4,1-1 0,0 0 0,1 0 0,0 0 0,1-1 0,0 0 0,14 11 0,9 0 0</inkml:trace>
  <inkml:trace contextRef="#ctx0" brushRef="#br0" timeOffset="4385.09">4466 2329 8192,'10'10'5473,"-10"-9"-5130,1-1-1,0 1 0,0-1 0,0 0 0,0 0 0,-1 1 0,1-1 0,0 0 0,0 0 1,1 0-1,25 3 7217,-3-3-7457,-1-1 0,0 0 0,1-2 0,-1-1 0,39-11 1,-48 11-42,1-2 0,-1 1 1,-1-1-1,1-1 0,-1-1 0,0 0 1,0 0-1,-1-2 0,20-19 1,-25 21-62,-1 0 0,0-1 0,-1 0 0,0 0 0,0-1 0,-1 1 0,-1-1 0,1 0 0,2-15 0,-4 16 0,0 1 0,-1-1 0,0 1 0,-1-1 0,0 1 0,0-1 0,-1 0 0,0 1 0,0-1 0,-1 1 0,-5-15 0,7 22 0,-1-1 0,0 0 0,0 0 0,1 1 0,-1-1 0,0 1 0,-1-1 0,1 1 0,0-1 0,0 1 0,-1 0 0,1 0 0,-1-1 0,1 1 0,-1 0 0,1 0 0,-1 1 0,0-1 0,1 0 0,-1 0 0,0 1 0,0-1 0,0 1 0,1 0 0,-1-1 0,0 1 0,-3 0 0,2 1 0,-1-1 0,1 1 0,0 0 0,0 0 0,0 0 0,0 1 0,0-1 0,0 1 0,0-1 0,0 1 0,0 0 0,1 0 0,-1 0 0,1 1 0,-4 3 0,-2 5-39,0 0 0,1 0-1,0 1 1,1 0 0,0 0 0,1 0 0,0 1 0,-4 19 0,1 6-1183,-6 67-1,12-80 659,1 1-1,1 0 1,1 0 0,1 0-1,2-1 1,10 40 0,-11-54 51,1 1 0,0-1-1,1 0 1,0 0 0,1-1 0,0 0 0,0 0 0,1 0 0,1 0 0,0-1 0,0-1-1,1 1 1,0-1 0,0-1 0,1 1 0,14 7 0,-11-9 345,0 0-1,0-1 1,1 0 0,0-1 0,0-1-1,0 0 1,0-1 0,0-1 0,1 0-1,-1 0 1,0-2 0,1 0 0,19-4-1,-12 1 145,0-2-1,-1 0 1,0-2-1,0 0 1,-1-1-1,1-1 0,31-23 1,29-29 24</inkml:trace>
  <inkml:trace contextRef="#ctx0" brushRef="#br0" timeOffset="5880.67">1418 4615 8192,'0'-5'1108,"0"1"1,-1-1 0,1 0 0,-1 0-1,0 1 1,-1-1 0,1 1-1,-1-1 1,0 1 0,0 0 0,-4-7-1,2 6-621,0 0-1,1 1 0,-1-1 1,-1 1-1,1 0 0,-1 1 1,1-1-1,-11-5 0,10 6-467,-1 0 0,0 1 0,-1-1 0,1 1 0,0 0 0,-1 1 0,1 0 0,-1 0 0,1 0-1,-1 1 1,1-1 0,-1 2 0,0-1 0,1 1 0,-1 0 0,1 0 0,-11 4 0,7 0-30,0 0 0,0 1 0,1 0-1,-1 0 1,2 1 0,-1 0 0,1 1 0,0 0 0,0 0 0,1 1 0,0 0 0,1 0 0,0 1 0,-7 13 0,-4 14-759,2-1 0,-19 69 0,19-51 153,3 0 1,-11 111-1,21-133-215,2-1 1,1 1 0,1 0-1,2-1 1,1 1-1,16 52 1,-16-70 230,0 0-1,1-1 1,0 0 0,1 0 0,1 0 0,0-1 0,1 0-1,0-1 1,1 0 0,0 0 0,22 17 0,-21-20 568,1 0 0,0-1-1,0-1 1,1 0 0,-1-1 0,1 0 0,0-1 0,1 0 0,-1-1 0,1-1 0,-1 0 0,1-1-1,0 0 1,0-1 0,-1-1 0,1 0 0,0-1 0,-1 0 0,22-7 0,-14 2 13,1-1 0,-1-1 0,-1-1 0,1-1 0,-2 0 0,1-2 0,-2 0 0,0-1 0,0-1 0,-2-1 0,22-25 0,-21 20 324,-1-1-1,-1 0 1,-1-1 0,-1-1-1,-1 0 1,-1 0-1,-1-1 1,-1-1 0,7-37-1,-13 47-455,0 0-1,-2 1 0,1-26 1,-2 36 285,-1 0 0,1 0 0,-1 0 0,0 0 0,0 0 0,0 0 0,-1 0 0,0 0 0,0 1 0,0-1 0,0 1 0,-1-1 0,0 1 0,-4-6 0,6 9 37,0 0 0,0 0 0,0 0 0,0 0 0,0 1 0,0-1 0,-1 0 0,1 0 0,0 1 0,0-1 0,0 1 0,-1-1 0,1 1 0,0 0 0,-1-1 0,1 1 0,0 0-1,-1 0 1,1 0 0,0 0 0,-1 0 0,1 0 0,0 0 0,-1 0 0,1 1 0,0-1 0,-1 1 0,1-1 0,0 1 0,0-1 0,-1 1 0,1-1 0,0 1 0,0 0 0,0 0 0,0 0 0,0 0 0,-1 1 0,-3 2 565,1 1 0,0 1-1,0-1 1,0 0-1,0 1 1,-4 9 0,1 2-502,0 0 1,1 0-1,1 0 0,1 1 1,0-1-1,1 1 1,1 0-1,0 30 0,2-40-234,1 0 0,-1 0-1,1 0 1,0-1-1,1 1 1,0 0 0,0-1-1,1 1 1,0-1 0,0 1-1,1-1 1,0 0-1,0-1 1,0 1 0,1-1-1,0 0 1,1 0 0,-1 0-1,1-1 1,0 0-1,0 0 1,8 4 0,-5-4-12,1 0 0,-1-1 0,1 0 0,0-1 0,1 0 0,-1 0 1,0-1-1,1-1 0,0 0 0,-1 0 0,17-2 0,-12 0 61,-1-1 0,1-1 0,-1-1 0,1 0 0,-1-1 0,-1 0 0,24-12 0,-19 6-300,1-1 0,-1 0 0,-1-2-1,-1 1 1,0-2 0,0 0 0,-2-1 0,0-1 0,0 0-1,-2-1 1,15-27 0,-15 19-687,-1-1-1,-1 1 1,-2-2 0,0 1 0,-2-1 0,4-42-1,-8 52 512,-1 1 0,-1-1 0,-1 0-1,0 1 1,-1-1 0,-1 1 0,-1 0 0,0-1-1,-1 2 1,-1-1 0,-12-24 0,14 35 267,1 0 0,-1 1-1,0-1 1,-1 1 0,1 0 0,-1 0 0,0 1 0,0-1 0,0 1-1,-1 0 1,0 0 0,-8-4 0,12 8 138,-1-1 0,1 0-1,0 0 1,-1 1 0,1-1 0,0 1 0,-1 0-1,1 0 1,-1 0 0,1 0 0,0 0 0,-1 0 0,1 1-1,0-1 1,-1 1 0,1 0 0,0 0 0,-1-1-1,1 1 1,0 1 0,0-1 0,0 0 0,0 0-1,0 1 1,0-1 0,1 1 0,-1 0 0,0 0 0,1-1-1,-1 1 1,1 0 0,0 0 0,-1 0 0,1 0-1,0 1 1,-1 3 0,-3 6 397,1-1 0,0 1 0,1 0-1,0 0 1,0 0 0,2 1 0,0-1 0,0 1-1,1-1 1,0 0 0,1 1 0,1-1 0,0 0 0,1 1-1,0-1 1,0-1 0,1 1 0,9 16 0,-8-18-542,0 0 0,1-1 1,0 1-1,1-1 1,0 0-1,1-1 0,0 0 1,0 0-1,1 0 1,0-1-1,0-1 1,18 11-1,-14-11-177,0 0-1,0-1 1,0 0-1,1-1 1,0-1 0,0 0-1,0-1 1,0 0-1,0-1 1,0-1 0,1 0-1,-1-1 1,17-3-1,-14 0 282,1-1-1,-1 0 0,0-1 0,-1-2 1,1 1-1,-1-2 0,-1 0 0,0-1 1,27-22-1,-22 14 65,-1 0 0,-1-1 0,-1-1 0,-1-1 0,-1-1 0,-1 0 0,0-1 0,-2 0 0,10-26 0,-14 30 0,-2 0 0,0 0 0,-1 0 0,-1-1 0,-1 1 0,0-1 0,-2 0 0,0 0 0,-1 0 0,-1 0 0,-1 0 0,-7-28 0,8 42 0,-1 0 0,0-1 0,-1 1 0,1 0 0,-1 0 0,-1 0 0,1 1 0,-1-1 0,-4-4 0,7 8 0,0 1 0,0 0 0,-1 0 0,1 0 0,0 0 0,-1 0 0,1 0 0,-1 1 0,1-1 0,-1 0 0,1 1 0,-1-1 0,1 1 0,-1-1 0,0 1 0,1 0 0,-1 0 0,0 0 0,1 0 0,-1 0 0,0 0 0,1 0 0,-1 0 0,0 1 0,1-1 0,-1 1 0,1-1 0,-1 1 0,1 0 0,-1-1 0,1 1 0,-1 0 0,1 0 0,0 0 0,-1 0 0,1 0 0,0 0 0,0 1 0,-1 1 0,-5 4 0,0 1 0,1 0 0,1 0 0,-1 0 0,1 1 0,1 0 0,0 0 0,0 0 0,0 1 0,1-1 0,-1 12 0,-3 11 0,3 0 0,-2 38 0,5-47 0,1 0 0,1 0 0,1 0 0,1-1 0,1 1 0,1-1 0,13 40 0,-13-50 0,1 0 0,0-1 0,0 0 0,1 0 0,0 0 0,1-1 0,0 0 0,1-1 0,0 1 0,1-2 0,0 1 0,0-2 0,0 1 0,1-1 0,19 9 0,-12-9 0,0 0 0,0-2 0,1 0 0,0-1 0,0 0 0,0-2 0,0 0 0,0-1 0,1-2 0,-1 1 0,0-2 0,28-6 0,-6-2 0,-1-1 0,0-2 0,0-2 0,59-32 0,19-19 0</inkml:trace>
  <inkml:trace contextRef="#ctx0" brushRef="#br0" timeOffset="6726.5">1651 6520 8192,'0'4'11332,"0"4"-11332,0 16 0,0 18 6690,0 19-6690,0 26 0,7 25 0,3 20-2971,-1 6 2971,-2-8-5849,-1-13 5849,-3-25-7957,-1-34 6712,-2-27 1245</inkml:trace>
  <inkml:trace contextRef="#ctx0" brushRef="#br0" timeOffset="7052.53">1355 6584 8192,'1'-9'0,"0"1"0,0 1 0,1-1 0,1 0 0,-1 0 0,1 1 0,8-15 0,-2 2 0,0 0 0,0 1 0,2 1 0,0 0 0,1 0 0,0 1 0,2 0 0,0 1 0,32-28 0,-36 36 0,0 1 0,1-1 0,0 2 0,0 0 0,0 0 0,1 1 0,0 0 0,0 1 0,0 0 0,0 1 0,1 1 0,0 0 0,-1 0 0,1 2 0,0-1 0,17 3 0,-22-1 0,-1 0 0,0 1 0,0 0 0,0 0 0,0 1 0,0-1 0,0 2 0,-1-1 0,1 1 0,-1 0 0,0 0 0,0 1 0,0 0 0,-1 0 0,0 0 0,0 0 0,0 1 0,0 0 0,-1 0 0,0 0 0,-1 1 0,1-1 0,-1 1 0,0 0 0,2 9 0,0 0 0,-1 0 0,-1 0 0,-1 0 0,0 1 0,-1-1 0,-1 1 0,0-1 0,-1 1 0,-1-1 0,-6 26 0,4-25-38,-2 1 0,0-1 1,-1-1-1,-1 1 1,-1-1-1,-19 28 0,10-22 855,0 0 0,-1-1 0,-37 30-1,47-44 2088,5-4-1508,-1 1-1,1-1 0,1 1 1,-1-1-1,0 1 1,-3 5-1,7-8-1267,0-1 0,-1 1 0,1 0 0,0-1 0,0 1 0,-1 0-1,1-1 1,0 1 0,0 0 0,0-1 0,0 1 0,0 0 0,0-1 0,0 1 0,0 0 0,0 0 0,0-1 0,0 1 0,0 0 0,1 0 0,0 0-151,0 1 0,0-1 1,0 0-1,0 0 0,0 0 1,0 0-1,0 0 0,0-1 1,0 1-1,0 0 0,0 0 1,1-1-1,-1 1 0,2 0 1,47 21-1356,-1 3 0,-1 1 0,-2 3 1,65 52-1,3 21-7301,-83-70 7435</inkml:trace>
  <inkml:trace contextRef="#ctx0" brushRef="#br0" timeOffset="8722.67">2138 6965 8192,'16'23'12389,"5"-6"-6443,6-5-4534,-23-11-1667,1 0 1,0 0-1,-1 0 1,1-1-1,0 0 1,-1 0-1,1 0 1,0 0-1,-1-1 1,1 0 0,0 0-1,6-2 1,11-9 1837,-13 5-1583,-1 0 0,0-1 0,0 0 0,-1 0 0,0-1 0,-1 0 0,0 0 0,0 0 0,-1-1 0,0 0 0,6-19 0,-8 21 0,0 0 0,-1-1 0,0 1 0,0-1 0,-1 0 0,0 1 0,-1-1 0,1 0 0,-2 1 0,1-1 0,-1 0 0,-1 1 0,0-1 0,0 1 0,-5-12 0,7 18 0,-1 0 0,0 0 0,1 0 1,-1 0-1,0 1 0,0-1 1,0 0-1,0 1 0,-1-1 0,1 1 1,0-1-1,-1 1 0,1 0 0,-1-1 1,1 1-1,-1 0 0,1 0 1,-1 0-1,0 0 0,0 0 0,1 1 1,-1-1-1,0 1 0,0-1 0,0 1 1,0-1-1,0 1 0,0 0 1,0 0-1,0 0 0,0 0 0,0 0 1,0 1-1,0-1 0,1 0 0,-1 1 1,0 0-1,0-1 0,0 1 1,0 0-1,1 0 0,-1 0 0,0 0 1,1 0-1,-3 3 0,-4 2-351,1 0 0,0 1 0,0 0 0,1 0-1,0 1 1,1 0 0,-10 16 0,11-17-123,1-1-1,0 1 1,1 0 0,-1 0-1,1 0 1,1 0 0,-1 0-1,1 0 1,0 0 0,1 1-1,0-1 1,0 0 0,0 0-1,1 1 1,0-1-1,1 0 1,0 0 0,0 0-1,0 0 1,1 0 0,0-1-1,0 1 1,0-1 0,1 1-1,0-1 1,5 5 0,-3-5 252,0 0 0,0-1 1,0 0-1,0 0 1,1 0-1,0-1 0,0 0 1,0 0-1,11 3 1,-10-4 213,-1-1 0,0 0 0,1 0 0,-1-1 0,1 0 0,-1 0 1,1-1-1,-1 0 0,1 0 0,0-1 0,-1 0 0,1 0 1,-1-1-1,1 0 0,-1 0 0,0 0 0,0-1 0,0-1 1,0 1-1,-1-1 0,1 0 0,-1 0 0,0-1 0,0 0 1,0 0-1,-1 0 0,5-7 0,5-6 10,-2 0 0,0-1 1,-1-1-1,0 0 0,-2 0 0,-1-1 1,13-42-1,-12 26-2,-1 1 0,-3-1 0,-1-1 0,-1 1 0,-2-1 0,-5-61 0,-3 46 0,-3-1 0,-1 1 0,-35-102 0,14 77 0,28 71 0,-1-1 0,0 1 0,-1 0 0,0 0 0,0 0 0,-11-12 0,16 19 0,-1-1 0,1 0 0,-1 1 0,1-1 0,-1 1 0,0-1 0,1 1 0,-1-1 0,1 1 0,-1-1 0,0 1 0,1 0 0,-1-1 0,0 1 0,0 0 0,1 0 0,-1-1 0,0 1 0,0 0 0,1 0 0,-1 0 0,0 0 0,0 0 0,0 0 0,1 0 0,-1 0 0,0 0 0,0 1 0,1-1 0,-1 0 0,0 0 0,0 1 0,1-1 0,-1 0 0,0 1 0,1-1 0,-1 1 0,1-1 0,-1 1 0,0-1 0,1 1 0,-1-1 0,1 1 0,-1 0 0,1-1 0,-1 2 0,-1 3 0,-1 0 0,1 0 0,0 0 0,1 0 0,-2 10 0,-2 15 0,1 0 0,2 0 0,1 0 0,3 41 0,25 127 0,-23-175 0,236 1088 0,-219-1024 0,-8-34 0,209 779 0,-205-774 0,3 1 0,47 92 0,-66-148 0,0-1 0,0 0 0,1 1 0,-1-1 0,1 0 0,-1 0 0,1 0 0,0 0 0,0 0 0,0 0 0,0 0 0,0-1 0,0 1 0,4 1 0,-6-3 0,1 0 0,-1 0 0,1 0 0,-1 0 0,1 0 0,-1 0 0,0 0 0,1 0 0,-1 0 0,1-1 0,-1 1 0,1 0 0,-1 0 0,1 0 0,-1-1 0,0 1 0,1 0 0,-1-1 0,0 1 0,1 0 0,-1-1 0,0 1 0,1 0 0,-1-1 0,1 0 0,7-22 0,-3-5 0,-1 0 0,-1 0 0,-1 0 0,-4-39 0,-21-120 0,-4 53 0,-5 1 0,-7 1 0,-5 2 0,-67-137 0,90 222-44,-2 1 0,-2 1 0,-31-39 0,45 67 242,-1 1 0,-1 0-1,0 0 1,0 2 0,-1 0-1,-1 0 1,0 1-1,-1 1 1,0 1 0,-32-14-1,9 11 5810,37 12-5674,0-1 0,-1 1-1,1 0 1,0 0 0,0-1 0,0 1-1,0 1 1,-1-1 0,1 0 0,0 1-1,0-1 1,0 1 0,0-1 0,-3 3 243,5-3-515,0 0 0,0 0 0,0 0 0,0 0 0,0 0 0,0 1-1,0-1 1,0 0 0,0 0 0,0 0 0,0 0 0,0 1 0,0-1 0,1 3 1279,-1-3-1279,1 0 0,-1 0 0,0 0 0,0 0-1,0 0 1,0 0 0,1 0 0,-1 0 0,0 0 0,0 0 0,0 0 0,0 0 0,1 0 0,-1 0 0,0 0-1,0 0 1,0 0 0,0 0 0,1 0 0,-1 0 0,0 0 0,0 0 0,0 0 0,0 0 0,1 0 0,6 1 60,1-1 1,0 0-1,-1 0 0,1 0 1,0-1-1,-1 0 1,1-1-1,10-2 1,61-26-210,-53 19 88,-1-2 0,0 0 0,-1-2 0,0-1 0,21-18 0,-33 24 0,-1 0 0,-1-1 0,1 0 0,-2-1 0,1 0 0,-2 0 0,0-1 0,0 0 0,-1-1 0,-1 1 0,5-16 0,-9 25 0,-1 0 0,0 0 0,-1 0 0,1 0 0,-1 0 0,1-1 0,-1 1 0,0 0 0,-1 0 0,1 0 0,-1 0 0,0-1 0,0 1 0,0 0 0,-2-4 0,2 6 0,0 1 0,0-1 0,-1 0 0,1 1 0,0-1 0,-1 1 0,1-1 0,-1 1 0,0 0 0,1 0 0,-1-1 0,0 1 0,0 0 0,0 1 0,0-1 0,0 0 0,0 1 0,0-1 0,0 1 0,0-1 0,0 1 0,0 0 0,0 0 0,0 0 0,0 0 0,0 0 0,0 0 0,0 1 0,0-1 0,-3 2 0,0-1-313,0 1 0,-1 0 0,2 0 0,-1 0 0,0 1 0,0-1 0,1 1 0,-1 0 0,1 1 0,0-1 0,0 1 0,0 0 0,1 0 0,-1 0 0,1 0 0,0 0 0,0 1 0,0 0 0,1-1 0,0 1 0,0 0 0,-3 10 0,3-9-120,1 0-1,0 0 1,0 0 0,1 0-1,-1 0 1,1 0-1,0 0 1,1 0-1,0 0 1,0 0-1,0 0 1,0 0-1,1 0 1,0 0 0,1-1-1,-1 1 1,1-1-1,0 1 1,0-1-1,5 5 1,2 0 980,0 0 1,0 0-1,1-1 0,1-1 1,0 0-1,0-1 0,0 0 1,1-1-1,0 0 0,0-1 1,22 6-1,-14-6-340,0-1-1,36 3 1,-37-6-1251,0-1-1,35-5 1,-45 4 728,0-2 0,0 1 1,-1-1-1,1-1 1,-1 0-1,1 0 1,-1 0-1,0-2 0,-1 1 1,1-1-1,-1 0 1,0-1-1,-1 1 1,0-2-1,7-7 0,-5 4 215,-1-1 0,0 0 0,-1-1-1,0 0 1,-1 0 0,-1 0 0,0 0 0,0-1-1,-1 0 1,2-17 0,-4 17 160,-1 0 0,0-1 0,-1 1 0,0 0-1,-1 0 1,-1-1 0,0 1 0,-1 0 0,0 1 0,-8-19 0,7 23-45,0 0 1,0 0 0,-2 0-1,1 1 1,-1-1 0,0 1-1,0 1 1,-1-1-1,0 1 1,-1 0 0,1 1-1,-1 0 1,-1 0 0,1 0-1,-12-4 1,15 8 53,0 0 0,0 0 0,0 0 0,0 1 0,-1 0 0,1 0 0,0 0 1,-1 1-1,1 0 0,-1 0 0,1 0 0,0 1 0,-1 0 0,1 0 0,0 0 0,-9 4 0,11-4-36,1 0 0,0 0 0,0 0-1,-1 1 1,1-1 0,0 1 0,1 0 0,-1-1-1,0 1 1,0 0 0,1 0 0,-1 0 0,1 0-1,0 1 1,-1-1 0,1 0 0,0 0 0,0 1-1,0-1 1,1 1 0,-1-1 0,1 1 0,-1-1-1,1 1 1,0-1 0,0 1 0,0-1 0,0 1-1,0-1 1,1 1 0,-1-1 0,1 1 0,0-1-1,0 1 1,-1-1 0,2 0 0,1 4 0,-1-1-89,1 1 0,0-1 1,0 0-1,1 0 0,0-1 1,0 1-1,0-1 0,0 0 1,0 0-1,1 0 0,0 0 1,0-1-1,0 0 0,0 0 0,1 0 1,-1-1-1,1 1 0,-1-1 1,1-1-1,0 1 0,11 1 1,0-1 334,0-1 1,0 0-1,0-1 0,-1-1 1,1-1-1,25-5 1,-40 7 430,0-1 1,0 1 0,-1 0-1,1 0 1,0 0 0,0 0 0,0 0-1,0 0 1,0 0 0,0 1-1,0-1 1,0 1 0,0-1-1,0 1 1,3 1 0,-3 0-387,0-1 1,-1 0 0,1 1 0,-1-1 0,1 1-1,-1 0 1,1-1 0,-1 1 0,0 0-1,0 0 1,0 0 0,1 3 0,1 7-684,0 0 0,-1 0 1,0-1-1,0 22 0,4 19 1054,-6-49-694,1 1 0,1 0 0,-1-1 0,0 1 0,1-1 0,0 1 0,0-1 0,0 1 0,0-1 0,0 0 0,1 0 0,-1 0 0,1-1 0,0 1 0,0-1 0,0 1 0,0-1 0,0 0 0,1 0 0,-1 0 0,0-1 0,1 1 0,0-1 0,-1 0 0,1 0 0,0 0 0,0 0 0,-1-1 0,1 1 0,0-1 0,0 0 0,0 0 0,0-1 0,-1 1 0,1-1 0,0 1 0,0-1 0,-1-1 0,1 1 0,-1 0 0,8-5 0,3-2-84,0-1 1,-1 0 0,1-1 0,-2-1 0,0 0-1,0-1 1,-1 0 0,0-1 0,-1 0 0,0-1-1,-2 0 1,12-22 0,-7 9 117,-1-1-1,-1-1 1,-2 0-1,-1-1 1,9-56-1,-16 77-158,-1 0-1,0 0 0,0 0 0,-1 0 0,-3-17 0,3 24 107,1 1 0,-1-1-1,1 0 1,-1 1-1,1-1 1,-1 1-1,0-1 1,0 1-1,0-1 1,0 1-1,0-1 1,0 1-1,-1 0 1,1 0-1,-3-2 1,3 2 81,0 1 1,0 0-1,-1-1 1,1 1-1,0 0 1,-1 0-1,1 0 1,0 0-1,-1 0 1,1 0-1,0 0 1,0 0-1,-1 1 0,1-1 1,0 0-1,-1 1 1,1-1-1,0 1 1,0-1-1,0 1 1,0 0-1,-1 0 1,1-1-1,-1 2 1,-4 3-249,1 1 0,-1-1 0,1 1 0,0 1 0,0-1 0,1 0-1,0 1 1,0 0 0,0 0 0,1 0 0,0 1 0,-3 13 0,-3 12 1254,-7 51 0,16-82-960,-3 16-6,1 0-1,1 1 0,1 0 1,0-1-1,6 37 1,-5-49-110,1-1 1,-1 0-1,1 1 1,0-1-1,1 0 1,-1 0-1,1 0 1,0 0 0,0 0-1,6 6 1,-6-9 9,0 1 0,0-1-1,0 1 1,0-1 0,1 0 0,-1 0 0,1-1 0,-1 1 0,1-1 0,-1 1 0,1-1 0,0 0 0,0-1 0,0 1 0,0-1 0,7 1 0,-6-1-167,0-1 1,0 1 0,0-1 0,1 0-1,-1 0 1,0-1 0,0 1 0,0-1-1,-1 0 1,1 0 0,0-1 0,-1 0-1,1 0 1,4-3 0,-2-1-471,0 0 1,0 0 0,-1 0 0,0-1-1,0 0 1,0 0 0,4-10-1,-1-2-559,0 0 0,-1 0 0,6-25 0,0-18 1509,-7 21 10237,-6 25-9104,0 24-1448,-1-1 0,1 0 0,0 0 0,1 0 0,-1 0 0,1 0 0,0 0 0,1 0 0,-1 0 0,1-1 0,1 1 0,5 7 0,1 1 0,0-1 0,1-1 0,22 20 0,-31-30 0,0 0 0,0 0 0,0-1 0,0 1 0,0-1 0,0 1 0,0-1 0,0 0 0,1 0 0,-1 0 0,0 0 0,1 0 0,-1-1 0,1 1 0,-1-1 0,1 1 0,-1-1 0,1 0 0,0 0 0,-1 0 0,1 0 0,-1-1 0,1 1 0,-1-1 0,1 1 0,-1-1 0,1 0 0,-1 0 0,0 0 0,0 0 0,1-1 0,-1 1 0,0 0 0,0-1 0,0 0 0,0 1 0,0-1 0,-1 0 0,1 0 0,-1 0 0,1 0 0,-1 0 0,1 0 0,-1-1 0,1-2 0,4-7-322,-1-1 0,0 1 1,-1-1-1,0 0 1,1-15-1,5-14-3354,6 2-6296,-16 39 9906,0 0 0,1 0-1,-1 1 1,1-1 0,-1 0 0,1 1-1,-1-1 1,1 0 0,0 1 0,-1-1 0,1 1-1,0-1 1,-1 1 0,1-1 0,0 1-1,0 0 1,-1-1 0,1 1 0,0 0 0,0 0-1,0-1 1,-1 1 0,1 0 0,0 0-1,0 0 1,0 0 0,0 0 0,0 0-1,-1 0 1,1 0 0,0 1 0,0-1 0,0 0-1,-1 0 1,1 1 0,0-1 0,0 1-1,-1-1 1,2 1 0,35 27 423,-17-11-509,-6-8 152,0-1 0,0 0 0,1-1 0,0-1 0,0 0 0,0-1 0,1-1 0,0 0 0,0-1 0,0-1 0,0 0 0,1-1 0,21-2 0,-16-1 0,1-2 0,-1 0 0,1-1 0,-1-2 0,-1 0 0,1-1 0,-1-1 0,37-23 0,11-13 0</inkml:trace>
  <inkml:trace contextRef="#ctx0" brushRef="#br0" timeOffset="10117.84">4657 6245 8192,'-6'-8'9044,"-6"7"-3957,-14 7-2218,21-2-2804,0 0 1,0 0 0,1 0-1,-1 0 1,1 1-1,0-1 1,0 1-1,0 0 1,1 1-1,-1-1 1,1 1-1,1-1 1,-1 1-1,1 0 1,0 0-1,-2 8 1,-2 13-106,1 0 1,-2 35 0,6-57 65,0 10-26,0 0 0,0 0 0,2 0 0,0 0 0,0 0 0,6 21 0,-6-31 0,1-1 0,0 1 0,-1-1 0,1 1 0,1-1 0,-1 0 0,1 0 0,-1 0 0,1 0 0,0 0 0,1-1 0,-1 1 0,1-1 0,-1 0 0,1 0 0,0 0 0,0 0 0,0-1 0,0 0 0,1 0 0,-1 0 0,1 0 0,8 2 0,-4-3 0,-1 0 0,1-1 0,-1 0 0,0 0 0,1-1 0,-1 0 0,1 0 0,-1-1 0,0 0 0,0 0 0,0-1 0,0 0 0,0-1 0,-1 0 0,1 0 0,-1 0 0,0-1 0,0 0 0,-1 0 0,8-9 0,1 0 0,-1 0 0,-1-2 0,0 0 0,-1 0 0,-1-1 0,-1 0 0,13-29 0,-12 18 0,-1 0 0,10-48 0,-16 59 0,-2 0 0,0 0 0,-1 0 0,0 0 0,-1 0 0,-3-17 0,-3 13 0,-2 16 0,7 6 0,0 0 0,-1 1 0,1-1 0,0 0 0,0 1 0,0-1 0,0 0 0,0 1 0,1-1 0,-1 1 0,0-1 0,1 1 0,-1 0 0,1-1 0,0 1 0,-1 0 0,1 2 0,-5 19 0,2 1 0,0 0 0,2 0 0,1 0 0,3 29 0,-2-42 0,0-1 0,1 1 0,0 0 0,1-1 0,0 1 0,1-1 0,0 0 0,0 0 0,1-1 0,0 1 0,1-1 0,0 0 0,1 0 0,8 8 0,-12-14-14,0 0 1,1-1 0,0 1-1,-1-1 1,1 1 0,0-1-1,0 0 1,0-1 0,1 1-1,-1-1 1,0 1 0,1-1-1,-1-1 1,1 1 0,-1-1 0,1 1-1,-1-1 1,1 0 0,-1-1-1,1 1 1,-1-1 0,0 0-1,1 0 1,-1 0 0,0-1-1,0 0 1,1 0 0,-1 0-1,-1 0 1,1 0 0,0-1-1,0 1 1,-1-1 0,0 0-1,1-1 1,-1 1 0,0 0 0,-1-1-1,1 1 1,-1-1 0,4-6-1,4-10-1672,-1-1-1,-1 0 1,11-40-1,-11 33-3671,13-32 0,-17 65 5358,-1 0 0,0 1 0,0 0 0,-1-1 0,0 1 0,2 10 0,-1-9 0,-1-2 212,0 0-1,0 0 1,0-1 0,1 1 0,-1-1 0,1 1 0,5 5 0,-7-9-61,0 0 0,0-1 1,-1 1-1,1 0 0,0-1 1,0 1-1,0 0 0,0-1 0,0 0 1,0 1-1,0-1 0,0 1 1,0-1-1,0 0 0,0 0 1,0 1-1,0-1 0,0 0 1,0 0-1,0 0 0,0 0 0,0 0 1,0-1-1,0 1 0,0 0 1,0 0-1,0-1 0,0 1 1,0 0-1,0-1 0,0 1 1,0-1-1,0 0 0,0 1 0,0-1 1,0 0-1,-1 1 0,1-1 1,0 0-1,0 0 0,-1 0 1,1 1-1,0-3 0,7-7 1358,-1-1 0,0 0 0,10-21 0,12-40-292,-20 46-1680,1 1 0,17-29 0,-26 52 609,0 0-1,0 0 0,0 0 1,0 0-1,0 1 1,0-1-1,1 0 0,-1 1 1,1-1-1,-1 1 1,1 0-1,-1-1 0,1 1 1,0 0-1,0 0 1,0 0-1,0 0 0,-1 0 1,4-1-1,-3 3-262,-1 0 0,1-1 0,-1 1-1,0 0 1,1-1 0,-1 1 0,0 0-1,0 0 1,0 0 0,0 0 0,0 0-1,0 0 1,0 1 0,0-1 0,0 0-1,0 0 1,-1 1 0,1-1 0,0 1-1,-1-1 1,1 0 0,-1 1 0,0-1-1,1 1 1,-1 1 0,2 4-1307,0-1 0,1 1 1,0-1-1,0 0 0,1 0 1,6 9-1,-7-11 1026,1 0 0,-1 0 1,1-1-1,0 1 0,0-1 1,0 0-1,0 0 0,7 3 1,-6-4 370,0 0 1,0-1-1,0 1 1,1-1-1,-1 0 0,0 0 1,0-1-1,1 1 1,-1-1-1,0-1 1,1 1-1,-1-1 1,0 0-1,0 0 0,1 0 1,-1-1-1,0 1 1,0-1-1,8-5 1,-3 1 26,0 0 0,0 0 0,-1-1 0,0-1 0,0 1 0,-1-2 0,0 1 0,0-1 0,-1 0 0,0 0 0,-1-1 0,0 0 0,0 0 0,-1-1 0,0 0 0,-1 1 0,0-2 0,-1 1 0,0 0 0,-1-1 0,-1 1 0,1-1 0,-2 1 0,1-1 0,-4-23 0,3 33 0,-1-1 0,1 0 0,-1 1 0,1-1 0,-1 1 0,0-1 0,0 1 0,0 0 0,-1-1 0,1 1 0,-1 0 0,1 0 0,-1 0 0,0 0 0,1 0 0,-1 0 0,0 0 0,0 0 0,0 1 0,-1-1 0,1 1 0,0 0 0,-1-1 0,1 1 0,-1 0 0,1 1 0,-1-1 0,1 0 0,-1 1 0,1-1 0,-1 1 0,0 0 0,1 0 0,-1 0 0,0 0 0,1 0 0,-1 1 0,-4 0 0,1 1 0,0-1 0,0 1 0,0 1 0,0-1 0,0 1 0,1 0 0,-1 0 0,1 0 0,0 1 0,0 0 0,0 0 0,0 0 0,1 1 0,0 0 0,-5 6 0,6-6 34,0 0 0,1 1 1,0 0-1,0-1 1,0 1-1,0 0 0,1 0 1,0 0-1,0 0 0,1 0 1,0 0-1,0 0 0,0 0 1,1 0-1,0 0 0,0 0 1,0 0-1,4 9 0,-3-11 253,-1-1-1,1 1 1,0-1-1,0 0 1,0 1-1,0-1 0,1 0 1,-1 0-1,1-1 1,0 1-1,0-1 0,0 1 1,3 1-1,-2-2 389,-1 0-1,0-1 0,1 0 0,0 1 0,-1-1 1,1-1-1,-1 1 0,1-1 0,0 1 1,0-1-1,-1 0 0,1 0 0,0 0 1,-1-1-1,6-1 0,-3 1-493,-1-1 0,0 0-1,0 0 1,-1-1 0,1 1-1,0-1 1,-1 0 0,0 0 0,1-1-1,-1 1 1,-1-1 0,1 0 0,0 0-1,-1 0 1,0-1 0,0 1 0,0-1-1,3-7 1,-2 4-767,-1 0 0,0-1 0,0 1-1,2-13 1,-2-6-4495,-5 2-3347,2 26 8384,0-1-1,0 0 1,0 0 0,0 0 0,0 0-1,0 0 1,0 1 0,-1-1-1,1 0 1,0 0 0,0 0-1,0 0 1,0 0 0,0 0-1,-1 0 1,1 1 0,0-1 0,0 0-1,0 0 1,0 0 0,-1 0-1,1 0 1,0 0 0,0 0-1,0 0 1,-1 0 0,1 0 0,0 0-1,0 0 1,0 0 0,0 0-1,-1 0 1,1 0 0,0 0-1,0-1 1,0 1 0,0 0-1,-1 0 1,1 0 0,0 0 0,0 0-1,0 0 1,0 0 0,0-1-1,-1 1 1,1 0 0,0 0-1,0 0 1,0 0 0,0 0-1,0-1 1,0 1 0,0 0 0,0 0-1,0 0 1,0 0 0,0-1-1,0 1 1,-1 0 0,-7 18 258,-12 55-214,3 1 0,4 1 0,3 0 0,-1 93 0,27 305 0,16-193 0,3 43 0,-35-310 0,1 0 0,-2 0 0,1 0 0,-2 0 0,0 0 0,-4 14 0,5-24 0,0 0 0,0 0 0,0 0 0,0 0 0,-1 0 0,1-1 0,-1 1 0,0 0 0,1-1 0,-1 1 0,0-1 0,-1 0 0,1 0 0,0 0 0,-1 0 0,1 0 0,-1 0 0,0-1 0,1 1 0,-1-1 0,0 0 0,0 0 0,0 0 0,0 0 0,0 0 0,0 0 0,0-1 0,0 0 0,-6 0 0,0 0-3,0-1 1,0 0-1,1-1 1,-1 0-1,0-1 1,1 0 0,-1 0-1,1 0 1,0-1-1,0-1 1,0 1-1,0-1 1,1-1-1,0 1 1,0-1 0,1 0-1,-1-1 1,1 0-1,-7-10 1,4 4 57,0-1 0,1 0 1,0-1-1,1 0 0,1 0 1,1-1-1,0 1 0,1-1 0,0 0 1,-1-18-1,3-2 203,1 0 1,2 0-1,2 0 1,1 0-1,9-36 1,56-179-2821,-24 98 3014,-29 94-452,-3 0 0,-2-1 0,-3 0 0,0-65 0,-8 96 0,-2 0 0,0 0 0,-2 1 0,-1 0 0,-2-1 0,0 2 0,-2-1 0,-1 1 0,-1 0 0,-26-44 0,16 40 0,-30-35 0,-23-17 0</inkml:trace>
  <inkml:trace contextRef="#ctx0" brushRef="#br0" timeOffset="10227.41">5017 5610 8192,'-33'0'0,"-35"-11"0,-21-3 0,1 0 0,16-4 3356,20-7-3356,22 2-3356,16 3 3356</inkml:trace>
  <inkml:trace contextRef="#ctx0" brushRef="#br0" timeOffset="39282.9">1926 8870 8192,'0'-18'16699,"0"28"-13911,0 21-5742,0-20 4443,-2 170-1515,-7 93-9043,5-150 6089,0-1 3297,1 40 8437,3-152-6012,0-19-2195,1-28-832,16-425-3544,-13 264-695,-4 148 4141,-1 22-914,1 0-1,1 0 0,1 0 0,1 1 0,2-1 0,12-39 1,-16 62 1288,1 0 1,0 0 0,0 0 0,0 0 0,0 0 0,1 0 0,-1 1 0,1-1 0,0 1 0,0 0 0,0 0 0,1 0 0,-1 0 0,1 1 0,0-1 0,-1 1-1,1 0 1,0 0 0,0 0 0,0 1 0,1 0 0,-1-1 0,0 1 0,1 1 0,-1-1 0,0 0 0,1 1 0,4 0 0,11 2 366,-1 0 1,0 1-1,0 1 0,0 1 1,18 8-1,-21-8 320,63 22-118,-8 0-560</inkml:trace>
  <inkml:trace contextRef="#ctx0" brushRef="#br0" timeOffset="39455.74">2011 9378 8192,'-21'18'18022,"51"-31"-18022,34-12 0,35-10-3356,18-9 3356,4 3-5996,-11 4 5996,-25 9 0</inkml:trace>
  <inkml:trace contextRef="#ctx0" brushRef="#br0" timeOffset="40081.82">2667 8700 8192,'-7'3'15075,"1"9"-11400,2-1-4403,-4 23 559,2 2 0,-4 63-1,8 74-2652,2-138 2206,0-11-214,1 0 0,1 0 0,1 0 1,7 30-1,-8-48 1062,0 0 0,0 0-1,1 0 1,0-1 0,0 1 0,0-1 0,0 0 0,1 0 0,7 8-1,-8-10 56,0-1-1,0 1 0,0-1 0,1 0 0,-1 0 1,1 0-1,0 0 0,0-1 0,0 1 0,-1-1 1,1 0-1,0 0 0,0 0 0,1-1 1,-1 1-1,5-1 0,-1-1-390,0 0 0,1-1 0,-1 0 1,0 0-1,0-1 0,0 0 0,-1 0 0,1 0 0,-1-1 1,0-1-1,0 1 0,0-1 0,0 0 0,-1-1 0,0 1 1,6-8-1,3-4-1032,0-1 1,-1 0 0,0-1-1,16-33 1,-20 32-584,-1 1 0,11-34 0,-14 15 7861,-8 29-3979,-4 11-586,-5 15 1137,4 2-3040,0 1 0,2-1 0,0 1 0,-3 28 0,-2 88-3713,9-105 2696,-1-6 1076,-1 102 1528,4-114-509,0-1 0,1 1 1,0-1-1,1 0 0,0 1 0,1-1 0,9 19 1,-11-27-696,0 0 0,0 0 0,1-1 0,0 1 0,-1-1 0,1 0 1,1 1-1,-1-1 0,0-1 0,1 1 0,-1 0 0,1-1 0,0 0 0,0 0 0,6 3 1,22 2-58</inkml:trace>
  <inkml:trace contextRef="#ctx0" brushRef="#br0" timeOffset="40751.75">3535 9272 8192,'-3'14'18470,"3"-14"-18480,0 0-1,-1 0 1,1 0 0,0 1-1,0-1 1,0 0-1,-1 0 1,1 0-1,0 0 1,0 0 0,-1 1-1,1-1 1,0 0-1,0 0 1,0 0-1,-1 0 1,1 0 0,0 0-1,0 0 1,-1 0-1,1 0 1,0 0-1,0 0 1,-1 0-1,1 0 1,0 0 0,0 0-1,-1 0 1,1 0-1,0 0 1,0-1-1,-1 1 1,1 0 0,0 0-1,0 0 1,-1 0-1,1 0 1,0-1-1,0 1 1,0 0-1,0 0 1,-1-1 0,1 1-28,-21 11-165,5-8-3007,56-12-10417,-30 11 13533,1 2 0,-1-1 0,0 2 0,0-1 0,-1 1 1,1 1-1,-1 0 0,0 0 0,0 0 0,12 14 0,-9-9 105,-1 1 0,0 1 0,-1 0 1,0 1-1,-1-1 0,-1 2 0,8 16 0,-10-17-11,-2 0 0,1-1 0,-2 1 0,0 0 0,-1 1 0,0-1 0,-1 1 0,-2 25 0,-1-19 0,-1 0 0,-1 0 0,0 0 0,-2-1 0,-13 30 0,4-18 0,-1 0 0,-2-1 0,-1 0 0,-2-2 0,0-1 0,-47 47 0,45-53 0,-27 19 0,-14 3 0</inkml:trace>
  <inkml:trace contextRef="#ctx0" brushRef="#br0" timeOffset="42059.9">4149 7981 8192,'-5'13'19380,"-1"9"-22057,4-13 3996,-7 129-1319,17 276 0,1-297 0,-7-102 0,0-24 0,-1-27 0,0-457-976,-1 23-5974,0 452 6710,5-84-2415,-4 92 1725,1 0 0,0 0 1,1 1-1,4-11 0,-7 18 858,1 1-1,-1-1 1,1 0 0,0 1-1,0-1 1,0 1 0,0-1 0,0 1-1,0-1 1,0 1 0,0 0-1,1-1 1,-1 1 0,0 0 0,1 0-1,-1 0 1,1 0 0,-1 0-1,1 0 1,0 0 0,-1 1 0,1-1-1,3 0 1,-3 1 24,1 0 0,0 0 0,-1 1 0,1-1 0,-1 1 0,1 0 0,-1 0 0,0 0 1,1 0-1,-1 0 0,0 0 0,0 0 0,0 1 0,4 2 0,5 6 28,-1 0 1,0 1-1,-1 0 0,14 20 1,46 90 2815,-42-66-2236</inkml:trace>
  <inkml:trace contextRef="#ctx0" brushRef="#br0" timeOffset="42230.91">4149 8235 8192,'11'-4'2971,"17"-1"2877,20-14-5848,22-4 0,14-12-3356,3 0 3356,-9 5-5463,-18 8 5463</inkml:trace>
  <inkml:trace contextRef="#ctx0" brushRef="#br0" timeOffset="42714.83">4636 8129 8192,'13'21'18339,"-6"-5"-17137,2 9-3719,-3-5 3515,4 13-998,-9-27 0,0 0 0,1 0 0,-1-1 0,1 1 0,1 0 0,-1-1 0,1 0 0,4 7 0,-6-11 0,-1-1 0,1 1 0,-1-1 0,0 0 0,1 1 0,-1-1 0,1 0 0,-1 1 0,1-1 0,-1 0 0,1 0 0,-1 1 0,1-1 0,-1 0 0,1 0 0,-1 0 0,1 0 0,-1 0 0,1 0 0,0 0 0,-1 0 0,1 0 0,-1 0 0,1 0 0,-1 0 0,1 0 0,-1 0 0,1 0 0,0-1 0,0 1 0,15-15 0,9-25 0,-11 6 0,-1-1 0,11-47 0,-18 56 0,1 0 0,1 0 0,2 0 0,1 1 0,24-42 0,-34 66-1,-1 0 0,1 0 0,-1 0 0,1 0 0,0 0 0,0 0 0,0 0 0,-1 1 0,1-1 0,0 0 0,0 1 1,0-1-1,0 0 0,0 1 0,0-1 0,0 1 0,0 0 0,0-1 0,2 1 0,-2 0 3,-1 0 0,1 0 0,0 0 0,0 1 0,-1-1 0,1 0 0,0 0 0,0 1 0,-1-1 0,1 1 0,-1-1 0,1 1 0,0-1 0,-1 1 0,1-1 0,-1 1 1,1-1-1,-1 1 0,1 0 0,0 1 0,2 4-97,0 0 1,0 1-1,-1 0 1,3 11-1,-4-15-16,14 58-1912,-8-27 802,1-1-1,2-1 0,15 34 1,-21-58 1305,0 1-1,0-1 1,1-1 0,0 1 0,1-1 0,-1 0 0,1 0 0,1 0 0,-1-1 0,1 0 0,1 0 0,-1-1-1,1 0 1,-1 0 0,1-1 0,12 5 0,-14-7-361,1 0-1,-1-1 1,1 1-1,-1-2 1,1 1-1,0-1 1,-1 0 0,1 0-1,-1-1 1,1 1-1,-1-2 1,1 1-1,-1-1 1,1 0-1,-1 0 1,7-4-1,0 0-231,-2-1 0,1 0 0,-1-1 0,0 0 0,-1-1 0,17-17 0,10-17 509</inkml:trace>
  <inkml:trace contextRef="#ctx0" brushRef="#br0" timeOffset="43350.58">4149 9483 8192,'3'0'2971,"13"-14"2877,17-12-5848,25-9 7957,17 1-7957,7 0 1246,-4 5-1246,-15 8 0</inkml:trace>
  <inkml:trace contextRef="#ctx0" brushRef="#br0" timeOffset="43600.54">4276 9166 8192,'7'-7'2971,"10"-3"2877,18 13 2109,-22 21-7957,-5 23 1246,-3 24-1246,-3 18 0,-1 5 0,6-2 0,2-11 0,3-18 0,6-20 0,8-18 0,3-20 0,-3-10 0</inkml:trace>
  <inkml:trace contextRef="#ctx0" brushRef="#br0" timeOffset="43988.59">4826 9081 8192,'1'16'12389,"1"5"-6443,1 8-4534,11 43-4720,-8-47 4891,71 248-1583,-74-262 0,9 23 0,-12-32 0,1-1 0,-1 1 0,1-1 0,-1 0 0,1 1 0,0-1 0,0 0 0,0 1 0,0-1 0,0 0 0,0 0 0,0 0 0,0 0 0,0 0 0,2 1 0,-3-2 0,1-1 0,-1 1 0,1 0 0,-1-1 0,0 1 0,1 0 0,-1-1 0,1 1 0,-1-1 0,0 1 0,1-1 0,-1 1 0,0 0 0,0-1 0,1 0 0,-1 1 0,0-1 0,0 1 0,0-1 0,0 1 0,0-1 0,0 1 0,1-1 0,-1 1 0,-1-1 0,1 0 0,0 1 0,0-1 0,0 1 0,0-2 0,0-33-339,0 0 0,-3 0 0,-10-57 1,0 7-2103,8 40 313,-22-215-1170,20 103 1394,10 55-2538,-1 79 3954,0 0 1,1 0 0,13-43 0,-14 61 466,-1 0 0,1 0 0,0 0 0,0 1 0,0-1 0,1 1 0,-1-1 0,1 1-1,0 0 1,0 0 0,1 0 0,-1 0 0,1 1 0,0 0 0,0-1 0,0 1 0,0 1 0,1-1 0,-1 1 0,1-1 0,-1 1 0,1 0 0,7-1 0,-6 3 21,-1 0 0,0 0 0,0 1 0,0 0 0,0 0 0,0 0 0,0 0 0,-1 1 0,1 0 0,0 0 0,-1 0 0,1 1 0,-1-1 0,0 1 0,1 0 0,-2 1 0,1-1 0,0 1 0,-1-1 0,1 1 0,4 8 0,13 18 0</inkml:trace>
  <inkml:trace contextRef="#ctx0" brushRef="#br0" timeOffset="44145.54">4805 9060 8192,'0'7'0,"7"3"3356,14-1 2127,9-5-5483,15-4 7957,21-16-7957,18-15-2971,5-4 2971,-6-2-5849,-16-3 5849,-21 7 0</inkml:trace>
  <inkml:trace contextRef="#ctx0" brushRef="#br0" timeOffset="45039.66">5546 8425 8192,'-7'6'18034,"4"1"-16659,-2 5-3636,2-3 3135,1-5-874,-19 40 0,2 0 0,1 2 0,-22 94 0,39-136 0,1 0 0,-1 0 0,1 0 0,0 1 0,0-1 0,0 0 0,0 0 0,1 1 0,0-1 0,-1 0 0,2 0 0,-1 0 0,0 0 0,1 0 0,0 0 0,0-1 0,0 1 0,0 0 0,0-1 0,1 0 0,0 1 0,6 4 0,-3-3 0,1 0 0,0-1 0,0-1 0,0 1 0,1-1 0,-1 0 0,1 0 0,-1-1 0,1 0 0,0-1 0,9 1 0,-8-1 0,0 0 0,-1-1 0,1 0 0,0 0 0,0-1 0,0 0 0,-1-1 0,1 0 0,-1 0 0,1-1 0,-1 0 0,9-4 0,-6 0 0,-1 0 0,1 0 0,-1-1 0,0 0 0,-1-1 0,1 0 0,9-14 0,-6 13 0,-7 17 0,-3 26 0,-3-29 0,0 58-2530,2 84 4281,8-74-3177,9-2-5813,-9-49 5351</inkml:trace>
  <inkml:trace contextRef="#ctx0" brushRef="#br0" timeOffset="46753.35">3683 10669 8192,'0'-23'16552,"-2"23"-16319,-1 0-96,-1-1 1,1 2-1,-1-1 1,1 0-1,-1 1 0,1-1 1,-1 1-1,-5 2 1,3 0-138,1 0 0,-1 1 0,1 0 0,-1 0 0,1 0 0,1 0 0,-1 1 0,1 0 0,-1 0 0,1 0 0,1 0 0,-1 1 0,1-1 0,-5 11 0,7-12 0,-1-1 0,1 1 0,0 0 0,0 0 0,0 0 0,0 0 0,1 0 0,-1 0 0,1 0 0,0 0 0,0 0 0,1 0 0,-1 0 0,1 0 0,0 0 0,0 0 0,1 0 0,-1 0 0,1 0 0,-1-1 0,1 1 0,0-1 0,1 1 0,4 5 0,7 4 0,1-1 0,0-1 0,1 0 0,0-1 0,1-1 0,0 0 0,25 8 0,-20-8 0,-1 1 0,0 1 0,0 1 0,25 19 0,-43-29 0,0 0 0,0 0 0,0 1 0,0-1 0,-1 1 0,0 0 0,1 0 0,-1-1 0,0 2 0,0-1 0,0 0 0,-1 0 0,1 1 0,-1-1 0,0 0 0,0 1 0,0 0 0,0-1 0,0 1 0,-1 0 0,0-1 0,0 1 0,0 0 0,0-1 0,0 1 0,-1 0 0,0-1 0,1 1 0,-1-1 0,-1 1 0,1-1 0,0 1 0,-1-1 0,0 0 0,0 0 0,0 0 0,0 0 0,-4 5 0,-8 7-310,0-1 0,0 0 0,-1-1 0,-1-1 0,0 0 0,-1-1 0,-32 16 1,-133 48-5057,156-65 4325,-1 0 1,-1-2-1,0-1 1,0-1-1,0-1 1,-1-2-1,-34 1 1,13-10 1040</inkml:trace>
  <inkml:trace contextRef="#ctx0" brushRef="#br0" timeOffset="47063.02">3577 10542 8192,'8'0'0,"1"-8"3356,24 5 10099,-18 21-13455,3 18 1211,-2 22-1211,-3 25 0,3 21 0,0 4 0,-4-7 0,3-12 0,4-22 0,-3-33 0,-3-23 0</inkml:trace>
  <inkml:trace contextRef="#ctx0" brushRef="#br0" timeOffset="47326.75">3958 10161 8192,'4'0'0,"8"0"2971,9 0-2971,12 0 5848,12 0-5848,8 10 7350,6 23-7350,0 19-3356,-2 19 3356,-11 19 0,-14 12-5996,-12 18 5996,-27 17-6817,-31-1 6817,-16-12 0,-9-20 0,-5-28 0,9-26 0</inkml:trace>
  <inkml:trace contextRef="#ctx0" brushRef="#br0" timeOffset="47665.74">2900 10478 8192,'-7'0'3356,"-6"4"-3356,-8 11 5996,-8 26-5996,1 23-2971,6 23 2971,6 39-5849,20 31 5849,21 17-532,27-6 532,34-17 0,31-35 0,38-37 0,30-31 0,15-46 0,3-42 0,-34-13 0</inkml:trace>
  <inkml:trace contextRef="#ctx0" brushRef="#br0" timeOffset="48167.04">4001 10648 8192,'-8'-9'3356,"-5"5"-3356,-11-7 5483,-13-2-5483,-15 6 7957,-12 11-7957,-6 12 1226,1 10-1226,12 12 0,17 6 0,14-3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34:45.54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6935 850 24575,'0'-1'0,"0"0"0,-2 0 0,2 0 0,2 0 0,-2 1 0,0 0 0,0-2 0,0 1 0,0 0 0,1 0 0,-1 0 0,0 0 0,1-1 0,-1 2 0,1-1 0,-1 0 0,1 1 0,0-1 0,-1 0 0,1 0 0,1 1 0,-2-2 0,1 1 0,0 1 0,0 0 0,0 0 0,-1-1 0,1 1 0,1-1 0,-1 1 0,0 0 0,0-1 0,0 1 0,0 0 0,1 0 0,-1-1 0,2 1 0,0 0 0,-1 1 0,0-1 0,2 0 0,-2 1 0,0-1 0,1 1 0,-1 0 0,0-1 0,1 0 0,-1 1 0,0 1 0,1 0 0,-2-1 0,1 0 0,1 0 0,1 4 0,4 3 0,-1 3 0,0-2 0,-1 0 0,0 2 0,0-1 0,-1 1 0,-1-1 0,3 12 0,20 96 0,-22-97 0,32 426 0,-36-387 0,-7-202 0,-2-13 0,21-233 0,-7 339 0,2 1 0,2 0 0,3 2 0,2-1 0,3 2 0,2-1 0,2 3 0,1-1 0,39-49 0,-47 73 0,1 0 0,2 1 0,35-30 0,-48 46 0,1-3 0,1 3 0,-1-2 0,1 1 0,-2 1 0,2-1 0,0 1 0,0 1 0,0-1 0,2 1 0,-2 0 0,1-1 0,-1 3 0,1-1 0,0 0 0,-1 1 0,13 0 0,-17 0-151,1 1-1,-1 0 0,2-1 0,-2 1 1,1 1-1,-1-1 0,1 1 1,6 3-1,18 18-6674</inkml:trace>
  <inkml:trace contextRef="#ctx0" brushRef="#br0" timeOffset="171.01">6880 1306 24575,'0'8'0,"4"4"0,16-2 0,33-18 0,39-20 0,42-26 0,30-19 0,6-7 0,-16 12 0,-30 16 0,-36 18-8191</inkml:trace>
  <inkml:trace contextRef="#ctx0" brushRef="#br0" timeOffset="464.05">8003 923 24575,'0'-9'0,"9"-10"0,4 15 0,-6 19 0,-4 20 0,-3 16 0,0 8 0,-1 6 0,5-1 0,5-10 0,17-15 0,20-13 0,24-28 0,26-30 0,20-34 0,1-31 0,-20-14 0,-28 11-8191</inkml:trace>
  <inkml:trace contextRef="#ctx0" brushRef="#br0" timeOffset="559.29">8331 443 24575,'-14'0'0,"-4"12"0,0 5-8191</inkml:trace>
  <inkml:trace contextRef="#ctx0" brushRef="#br0" timeOffset="1336.73">8688 803 24575,'-1'54'0,"-2"-16"0,3-2 0,9 60 0,-9-94 0,0-2 0,0 1 0,0-1 0,0 1 0,0-1 0,0 1 0,1-1 0,-1 1 0,0-1 0,0 1 0,0-1 0,1 0 0,-1 0 0,0 2 0,1-2 0,-1 0 0,0 1 0,1-1 0,-1 1 0,0-1 0,1 0 0,-1 1 0,2-1 0,-2 0 0,1 0 0,-1 1 0,0-1 0,1 0 0,-1 0 0,1 0 0,-1 0 0,2 1 0,19-10 0,17-27 0,44-67 0,-59 71 0,1 2 0,0 0 0,59-50 0,-79 78 0,-2-1 0,0 1 0,2 1 0,-2-1 0,2 0 0,-1 0 0,-1 1 0,2 0 0,-1 1 0,6-4 0,-8 4 0,0 0 0,0 0 0,0 0 0,0 0 0,1 0 0,-1 1 0,0-1 0,0 0 0,0 0 0,0 2 0,1-2 0,-1 0 0,0 1 0,0-1 0,0 0 0,-1 0 0,1 1 0,1 0 0,-1-1 0,0 1 0,-1 0 0,1-1 0,0 2 0,-1-1 0,1 0 0,-1-1 0,2 1 0,-2 0 0,1 0 0,-1-1 0,0 2 0,1 1 0,5 11 0,1 0 0,0 0 0,16 23 0,-17-31 0,0 0 0,-1 1 0,2-1 0,-1 0 0,1-1 0,1 0 0,-1 0 0,2-1 0,7 6 0,-2-6 0,0 2 0,1-1 0,-1-2 0,1 1 0,0-2 0,0 0 0,1 0 0,-1-1 0,1 0 0,-1-2 0,0 1 0,0-3 0,1 2 0,-1-1 0,0-2 0,0 1 0,18-8 0,-11 4 0,-2 1 0,1-4 0,-2 1 0,1-2 0,-1 1 0,-1-2 0,0-1 0,-1 1 0,0-1 0,-1-2 0,14-17 0,-26 29 0,1-4 0,-2 2 0,1 0 0,-1-2 0,-1 3 0,2-2 0,-2 0 0,-1-1 0,4-8 0,-5 14 0,0 0 0,0-1 0,0 1 0,0-1 0,0 1 0,-1-2 0,1 3 0,0-1 0,0-1 0,-1 1 0,1 0 0,-2-2 0,1 3 0,1-1 0,-1 0 0,0-1 0,-1-2 0,-1 4 0,2-1 0,-1 0 0,0 0 0,0-1 0,0 1 0,0 0 0,-1 0 0,2 1 0,-1-1 0,0 1 0,-1 0 0,1 0 0,0 0 0,-1 0 0,1 0 0,-4 0 0,-3 0 0,1 1 0,-2 0 0,1 1 0,1 1 0,0-1 0,-2 0 0,2 3 0,0-3 0,0 3 0,1-1 0,-1 0 0,1 1 0,0 0 0,0-1 0,-11 13 0,11-12 0,0 2 0,0 2 0,1-4 0,1 4 0,0-2 0,0 0 0,1 1 0,-1 0 0,1 0 0,1 0 0,1 0 0,-1 2 0,1-2 0,0 13 0,1-20 0,1 1 0,0 1 0,0-1 0,1 0 0,-1 1 0,0-1 0,1-1 0,-1 1 0,1 1 0,-1-1 0,1-1 0,0 2 0,0-1 0,1 0 0,-1-1 0,1 2 0,-1-1 0,0-1 0,2 2 0,-2-2 0,1 0 0,1 0 0,-2 1 0,1 0 0,0-1 0,1-1 0,-1 1 0,0 0 0,1 0 0,-1 0 0,0 0 0,4 1 0,0-1 0,0-1 0,0 0 0,0 0 0,-1 0 0,1 0 0,0 0 0,0-1 0,0-1 0,0 1 0,-1-1 0,1 1 0,-1 0 0,8-6 0,4-1 0,-2-2 0,2 1 0,-2-2 0,-1 0 0,0-1 0,0-1 0,-2 2 0,0-3 0,0 1 0,-2-1 0,17-28 0,-12 14 0,-1 0 0,-1-2 0,-2 1 0,-2-2 0,9-49 0,-12 39 0,-1-1 0,-5-81 0,-1 106 0,-2 0 0,1-1 0,-3 2 0,1 0 0,-1-1 0,-2 1 0,0-1 0,0 2 0,-21-29 0,26 40 0,-2 0 0,2 1 0,-1-1 0,-1 1 0,1-2 0,-2 3 0,1-2 0,0 2 0,-1-2 0,2 2 0,-2 0 0,0-1 0,1 1 0,-2 0 0,1 1 0,0-1 0,0 1 0,-6-1 0,6 2 0,2 0 0,-2 0 0,2 1 0,-2 0 0,1-1 0,0 1 0,1 1 0,-2-1 0,1 0 0,1 1 0,-2 1 0,2-2 0,-1 0 0,1 2 0,0 0 0,0-2 0,-1 2 0,2 0 0,-1-1 0,0 2 0,1-1 0,0-1 0,-4 8 0,-5 6 0,1 2 0,2-1 0,-1 2 0,3-2 0,0 1 0,0 0 0,1 2 0,3-1 0,0-1 0,-1 31 0,3-24 0,3-2 0,-1 2 0,1-2 0,3 0 0,0 0 0,1 1 0,2-2 0,13 27 0,-12-34 0,-1 0 0,2 0 0,0-1 0,1 0 0,1-1 0,1 0 0,-2 0 0,4-1 0,-1-1 0,27 16 0,-21-17 0,0 0 0,1 0 0,1-2 0,-1-1 0,2 0 0,0 0 0,46 4 0,-36-7 0,-1-3 0,2 1 0,-1-4 0,0 0 0,0-1 0,0-2 0,-2 0 0,2-3 0,-1 0 0,-2-1 0,1-3 0,47-22 0,-62 26-455,-2-1 0,26-18 0,7-16-6371</inkml:trace>
  <inkml:trace contextRef="#ctx0" brushRef="#br0" timeOffset="-980.03">5125 1595 24575,'-5'0'0,"4"0"0,11 0 0,22-12 0,35-12 0,22-3 0,13-5 0,-9 4 0,-18 6-8191</inkml:trace>
  <inkml:trace contextRef="#ctx0" brushRef="#br0" timeOffset="-636.46">5291 1763 24575,'8'-2'0,"1"1"0,0 0 0,1 0 0,-2-1 0,1-1 0,-1 1 0,16-7 0,-5 0 0,50-15 0,88-49 0,-134 62 0,-2-2 0,0 0 0,-2-1 0,1-1 0,-1-1 0,-2 0 0,30-34 0,-42 45 0,-1-1 0,0-1 0,-1 2 0,1 0 0,-2-2 0,2 0 0,-2 1 0,-1 0 0,1-1 0,1-12 0,-3 15 0,0-2 0,-1 1 0,1 1 0,-2-2 0,1 1 0,-1-1 0,1 2 0,-2-1 0,1 0 0,0 1 0,-2-1 0,2 0 0,-9-7 0,2 2 0,-7-8 0,16 15 0,11 10 0,5 5 0,-1 0 0,0 0 0,-1 1 0,-1 1 0,-1 0 0,0 0 0,-1 1 0,-1 0 0,-1 2 0,1-1 0,-2 0 0,7 25 0,-10-27 0,-2 1 0,-1-1 0,1 1 0,-2 0 0,0 1 0,-2-2 0,1 1 0,-2 0 0,-1 0 0,1-1 0,-3 0 0,1 0 0,-1 1 0,-1-1 0,-11 18 0,10-18-170,-3 0-1,1-2 0,-1 2 1,-1-2-1,-1 1 0,1-2 1,-23 17-1,11-15-6655</inkml:trace>
  <inkml:trace contextRef="#ctx0" brushRef="#br0" timeOffset="-5086.97">522 2603 24575,'9'0'0,"4"-5"0,-1 0-8191</inkml:trace>
  <inkml:trace contextRef="#ctx0" brushRef="#br0" timeOffset="-3245.82">386 1498 24575,'0'-19'0,"0"2"0,-3-3 0,1 2 0,-2-1 0,-5-18 0,8 32 0,0 3 0,-1-3 0,0 3 0,0-2 0,0 1 0,-1-1 0,1 1 0,0 0 0,-1 0 0,0 1 0,1-1 0,-2 1 0,-6-5 0,7 5 0,0 0 0,-1 1 0,1 0 0,-1 1 0,1 0 0,-1-1 0,1 1 0,-1-1 0,1 1 0,-1 0 0,1 0 0,-1 1 0,0-1 0,0 0 0,1 1 0,-1-1 0,1 1 0,0 0 0,-6 3 0,0-1 0,-2 3 0,2 0 0,0-1 0,0 2 0,0-2 0,1 2 0,0 0 0,1 0 0,-1 0 0,1 2 0,1-1 0,0 0 0,-8 15 0,-3 8 0,1 0 0,-19 56 0,17-26 0,1 1 0,6-1 0,0 2 0,5 1 0,3-1 0,9 97 0,-4-141 0,2 0 0,-1 2 0,2-2 0,1 1 0,1-2 0,1 1 0,20 34 0,-22-44 0,1 0 0,1 0 0,0 0 0,0-1 0,0 0 0,1 1 0,1-2 0,0 0 0,1 0 0,-1-1 0,1 0 0,0 0 0,1-2 0,0 1 0,15 4 0,-15-6 0,1 0 0,1 0 0,-1-2 0,0 1 0,1-1 0,-1-1 0,1 0 0,-2 0 0,1-1 0,1-1 0,-1 1 0,20-8 0,-17 4 0,1-1 0,0 0 0,-1-1 0,-1-1 0,0-2 0,0 1 0,-1 0 0,19-18 0,-9 6 0,0-2 0,-3-2 0,0 1 0,-3-2 0,0 1 0,-1-3 0,-2 1 0,-2-1 0,13-36 0,-7-2 0,-5 2 0,-3-1 0,-3-1 0,-3-1 0,-4 1 0,-10-94 0,0 104 0,3 41 0,2 14 0,-3 24 0,0 64 0,5 0 0,12 120 0,-5-147 0,3-1 0,4 1 0,33 99 0,-40-146 15,0-2 0,0 0 0,1 0 0,1-1 0,0 1 0,1-1 0,16 16 0,-21-23-68,0 0 0,0 0 0,1-1 0,-1 0 0,1 1 0,-1-1 0,1 0 0,-1 0 0,2-1 0,-2 1 0,2 0 0,-2-1 0,2 0-1,-2 0 1,2-1 0,0 1 0,-2 0 0,2-1 0,0 0 0,-1 0 0,0 0 0,0-1 0,1 1 0,-1-1 0,0 0 0,1 0 0,3 0 0,27-18-6773</inkml:trace>
  <inkml:trace contextRef="#ctx0" brushRef="#br0" timeOffset="-2586.98">577 2003 24575,'-1'1'0,"-1"-1"0,1 1 0,0-1 0,0 1 0,0-1 0,0 0 0,-1 1 0,1-1 0,0 1 0,0 1 0,0-1 0,0 0 0,-1 0 0,1 0 0,1-1 0,-1 1 0,0 1 0,1-1 0,-1 0 0,1 0 0,-1 0 0,1 0 0,0-1 0,-2 3 0,2-2 0,0 0 0,0 0 0,0 2 0,0-3 0,0 1 0,0 0 0,0 2 0,2 0 0,-1-3 0,0 2 0,0-1 0,0 2 0,2-2 0,-2 0 0,0 0 0,1 1 0,-1 0 0,2-1 0,-2 0 0,1 0 0,-1-1 0,2 1 0,-1 0 0,0-1 0,0 2 0,0-1 0,0-1 0,1 1 0,-1-1 0,3 0 0,11 2 0,1-1 0,1-1 0,-1 0 0,1 0 0,-1-1 0,19-5 0,105-25 0,-129 27 0,237-72 0,-206 58 0,-1-1 0,-1 0 0,63-42 0,-94 53 0,1 1 0,-2-1 0,0-2 0,1 1 0,-2 0 0,0-1 0,-1 1 0,12-21 0,-17 26 0,-1 3 0,0-2 0,0 0 0,1 1 0,-2 0 0,1-2 0,-1 2 0,1-1 0,-1 0 0,0 1 0,0-1 0,0 0 0,0 1 0,0-2 0,-1 2 0,1-1 0,-1 1 0,-1-1 0,1 0 0,0 1 0,0-2 0,0 3 0,-1-1 0,0-2 0,0 2 0,1 1 0,-1-1 0,-1-1 0,1 1 0,0 1 0,-1-2 0,1 2 0,0-1 0,-1 1 0,0 0 0,0-1 0,0 1 0,1 0 0,-2 0 0,2 0 0,-2 0 0,-2 1 0,-1-2 0,2 1 0,-1 0 0,-1 1 0,1-1 0,-1 1 0,1 0 0,-1 1 0,1-1 0,0 1 0,0 0 0,0 1 0,0-1 0,0 1 0,0 0 0,0 1 0,1-1 0,-12 6 0,14-5 0,-2 0 0,2-2 0,-1 2 0,1 0 0,-1-1 0,1 2 0,0-1 0,0 0 0,0 0 0,1 1 0,-1-1 0,1 1 0,0-1 0,0 2 0,1-2 0,-2 1 0,2-1 0,0 2 0,1-2 0,-1 2 0,1-1 0,-1 0 0,1 0 0,0 0 0,1 5 0,0-6 0,-1 1 0,1-1 0,0-1 0,2 2 0,-2-2 0,0 2 0,1-1 0,1 0 0,-1 0 0,0 1 0,1-3 0,-1 2 0,0 0 0,2-1 0,-2 0 0,5 3 0,0-2 0,-1 1 0,1-2 0,1 2 0,-1-1 0,0-2 0,1 2 0,11 1 0,9 0 0,0-2 0,0 0 0,37-3 0,65-10 0,-125 11 0,-1-1 0,0 1 0,0 0 0,0 0 0,0 0 0,1 0 0,-2 1 0,2-1 0,-2 1 0,1 0 0,4 1 0,-6-2 0,-1 2 0,2-1 0,-2 0 0,0 1 0,1-1 0,0 0 0,-1 1 0,0-1 0,1 1 0,-1-1 0,-1 2 0,2-2 0,-1 0 0,0 1 0,0 1 0,-1-2 0,1 1 0,-1-1 0,0 2 0,1-1 0,-1 3 0,2 18 0,-2 0 0,-6 41 0,3-46 0,1-2 0,1 2 0,1-1 0,1 1 0,0-1 0,7 32 0,-5-44 0,-2-2 0,1 2 0,0-3 0,1 3 0,-1-2 0,0 2 0,2-3 0,-2 2 0,2-1 0,-1 1 0,1-1 0,-1 0 0,1-1 0,0 1 0,0-1 0,1 1 0,-2-1 0,2 1 0,-1-2 0,1 0 0,0 1 0,-1-1 0,1 1 0,0-1 0,1-1 0,-2 0 0,1 1 0,8-1 0,0 0 0,-1-1 0,1 1 0,0-3 0,-1 1 0,0 0 0,0 0 0,1-2 0,-1 1 0,-1-2 0,12-7 0,0 1 0,-4-2 0,2-1 0,-1 0 0,-1-1 0,-2-2 0,1 1 0,-2-1 0,-1-2 0,0 0 0,-2 1 0,0-2 0,-1 0 0,16-41 0,-19 39 0,-1-1 0,-1 0 0,-2-1 0,-1 1 0,0 0 0,-2-2 0,-1 2 0,-2 0 0,0-2 0,-1 2 0,-2 0 0,-2-1 0,-6-23 0,8 41 0,2-1 0,-2 0 0,1 1 0,-2-1 0,0 0 0,-4-5 0,8 11 0,1 0 0,-1 0 0,0 0 0,0-1 0,-1 1 0,2 1 0,-1 0 0,0-1 0,0 0 0,0 1 0,0-1 0,-1 0 0,1 1 0,-1-2 0,1 2 0,0 0 0,-1-1 0,1 1 0,0 0 0,0 0 0,-1-1 0,0 1 0,1 0 0,0 0 0,0 1 0,-1-1 0,0 0 0,1 0 0,0 0 0,0 1 0,0-1 0,-2 2 0,2-2 0,0 1 0,0-1 0,0 1 0,0 0 0,-1-1 0,1 1 0,0-1 0,1 1 0,-1 1 0,-1 0 0,-4 4 0,0 1 0,0 0 0,1 0 0,1 0 0,0 0 0,0 1 0,0-1 0,2 1 0,-5 12 0,-12 79 0,18-84 0,-6 29 0,4-2 0,3 76 0,1-104 0,1 1 0,0 0 0,1-1 0,1-1 0,1 2 0,0-1 0,0-1 0,2 1 0,0-1 0,2 1 0,17 21 0,-19-30 9,0 4-1,2-4 1,-2 0-1,1 1 1,1 0 0,-1-2-1,1 1 1,0-1-1,0 0 1,1-1-1,0 0 1,-1 1-1,13-1 1,4 2-380,-1-3-1,2 0 1,48-2 0,-4-3-6455</inkml:trace>
  <inkml:trace contextRef="#ctx0" brushRef="#br0" timeOffset="-2210.27">2851 1835 24575,'-9'0'0,"11"0"0,24-12 0,25-12 0,28-11 0,10 1 0,8-6 0,3 3 0,-22 10 0,-24 7-8191</inkml:trace>
  <inkml:trace contextRef="#ctx0" brushRef="#br0" timeOffset="-1977.71">3126 1475 24575,'0'-8'0,"5"4"0,0 18 0,1 16 0,-1 21 0,-2 21 0,0 20 0,7 9 0,3 1 0,8-9 0,10-21 0,9-22 0,-3-20-8191</inkml:trace>
  <inkml:trace contextRef="#ctx0" brushRef="#br0" timeOffset="-1571.72">3811 1306 24575,'3'1'0,"1"-1"0,-1 1 0,1 0 0,-1 1 0,1-1 0,-2 0 0,2 0 0,-1 0 0,1 0 0,-2 2 0,2-1 0,-2-1 0,0 2 0,2-1 0,-2 0 0,0-1 0,4 8 0,35 45 0,-39-49 0,17 26 0,-3 2 0,-1 1 0,19 65 0,10 109 0,-34-145 0,0 92 0,-12-137 0,-5-32 0,-48-326 0,49 274 0,5-1 0,2 0 0,13-76 0,-11 128 0,0 1 0,2-1 0,-1 1 0,2 1 0,0-1 0,1 0 0,0 1 0,19-23 0,-24 33 0,2-1 0,-2 1 0,1-1 0,1 1 0,-1 0 0,2 0 0,-1-1 0,-1 3 0,2-2 0,-1 0 0,1 1 0,-1 1 0,0-2 0,1 2 0,1-1 0,-2 1 0,1 1 0,0-1 0,0-1 0,0 2 0,0-1 0,1 1 0,-2 0 0,1 0 0,1 1 0,-2 1 0,1-2 0,1 1 0,-1 0 0,-1 0 0,1 0 0,7 4 0,24 17-1365,-10 3-5461</inkml:trace>
  <inkml:trace contextRef="#ctx0" brushRef="#br0" timeOffset="-1399.01">3947 1763 24575,'5'0'0,"11"0"0,6-4 0,16-2 0,13-11 0,13-3 0,0-7 0,-2 2 0,-11 5-8191</inkml:trace>
  <inkml:trace contextRef="#ctx0" brushRef="#br0" timeOffset="2601.25">906 3732 24575,'3'-2'0,"0"2"0,0-1 0,0 0 0,-1 1 0,1-1 0,0 1 0,0-1 0,-1-2 0,0 2 0,1 0 0,-1-1 0,0 1 0,1-1 0,-1 0 0,0 0 0,1-1 0,-2 2 0,1-1 0,-1 0 0,0-1 0,2 2 0,-2-2 0,0 0 0,0 2 0,0-2 0,-1 0 0,2-1 0,1-5 0,-1 1 0,1-1 0,-2 1 0,0 0 0,0-2 0,-1 2 0,-1-9 0,0 10 0,-1 0 0,-1 0 0,1 0 0,-2-1 0,1 2 0,-1-1 0,1 1 0,-2 0 0,1-1 0,-1 1 0,-1 1 0,0-1 0,0 1 0,1 0 0,-1 0 0,-9-5 0,10 7 0,0-1 0,1 3 0,0-2 0,-2 0 0,2 1 0,-1 1 0,0 0 0,0-2 0,0 2 0,-1 0 0,1 0 0,0 1 0,0 0 0,-1-1 0,0 1 0,2 0 0,-2 1 0,1-1 0,-1 0 0,2 1 0,-2 0 0,1 0 0,-1 2 0,2-2 0,-1 0 0,-8 6 0,4 0 0,-1 0 0,2 1 0,0 0 0,0 2 0,1-2 0,0 1 0,1 0 0,0 1 0,1-1 0,0 1 0,0 1 0,-3 10 0,-8 25 0,2 2 0,2 0 0,3 0 0,2 0 0,2 0 0,3 59 0,5-40 0,4 2 0,4 0 0,34 119 0,-33-155 0,1 0 0,1-2 0,2 0 0,0 0 0,4-1 0,0-1 0,2 0 0,42 41 0,-51-57 0,1-2 0,0 0 0,0 0 0,1-2 0,1-1 0,1 1 0,-1 0 0,31 8 0,-35-12 0,2-2 0,0 0 0,0 0 0,2-3 0,-3 2 0,1-2 0,2 2 0,-2-4 0,0 1 0,1 0 0,-1 0 0,21-7 0,-20 3 0,-1 2 0,0-3 0,0 0 0,-1 0 0,-1 0 0,1-2 0,0 0 0,-1 0 0,13-11 0,-8 5 0,-3-1 0,1 0 0,-2-1 0,-1-1 0,19-28 0,-14 12 0,-2-1 0,-1 1 0,-2-2 0,-2-1 0,0 2 0,3-56 0,-8 46 0,-2-3 0,-3 2 0,-3-1 0,-15-86 0,17 126 0,-2 0 0,2 0 0,-1 0 0,-1 2 0,0-2 0,-4-7 0,7 13 0,0 0 0,0 0 0,0-1 0,-1 1 0,1 0 0,0-1 0,0 1 0,0 0 0,-1 0 0,1 0 0,0 0 0,0 0 0,-2 0 0,2 0 0,0 0 0,-1-2 0,1 2 0,0 0 0,-1 0 0,1 0 0,0 0 0,-1 0 0,1 0 0,0 0 0,-1 0 0,1 0 0,0 0 0,-1 0 0,1 0 0,0 0 0,-2 0 0,2 0 0,0 0 0,-1 0 0,1 0 0,0 0 0,0 0 0,-1 2 0,1-2 0,0 0 0,-1 0 0,1 0 0,0 0 0,0 0 0,-1 0 0,1 0 0,0 1 0,0-1 0,0 0 0,-1 0 0,1 1 0,0-1 0,0 0 0,0 1 0,0-1 0,-2 1 0,-1 11 0,-1-2 0,2 3 0,0-2 0,1 1 0,-1 0 0,2 0 0,2 18 0,0 5 30,0 0 0,4 0 0,17 63 0,-16-80-216,2 2 1,-1 0-1,1-1 0,3-2 1,-2 1-1,3-1 1,28 31-1,3-7-6640</inkml:trace>
  <inkml:trace contextRef="#ctx0" brushRef="#br0" timeOffset="3241.12">1262 4547 24575,'0'2'0,"0"-2"0,0 2 0,0 0 0,1-1 0,-1 0 0,0 2 0,0-3 0,1 1 0,-1 0 0,1 1 0,-1-1 0,1 1 0,1-1 0,-2-1 0,1 2 0,0-1 0,0 0 0,0 1 0,0-1 0,1 0 0,-1-1 0,0 0 0,0 1 0,0 0 0,0-1 0,1 1 0,-1 1 0,1-2 0,-1 1 0,0-1 0,2 0 0,-2 1 0,4-1 0,0 1 0,1-1 0,0 0 0,0 0 0,0 0 0,0-1 0,1 0 0,-2 0 0,7-3 0,24-6 0,-1-3 0,0 0 0,51-30 0,92-63 0,-134 77 0,-4 0 0,73-68 0,-99 83 0,-1-1 0,0 1 0,-1-1 0,-1-1 0,0 0 0,-2 0 0,-1-2 0,0 1 0,-1-1 0,6-24 0,-12 35 0,1 2 0,-1-2 0,-1 0 0,0 0 0,0 0 0,0 1 0,-1-1 0,-1 0 0,1 0 0,-1 1 0,0-1 0,-1 1 0,-3-7 0,5 12 0,1 0 0,-1 0 0,1 0 0,-1 0 0,1-1 0,-1 1 0,0 0 0,-1 0 0,1 1 0,1-1 0,-1 1 0,0-1 0,0-1 0,0 2 0,-1-1 0,1 0 0,-1 1 0,1-1 0,0 1 0,-1 0 0,1-1 0,0 1 0,-1 0 0,1-1 0,-3 1 0,2 1 0,-1-1 0,1 1 0,0 0 0,-1-1 0,1 1 0,1 0 0,-1 1 0,-1-1 0,2 0 0,-1 0 0,1 0 0,-2 2 0,2-2 0,-2 2 0,-4 4 0,0 1 0,1 2 0,0-2 0,0 1 0,-5 13 0,7-12 0,1-1 0,0 0 0,1 1 0,0-1 0,0 0 0,1 1 0,1-2 0,0 2 0,1 0 0,-1-1 0,4 11 0,-3-16 0,1 1 0,0 0 0,0-2 0,0 2 0,1-1 0,0 1 0,-1-1 0,2 0 0,-1 0 0,1-1 0,-1 1 0,1-1 0,0 2 0,1-3 0,-1 2 0,0-2 0,1 0 0,0 1 0,0 0 0,0-2 0,0 2 0,1-2 0,6 2 0,0 0 0,1-1 0,0 0 0,-2 0 0,2-2 0,0 0 0,0 0 0,14-2 0,9-3 0,38-9 0,18-4 0,-89 17 0,-1 1 0,-1 0 0,1 0 0,0 0 0,0 0 0,0 0 0,-1 0 0,2 0 0,-2 0 0,1 1 0,-1-1 0,2 0 0,-2 1 0,1 0 0,-1-1 0,2 2 0,-2-1 0,0 0 0,1-1 0,0 0 0,-1 1 0,0 1 0,1 0 0,-1-1 0,1 0 0,-1 0 0,0 0 0,0 0 0,-1 1 0,1 0 0,0-1 0,-1 0 0,2 0 0,-2 2 0,1-2 0,-1 1 0,1 2 0,0 9 0,0-2 0,0 1 0,-1 0 0,-3 18 0,1 13 0,3-40 0,-1 2 0,1-1 0,-1 0 0,1 0 0,1 0 0,0 0 0,-1 1 0,1-3 0,0 3 0,1-2 0,-1 1 0,0-1 0,1 1 0,0-1 0,1-1 0,-1 2 0,1-1 0,-1 0 0,1 0 0,-1-1 0,1 0 0,5 3 0,-3-3 0,0-1 0,-1 1 0,2-1 0,-1 0 0,0 1 0,0-2 0,0 0 0,1 0 0,-1 0 0,-1 0 0,1-2 0,1 1 0,-1 0 0,0 0 0,0-1 0,0 0 0,5-2 0,4-3 0,-1 0 0,1-1 0,-1 0 0,-1-2 0,1 1 0,-2-2 0,1 2 0,-2-3 0,0 1 0,-1 0 0,1-2 0,-3 1 0,1-1 0,9-20 0,-2 2 0,-2-2 0,-1 1 0,-1-1 0,-3-1 0,5-39 0,-11 45 0,0 1 0,-3-41 0,0 59 0,-2-1 0,1 0 0,-1 1 0,0 0 0,-1-1 0,0 1 0,-1 0 0,0-1 0,-11-15 0,15 24 0,-2 1 0,2-3 0,-1 2 0,0 0 0,0 0 0,1 0 0,-1-1 0,0 2 0,-1-1 0,1 0 0,0 0 0,0 0 0,-1 0 0,0 1 0,1-2 0,0 1 0,0 1 0,-1 0 0,0 0 0,1-1 0,-1 1 0,1 0 0,0-1 0,-2 1 0,2 0 0,0 0 0,-1 0 0,0 0 0,0 0 0,1 0 0,0 0 0,-2 1 0,2-1 0,0 1 0,-1-1 0,1 0 0,-1 0 0,1 1 0,0-1 0,-1 2 0,1-1 0,-1 0 0,1 0 0,0 0 0,0 0 0,0-1 0,0 2 0,-1-1 0,2 0 0,-2 2 0,-5 6 0,1 0 0,0-1 0,1 0 0,0 1 0,-7 21 0,1 6 0,0 0 0,3 1 0,2-1 0,2 2 0,1-1 0,2 0 0,2 0 0,12 68 0,-9-93 0,-2 0 0,1-2 0,2 0 0,0 2 0,-1-3 0,2 2 0,0-1 0,10 13 0,-11-18 0,0 0 0,0-1 0,0 1 0,1-1 0,0 1 0,0-2 0,-1 1 0,2-1 0,-1 1 0,1-2 0,0 0 0,0 0 0,0 1 0,0-1 0,12 2 0,37 0-1365,-5-5-5461</inkml:trace>
  <inkml:trace contextRef="#ctx0" brushRef="#br0" timeOffset="3443">3207 4212 24575,'14'0'0,"10"0"0,14-5 0,15 0 0,17-12 0,10-4 0,1-6 0,-4 3 0,-14 3-8191</inkml:trace>
  <inkml:trace contextRef="#ctx0" brushRef="#br0" timeOffset="3647">3564 3803 24575,'0'12'0,"0"13"0,0 22 0,9 27 0,4 18 0,-1 6 0,6-4 0,1-6 0,2-20 0,-2-22-8191</inkml:trace>
  <inkml:trace contextRef="#ctx0" brushRef="#br0" timeOffset="3912.42">4249 3467 24575,'0'-5'0,"9"14"0,4 14 0,8 20 0,0 20 0,-2 11 0,-5 10 0,-5 1 0,5-3 0,1-17-8191</inkml:trace>
  <inkml:trace contextRef="#ctx0" brushRef="#br0" timeOffset="4240.42">4331 3779 24575,'10'-1'0,"1"0"0,-2 0 0,0 0 0,2-2 0,-2 1 0,0 0 0,15-8 0,64-32 0,-62 28 0,-1 2 0,0-2 0,-2-2 0,0 0 0,0 0 0,-2 0 0,0-3 0,-2-1 0,21-24 0,-30 30 0,0 1 0,-1-1 0,-2-1 0,1 1 0,-2 0 0,1-1 0,-2 0 0,-1 0 0,0-1 0,-2 0 0,1 1 0,-2 0 0,0-2 0,-3-22 0,-4 21 0,6 17 0,0 1 0,0 0 0,0 0 0,0 0 0,0 0 0,0 0 0,0 0 0,0 0 0,0 0 0,0 0 0,-1 0 0,1-1 0,0 1 0,0 0 0,0 0 0,0 0 0,0 0 0,0 0 0,-2 0 0,2 0 0,0 0 0,0 0 0,0 0 0,0 0 0,0 0 0,0 0 0,-1 0 0,1 0 0,0 0 0,0 0 0,0 0 0,0 0 0,0 0 0,0 0 0,-1 0 0,1 1 0,0-1 0,0 0 0,0 0 0,0 0 0,0 0 0,0 0 0,0 0 0,0 0 0,0 0 0,-1 0 0,1 1 0,0-1 0,0 0 0,0 0 0,0 0 0,0 0 0,0 0 0,-11 32 0,7 23 0,1-1 0,3 2 0,13 76 0,-9-110 30,-1 0 0,3 1 0,16 38 0,-16-49-195,0-1 0,0 1 0,1 0 0,1-3 0,-1 3 0,2-2 0,0-1 0,14 12 0,10 3-6661</inkml:trace>
  <inkml:trace contextRef="#ctx0" brushRef="#br0" timeOffset="4780.18">3893 4043 24575,'0'-4'0,"9"-2"0,-1 5 0,-12 10 0,-14 14 0,-18 8 0,-23 9 0,-17 4 0,-16-2 0,6-12-8191</inkml:trace>
  <inkml:trace contextRef="#ctx0" brushRef="#br0" timeOffset="5501.24">5838 3372 24575,'9'0'0,"14"0"0,23-13 0,25-12 0,24-10 0,13 2 0,3-2 0,-13 3 0,-24 10-8191</inkml:trace>
  <inkml:trace contextRef="#ctx0" brushRef="#br0" timeOffset="5654.54">6002 3490 24575,'10'-3'0,"17"-11"0,17-11 0,11-7 0,10-9 0,-6-1 0,-4-1 0,-11 8-8191</inkml:trace>
  <inkml:trace contextRef="#ctx0" brushRef="#br0" timeOffset="5824.85">6359 3132 24575,'-9'-5'0,"-13"-1"0,-8 1 0,18 1 0,27 10 0,25 10 0,16 16 0,7 16 0,-7 11 0,-11 10 0,-16 4 0,-31 0 0,-18-2 0,-18-15 0,-10-8 0,4-13-8191</inkml:trace>
  <inkml:trace contextRef="#ctx0" brushRef="#br0" timeOffset="6727.53">7620 2579 24575,'2'49'0,"14"69"0,-2-21 0,11 408 0,-25-554 0,14-327 0,54 2 0,-44 295 0,1 2 0,67-129 0,-73 171 0,44-61 0,-56 87 0,1 1 0,0-2 0,2 2 0,-1-1 0,0 2 0,2-1 0,-2 1 0,3 0 0,-2 0 0,16-5 0,-23 10 0,1 1 0,0-1 0,0 1 0,-1 0 0,2 0 0,-1 1 0,0 0 0,0-1 0,0 1 0,0 0 0,1 0 0,-2 0 0,2 0 0,-2 1 0,1-1 0,0 0 0,0 1 0,5 3 0,-3-1 0,-1-1 0,-1 1 0,1 0 0,0 1 0,-1-1 0,1 0 0,-2 1 0,2 0 0,-1 0 0,-1 0 0,4 8 0,2 3 0,1 1 0,-3 0 0,0 1 0,-2-1 0,0 1 0,4 25 0,-5-10 0,-2-2 0,-1 2 0,-2-1 0,-1-1 0,-3 1 0,1 0 0,-3-1 0,-3 1 0,-21 53 0,19-60 0,-2 2 0,0-2 0,-1-1 0,-2 1 0,-1-1 0,0-2 0,-2 0 0,-1 0 0,-1-1 0,-2-3 0,-36 25 0,48-35 0,-1 1 0,0-2 0,1-1 0,-26 9 0,34-14 0,-1 2 0,-1-1 0,2 0 0,-2-1 0,1 2 0,-1-2 0,2 0 0,-2 0 0,1 0 0,-1-2 0,2 2 0,-2-1 0,1 0 0,-1 0 0,-7-4 0,12 5 0,1 0 0,-1 0 0,0 0 0,1 0 0,-1 0 0,1-1 0,-1 1 0,1 0 0,-2 0 0,2-1 0,-1 1 0,1 0 0,-1-1 0,1 1 0,-1-1 0,1 1 0,0 0 0,-1 0 0,1 0 0,0-2 0,-1 2 0,1-1 0,0 0 0,-2 1 0,2-1 0,0 1 0,0-1 0,0 1 0,0-1 0,-1-1 0,1 2 0,0 0 0,0 0 0,0-1 0,0 1 0,1-1 0,-1 0 0,0 1 0,0-1 0,0 1 0,0-1 0,0-1 0,2 2 0,-2-1 0,0 1 0,1 0 0,-1 0 0,0-1 0,1 1 0,-1-1 0,0 1 0,1 0 0,-1-1 0,1 1 0,-1 0 0,1-1 0,4-3 0,-1 3 0,0-1 0,0-1 0,0 1 0,1 2 0,0-2 0,4-1 0,5 1 0,1 1 0,-1 0 0,0 1 0,0 0 0,1 1 0,-1-1 0,0 1 0,0 3 0,0-2 0,14 6 0,25 8 0,62 27 0,-82-27 0,48 17 0,-44-15 0,1-2 0,0-1 0,2-2 0,47 9 0,-78-19-114,0-2 1,0 0-1,0-1 0,1 0 0,-2 0 1,1 0-1,0-1 0,1-2 0,-2 2 1,1 0-1,10-5 0,22-12-6712</inkml:trace>
  <inkml:trace contextRef="#ctx0" brushRef="#br0" timeOffset="7454.87">8688 2795 24575,'-4'1'0,"1"-1"0,-2 0 0,2 1 0,-1 0 0,1 1 0,-1-1 0,1 0 0,0 1 0,0-2 0,-1 2 0,2 1 0,-1-1 0,0-1 0,0 2 0,-3 2 0,5-5 0,0 2 0,0-1 0,-1 0 0,1 0 0,0 0 0,1 0 0,-1 1 0,0-1 0,1 0 0,-1 0 0,-1 0 0,2 0 0,-1 2 0,1-3 0,0 1 0,0 1 0,-1-1 0,1 1 0,0 0 0,0-2 0,0 1 0,0 1 0,0 0 0,1-1 0,-1 1 0,0-1 0,1-1 0,-1 3 0,0-2 0,2 0 0,-1 0 0,-1 1 0,1-2 0,0 2 0,0-1 0,0 1 0,1-1 0,-1-1 0,0 1 0,0-1 0,0 2 0,0-2 0,1 0 0,-1 0 0,0 0 0,0 0 0,0 1 0,0-1 0,0 0 0,1 0 0,-1 0 0,0 0 0,0 0 0,0 0 0,0 0 0,1-1 0,-1 1 0,0 0 0,0 0 0,0 0 0,0 0 0,-1-2 0,2 2 0,-1-1 0,0 1 0,0-1 0,0 0 0,-1 1 0,1-1 0,1 0 0,-1-1 0,-1 2 0,1 0 0,-1-1 0,1 0 0,-1 0 0,2-3 0,3-1 0,0-1 0,-2-1 0,2 1 0,2-10 0,-2 4 0,-1-1 0,-1 2 0,0-2 0,1-13 0,-4 23 0,1-2 0,-1 0 0,0 1 0,-1-1 0,1 0 0,-2 2 0,1-2 0,0 0 0,0 2 0,0-3 0,-2 3 0,1-2 0,0 1 0,-3-4 0,4 7 0,0 1 0,1-1 0,-1 0 0,-1 0 0,2 1 0,-1-1 0,0-1 0,0 2 0,1 0 0,-1 0 0,0-1 0,-1 1 0,1-1 0,0 1 0,0 0 0,0-1 0,0 1 0,-1 0 0,1 0 0,0 0 0,0 0 0,0 0 0,0 0 0,-1 0 0,1 0 0,0 0 0,0 0 0,0 0 0,0 1 0,-1-1 0,1 0 0,1 1 0,-1-1 0,0 1 0,0-1 0,0 0 0,-1 0 0,1 2 0,1-1 0,-1-1 0,0 1 0,1 0 0,-1 0 0,0-1 0,-1 3 0,-2 1 0,0 1 0,1 1 0,-1-3 0,1 3 0,-1 0 0,-3 8 0,5-10 0,1 2 0,0-1 0,0 1 0,-1 0 0,2-2 0,0 2 0,0-1 0,0 1 0,0-1 0,2 0 0,-1 0 0,0 1 0,0-1 0,1 0 0,1 0 0,-1-1 0,0 2 0,1-1 0,0-1 0,1 1 0,-1-1 0,1 0 0,-1 0 0,2 0 0,-2 0 0,2-1 0,10 8 0,-8-6 0,1-1 0,0 0 0,1 0 0,-1-1 0,1 0 0,-1 1 0,2-3 0,-1 2 0,-1-1 0,1 0 0,1-1 0,-1-1 0,0 0 0,1 0 0,-1 0 0,0 0 0,1-1 0,9-3 0,0 0 0,-2-3 0,2 1 0,-1 0 0,-1-2 0,-1 0 0,2-2 0,-3 1 0,1-1 0,26-23 0,-22 16 0,-1-2 0,-2-2 0,1 1 0,-2-2 0,-2 1 0,13-24 0,-4-3 0,-3 1 0,-3-1 0,-2 0 0,-3-1 0,-1-2 0,3-55 0,-12 89 0,-1-3 0,-1 2 0,0-1 0,-1 0 0,-1-1 0,-2 2 0,-5-19 0,9 34 0,-1 2 0,-1-2 0,1 0 0,0 1 0,0 1 0,0-3 0,0 2 0,-1 1 0,1-2 0,-1 1 0,1 1 0,-2-1 0,1 0 0,0 0 0,1 1 0,-2-1 0,1 0 0,0 2 0,-1-2 0,0 1 0,1 0 0,-1 0 0,-5-2 0,6 3 0,-1 1 0,1-1 0,-1 2 0,0-1 0,1-1 0,0 1 0,-1 0 0,1 0 0,0 0 0,-1-1 0,1 3 0,0-2 0,0 1 0,0-1 0,0 1 0,1-1 0,-2 1 0,2 0 0,0 1 0,-1-2 0,0 1 0,1 1 0,0-1 0,0-1 0,0 1 0,0 3 0,-8 14 0,1 2 0,1-3 0,1 3 0,-5 35 0,0 89 0,9-101 0,-5 239 0,13-1 0,68 402 0,-65-640 0,-6-29 0,1 2 0,-2-2 0,-1 29 0,-2-43 0,-5-12 0,-13-49 0,-21-115 0,9-73 0,22 126 0,11-199 0,3 271 0,2 0 0,2 1 0,3 0 0,2 2 0,2-2 0,44-81 0,-50 113 0,2 1 0,1-2 0,-1 3 0,2 0 0,2 0 0,-1 1 0,1-1 0,2 3 0,26-17 0,-34 22 0,1 2 0,-1-1 0,2 2 0,-2 0 0,2 1 0,0-2 0,-1 4 0,18-5 0,-20 5 0,-2 1 0,1 0 0,0 0 0,0 0 0,0 1 0,0 0 0,1 1 0,-1 0 0,-1 0 0,1-1 0,-1 3 0,1-1 0,9 5 0,-11-5 0,-1 0 0,0-1 0,-1 2 0,1-1 0,0 1 0,-1-1 0,1 1 0,-2 1 0,1-2 0,-1 2 0,1-1 0,-1 1 0,0 0 0,-1 1 0,0-2 0,1 0 0,-1 2 0,-1-1 0,0 0 0,1 1 0,-1-1 0,0 0 0,-1 0 0,0 1 0,0 0 0,-1-2 0,1 1 0,-1 1 0,-4 7 0,1 1 0,-1-3 0,-1 2 0,0-2 0,-1 1 0,0-1 0,-1 0 0,0 0 0,-2-2 0,1 2 0,-22 17 0,0-6-227,1-1-1,-3-3 1,1 0-1,-3-1 1,-57 21-1,16-13-6598</inkml:trace>
  <inkml:trace contextRef="#ctx0" brushRef="#br0" timeOffset="7801.12">9455 2650 24575,'16'-1'0,"-1"0"0,1 0 0,-1-3 0,1 1 0,0 1 0,-2-4 0,1 1 0,18-8 0,10-7 0,53-34 0,-56 29 0,-1-2 0,-3-1 0,0 1 0,-2-5 0,-3 1 0,39-47 0,-50 53 0,-3-2 0,0 2 0,-2-3 0,-1 2 0,-2-3 0,0 1 0,-3-1 0,1 1 0,5-61 0,-14 43 0,-2-1 0,-3 1 0,-1-1 0,-4 0 0,-1 2 0,-23-59 0,27 86 0,-1 0 0,1-1 0,-4 2 0,1-1 0,0 2 0,-3 0 0,-15-17 0,26 31 0,-1 0 0,0-1 0,0 2 0,1 0 0,-1-1 0,-1 0 0,1 0 0,0 1 0,-1 1 0,1-2 0,0 0 0,-1 1 0,1 0 0,0 1 0,-2-1 0,2 0 0,-1 1 0,0 0 0,1 0 0,-1 0 0,-4 0 0,4 0 0,1 0 0,-1 1 0,0 0 0,0 0 0,1 0 0,0 1 0,-1 0 0,1-2 0,0 2 0,-1-1 0,1 2 0,0-1 0,1-1 0,-2 2 0,1-1 0,-2 4 0,-4 5 0,1 1 0,1 2 0,1-2 0,-1 0 0,1 2 0,-2 17 0,2-9 0,2 0 0,1-1 0,0 2 0,2-1 0,2 1 0,0-2 0,1 2 0,2-2 0,1 1 0,0 0 0,11 20 0,-10-27 0,0-2 0,3 1 0,-2 0 0,2-1 0,1 1 0,-1-3 0,2 2 0,1-2 0,-1 0 0,1 0 0,1-2 0,1 2 0,-1-3 0,2 1 0,0-2 0,22 9 0,-13-7 15,-2-2 0,2-2 0,-1 0 0,2 0 0,-2-3 0,2 0 0,46 0 0,-35-5-312,1 1 0,-1-4 0,-1-1 0,57-15 0,4-11-6529</inkml:trace>
  <inkml:trace contextRef="#ctx0" brushRef="#br0" timeOffset="8255.81">10879 1883 24575,'0'-9'0,"-1"2"0,-1-1 0,1 1 0,-2-1 0,0 1 0,1 0 0,-2 0 0,1 0 0,-2-1 0,0 1 0,1 1 0,-1 0 0,-1 1 0,0-2 0,1 1 0,-1 1 0,-1-1 0,0 2 0,0-1 0,0 0 0,0 1 0,-1 0 0,-11-4 0,12 6 0,1 0 0,-1 1 0,1 1 0,-1-1 0,0 1 0,1 0 0,0 0 0,0 0 0,-1 1 0,0-1 0,1 1 0,-1 1 0,-7 3 0,3-2 0,1 1 0,-1 1 0,1 1 0,1-1 0,-1-1 0,1 3 0,-12 10 0,12-9 0,1-1 0,-1 1 0,1 1 0,0-1 0,1 0 0,1 2 0,0-1 0,1 2 0,-1-1 0,1 1 0,2-2 0,-1 1 0,1 1 0,0-1 0,0 13 0,3-21 0,0 1 0,0 1 0,0-3 0,1 2 0,-1 1 0,1-2 0,-1 2 0,1-2 0,0 0 0,1 2 0,0-2 0,-1 1 0,0-1 0,2 1 0,-2 0 0,1-2 0,0 1 0,1 2 0,-1-3 0,4 4 0,-1-2 0,-1-2 0,2 3 0,-1-2 0,1-1 0,-1 2 0,0-2 0,1 0 0,0 1 0,0-2 0,10 1 0,-1-1 0,0 0 0,0 0 0,-1-1 0,1 0 0,1-2 0,-2 0 0,0 0 0,19-8 0,-15 3 0,-2-1 0,0-2 0,1 2 0,-2-2 0,-1 0 0,1-1 0,14-17 0,-3 5 0,-24 22 0,-1 2 0,0-1 0,1 0 0,0 0 0,-1 0 0,1 0 0,0 1 0,-1-2 0,1 1 0,0 1 0,0 0 0,0 0 0,-1-1 0,1 1 0,1 0 0,-2 0 0,1 0 0,1 0 0,-2 0 0,1 0 0,0 0 0,0 0 0,0 1 0,-1-1 0,1 0 0,0 0 0,0 1 0,-1 1 0,4 0 0,5 3 0,-1 0 0,1 1 0,-1 0 0,9 8 0,5 4 0,-10-11-76,-2 0 1,2-2-1,1 0 0,-1 1 0,1-2 0,0 1 0,0-3 0,0 2 1,1-2-1,-1 1 0,0-2 0,1 0 0,0-1 0,-1 0 1,1-1-1,-1-2 0,23-2 0,44-14-6750</inkml:trace>
  <inkml:trace contextRef="#ctx0" brushRef="#br0" timeOffset="8644.49">11428 1595 24575,'-11'-1'0,"-1"2"0,0-1 0,1 2 0,-1-1 0,0 2 0,-18 5 0,23-6 0,0 2 0,0-1 0,0-1 0,0 3 0,1-1 0,0 0 0,1 1 0,-1 0 0,0-1 0,-8 11 0,3-1 0,2 3 0,0-3 0,1 1 0,1 0 0,0 1 0,1 1 0,1-1 0,1 0 0,1 1 0,0 0 0,2-1 0,-1 2 0,2-2 0,6 34 0,-5-43 0,2-1 0,-1 1 0,0 0 0,2 0 0,-1-1 0,1 0 0,-1 1 0,2-3 0,0 2 0,-1 0 0,1 0 0,1-2 0,-2 1 0,2 0 0,0-1 0,1 1 0,-1 0 0,1-3 0,0 3 0,0-3 0,0 2 0,0-2 0,1 0 0,-1 1 0,1-1 0,-1-1 0,11 0 0,-3 2 0,0-2 0,0 0 0,-1-1 0,1-1 0,0 0 0,0-2 0,-1 2 0,2-2 0,-2-1 0,1 1 0,-1-2 0,-1 0 0,23-11 0,-20 7 0,0-2 0,-1 1 0,1-3 0,-2 1 0,0-1 0,-2 1 0,0-2 0,0-2 0,-1 2 0,16-29 0,-13 15 0,0-2 0,-2 1 0,-2 0 0,0-3 0,3-31 0,-11 56 0,-1-1 0,0 0 0,-1 0 0,0 0 0,-1 1 0,1-1 0,-1-1 0,-2 1 0,-1-8 0,4 15 0,-1 0 0,-1-2 0,2 2 0,-1-1 0,0 2 0,0-1 0,0-2 0,0 2 0,-1 0 0,1 0 0,0 0 0,-1 0 0,1-1 0,-1 1 0,0 1 0,1-1 0,-1 0 0,-3-1 0,3 2 0,-1 0 0,0 0 0,0 0 0,0 0 0,1 0 0,-1 0 0,0 0 0,0 0 0,1 1 0,-1-1 0,0 1 0,1 0 0,0 0 0,-2 0 0,2 1 0,-4 0 0,-2 4 0,0-2 0,1 2 0,0 0 0,0 0 0,0 0 0,1 1 0,-1 0 0,2 0 0,-1 0 0,2 1 0,-1-1 0,0 1 0,-2 7 0,2 0 0,-1 0 0,1 2 0,0-2 0,3 1 0,-1-1 0,0 19 0,3-29 0,0 1 0,1-1 0,-1 0 0,2 1 0,-1-1 0,0-1 0,1 2 0,1-1 0,-1-1 0,0 2 0,1-2 0,0 1 0,-1-1 0,2 2 0,-1-3 0,2 2 0,-1-2 0,0 2 0,1-3 0,0 3 0,-1-3 0,1 2 0,0-1 0,0 0 0,1-1 0,-1 0 0,1 1 0,-1-2 0,11 4 0,10 0 0,0 0 0,1-1 0,0-1 0,-2-2 0,39-1 0,-14-1-455,1-4 0,83-13 0,-37-4-6371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1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415 1692 24575,'2'-45'0,"-2"-40"0,0 78 0,-2-1 0,2 4 0,0-4 0,-1 1 0,-1 1 0,1 0 0,0 0 0,0-1 0,-5-9 0,5 14 0,0 0 0,1 0 0,-1 0 0,-1-1 0,1 2 0,0 0 0,-2-1 0,2 1 0,0 0 0,0-1 0,-1 0 0,1 1 0,0 0 0,-1 1 0,1-2 0,-2 2 0,2-1 0,-1 1 0,1 0 0,-1 0 0,1 0 0,0 0 0,-2 0 0,2 0 0,-1 1 0,0-1 0,1 2 0,0-2 0,0 1 0,-2 0 0,0 3 0,-6 2 0,1 3 0,-1-1 0,-14 21 0,0 2 0,-29 52 0,43-68 0,2 2 0,-1 1 0,0-1 0,1 1 0,-11 36 0,18-50 0,-1-1 0,-1 1 0,1 0 0,1-1 0,-1 2 0,1-1 0,0-2 0,0 2 0,0 0 0,0 1 0,0-3 0,0 3 0,0-1 0,0 0 0,0-1 0,0 1 0,0 0 0,1 1 0,0-3 0,0 2 0,0 0 0,0 0 0,0-2 0,0 3 0,1-3 0,-1 1 0,0 0 0,1 0 0,-1 0 0,0-1 0,1 2 0,4 2 0,1 3 0,1-3 0,1 3 0,1-3 0,-1 1 0,-1-2 0,15 5 0,80 25 0,19 7 0,-107-35 0,2 3 0,-1 0 0,1 1 0,-2 3 0,15 15 0,-25-25 0,0 4 0,0-3 0,-1 2 0,2 0 0,-3 0 0,2 0 0,-1 2 0,5 10 0,-8-13 0,0-2 0,0 0 0,0 0 0,0 2 0,0-2 0,0 0 0,-1 2 0,2-1 0,-1-1 0,-1 1 0,0 0 0,0 1 0,0-1 0,0 0 0,-1 0 0,1 0 0,-2-1 0,1 2 0,-1 6 0,-4 8 0,0-1 0,-1 0 0,0 0 0,0-2 0,-2 1 0,1-1 0,-2-1 0,-18 26 0,-6 8 0,-1-1 0,-1-4 0,-2-3 0,-1-3 0,-1-3 0,0-2 0,-2-4 0,1-3 0,-51 20 0,87-44 15,-3-2 0,1 2 0,1-2-1,-1-1 1,-1 0 0,2 0 0,-15-4 0,19 3-86,-1-1 0,0 1 1,0 0-1,1-2 0,-1 1 1,1-1-1,-1 0 0,1 1 1,0-1-1,0 0 0,-1-1 1,2 1-1,-1-1 1,-1 1-1,2-1 0,0 0 1,-2-1-1,2 1 0,0 0 1,-1-9-1,-10-53-6755</inkml:trace>
  <inkml:trace contextRef="#ctx0" brushRef="#br0" timeOffset="1">629 1936 24575,'0'25'0,"0"-1"0,2 1 0,1-1 0,-2 1 0,2-1 0,0 0 0,8 30 0,-10-46 0,3 1 0,-3-2 0,2 2 0,-1-3 0,1 3 0,1-2 0,-1 0 0,0-1 0,2 0 0,-2 0 0,0 0 0,2-1 0,-1 1 0,0-2 0,1 2 0,-1-3 0,1 1 0,-1 0 0,1-1 0,1 0 0,-2-2 0,1 2 0,6 0 0,-8-3 0,0 1 0,1-1 0,-2 0 0,2 0 0,-1-1 0,0 1 0,1-2 0,-2 1 0,2-1 0,-1 1 0,0 0 0,-1-2 0,2 0 0,-2 1 0,1 0 0,-1-2 0,2 1 0,0-4 0,1 0 0,-1 0 0,-1-2 0,0 2 0,2-1 0,-3 0 0,0-2 0,1 1 0,0 1 0,2-15 0,0-12 0,0 2 0,-1-1 0,-2-1 0,3-60 0,-5 88 0,0 1 0,0 0 0,-1-2 0,0 3 0,0-2 0,-2-8 0,3 15 0,0-2 0,0 2 0,0 0 0,-1-1 0,1 1 0,0-2 0,0 2 0,0 0 0,0-1 0,0 1 0,0 0 0,0 0 0,0-2 0,-1 2 0,1 0 0,0 0 0,-1-1 0,1 1 0,0 0 0,0 0 0,0 0 0,0-1 0,-1 1 0,1 0 0,0 0 0,-1 0 0,1 0 0,0 0 0,-1 0 0,0 0 0,1 1 0,0-1 0,-1 1 0,-1 1 0,1-2 0,1 1 0,-1 1 0,1-1 0,0 1 0,-1-1 0,0 0 0,1-1 0,-1 2 0,1-1 0,0 0 0,0 3 0,-1 5 0,-1-2 0,0 2 0,0-1 0,1-1 0,1 1 0,-1 0 0,1 1 0,0-1 0,0 1 0,0-1 0,1 1 0,-1-1 0,1 1 0,-1-1 0,3-1 0,-1 1 0,-1-1 0,0 2 0,2-2 0,-2 1 0,3-1 0,-2 0 0,0 0 0,7 10 0,-8-13 0,2 0 0,0 0 0,0 0 0,0 0 0,-1 0 0,1-2 0,1 3 0,-1-3 0,0 2 0,1-3 0,-2 2 0,3-2 0,-3 0 0,2 1 0,-1-1 0,1 0 0,0-1 0,-1 0 0,0 0 0,2 0 0,-3-1 0,2 1 0,0-1 0,0-1 0,-2 1 0,1 0 0,2-2 0,-3 0 0,1 0 0,1 0 0,-1 0 0,0 1 0,5-8 0,-2 0 0,2-1 0,-1 0 0,-1-1 0,1 0 0,-2-1 0,1 1 0,-1-2 0,1-1 0,-2 2 0,1-3 0,-2 2 0,1-1 0,-2-1 0,2-1 0,-1 2 0,1-34 0,-9 189 0,5-125 0,1 2 0,-1 0 0,0-1 0,2 0 0,0 0 0,6 24 0,-8-37 0,1 0 0,-1 0 0,1-1 0,-1 0 0,0 1 0,1 0 0,-1-1 0,3 0 0,-2 1 0,-1 0 0,1-2 0,1 2 0,-1-2 0,0 1 0,-1 0 0,2 0 0,-1 0 0,0-2 0,2 2 0,-2 0 0,0-2 0,0 2 0,1-2 0,0 2 0,-2-1 0,3-1 0,-1 0 0,-1 1 0,1-1 0,-1 0 0,0 0 0,1 0 0,1 0 0,-3-1 0,2 1 0,0-1 0,-1 1 0,1-2 0,-1 2 0,0-2 0,2 2 0,-2-2 0,0 0 0,0 2 0,1-2 0,-1 0 0,0 0 0,3-3 0,10-17 0,-1-1 0,0-2 0,-1-2 0,0 1 0,14-35 0,-12 20 0,27-49 0,-39 88 0,-1-2 0,1 0 0,-1 2 0,1 0 0,0 0 0,-1-2 0,2 2 0,-1 0 0,0 1 0,-1-2 0,1 2 0,2-1 0,-3 1 0,1 0 0,0 1 0,1-2 0,-2 2 0,5-2 0,-2 4 0,1 0 0,0-1 0,-2 2 0,3-2 0,-3 2 0,2 0 0,3 4 0,14 10 0,-12-12 12,0-1 0,1 0 0,-1 0 0,1 0 0,-2-3 0,2-1 0,-2 1 0,1-2 0,18-4 0,-12-1-260,-1-1 1,1-1-1,-1-2 1,2 0-1,13-17 1,22-21-6579</inkml:trace>
  <inkml:trace contextRef="#ctx0" brushRef="#br0" timeOffset="2">1763 1451 24575,'-1'-4'0,"1"0"0,-1 1 0,0-2 0,1 3 0,-2-2 0,1 1 0,0-1 0,0 1 0,1 0 0,-1-1 0,-1 1 0,1 0 0,0 1 0,0-1 0,-2 0 0,2 0 0,-1 2 0,0-2 0,2 0 0,-3 2 0,2-1 0,-4-2 0,0 0 0,-1-2 0,0 2 0,0 1 0,0-1 0,0 1 0,-9-1 0,10 3 0,1 1 0,0 0 0,-1 1 0,0-1 0,1 1 0,0 1 0,-1 1 0,0-2 0,1 2 0,-1 0 0,1 1 0,1-1 0,-1 1 0,0 0 0,0 0 0,-1 0 0,3 2 0,-1 0 0,-2-1 0,3 1 0,-1 0 0,0 1 0,0-1 0,-3 13 0,0-4 0,2 2 0,-2 0 0,2 0 0,2-1 0,-1 3 0,-1-1 0,2 0 0,0 0 0,1 32 0,1-44 0,0 1 0,0 0 0,0 0 0,0 1 0,0-3 0,1 2 0,1 0 0,-1 0 0,0-2 0,4 11 0,-5-15 0,1 3 0,0-4 0,0 4 0,0-4 0,-1 4 0,0-3 0,1 0 0,1 1 0,-1-1 0,1 2 0,-1-2 0,0-1 0,0 2 0,0-1 0,0 0 0,1-1 0,-1 2 0,0 0 0,1-2 0,0 0 0,-1 1 0,1-1 0,-1 0 0,0 0 0,0 0 0,2 0 0,-2 0 0,0-1 0,0 1 0,3-2 0,2-2 0,-2-1 0,2 1 0,-2-2 0,1 2 0,0-1 0,-1-1 0,1-1 0,-1 0 0,0 2 0,0-4 0,0 2 0,-2 1 0,3-3 0,-3 1 0,1-1 0,4-13 0,-1-6 0,2 0 0,-3 0 0,1-2 0,2-34 0,-2 9 0,-3-1 0,1 0 0,-3 0 0,-1 0 0,-1 0 0,-3 1 0,0-1 0,-15-99 0,19 153 0,-13-61 0,12 61 0,1-1 0,-1-2 0,1 3 0,-1-1 0,-1 0 0,1 1 0,1-2 0,-3 2 0,1 0 0,2 0 0,-1-1 0,-1 1 0,1 0 0,-1 0 0,-2-2 0,4 4 0,-1 0 0,1 0 0,-1 0 0,0 0 0,0 0 0,1 0 0,0 0 0,0 2 0,-1-2 0,0 0 0,1 0 0,-1 0 0,0 0 0,1 0 0,0 2 0,-1-2 0,1 2 0,-2-2 0,1 1 0,1-1 0,0 1 0,0-1 0,-1 2 0,1-1 0,-1-1 0,1 2 0,0-1 0,0-1 0,0 1 0,0 1 0,-1-2 0,1 1 0,0 0 0,0 1 0,0 0 0,-8 46 0,8-45 0,-3 31 0,1 1 0,1 0 0,0 0 0,1 0 0,1 0 0,1-1 0,0 1 0,3-2 0,11 68 0,-14-84 0,3-2 0,-2 2 0,1-1 0,2-1 0,-2-1 0,2 0 0,1 0 0,-1 0 0,0-2 0,2 1 0,-1-1 0,0-1 0,1-1 0,1 1 0,-2-1 0,2-2 0,0 0 0,0-1 0,-1 1 0,2-4 0,0 2 0,9 3 0,-8-6 0,0 0 0,0-2 0,0-1 0,1 0 0,-1-1 0,0-1 0,0-1 0,1-1 0,-2 0 0,19-13 0,-23 14 0,-1-1 0,0 1 0,-1-1 0,1-2 0,-1 2 0,1-2 0,-2 1 0,2-1 0,-1 0 0,1 0 0,-3-1 0,2 0 0,-1 0 0,1 0 0,-2-2 0,1 1 0,-1 1 0,1-1 0,-1-1 0,0-1 0,-1 2 0,0-1 0,1-1 0,-1-15 0,1 20 0,-2 0 0,0 0 0,0-1 0,0 2 0,-2-2 0,2 1 0,0 1 0,-1-2 0,0 2 0,0 0 0,1-2 0,-1 2 0,0 0 0,-1 0 0,1-2 0,-1 3 0,0-1 0,0 0 0,0 0 0,0 1 0,1-1 0,-3 1 0,3-1 0,-1 1 0,0 0 0,-1 0 0,1 1 0,-2 0 0,2 0 0,-6-2 0,5 2 0,-1 0 0,0 1 0,-1 1 0,2-2 0,-1 2 0,-1 0 0,0 2 0,1-2 0,1 1 0,-3 1 0,3-1 0,-1 0 0,0 3 0,0-2 0,0 0 0,0 2 0,1 0 0,0 0 0,-2-1 0,-1 7 0,1-4 0,2-1 0,-1 2 0,1-2 0,0 3 0,0-2 0,1 1 0,-2 1 0,2 0 0,0-1 0,0 1 0,1 0 0,-1 0 0,0 0 0,0 1 0,1-1 0,1 0 0,-1 1 0,1 1 0,0 11 0,0-15 0,1 2 0,-1-2 0,1 1 0,0 1 0,0-2 0,1 2 0,0-1 0,-1-1 0,1 0 0,0 1 0,0-1 0,1 0 0,-1-1 0,1 0 0,-1 1 0,2 0 0,-2-2 0,1 1 0,0-1 0,1 1 0,0-1 0,-1-1 0,6 6 0,-5-5 0,2-2 0,-2 2 0,1 0 0,0-2 0,0 0 0,0-1 0,-1 0 0,2 1 0,-2-2 0,3 1 0,-3-2 0,2 1 0,8-4 0,-11 2 0,1 0 0,0-2 0,0 2 0,0-2 0,-1 0 0,0 1 0,1-2 0,0 0 0,-2 1 0,1-2 0,1 2 0,-2-2 0,1 1 0,-1-1 0,1-1 0,-1 2 0,3-11 0,-1 3 0,-1 0 0,-1 0 0,2 0 0,-3 0 0,3-2 0,-3 1 0,1 0 0,-1 1 0,-1-2 0,0 1 0,0-18 0,-3 14 0,-2 30 0,0 32 0,5-36 0,0 1 0,0-1 0,0 0 0,1 1 0,0-1 0,0 0 0,1 0 0,-2 0 0,3 1 0,-1-3 0,-1 3 0,1-2 0,0 0 0,5 10 0,-5-13 0,1 0 0,-2 0 0,3 0 0,-2-1 0,0 1 0,0-1 0,3 0 0,-4 0 0,2 0 0,0-1 0,1 0 0,-1 0 0,-1 0 0,1 0 0,1-1 0,-1-1 0,0 1 0,1-1 0,-1 0 0,-1 0 0,3 0 0,3-1 0,1-4 0,1 1 0,-1 0 0,1-2 0,-2 0 0,0 0 0,1-3 0,0 1 0,-1 0 0,11-18 0,-12 18 0,-1-2 0,1 1 0,-2-1 0,0-2 0,1 1 0,-1-1 0,-1 1 0,1-2 0,-1 0 0,0 0 0,4-16 0,-7 25 0,-1 0 0,0 0 0,0-1 0,0 1 0,0 0 0,0-2 0,0 2 0,0 0 0,0 0 0,0 0 0,-2-7 0,2 11 0,-1-2 0,1 2 0,0-2 0,0 2 0,0-2 0,0 2 0,0-2 0,-2 1 0,2 0 0,-1 1 0,1-2 0,-1 2 0,1-1 0,-1-1 0,1 2 0,0-1 0,-1 1 0,1-1 0,0 1 0,-1 0 0,0-2 0,1 2 0,-1 0 0,0-1 0,1 1 0,-1 0 0,1 0 0,0 0 0,-2-1 0,1 1 0,0 0 0,1 0 0,0 0 0,-1 0 0,0 1 0,0-1 0,0 0 0,1 0 0,-1 0 0,1 1 0,0-1 0,0 0 0,-1 2 0,0-2 0,0 1 0,-2 2 0,2 0 0,-1-1 0,1 2 0,-1-2 0,0 0 0,2 3 0,-2-2 0,0 1 0,1-1 0,1 1 0,-1 0 0,-1-1 0,2 2 0,0-1 0,-1 0 0,1 0 0,0-1 0,0 1 0,-1 6 0,1-1 0,0 0 0,0 0 0,0 0 0,1-1 0,-1 2 0,1-1 0,2 16 0,-3-22 0,1-1 0,0 3 0,0-3 0,1 2 0,-2-2 0,0 1 0,1 0 0,0-2 0,1 2 0,-1 0 0,0 0 0,0-2 0,0 2 0,0-2 0,2 1 0,-2 0 0,0 0 0,0 0 0,1-2 0,0 2 0,0 0 0,0-2 0,-1 0 0,1 2 0,0-2 0,-1 2 0,1-2 0,1 0 0,-2 0 0,1 0 0,-1 0 0,1 0 0,0 0 0,-1-2 0,2 2 0,-2-2 0,1 2 0,0 0 0,-1-2 0,0 0 0,3 0 0,3-5 0,0 0 0,-1-2 0,1 3 0,-2-5 0,2 3 0,-1-2 0,-1 1 0,6-14 0,-3 5 0,-2 0 0,1-1 0,-1 0 0,0-1 0,-1-1 0,0 2 0,-2-2 0,0 0 0,1-1 0,1-32 0,26 657 0,-6-203 0,-21-295 0,7 226 0,-10-278 0,-3 0 0,1 2 0,-14 101 0,13-140 0,-2-1 0,1-1 0,0 1 0,-2 0 0,1-1 0,-2 0 0,2-1 0,-1-1 0,-12 22 0,15-30 0,1-2 0,-1 2 0,1 0 0,-2-2 0,0 1 0,2-2 0,-2 3 0,1-2 0,-1 0 0,2-1 0,-3 2 0,3-2 0,-3 1 0,2-2 0,0 1 0,0 0 0,-1-1 0,0 0 0,1 0 0,-1 0 0,1 0 0,-2 0 0,2-1 0,0 1 0,-1-1 0,1-1 0,-1 1 0,1 0 0,-1-2 0,1 1 0,0 0 0,-1 0 0,1-1 0,0 0 0,0 1 0,0-1 0,-3-6 0,-1-6 0,-2 0 0,1-1 0,1-1 0,-1-1 0,2 1 0,-1-1 0,2 0 0,-1-2 0,1 1 0,1 1 0,-3-32 0,1 13 0,3-1 0,-1 0 0,2 0 0,1 0 0,4-50 0,-1 46-273,2 0 0,2 0 0,0 0 0,17-66 0,7-7-6553</inkml:trace>
  <inkml:trace contextRef="#ctx0" brushRef="#br0" timeOffset="3">2940 1531 24575,'-4'-4'0,"-6"-3"0,8-7 0,12-3 0,18-16 0,20-13 0,17-5 0,4 3 0,-6 4 0,-10 5 0,-12 3 0,-15 8-8191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289 1557 24575,'0'-10'0,"0"-1"0,-1 2 0,0-3 0,1 3 0,-1-1 0,-1 1 0,0-1 0,1 0 0,-3 0 0,2 2 0,-1-1 0,1 0 0,-10-15 0,9 17 0,-1 1 0,1 1 0,-2 0 0,1 0 0,0 0 0,0 0 0,0 1 0,-2 1 0,3-1 0,-2 1 0,0 1 0,0 0 0,-1-1 0,2 1 0,-2 0 0,1 1 0,-9 0 0,8 2 0,0-1 0,-1 1 0,2 1 0,-2 0 0,0 1 0,2 0 0,-2 0 0,2 0 0,-1 2 0,1-1 0,-1 1 0,1 2 0,0-3 0,-1 2 0,2 1 0,-1-1 0,0 1 0,1 1 0,0-1 0,1 0 0,-7 14 0,4-5 0,1-2 0,-2 3 0,3-1 0,0 0 0,-1 1 0,3-1 0,-2 2 0,1-1 0,1 2 0,1-2 0,-1 20 0,2-32 0,0 0 0,0 2 0,1-2 0,-1-1 0,1 2 0,-1-1 0,1 0 0,0 0 0,0 0 0,1 0 0,0-1 0,0 1 0,-1-1 0,0 1 0,2-1 0,1 4 0,-2-5 0,1-1 0,-2 2 0,2-2 0,-1 0 0,1 1 0,-2-2 0,2 1 0,0 0 0,0-2 0,-1 2 0,1-1 0,0 1 0,0-2 0,-1 0 0,0 0 0,3 0 0,-4 0 0,2 0 0,0 0 0,3-2 0,4-1 0,1-1 0,-2-1 0,0-2 0,2 2 0,-1-2 0,-1-2 0,1 2 0,-2-1 0,1-3 0,0 1 0,0-1 0,6-13 0,-5 8 0,0-1 0,-1 0 0,-1-2 0,1 1 0,-1-1 0,0-1 0,-2-1 0,7-29 0,-5 18 0,-3-2 0,0 2 0,-2-1 0,-1-1 0,0 0 0,0-1 0,-2 2 0,-2 0 0,0-1 0,-1 0 0,-9-55 0,11 83 0,-1-2 0,-1 2 0,1 0 0,1 0 0,-2-1 0,1 1 0,-2 0 0,2 1 0,-1-1 0,0 1 0,-1 0 0,-3-7 0,4 12 0,2 0 0,0-2 0,0 1 0,-1 0 0,2 1 0,-1-1 0,0 1 0,-1-2 0,0 2 0,1 0 0,0 0 0,0 0 0,-1 0 0,2 0 0,-2 0 0,0 0 0,2 0 0,-5 2 0,4-1 0,0 0 0,-1 2 0,1-3 0,-1 2 0,-1 0 0,3-1 0,-2 2 0,1 0 0,-1-1 0,1 1 0,0-1 0,0 1 0,-1-1 0,2 1 0,-1-1 0,-1 4 0,-1 9 0,0 0 0,-1 1 0,3 0 0,-2-1 0,2 1 0,0 0 0,1 1 0,0-1 0,0 0 0,0 0 0,4 22 0,1 5 0,1-1 0,2 0 0,12 43 0,-11-46 0,2 0 0,1-1 0,21 44 0,-25-64 0,0-1 0,2 0 0,-2-3 0,2 2 0,0-2 0,-1 0 0,3-2 0,15 18 0,-21-26-59,-1 0 0,0 0-1,0-1 1,2-1-1,-3 1 1,0-2 0,3 2-1,-1-2 1,-1-1 0,0 1-1,1-1 1,1 0 0,-2-1-1,0 0 1,1-1-1,-1 1 1,1-1 0,-2 0-1,3-3 1,-3 3 0,2-1-1,7-9 1,23-24-6767</inkml:trace>
  <inkml:trace contextRef="#ctx0" brushRef="#br0" timeOffset="1">810 1246 24575,'0'-5'0,"0"2"0,-1-3 0,1 3 0,-1-2 0,0 1 0,1-1 0,-2 1 0,1 1 0,0-2 0,1 1 0,-3 0 0,1 0 0,1 0 0,-1 1 0,0 1 0,1-2 0,-3 1 0,3-1 0,-1 2 0,0-1 0,-1 1 0,1-1 0,-1 1 0,1-1 0,-1 3 0,0-2 0,-4-2 0,2 2 0,1 1 0,1-2 0,-2 2 0,2 1 0,-1-1 0,-1 1 0,1 0 0,-1 0 0,1 0 0,0 1 0,-1 0 0,2 0 0,-1 1 0,0 0 0,0-1 0,0 2 0,-1 0 0,-2 4 0,-1 3 0,0-1 0,2 3 0,-2-1 0,1 1 0,2 0 0,-2 0 0,1 0 0,-4 21 0,2-12 0,2 2 0,0 0 0,0 0 0,-4 38 0,9-52 0,1-1 0,-2 1 0,2 0 0,0 0 0,0-1 0,2 1 0,-2 0 0,1-1 0,0 1 0,4 15 0,-5-20 0,1-2 0,-1 1 0,1-1 0,1 2 0,-1-1 0,0-1 0,0 1 0,0-1 0,1-1 0,-1 1 0,0 1 0,0-2 0,2 2 0,-2-2 0,0 2 0,2-2 0,-2 0 0,1 0 0,-1 1 0,2-2 0,-1 2 0,-1-2 0,1 1 0,0-1 0,1 0 0,-1 2 0,-2-2 0,3 0 0,-2 0 0,2 0 0,-2-2 0,2 2 0,-1-1 0,2-1 0,4-2 0,0-1 0,-1 0 0,0 0 0,1-2 0,-2 0 0,2 0 0,-2 0 0,1-2 0,0 1 0,-2-2 0,0 2 0,1-3 0,7-17 0,4-10 0,-3-1 0,18-65 0,-19 55 0,-2 1 0,-1-1 0,9-95 0,-11 54 0,1-118 0,-8 187 0,-1 0 0,-1 1 0,1-1 0,-4 1 0,-2-32 0,6 49 0,0 2 0,-1-2 0,1 2 0,0-1 0,-1 0 0,0 0 0,1 0 0,-1 0 0,1 1 0,-2-1 0,1 2 0,0-3 0,-1-1 0,2 4 0,-1 0 0,1 0 0,-1 0 0,1-1 0,-1 1 0,0 0 0,1 0 0,0 0 0,0 0 0,-1 0 0,1 0 0,-2 0 0,2 0 0,0 0 0,0 0 0,-1 0 0,0 1 0,1-1 0,0 0 0,0 0 0,-1 0 0,1 2 0,-1-2 0,1 0 0,0 0 0,-2 2 0,2 1 0,-3 0 0,0 1 0,1 1 0,1-1 0,0-1 0,-1 2 0,0 0 0,1-1 0,-2 10 0,-3 14 0,2 0 0,1 3 0,1-1 0,1-1 0,0 1 0,1 0 0,1 0 0,4 54 0,2-36 0,0 0 0,1-2 0,2 1 0,23 75 0,-27-105 24,-1 0 0,3 0 0,-2 0 0,11 14 0,-15-27-89,-1 0 1,1-1-1,0 0 1,1 0-1,-1 0 1,0 1-1,0-2 0,0 1 1,1-1-1,0-1 1,-1 2-1,1 0 1,0-2-1,0 0 0,-1 0 1,1 1-1,-1-2 1,2 0-1,-2 2 1,1-2-1,1 0 1,3-2-1,9-9-6761</inkml:trace>
  <inkml:trace contextRef="#ctx0" brushRef="#br0" timeOffset="2">1253 983 24575,'-1'-3'0,"1"2"0,0-2 0,0 1 0,0 1 0,-1-2 0,1 2 0,0-2 0,-1 2 0,0-2 0,0 3 0,1-3 0,-1 2 0,-1 0 0,1-2 0,0 2 0,1 0 0,-1-1 0,0 1 0,0 0 0,-1 0 0,2-1 0,-2 1 0,2 1 0,-3-1 0,2-1 0,-2 1 0,-1 0 0,-1-2 0,3 3 0,-2-2 0,-1 1 0,2 1 0,-1-1 0,-7 2 0,4 0 0,2 1 0,-1 1 0,1-1 0,-1 2 0,1 0 0,-1 0 0,1 0 0,-1 1 0,2-1 0,-1 3 0,0-2 0,1 0 0,-1 2 0,2-1 0,-2 2 0,1-1 0,1 0 0,1 1 0,-2 0 0,-2 9 0,0 2 0,1 0 0,-2 1 0,4 0 0,-1 0 0,1 0 0,-1 1 0,1 36 0,3-52 0,-1 2 0,1-2 0,1 0 0,-1 2 0,1-1 0,0-1 0,-1 1 0,1 0 0,-1-1 0,2 0 0,0 0 0,-1 1 0,4 7 0,-4-11 0,1 1 0,-1 0 0,0-1 0,2-1 0,-2 1 0,1 1 0,-1-1 0,1 0 0,0-1 0,0 0 0,-2 1 0,4 0 0,-3-2 0,2 1 0,-2 1 0,1-1 0,2-1 0,-4 0 0,3 1 0,-1-1 0,0 0 0,1 0 0,-1-1 0,2 0 0,3-1 0,-1-1 0,0 0 0,0 0 0,0-2 0,-1 1 0,1-1 0,-1 0 0,1 0 0,0-2 0,-1 1 0,-1 0 0,2-1 0,-3 0 0,8-12 0,0-5 0,1-1 0,-2 0 0,14-46 0,-14 34 0,-1 1 0,-2-1 0,0-2 0,6-60 0,-8 33 0,0-124 0,-5 179 0,0 1 0,0 0 0,0-1 0,-1 0 0,-1 2 0,0-1 0,0-1 0,1 1 0,-1 1 0,-1-1 0,-3-9 0,5 19 0,1-2 0,-1 0 0,1 2 0,-1-2 0,1 1 0,-1 0 0,1 0 0,0-1 0,-1 1 0,1 1 0,-1-1 0,-1 0 0,1 1 0,1-2 0,-1 1 0,0 1 0,1-1 0,-1 1 0,0 0 0,0-1 0,0 1 0,0 0 0,0 0 0,0 0 0,1 0 0,0 0 0,-2 0 0,1 0 0,-1 0 0,2 0 0,-1 0 0,0 0 0,0 1 0,1-1 0,-1 1 0,1-1 0,-1 1 0,0-1 0,-1 2 0,1-2 0,0 1 0,1 0 0,-1 2 0,-2 2 0,-1-1 0,2 1 0,-2 2 0,3-1 0,-2-1 0,0 1 0,-1 13 0,-1 1 0,1 1 0,1 0 0,1 0 0,-1 0 0,1 1 0,1-1 0,1 2 0,0-2 0,6 41 0,-4-34 0,2-2 0,0-1 0,1 1 0,1 1 0,-1-2 0,3 0 0,14 38 0,-16-49 10,0-2 0,1 0 0,0 1 0,2-1 0,-2-2 0,1 2 0,0-3 0,1 0 0,-1 0 0,2-1 0,17 13 0,-9-12-258,1 1 1,-1-3-1,1 2 1,1-5-1,25 4 1,18-3-6579</inkml:trace>
  <inkml:trace contextRef="#ctx0" brushRef="#br0" timeOffset="3">1803 959 24575,'0'-4'0,"0"2"0,0-2 0,0 0 0,0 2 0,-1-2 0,1 1 0,-1 0 0,1 1 0,-1-2 0,0 1 0,0-1 0,0 2 0,0-1 0,0 1 0,0-1 0,0 0 0,-2 0 0,1 2 0,1-1 0,0-1 0,-1 1 0,1 0 0,-2 0 0,1 1 0,1-1 0,-2 1 0,2 0 0,0 0 0,-3-1 0,2 1 0,1 1 0,-1-1 0,-2 1 0,-1-2 0,2 2 0,1 0 0,-3 0 0,2 0 0,0 0 0,-1 2 0,0-2 0,2 1 0,-1 0 0,-1 2 0,0-2 0,1 2 0,0-1 0,0 1 0,1-1 0,-2 1 0,1 0 0,1 0 0,-1 0 0,-3 6 0,1 4 0,-2-1 0,2 2 0,-1-1 0,2 1 0,-7 26 0,10-34 0,-1 0 0,1 1 0,1 0 0,-1-1 0,-1 2 0,1-2 0,0 1 0,1 1 0,0-2 0,0 2 0,1-3 0,-1 3 0,1-2 0,2 1 0,-1 10 0,-1-15 0,0 1 0,-1-1 0,1 1 0,1 0 0,-1-1 0,-1 1 0,1-1 0,2 0 0,-1-1 0,-1 2 0,0-2 0,0 2 0,1-2 0,1 0 0,-2 1 0,0-1 0,1 0 0,2 2 0,1-3 0,-2 2 0,1-2 0,0 1 0,0-1 0,-2 0 0,3-1 0,-1 1 0,-1-2 0,5 0 0,2-3 0,-2 0 0,1 0 0,0-1 0,1 0 0,-2-2 0,15-15 0,-13 9 0,1-1 0,-2 0 0,0-1 0,1 0 0,-1-1 0,0-1 0,6-27 0,-4 15 0,-1-3 0,-1 1 0,10-69 0,-8 16 0,-3 0 0,3-158 0,-9 201 0,-2 2 0,-2-3 0,-1 2 0,-8-69 0,8 101 0,2 1 0,0-1 0,-2 1 0,1 0 0,-7-14 0,9 21 0,0 0 0,0-1 0,-1 1 0,0 0 0,0 1 0,1-1 0,0-1 0,-1 1 0,0 1 0,-1-1 0,1 0 0,1 1 0,0-2 0,-1 2 0,0 0 0,0 0 0,0 0 0,0-2 0,1 2 0,-1 0 0,0 0 0,1 0 0,-1 0 0,-1 0 0,1 0 0,0 0 0,0 0 0,0 0 0,1 0 0,0 2 0,-1-2 0,0 0 0,0 0 0,0 0 0,1 2 0,-1-2 0,-1 1 0,1 0 0,0-1 0,1 1 0,-1 1 0,1-1 0,-1 0 0,-3 7 0,0-1 0,-1 0 0,3 2 0,-3-1 0,3 0 0,-1 1 0,1 0 0,-1 1 0,-2 14 0,-13 101 0,17-114 0,-5 50 0,1 0 0,2 0 0,1 0 0,7 94 0,-2-111 0,2 1 0,1 0 0,0-1 0,3-1 0,0 0 0,25 77 0,-27-100-50,0-2-1,2 1 1,-2-1-1,2 0 0,0-1 1,2-1-1,-1 1 1,1-3-1,0 0 1,0 0-1,1-2 0,1-1 1,-2 1-1,2-2 1,1-1-1,-1 0 1,1-2-1,-1 0 0,1-2 1,0 0-1,0-1 1,1-2-1,-1-1 1,0 1-1,0-2 1,17-5-1,50-15-6775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170 1743 24575,'3'-6'0,"2"0"0,-2 0 0,-1-1 0,1-1 0,-2 2 0,3-2 0,-3 2 0,1-1 0,1-11 0,-2 11 0,0 2 0,1-1 0,-2-1 0,1 2 0,-1 0 0,0-2 0,0 1 0,0 0 0,-1 0 0,1 0 0,-2 0 0,-1-5 0,3 9 0,0 1 0,-1-2 0,0 2 0,0-1 0,1 1 0,-1 0 0,1 1 0,-1-2 0,0 1 0,-1 0 0,1 0 0,1 1 0,-1-2 0,0 1 0,0 1 0,0-1 0,0 1 0,0-2 0,0 2 0,0 0 0,0 0 0,-1-1 0,-1 1 0,0 0 0,0 0 0,-1 1 0,0-1 0,1 2 0,0-1 0,-1 0 0,-5 3 0,-3 4 0,0 0 0,1 0 0,-13 14 0,17-14 0,-1 0 0,1-1 0,1 1 0,-1 1 0,0 0 0,2 2 0,-1-1 0,1 0 0,-7 16 0,10-21 0,1 1 0,-1 0 0,0 0 0,1 0 0,1-2 0,-1 3 0,1-1 0,-1-1 0,1 2 0,0-1 0,0 1 0,0-2 0,1 1 0,0-1 0,-1 1 0,1 0 0,0-1 0,2 2 0,-3-2 0,2 0 0,0 0 0,3 7 0,2 0 0,0 1 0,-1-1 0,3-1 0,-1 1 0,-1-3 0,2 1 0,18 18 0,73 45 0,-78-58 0,74 46 0,64 47 0,-151-100 0,0-1 0,1 2 0,15 21 0,-23-30 0,0 3 0,-1-1 0,0-2 0,0 4 0,1-4 0,-2 3 0,1-1 0,0 0 0,0 1 0,0-2 0,-1 2 0,1-1 0,-1 1 0,2-1 0,-2 0 0,1 1 0,-1-1 0,0 1 0,1-2 0,-1 2 0,0-1 0,0 1 0,0-1 0,-1 1 0,1-1 0,0 1 0,-1 0 0,-1-1 0,2 1 0,-1-1 0,1 0 0,-1 0 0,-1 3 0,-1 1 0,0-1 0,-2 0 0,1 0 0,-1-1 0,1 1 0,0-1 0,-1 1 0,0-2 0,-1 1 0,2 0 0,-2-1 0,-6 1 0,-12 4 0,-36 8 0,51-14 0,-131 19 0,121-19 0,4-1 0,-3-2 0,0-2 0,2 1 0,-2-2 0,-17-8 0,30 10-80,1 0 0,1 0-1,-1 0 1,1 0 0,0-3-1,-1 3 1,1-1 0,-1 0-1,2 0 1,-2 1 0,2-2 0,-1-1-1,1 1 1,-1-1 0,1 0-1,-3-9 1,-7-25-6746</inkml:trace>
  <inkml:trace contextRef="#ctx0" brushRef="#br0" timeOffset="1">631 1937 24575,'-1'-37'0,"-2"30"0,0 25 0,-9 56 0,7-56 0,1 0 0,-1-1 0,4 2 0,-2-1 0,2 0 0,1 2 0,0 17 0,0-32 0,0-1 0,0-1 0,1 3 0,-1-3 0,1 1 0,0 0 0,0 0 0,0 0 0,1 0 0,-1-2 0,1 1 0,0 1 0,0 0 0,-1-2 0,1 1 0,0 1 0,0-1 0,1-1 0,-2 1 0,2-1 0,-1 1 0,1-1 0,-1 0 0,1 0 0,1 0 0,-2-1 0,1 0 0,-1 0 0,0 1 0,2-1 0,-2-1 0,1 1 0,-1-1 0,3 0 0,2-1 0,3 0 0,0-1 0,0 0 0,-1-1 0,1-1 0,-2-1 0,2 1 0,0-2 0,-1 1 0,12-11 0,-8 2 0,1 0 0,-1-2 0,1 1 0,-3-3 0,2 0 0,-3 1 0,2-2 0,-4 0 0,1-2 0,1 1 0,-2-2 0,-1 1 0,0-1 0,-2 1 0,1-2 0,-2-1 0,0 1 0,-1 0 0,-1-1 0,-1 1 0,0-27 0,-6 5 0,5 45 0,0-1 0,0 1 0,0-2 0,0 2 0,0-1 0,-1 1 0,1-1 0,0 1 0,0-1 0,0 1 0,-1-2 0,1 2 0,0 0 0,0-1 0,0 1 0,0-1 0,-2 1 0,2 0 0,0-2 0,-1 2 0,1 0 0,-1-1 0,1 1 0,-1 0 0,1 0 0,0-1 0,0 1 0,0 0 0,-1 0 0,1 0 0,-1 0 0,0 0 0,1 0 0,-1 0 0,1 0 0,-1 0 0,1 0 0,0 0 0,0 0 0,-1 0 0,1 0 0,-1 0 0,1 0 0,-2 1 0,2-1 0,-1 0 0,1 0 0,0 1 0,0-1 0,0 0 0,-1 2 0,1-2 0,0 0 0,-1 1 0,1-1 0,0 0 0,-2 1 0,2 1 0,-6 7 0,3 0 0,-1-1 0,0 2 0,1 0 0,0-1 0,0 2 0,0-1 0,0 0 0,2 1 0,-3 20 0,3-10 0,-1 1 0,1 1 0,1-1 0,3 31 0,-2-44 0,0-2 0,1 1 0,-1 0 0,1 0 0,0 0 0,3-1 0,-3 2 0,1-2 0,1 0 0,-2 0 0,1-1 0,1 0 0,1 1 0,0-1 0,0-1 0,-1 2 0,0-2 0,1 0 0,0-1 0,1 1 0,-1-2 0,1 0 0,-1 0 0,2 0 0,-2 0 0,1-1 0,8 2 0,-5-3 0,-3 2 0,2-3 0,0 1 0,-2-1 0,2 0 0,-2-1 0,3 0 0,-2-1 0,1 0 0,-1-1 0,0 1 0,-1-2 0,2 0 0,-1 0 0,-1 0 0,0-1 0,0-1 0,2 0 0,-3 0 0,1-1 0,-1 1 0,7-12 0,-5 5 0,0-3 0,-2 1 0,2 0 0,-2-2 0,-1 0 0,0 0 0,0 0 0,-2 1 0,1-2 0,-1 1 0,0-2 0,-1 1 0,-1 1 0,0 0 0,-1-1 0,-5-28 0,6 44 0,0 2 0,0-1 0,0-1 0,0 2 0,0-1 0,0 1 0,0-1 0,0 1 0,0-2 0,0 2 0,0-1 0,0 1 0,0-1 0,-1 1 0,1-1 0,0 1 0,0-2 0,-1 2 0,1 0 0,0-1 0,0 1 0,-1-1 0,1 1 0,0 0 0,0-2 0,0 2 0,-1 0 0,0-1 0,-3 20 0,-1 39 0,4-34 0,-1-4 0,2 2 0,0-2 0,0 2 0,0-2 0,2 0 0,0 2 0,8 34 0,-10-55 0,0 1 0,0-2 0,0 2 0,0 0 0,1-2 0,-1 0 0,1 2 0,-1-1 0,1 1 0,-1-2 0,2 0 0,-2 2 0,0 0 0,1-1 0,0-1 0,1 1 0,-2-1 0,0 1 0,1-1 0,0 2 0,0-2 0,0 0 0,0 0 0,-1 0 0,2 2 0,0-2 0,-1 0 0,0-2 0,0 2 0,1 0 0,-2 0 0,1-2 0,1 1 0,0 1 0,-1-1 0,-1 0 0,1-1 0,0 0 0,1 2 0,-2-2 0,2 1 0,0-3 0,4-10 0,1 1 0,-2 0 0,6-20 0,-9 29 0,15-49 0,-6 18 0,1 1 0,24-52 0,-35 84 0,0 0 0,-1 0 0,1-1 0,1 1 0,-1 0 0,0 0 0,1 1 0,0-1 0,-1 0 0,1 0 0,-1 1 0,0 0 0,1 0 0,1 0 0,-2 0 0,4 0 0,-4 1 0,1 0 0,-2 0 0,3 0 0,-2 0 0,0 0 0,0 1 0,1-1 0,-1 0 0,0 1 0,0-1 0,1 1 0,0 0 0,-2-1 0,1 1 0,1 0 0,-1 1 0,2 2 0,3 5 0,0 1 0,0 1 0,-1-2 0,2 1 0,3 20 0,-1-10 0,2 5 0,1 0 0,1-1 0,-1 0 0,2-2 0,0 0 0,3-1 0,-2-2 0,31 29 0,-36-39 0,1 0 0,0-2 0,1 1 0,-1-2 0,2 0 0,-2-1 0,1-1 0,0 0 0,0-2 0,0 1 0,0-2 0,2 1 0,-2-2 0,0-2 0,1 1 0,15-5 0,-22 4-62,-1 1 0,1-1 0,-1 0 0,0-1 0,0 1 0,1-2 0,-1 1 0,-1-1 0,1-1 0,-1 1 0,0-1 0,1 0-1,-2 0 1,2 0 0,-2 0 0,0-1 0,1 0 0,-1-1 0,1 0 0,-2 1 0,4-10 0,4-29-6764</inkml:trace>
  <inkml:trace contextRef="#ctx0" brushRef="#br0" timeOffset="2">2154 1841 24575,'8'-9'0,"11"-3"0,18-5 0,15-3 0,18-5 0,12 1 0,5 6 0,-5-3 0,-13 2 0,-24 4 0,-21 4 0</inkml:trace>
  <inkml:trace contextRef="#ctx0" brushRef="#br0" timeOffset="3">3342 1133 24575,'1'-6'0,"-1"-1"0,-1 1 0,1-1 0,0 1 0,-1-1 0,0 0 0,0 2 0,0-1 0,-1 0 0,-1 0 0,1 1 0,0-2 0,-2-2 0,3 5 0,-2 2 0,1 1 0,2-1 0,-2-2 0,0 3 0,1 1 0,-2-1 0,1-2 0,0 2 0,0-1 0,0 2 0,0-1 0,-1 0 0,1 1 0,0-1 0,0 1 0,0 0 0,-1 0 0,2-2 0,-2 4 0,1-2 0,-2 0 0,3 0 0,-1 1 0,0 0 0,0-1 0,0 1 0,-4 2 0,2 1 0,-2-1 0,1 1 0,0 1 0,0-1 0,1 1 0,-1 0 0,0 1 0,0 0 0,2 0 0,-1 0 0,0 0 0,1 1 0,-5 11 0,-2 4 0,4-1 0,-2 0 0,-5 32 0,7-27 0,0 2 0,-1-2 0,4 3 0,1-2 0,-2 47 0,4-67 0,0-1 0,0 0 0,0 3 0,1-3 0,-1-1 0,2 1 0,-1 1 0,0 0 0,0-1 0,1 1 0,1-1 0,-1-1 0,1 2 0,-1-3 0,2 1 0,-2 1 0,1 0 0,0-3 0,-1 3 0,3-1 0,-2-1 0,2-1 0,-1 1 0,-1 0 0,2-1 0,-1 1 0,0-3 0,1 2 0,6 2 0,1-1 0,1 0 0,-1 0 0,1-1 0,0-3 0,0 0 0,0 0 0,0 0 0,1-2 0,-1-1 0,-2 1 0,3-2 0,-2-1 0,0 0 0,2 0 0,-2-4 0,-1 2 0,0-1 0,1-1 0,-1-1 0,0 0 0,-2-1 0,1-1 0,0-1 0,-1 0 0,-1 1 0,0-2 0,1 0 0,-2-2 0,0 2 0,0-2 0,5-21 0,-4 10 0,-3-3 0,1 2 0,-3 0 0,0-1 0,-1 1 0,0-3 0,-2 2 0,0-2 0,-6-49 0,-1 35 0,1 0 0,-4 0 0,1 1 0,-2 1 0,-23-58 0,31 89 0,0 0 0,-2 0 0,1 3 0,0-1 0,-3-1 0,3 2 0,-2-1 0,0 1 0,-12-13 0,17 22 0,0 0 0,1-1 0,-1 1 0,1 0 0,0-2 0,-1 2 0,0 0 0,-1 0 0,2 0 0,-1 0 0,1-1 0,-1 1 0,1 0 0,-1 0 0,0 1 0,0-1 0,1 0 0,-1 0 0,0 0 0,0 0 0,1 2 0,-1-2 0,-1 0 0,2 1 0,0-1 0,-1 0 0,0 1 0,1-1 0,-1 1 0,1-1 0,-1 2 0,1-2 0,0 1 0,0 0 0,-1-1 0,1 1 0,-1 0 0,1-1 0,-1 3 0,-8 40 0,7-22 5,1 2 1,0-3-1,1 4 0,1-2 0,0-2 0,1 2 1,0 1-1,1-4 0,1 3 0,0-2 1,2 0-1,1 2 0,-1-3 0,1 0 0,0 1 1,2-3-1,0 1 0,0 0 0,1-2 0,1 0 1,1 0-1,14 16 0,-10-13-92,2-1-1,-2-2 1,3-1 0,0-1-1,0-1 1,0-1 0,0 0-1,1-2 1,1-1-1,-1-1 1,0-3 0,2-1-1,-1 0 1,1-1 0,-2-2-1,26-3 1,22-12-6739</inkml:trace>
  <inkml:trace contextRef="#ctx0" brushRef="#br0" timeOffset="4">4229 1059 24575,'0'-7'0,"0"1"0,0-1 0,-1 2 0,0 0 0,0 0 0,-1-2 0,2 2 0,-3-1 0,1 1 0,1-1 0,-2 1 0,1 0 0,-1 0 0,0 0 0,1 1 0,-1 0 0,0-1 0,0 1 0,-1-1 0,0 3 0,1-2 0,0 1 0,-2 0 0,1 0 0,-4-2 0,1 1 0,1 1 0,0-1 0,-1 1 0,-1 1 0,2 1 0,-2-1 0,2 1 0,-2 1 0,1 0 0,0 0 0,0 1 0,-1-1 0,2 3 0,-13 2 0,8 2 0,-1 1 0,2-1 0,0 2 0,-1 0 0,3 2 0,-2-1 0,0 1 0,2 1 0,0-1 0,-11 20 0,6-9 0,3 1 0,-1 0 0,0 1 0,2 0 0,-11 40 0,19-61 0,0-1 0,1 1 0,-1 1 0,1-2 0,-1 1 0,1 1 0,-1-2 0,1 1 0,0 0 0,0-1 0,0 2 0,0-1 0,0 1 0,0-2 0,1 2 0,-1-1 0,1-1 0,0 2 0,-1-1 0,1-1 0,0 2 0,1-1 0,-1-1 0,0 1 0,2 2 0,1 0 0,0-3 0,-1 0 0,0 3 0,2-3 0,-2-1 0,0 2 0,2-2 0,-1 1 0,0 0 0,0-1 0,0-1 0,-1 1 0,8-1 0,6 2 0,1-2 0,1-2 0,-3 0 0,2 0 0,0-4 0,-1 1 0,0-2 0,0 1 0,29-21 0,-35 19 0,-1 0 0,0 0 0,0 0 0,0-2 0,-3 0 0,3-1 0,-1 1 0,-1-2 0,-1 0 0,1-1 0,-1 0 0,-1 1 0,1-2 0,-2 0 0,0 0 0,4-18 0,-1-4 0,-2 3 0,-2-3 0,-1 1 0,-1 0 0,-2 0 0,0-1 0,0 0 0,-3 0 0,1 1 0,-2 0 0,-2 1 0,-10-38 0,13 61 0,2 2 0,-2-1 0,1 0 0,-1 2 0,-1-2 0,0 1 0,0 0 0,0 0 0,0 1 0,-1-1 0,0 3 0,-7-11 0,10 16 0,1-1 0,0 2 0,-1-1 0,0 0 0,1-1 0,0 2 0,-1-1 0,0 1 0,-1 0 0,2-1 0,0 1 0,-1 0 0,0 0 0,1 0 0,0 0 0,-2 0 0,2 1 0,-1-1 0,1 1 0,0-1 0,-1 2 0,1-2 0,0 1 0,-2 0 0,2 1 0,-1-1 0,1 0 0,-1 1 0,1-1 0,1 0 0,-2 0 0,0 2 0,0 1 0,-2 4 0,0-2 0,0 2 0,1 2 0,-1-3 0,0 2 0,-2 15 0,2-9 0,1 1 0,0 0 0,1-1 0,-1 2 0,2-1 0,0 1 0,1-3 0,0 4 0,1-3 0,3 1 0,-3 1 0,1-1 0,0-1 0,2 0 0,0 1 0,0 0 0,1-2 0,8 20 0,-6-17 0,3 1 0,-1 0 0,1-3 0,1 3 0,0-3 0,0 1 0,1-3 0,0 1 0,1-1 0,0-2 0,1 1 0,1-3 0,20 13 0,-4-8-341,0-3 0,1 1-1,58 6 1,-6-9-6485</inkml:trace>
  <inkml:trace contextRef="#ctx0" brushRef="#br0" timeOffset="5">4851 840 24575,'0'-4'0,"-2"1"0,2 0 0,-1 0 0,1 0 0,-1 0 0,0 0 0,1 0 0,-1 0 0,0 0 0,0 1 0,0 1 0,0-2 0,0 1 0,-2-1 0,2 0 0,0 2 0,-1-1 0,0 0 0,0-1 0,1 2 0,-2 0 0,1-1 0,1 0 0,-1 0 0,1 1 0,-3 1 0,2-1 0,1 0 0,-5-1 0,-5-2 0,-1 2 0,0 1 0,-1-1 0,-12 2 0,15 0 0,2 0 0,-1 2 0,-1 0 0,0 1 0,1-1 0,-1 2 0,2 1 0,0-1 0,-2 1 0,2 2 0,1 0 0,-13 8 0,16-9 0,-1 0 0,0-1 0,0 2 0,1-1 0,0 1 0,0-1 0,1 1 0,0 0 0,-2 1 0,2 0 0,1 0 0,-1 1 0,2-3 0,-2 3 0,1 0 0,2 0 0,-2-2 0,1 2 0,0 14 0,1-20 0,0 1 0,1 0 0,-1 0 0,1 0 0,0 0 0,0 0 0,-1-1 0,1 0 0,0 1 0,0 0 0,1 0 0,-1-3 0,1 4 0,-1-3 0,1 1 0,0 1 0,1-2 0,-1 0 0,0 1 0,0-1 0,-1 1 0,2 0 0,0-2 0,-1 1 0,0 0 0,1-1 0,0 0 0,0 1 0,0-1 0,-1 1 0,2-2 0,1 0 0,5 3 0,-1-1 0,-1-1 0,0-1 0,2 0 0,-1-1 0,-2-1 0,3-1 0,-1 3 0,11-9 0,-10 3 0,2-1 0,-1 2 0,-1-4 0,1 3 0,-2-3 0,1-2 0,-1 2 0,0-2 0,1 0 0,-3-1 0,2 0 0,10-24 0,-9 17 0,-2-2 0,0 0 0,-1-1 0,-1-1 0,2 2 0,-4-4 0,6-42 0,-5 8 0,-2 2 0,-1-2 0,-2 1 0,-4-1 0,0 1 0,-12-69 0,14 104 0,-3 0 0,2 0 0,-1 2 0,-3 0 0,2-2 0,-13-25 0,17 46 0,0-1 0,0 0 0,1 1 0,-1 1 0,0-1 0,-2-1 0,3 1 0,-2 1 0,1-3 0,0 4 0,-2-2 0,1-1 0,0 3 0,1-2 0,-1 0 0,1 2 0,-1-2 0,1 1 0,-3 1 0,2-2 0,1 2 0,-1 0 0,1 0 0,-1-2 0,-2 2 0,2 0 0,-2 2 0,2-2 0,-2 2 0,2 1 0,-1-1 0,1 0 0,-2 0 0,1 1 0,2-1 0,-2 2 0,2-1 0,-3 0 0,2-1 0,1 2 0,-1 0 0,1 0 0,0-2 0,-2 2 0,2 1 0,-1 3 0,-6 17 0,2-1 0,0 3 0,1-1 0,2 1 0,-2-3 0,3 3 0,1-1 0,0 3 0,1-3 0,1 1 0,0-1 0,8 37 0,-6-40 0,2-1 0,-1 2 0,1-3 0,2 0 0,0 2 0,-1-4 0,3 2 0,1 0 0,-1-3 0,0 2 0,2-1 0,0-3 0,1 2 0,21 21 0,-20-26-68,3-1 0,-1 1-1,-1-5 1,4 3 0,-3-2 0,3-1-1,-3-2 1,3 0 0,-2-1 0,1-1-1,0-2 1,-1-1 0,2 0 0,0-2-1,-2 0 1,2-1 0,-2-2 0,2 0-1,14-9 1,35-18-6758</inkml:trace>
  <inkml:trace contextRef="#ctx0" brushRef="#br0" timeOffset="6">294 3502 24575,'0'18'0,"0"0"0,1 0 0,0 0 0,1 0 0,0 0 0,2 0 0,-1-1 0,7 18 0,-8-30 0,0 1 0,0 0 0,1-1 0,0 0 0,1 0 0,-2 0 0,2 1 0,0-2 0,-1 1 0,1-1 0,-1-1 0,1 1 0,1 1 0,-1-2 0,0-1 0,1 1 0,-2-1 0,1 1 0,1-2 0,0 2 0,0-3 0,-1 2 0,2-2 0,8 2 0,-10-2 0,1-2 0,0 2 0,-1-2 0,2 2 0,-2-2 0,1 0 0,-1 0 0,0-1 0,0 1 0,1 1 0,0-4 0,-1 2 0,-1 0 0,1-2 0,0 1 0,-1 1 0,2-3 0,-2 3 0,-1-3 0,1 1 0,1-2 0,-2 2 0,2-5 0,2-2 0,-2 0 0,-1 1 0,1 0 0,-1-2 0,-1 2 0,0-3 0,-1 2 0,2 0 0,-2-1 0,-1 0 0,0-16 0,0 23 0,-1 1 0,0-2 0,-1 2 0,1-1 0,1 0 0,-2 0 0,0 0 0,1 3 0,-1-2 0,0-1 0,-1 1 0,1 0 0,0-1 0,-1 3 0,-5-8 0,3 5 0,-1-1 0,2 3 0,-3-1 0,2 0 0,-2 0 0,2 1 0,-3 0 0,2 0 0,-8-1 0,5 1 0,2 2 0,-1 0 0,0 1 0,1 0 0,-1-1 0,0 2 0,0 2 0,0-2 0,0 1 0,1 2 0,-1-1 0,0 1 0,2-1 0,-4 2 0,3 0 0,0 1 0,-10 8 0,13-8-124,0-2 0,0 2 0,2 0 0,-3 1 0,2-1 0,0 1-1,1-1 1,-2 2 0,3-1 0,-4 10 0,-4 21-6702</inkml:trace>
  <inkml:trace contextRef="#ctx0" brushRef="#br0" timeOffset="7">720 3185 24575,'3'-73'0,"-3"67"0,1 1 0,-1-1 0,2 0 0,0 1 0,-1 1 0,0-1 0,1-1 0,0 1 0,-1 0 0,5-6 0,-6 11 0,0 0 0,1 0 0,-1 0 0,0 0 0,0 0 0,0 0 0,0 0 0,0 0 0,0 0 0,0 0 0,1 0 0,-1 0 0,0 0 0,0-2 0,0 2 0,0 0 0,0 0 0,1 0 0,-1 0 0,0 0 0,0 0 0,0 0 0,0 0 0,0 0 0,0 0 0,0 0 0,0 0 0,0 2 0,0-2 0,0 0 0,0 0 0,0 0 0,1 0 0,-1 0 0,0 0 0,0 0 0,0 0 0,0 0 0,0 0 0,0 0 0,0 0 0,1 0 0,-1 0 0,0 0 0,0 0 0,0 0 0,0 0 0,0 0 0,0 2 0,0-2 0,0 0 0,0 0 0,0 0 0,5 19 0,-2 18 0,4 43 0,3 0 0,19 95 0,-29-175 0,1 4 0,0 1 0,-1-1 0,1-1 0,-1 1 0,2 0 0,-2 1 0,0 0 0,0-2 0,0 0 0,-2 1 0,2 1 0,-1-1 0,0 0 0,0 0 0,1-1 0,-1 2 0,0-1 0,-1 0 0,2-1 0,-2 0 0,-1 1 0,1-1 0,0-1 0,1 2 0,-3 3 0,-4-1 0,1 2 0,-2-3 0,3 1 0,-2-1 0,-2 1 0,-13 4 0,13-3 0,24-3 0,23-6 0,217-34 0,-196 22 0,-1-3 0,75-37 0,-126 51-92,0 1-49,0-1-1,1 0 1,0-1-1,-2 0 1,1-1-1,0 1 1,0-1-1,7-12 1,-6 1-6685</inkml:trace>
  <inkml:trace contextRef="#ctx0" brushRef="#br0" timeOffset="8">1464 3282 24575,'6'0'0,"15"0"0,17 0 0,18 0 0,18-7 0,3-5 0,-8 1 0,-13-5 0,-20-2 0,-16 3-8191</inkml:trace>
  <inkml:trace contextRef="#ctx0" brushRef="#br0" timeOffset="9">2777 3062 24575,'0'-5'0,"0"-1"0,0-1 0,0 2 0,-2-1 0,1 0 0,0 1 0,0-1 0,-1 1 0,1 0 0,-1-2 0,1 2 0,-2 0 0,2 0 0,-2-1 0,2 2 0,-5-5 0,3 7 0,1-1 0,-1 1 0,-1-1 0,2 0 0,-1 0 0,1 3 0,-2-2 0,2 0 0,-1 0 0,0 1 0,0-1 0,-1 2 0,1 0 0,-1 0 0,2 0 0,-2 0 0,2 0 0,-2 0 0,1 0 0,-1 0 0,2 2 0,-5 1 0,-3 1 0,-1 1 0,2-1 0,0 3 0,0 0 0,0-1 0,0 2 0,0 0 0,1 1 0,0 0 0,-1 1 0,-11 19 0,12-14 0,-2 3 0,1-3 0,0 3 0,3 0 0,-2-1 0,1 3 0,-6 31 0,12-47 0,0-2 0,0 2 0,1 0 0,-1-2 0,1 2 0,-1 0 0,1 0 0,0-2 0,0 2 0,1-1 0,-1 1 0,0-1 0,1 1 0,0 0 0,-1-1 0,1 0 0,0 1 0,-1-2 0,3 2 0,-1 3 0,1-3 0,-2-1 0,2 0 0,1 0 0,-1-1 0,-1 2 0,0-2 0,2 0 0,-2 1 0,2-1 0,-2 0 0,2-1 0,-1 0 0,6 4 0,2-3 0,1 1 0,-1-2 0,2 0 0,-2-1 0,1-1 0,0 0 0,22-8 0,-22 6 0,-1-3 0,1 1 0,-1-2 0,0 0 0,1-1 0,-2 0 0,1-2 0,-1 1 0,-2-1 0,13-15 0,-8 7 0,-2 0 0,0-1 0,0 0 0,-1-1 0,-1 0 0,12-39 0,-10 26 0,-4-1 0,2-1 0,-3 1 0,0-1 0,-1-1 0,-2 0 0,-1 1 0,-1-1 0,-4-59 0,3 74 0,-3-1 0,-8-38 0,10 53 0,0 2 0,-2-1 0,2 0 0,-1 1 0,0-1 0,0 1 0,-1 0 0,0-1 0,1 1 0,-2 0 0,0 1 0,1-1 0,-6-4 0,7 7 0,1 1 0,0 0 0,-1 1 0,1-1 0,-1 1 0,0-2 0,1 2 0,-1 0 0,0-1 0,1 1 0,0 0 0,-2 0 0,2 0 0,-1 1 0,1-1 0,0 0 0,-1 2 0,0-2 0,0 1 0,1-1 0,0 1 0,-1 0 0,1 1 0,0-1 0,-1 0 0,1 1 0,0-1 0,-2-1 0,2 2 0,1-1 0,-3 3 0,-1 3 0,-1 1 0,1 1 0,0-1 0,-1 1 0,-3 14 0,4-9 0,1-1 0,-1 0 0,1 1 0,1 0 0,0 0 0,2 0 0,-1 0 0,-1 0 0,2 0 0,2 1 0,-1-1 0,-1 0 0,2 0 0,1 0 0,-1 0 0,2-1 0,-1 1 0,1-1 0,1-1 0,-1 1 0,2 0 0,-1 0 0,1-3 0,0 2 0,1-2 0,0 0 0,0 1 0,1-1 0,-1-1 0,1 0 0,1-2 0,1 1 0,-2 0 0,15 6 0,-6-4-136,0-2-1,2 0 1,-2-3-1,2 0 1,0-1-1,-2 0 1,2-3-1,0 1 0,18-5 1,19-7-6690</inkml:trace>
  <inkml:trace contextRef="#ctx0" brushRef="#br0" timeOffset="10">3397 2793 24575,'0'-7'0,"0"0"0,0-3 0,0 2 0,-1-1 0,0 1 0,-1-14 0,1 20 0,-1-1 0,1 1 0,1-1 0,-1 0 0,-2 1 0,3 1 0,-1-2 0,-1 0 0,1 2 0,-1-1 0,0 1 0,1-1 0,0 0 0,-1 1 0,0-1 0,1 2 0,-2-2 0,2 0 0,-1 2 0,-4-2 0,-1-1 0,-2 1 0,2 0 0,-2 0 0,2 1 0,-2 1 0,1 0 0,0 1 0,0 1 0,-2-2 0,3 4 0,0-2 0,-2 1 0,2 1 0,-1-1 0,-11 9 0,13-8 0,0 1 0,1 0 0,-2 1 0,2-1 0,0 1 0,0 1 0,1-1 0,-2 0 0,2 1 0,-1 1 0,2 0 0,-1-1 0,0 1 0,2 2 0,-2-2 0,0-1 0,3 2 0,-4 18 0,4-23 0,1 0 0,-1-2 0,1 2 0,0 0 0,0-1 0,0 0 0,0 1 0,0 0 0,1 0 0,-1-2 0,1 2 0,0 0 0,-1-2 0,1 2 0,0-1 0,0 1 0,1-2 0,-2 1 0,3 0 0,-1 2 0,2-1 0,-2-2 0,1 3 0,0-3 0,0 0 0,0 1 0,1-1 0,-2 2 0,2-4 0,1 3 0,-3-1 0,1-1 0,6 2 0,2-3 0,0 2 0,-1-1 0,0-1 0,1-1 0,0-1 0,-2 2 0,1-3 0,1-1 0,8-4 0,-5-1 0,-1 1 0,0-1 0,0-1 0,0-2 0,-2 0 0,1 0 0,-1 0 0,1-3 0,-2 0 0,-1 0 0,1 0 0,-1-2 0,-1 0 0,-1 0 0,1-1 0,-1 0 0,6-23 0,-5 11 0,-2 0 0,1 0 0,-1-3 0,-2 2 0,-1-3 0,-1 3 0,-1-2 0,-1 1 0,0 1 0,-4-38 0,0 49 0,2-1 0,-2 1 0,-1 0 0,-9-29 0,12 42 0,0 1 0,0 0 0,-2 1 0,0-1 0,2-1 0,-1 2 0,-6-6 0,8 8 0,-2 1 0,2 0 0,-2 1 0,2-2 0,-1 2 0,0 0 0,-1 0 0,1-1 0,0 1 0,0 1 0,1-1 0,-3 0 0,3 1 0,-2 0 0,1 0 0,-5 0 0,5 0 0,-1 1 0,1 0 0,-1 0 0,1 1 0,0-1 0,0 0 0,0 2 0,-2-2 0,2 2 0,0-2 0,0 1 0,0 1 0,0 0 0,0-1 0,1 1 0,0-1 0,-1 3 0,1-3 0,0 0 0,0 3 0,-2-3 0,2 2 0,0 4 0,-3 6 0,1 2 0,-1-1 0,2-2 0,-1 23 0,2-15 0,1 2 0,0-1 0,0-3 0,2 3 0,0-2 0,0 2 0,2-1 0,0-2 0,1 2 0,1-1 0,6 19 0,-4-22 0,-2-1 0,1-1 0,0 0 0,2 0 0,-1-1 0,1-1 0,1 1 0,-1-3 0,1 1 0,1-2 0,-1 3 0,2-4 0,17 11 0,-14-11-76,1 0 1,1-2-1,-1-1 0,3 0 0,-3-1 0,2-3 0,-1 1 0,0-2 1,0-1-1,1-1 0,-1-2 0,0 1 0,0-2 0,0-1 1,0-2-1,0-1 0,27-15 0,12-23-6750</inkml:trace>
  <inkml:trace contextRef="#ctx0" brushRef="#br0" timeOffset="11">541 4552 24575,'1'0'0,"-1"0"0,0 0 0,0-2 0,0 2 0,0 0 0,2 0 0,-2 0 0,0 0 0,0 0 0,0 0 0,1-2 0,-1 2 0,0 0 0,0 0 0,1 0 0,-1-2 0,0 2 0,0 0 0,0 0 0,0 0 0,0 0 0,1 0 0,-1 0 0,0 0 0,1 0 0,-1 0 0,0 0 0,1 0 0,-1 0 0,0 0 0,0 0 0,1 0 0,-1 0 0,0 0 0,1 0 0,-1 0 0,0 0 0,1 2 0,-1-2 0,0 0 0,0 0 0,1 0 0,-1 0 0,0 2 0,0-2 0,0 0 0,2 0 0,-2 0 0,0 0 0,0 0 0,0 0 0,1 2 0,-1-2 0,0 0 0,0 0 0,0 1 0,0-1 0,0 0 0,0 2 0,0-2 0,0 0 0,0 0 0,0 0 0,0 0 0,0 2 0,0-2 0,0 0 0,0 2 0,18-32 0,-13 24 0,16-34 0,9-14 0,-30 54 0,0 0 0,0 0 0,1-2 0,-1 2 0,0 0 0,0-1 0,1 1 0,-1 0 0,1 0 0,-1 0 0,0-1 0,2 1 0,-2 0 0,0 0 0,1 0 0,-1 0 0,0-1 0,0 1 0,1 0 0,-1 0 0,0 0 0,1 0 0,-1 0 0,1 0 0,-1 0 0,0 0 0,1 1 0,-1-1 0,0 0 0,0 0 0,0 0 0,1 0 0,-1 0 0,1 1 0,-1-1 0,0 0 0,1 0 0,-1 1 0,0-1 0,1 0 0,-1 2 0,0-2 0,0 0 0,0 0 0,0 0 0,0 0 0,0 2 0,2-2 0,-2 0 0,0 2 0,0-2 0,0 1 0,0-1 0,0 0 0,0 1 0,0 0 0,4 34 0,-4-35 0,1 240 0,-2-142 0,1-86 0,0 2 0,-1 0 0,-1-1 0,1 0 0,-1 0 0,-4 17 0,4-26 0,2 1 0,-3 0 0,1-1 0,-1 1 0,1-1 0,0 1 0,-1-1 0,1 1 0,0-1 0,-1-1 0,-1 1 0,1-1 0,0 0 0,0-1 0,-1 1 0,0-1 0,-5 4 0,9-6 0,-1 0 0,1 0 0,-1 1 0,1-1 0,-1 0 0,0 0 0,1 0 0,-1 1 0,1-1 0,0 0 0,-1 1 0,-2-1 0,3 2 0,-1-2 0,1 1 0,0-1 0,0 1 0,-1-1 0,1 2 0,-1-2 0,0 2 0,16 1 0,39-11 0,-47 7 0,33-4-104,-24 3-54,1 1 1,-3-3-1,4 0 0,-3 1 1,2-3-1,-1 0 1,23-16-1,-16 0-6668</inkml:trace>
  <inkml:trace contextRef="#ctx0" brushRef="#br0" timeOffset="12">896 4529 24575,'0'-3'0,"1"0"0,-1 0 0,2 1 0,-2-1 0,0 1 0,1-1 0,0 1 0,0 0 0,0 0 0,0-1 0,0 1 0,0 0 0,2 0 0,0-2 0,22-25 0,-19 21 0,1 3 0,1-1 0,-1 1 0,1 0 0,0 1 0,0 0 0,1-1 0,0 4 0,9-4 0,-15 3 0,0 2 0,2 0 0,-2 0 0,0 0 0,1 0 0,0 0 0,-1 0 0,-1 0 0,3 2 0,-1 0 0,0-2 0,-2 2 0,2 0 0,-1-2 0,0 4 0,0-2 0,1 1 0,-2-1 0,2 1 0,-2 1 0,1-2 0,-1 2 0,1-1 0,1 6 0,-3-4 0,1-1 0,-1 0 0,1 1 0,-1-2 0,0 2 0,-1-1 0,1 1 0,-1-1 0,0 1 0,0 0 0,0-1 0,-1 1 0,1-1 0,-1 1 0,1-1 0,-1 0 0,-2 0 0,2 2 0,0-3 0,0 1 0,-3 5 0,-4 13 0,0-2 0,-19 30 0,7-14 0,-44 50 0,-8 16 0,72-101 0,-1 0 0,0-1 0,1 2 0,-1-1 0,0-1 0,1 1 0,-1 1 0,1-1 0,0 0 0,0-1 0,-2 2 0,2-1 0,0 0 0,0 0 0,-1 1 0,1-1 0,0 0 0,0 1 0,0-1 0,0 0 0,0 0 0,0 1 0,0-1 0,0 0 0,0 1 0,0-2 0,1 3 0,1-1 0,-2-1 0,2 0 0,-1 1 0,0-1 0,0-1 0,0 1 0,0 0 0,1-1 0,-1 2 0,0-2 0,0 1 0,1-1 0,-2 1 0,2-1 0,2 0 0,9 2 0,0-2 0,24-6 0,-35 6 0,272-67 0,-267 65-170,-1 0-1,1 0 0,0-1 1,-2-1-1,1 2 0,1-3 1,8-8-1,3-7-6655</inkml:trace>
  <inkml:trace contextRef="#ctx0" brushRef="#br0" timeOffset="13">1606 4479 24575,'-3'0'0,"7"-8"0,11-2 0,11-9 0,10-3 0,9 7 0,-1-6 0,3 2 0,-3 4 0,-12 5 0,-17 4 0</inkml:trace>
  <inkml:trace contextRef="#ctx0" brushRef="#br0" timeOffset="14">2545 4065 24575,'2'2'0,"2"-1"0,-3 2 0,1 0 0,0-1 0,1 2 0,-1-1 0,-1-1 0,1 1 0,-1 0 0,0 0 0,1 1 0,-1-1 0,-1 1 0,1 0 0,1 0 0,-1-1 0,-1 1 0,1 4 0,4 75 0,-5-63 0,2 44 0,-2-37 0,0-61 0,0 27 0,4-132 0,-3 122 0,1 1 0,0-1 0,0 1 0,2 1 0,-1-3 0,9-19 0,-11 34 0,0 1 0,0 0 0,0-3 0,0 3 0,1 0 0,-1-1 0,1 1 0,-2 0 0,2-1 0,0 0 0,-2 2 0,2 0 0,1-1 0,-2 1 0,1-2 0,0 2 0,1 0 0,-1 0 0,0-1 0,0 2 0,0-1 0,0 0 0,-1 1 0,3 0 0,-3-2 0,1 2 0,0 0 0,4 0 0,-2 2 0,-1-1 0,1 2 0,-1-2 0,1 1 0,0 1 0,-2 0 0,2-2 0,-1 2 0,0-1 0,0 2 0,0 1 0,-1-3 0,1 2 0,-1-1 0,5 10 0,0 3 0,-4-10 0,0 0 0,0-1 0,0 2 0,-1-2 0,8 8 0,-10-13 0,1 1 0,0 0 0,0-1 0,-1 2 0,2-2 0,-2 1 0,1-1 0,0 0 0,0 1 0,0-1 0,-1 0 0,1 0 0,0 1 0,0-1 0,0 0 0,-1 0 0,1 0 0,0 0 0,1 0 0,-1-1 0,-1 1 0,1 0 0,0 0 0,0-1 0,0 1 0,0 0 0,0-1 0,0 1 0,0-2 0,1 1 0,-2 1 0,0-1 0,1 1 0,0-2 0,0 0 0,33-54 0,4-3 0,-32 50 0,0 2 0,1-1 0,1 2 0,-2 0 0,3 0 0,6-6 0,-13 11 0,0 1 0,0-1 0,0-1 0,-1 2 0,1-2 0,0 2 0,1 0 0,-1 0 0,-1 0 0,1 0 0,0 0 0,0 0 0,1 0 0,-2 2 0,2-2 0,-2 2 0,1-2 0,-1 1 0,2 0 0,-1 0 0,-1 1 0,0-2 0,1 2 0,-1 0 0,0 0 0,3-1 0,-3 1 0,0 0 0,1 1 0,-1-2 0,-1 2 0,3 2 0,20 51 0,-18-43 0,-1-2 0,1 3 0,0-3 0,2-1 0,9 20 0,-14-27 0,0 0 0,2 0 0,-1 0 0,-1-2 0,1 2 0,1-1 0,-2-1 0,1 1 0,1 0 0,-1-1 0,1 0 0,-2-1 0,2 1 0,-1-1 0,0 2 0,1-2 0,-1 0 0,0 0 0,0-2 0,1 2 0,4-2 0,-1-2 0,1 2 0,-1-1 0,0-3 0,0 3 0,0-3 0,0 0 0,-1 1 0,0-2 0,0 0 0,1 0 0,-2 1 0,1-2 0,7-15 0,-6 9 0,0 1 0,-1-1 0,0-2 0,1 2 0,-3 0 0,1-3 0,6-29 0,-11 37 0,-4 25 0,-4 23 0,2-8 0,6-31 0,0 0 0,0 0 0,0 0 0,0 0 0,0 0 0,0 0 0,0-1 0,0 1 0,0 0 0,0 0 0,0 0 0,-1 0 0,1 0 0,0 0 0,0 0 0,0 0 0,0 0 0,0 0 0,0 0 0,0 0 0,0 0 0,0 0 0,0 0 0,0 0 0,0 0 0,0 0 0,0 0 0,0 0 0,0 0 0,0 0 0,0 0 0,0 0 0,0 0 0,0 0 0,0 0 0,0 0 0,0 0 0,0 0 0,0 0 0,-1 0 0,1 0 0,0 0 0,0 0 0,0 0 0,1-57 0,0 38 0,3 0 0,-2 0 0,10-36 0,-11 50 0,1-2 0,-1 0 0,2 1 0,-1 0 0,1 0 0,-1-1 0,2 1 0,-1 0 0,1 1 0,-1 1 0,2-1 0,-2 1 0,8-9 0,-8 12 0,-2 1 0,0-2 0,0 1 0,2 0 0,-2 1 0,0-2 0,1 2 0,-1 0 0,1-1 0,-1 1 0,1 0 0,0 0 0,0 0 0,-2 0 0,2 1 0,0-1 0,1 0 0,-2 2 0,1-2 0,-1 1 0,0-1 0,1 1 0,-2 1 0,2-1 0,1 0 0,-2 0 0,-1 1 0,2-1 0,-1 0 0,0 1 0,0-1 0,0 1 0,0 0 0,0 0 0,1 2 0,4 8 0,0 1 0,-1 2 0,-1-2 0,6 18 0,0 6 0,-10-35 0,1-1 0,0 0 0,-1 2 0,1-2 0,-1 0 0,2 1 0,-2-1 0,1 0 0,0 0 0,0 1 0,0-1 0,-1 0 0,1 1 0,0-1 0,0 0 0,0 0 0,0-1 0,2 2 0,-2-2 0,0 1 0,-1-1 0,2 1 0,-1-1 0,0 0 0,0 2 0,0-2 0,2 0 0,-2 0 0,-1 0 0,2 0 0,-1 0 0,0 0 0,0-2 0,0 2 0,0 0 0,0-1 0,1 1 0,-1-1 0,1 1 0,-1-2 0,0 1 0,0 0 0,0 1 0,0-1 0,0-2 0,7-7 0,0 0 0,-2 0 0,2 0 0,8-22 0,-6 13 0,3-8 0,4 2 0,-1-1 0,1 4 0,20-25 0,-31 43 0,-1-2 0,2 0 0,-2 3 0,3-3 0,-2 3 0,0-1 0,1 0 0,9-1 0,-13 3 0,0 2 0,2-1 0,-1 1 0,-1 0 0,2 0 0,-1 0 0,-1 1 0,1 1 0,-1-1 0,1 0 0,1 1 0,-2-1 0,0 1 0,1 1 0,7 5 0,-3 1 0,1 1 0,-1-1 0,1 2 0,-3 1 0,10 13 0,-8-10 0,2-1 0,17 20 0,-25-30-50,2-2-1,-1 1 1,0-2-1,0 2 0,0-1 1,0 0-1,1-1 1,0 0-1,-1 1 1,1-1-1,-1-1 0,1 0 1,0 2-1,-1-2 1,0-2-1,1 2 1,0 0-1,-1-1 0,1-1 1,0 1-1,-2 0 1,1-1-1,1 0 1,-1-1-1,1 2 1,3-6-1,27-21-6775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24.26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125 375 24575,'1'-42'0,"-1"-39"0,0 74 0,-1 0 0,0 0 0,-1 1 0,1-1 0,-1 1 0,-1-1 0,0 0 0,-4-10 0,6 17 0,1-1 0,0 1 0,0-1 0,-1 0 0,1 1 0,0-1 0,-1 1 0,1-1 0,-1 1 0,1 0 0,0-1 0,-1 1 0,1-1 0,-1 1 0,1 0 0,-1-1 0,1 1 0,-1 0 0,0 0 0,1-1 0,0 1 0,0 0 0,-1 0 0,1 0 0,-1 0 0,0-1 0,1 1 0,-1 0 0,1 0 0,-1 1 0,0-1 0,1 0 0,-1 0 0,0 0 0,1 0 0,-1 1 0,-1 0 0,0 0 0,0 1 0,1-1 0,0 1 0,-1 0 0,1 0 0,-1-2 0,1 2 0,-2 3 0,-3 6 0,0 0 0,0 2 0,2-2 0,0 1 0,0 0 0,-2 18 0,-8 81 0,12-89 0,-16 262 0,18-207 0,16 128 0,-11-173 0,0 1 0,3-1 0,14 39 0,-17-60 0,0 0 0,-1-1 0,2-1 0,0 2 0,11 11 0,-13-17 0,1 0 0,-1-1 0,1 0 0,0 0 0,-1-1 0,2 1 0,-1-1 0,0 1 0,1-2 0,12 5 0,-13-6 0,2 0 0,-1 0 0,0 0 0,0-1 0,0 0 0,0 0 0,0-1 0,0 1 0,0-1 0,0-1 0,0 1 0,-1-1 0,1 0 0,1 0 0,-3-1 0,2 0 0,0 0 0,-2 0 0,2 0 0,7-9 0,0 1 0,0-2 0,0 0 0,-1 0 0,0-1 0,16-28 0,-6 1 0,-1 1 0,-2-1 0,-4-2 0,0 1 0,-1-2 0,-3 0 0,8-62 0,-18 97 0,0-2 0,0 1 0,-1 0 0,0-1 0,0 1 0,-4-19 0,4 28 0,0 1 0,0 0 0,0-1 0,0 1 0,0-1 0,0 1 0,0-1 0,0 1 0,0 0 0,0-1 0,0 1 0,0-1 0,-1 1 0,1 0 0,0 0 0,0 0 0,-1-1 0,1 1 0,0 0 0,0-1 0,-1 1 0,1 0 0,0 0 0,-1-1 0,1 1 0,-1 0 0,1 0 0,0-1 0,-1 1 0,1 0 0,-1 0 0,1 0 0,0 0 0,-1 0 0,1 0 0,-1 0 0,1 0 0,-1 0 0,-8 14 0,3 5 0,2-1 0,0 1 0,1 1 0,0-1 0,2 0 0,0 1 0,2-1 0,0 0 0,1 1 0,1-2 0,1 2 0,6 19 0,-6-31 0,-2-1 0,2 0 0,0 0 0,1 0 0,-1 0 0,1-1 0,0 1 0,0-1 0,1 0 0,0-1 0,9 9 0,-11-13 0,0 2 0,0-1 0,-1 0 0,1 0 0,1 0 0,-1-1 0,-1 0 0,2 0 0,-1 0 0,0-1 0,0 1 0,1-1 0,0 0 0,-2 0 0,2 0 0,-1-1 0,0 1 0,0 0 0,1-1 0,-1-1 0,0 1 0,0-1 0,5-3 0,0 1 0,-2-1 0,1 0 0,-1 0 0,0-2 0,-1 1 0,1 0 0,0-2 0,-2 2 0,1-2 0,-1 1 0,0-1 0,6-14 0,3-8 0,-1-2 0,7-35 0,-7 24 0,-11 96 0,-2-42 0,0 0 0,1 1 0,0-2 0,0 1 0,2 0 0,-1 0 0,1-1 0,0 1 0,8 14 0,-9-21 0,1 2 0,1-1 0,-1-1 0,0 1 0,1-1 0,0 0 0,0 0 0,0 0 0,0 0 0,1-1 0,-1 1 0,1-1 0,0 0 0,0 0 0,0-2 0,1 2 0,-1-1 0,0 0 0,1-1 0,7 2 0,-9-2 0,0-1 0,0 0 0,1 0 0,-2 0 0,2 0 0,-1-1 0,0 0 0,0 0 0,0 0 0,1 0 0,-2-1 0,1 1 0,0-1 0,5-3 0,-3 1 0,0-1 0,0 1 0,0-2 0,-1 1 0,1 0 0,-2-1 0,8-9 0,-2-1 0,-1 0 0,0-1 0,-2 0 0,1 0 0,7-31 0,-10 25 0,7-44 0,-11 59 0,-1 0 0,0 0 0,0 0 0,0 0 0,-1-1 0,0 2 0,-1-2 0,0 2 0,-4-9 0,6 15 0,-1-1 0,0 0 0,1 1 0,0 0 0,-1-1 0,0 1 0,0-1 0,0 1 0,-1 0 0,1-1 0,0 1 0,-1 0 0,1 0 0,0-1 0,-1 1 0,-1 0 0,2 1 0,0 0 0,0-1 0,0 1 0,0 0 0,0 0 0,0 0 0,0 0 0,0 0 0,0 0 0,0 0 0,0 1 0,0-1 0,1 0 0,-1 0 0,0 1 0,0-1 0,0 0 0,0 0 0,1 1 0,-1-1 0,-1 2 0,-1 0 0,1 0 0,1 0 0,-1 0 0,0 1 0,1-2 0,-1 2 0,1-1 0,-1 1 0,1 0 0,0-1 0,0 0 0,0 1 0,0 0 0,1 0 0,0 0 0,-1 0 0,1-1 0,0 4 0,0-3 0,0 0 0,0-1 0,0 1 0,1 1 0,-1-1 0,0 0 0,1-1 0,0 1 0,0-1 0,0 1 0,1 0 0,-1-1 0,1 0 0,0 1 0,-1 0 0,1-1 0,0 0 0,0 0 0,0 0 0,0 0 0,3 2 0,2 0 0,1-1 0,-1 0 0,1 0 0,-1 0 0,17 3 0,-19-6 0,1 2 0,0-1 0,0 1 0,0 0 0,-1 0 0,1 1 0,-1-1 0,0 1 0,1 0 0,-2 1 0,2 0 0,5 5 0,-7-3 0,-1-1 0,1 1 0,-2-1 0,6 14 0,-6-13 0,0-1 0,0 1 0,0-1 0,1 0 0,1 0 0,3 6 0,-6-10 0,1 1 0,-1-1 0,1 0 0,0 1 0,-1-1 0,1 0 0,-1 0 0,1 0 0,0-1 0,0 1 0,0-1 0,0 1 0,0-1 0,1 1 0,-2-1 0,1 0 0,0 0 0,0 0 0,0 0 0,0 0 0,1 0 0,1-1 0,2-1 0,0 1 0,0-1 0,0-1 0,-2 1 0,2-2 0,0 1 0,-2 1 0,1-2 0,0 0 0,-1 0 0,1 0 0,-1 0 0,0-1 0,0 1 0,0-1 0,-1-1 0,0 2 0,0-2 0,0 1 0,2-8 0,3-5 0,-1-1 0,-2-1 0,1 1 0,4-38 0,-8 41 0,4-35 0,-6 47 0,0-1 0,0 2 0,0-1 0,-1 0 0,0 0 0,1 1 0,-1-1 0,-1 0 0,1 1 0,-3-5 0,4 8 0,0-1 0,0 1 0,0-1 0,-1 1 0,1 0 0,0-1 0,0 1 0,0 0 0,0-1 0,0 1 0,-1 0 0,1 0 0,0-1 0,-1 1 0,1 0 0,0 0 0,-1 0 0,1-1 0,0 1 0,-1 0 0,1 0 0,-1 0 0,1 0 0,0 0 0,-1 0 0,1 0 0,-1 0 0,1 0 0,-1 0 0,1 0 0,0 0 0,-1 0 0,1 0 0,-1 0 0,1 0 0,0 0 0,-1 1 0,1-1 0,0 0 0,-1 0 0,1 0 0,0 1 0,-1-1 0,1 0 0,0 1 0,-1-1 0,1 0 0,0 0 0,0 1 0,-1-1 0,1 0 0,0 1 0,0-1 0,0 1 0,0-1 0,0 0 0,0 1 0,0-1 0,0 1 0,-11 23 0,10-18 0,-1-1 0,2 1 0,-1 0 0,0-1 0,1 1 0,0 0 0,0 0 0,0 0 0,1-1 0,0 1 0,1 8 0,0-10 0,-1 0 0,1-2 0,0 2 0,1-1 0,-1 1 0,-1-2 0,2 1 0,0 0 0,0 0 0,0-1 0,-1 1 0,1-1 0,0 0 0,1 0 0,-1 0 0,0 0 0,0 0 0,8 1 0,2 1 0,-1-1 0,1 0 0,20 1 0,-24-4 0,1 1 0,0 1 0,-1 0 0,0 0 0,20 7 0,-26-7 0,0 1 0,1-1 0,-1 0 0,-1 1 0,1-1 0,0 1 0,0 0 0,0 0 0,-1 0 0,0-1 0,0 2 0,0-1 0,0 1 0,0 0 0,0-2 0,-1 2 0,0 0 0,0 0 0,1 6 0,1 6 0,-1-8 0,0 1 0,0-2 0,0 2 0,4 7 0,-5-14 0,1 1 0,-1 0 0,1-1 0,0 0 0,0 0 0,-1 0 0,1 0 0,0 0 0,0 0 0,1 0 0,-1 0 0,1-1 0,-2 1 0,2-2 0,0 2 0,4 1 0,-1-2 0,1 1 0,-1-1 0,1 0 0,-1-1 0,1 0 0,0 0 0,0 0 0,-1-1 0,1 0 0,0 0 0,-1-1 0,1 0 0,-2 0 0,2 0 0,-1-1 0,0 0 0,9-5 0,0-2 0,0 0 0,-1-1 0,0-1 0,0 0 0,14-18 0,-16 15 0,1 0 0,-3-1 0,0 0 0,0 1 0,11-30 0,-16 32 0,-2 2 0,1-1 0,0 0 0,-2-1 0,1 1 0,-2-1 0,0 0 0,-1 1 0,0-18 0,-1 27 0,1 0 0,-1 0 0,1-1 0,-1 0 0,0 2 0,-1-1 0,1-1 0,-1 1 0,1 0 0,-1 1 0,0-1 0,1 0 0,-1 0 0,0 0 0,-5-2 0,7 4 0,-1 0 0,0 1 0,0-1 0,0 1 0,0-1 0,0 1 0,0-1 0,0 1 0,0 0 0,0 0 0,0-1 0,0 1 0,-1 0 0,1 0 0,0 0 0,0 0 0,0 0 0,1 1 0,-3-1 0,1 1 0,0 0 0,-1 0 0,1 0 0,0 0 0,1 1 0,-1-2 0,0 2 0,0-1 0,1 1 0,-1 0 0,0-1 0,-1 4 0,-3 4 0,-1 0 0,2 1 0,0 0 0,0 0 0,1 1 0,0-1 0,1 1 0,-1-1 0,1 14 0,1-18 0,1 0 0,0 0 0,1-1 0,0 2 0,0-2 0,0 1 0,1 1 0,-1-2 0,2 1 0,-1-1 0,0 1 0,1 0 0,0-1 0,0 1 0,1 0 0,0-2 0,0 2 0,7 8 0,-6-10 0,-1-2 0,2 1 0,-1 0 0,0-1 0,0 1 0,1-1 0,0 0 0,-1-1 0,1 1 0,1-1 0,-2 0 0,1 0 0,0 0 0,0-1 0,0 1 0,0-1 0,0-1 0,0 1 0,0-1 0,0 0 0,0 0 0,6-3 0,2 1 0,-1-1 0,1-1 0,-2 0 0,1-1 0,-1-1 0,0 1 0,16-13 0,-19 12 0,0-1 0,1 0 0,-1-1 0,-1 1 0,0-1 0,0-1 0,-1 1 0,0-1 0,0-1 0,3-11 0,-9 22 0,0 0 0,1 0 0,-1 0 0,0 0 0,0 0 0,0 0 0,0 0 0,0 0 0,0 0 0,0 1 0,0-1 0,0 0 0,0 0 0,0 0 0,0 0 0,0 0 0,0 0 0,0 0 0,1 0 0,-1 0 0,0 0 0,0 0 0,0 0 0,0 0 0,0 0 0,0 0 0,0 0 0,0 0 0,0 0 0,0 0 0,0 0 0,1 0 0,-1 0 0,0 0 0,0 0 0,0 0 0,0 0 0,0 0 0,0 0 0,0 0 0,0 0 0,0 0 0,0-1 0,0 1 0,0 0 0,0 0 0,0 0 0,3 16 0,-3-10 0,0 1 0,1-1 0,0 0 0,-1 1 0,2-1 0,-1 0 0,2 0 0,-1 0 0,1 0 0,5 9 0,-5-11 0,1-2 0,-1 1 0,0 0 0,1-1 0,0 0 0,0 0 0,-1 0 0,1-1 0,0 1 0,0-1 0,0 1 0,0-1 0,1-1 0,7 2 0,-6-2 0,1-1 0,-1 0 0,1 0 0,0 0 0,-1-1 0,1 0 0,-1 0 0,11-5 0,-2-1 0,-1-1 0,-1 0 0,1-1 0,-2 0 0,2-1 0,19-24 0,-21 22 0,-10 7 0,2 2 0,-1 0 0,1-1 0,0 1 0,0 1 0,0-1 0,0 0 0,1 0 0,0 2 0,0-1 0,8-4 0,-11 7 0,1 0 0,0 1 0,0-1 0,0 1 0,-1 0 0,1 0 0,-1 0 0,1 1 0,0-1 0,-1 0 0,0 0 0,0 1 0,1-1 0,-1 1 0,0 0 0,2 3 0,17 10 0,-16-13 0,0 0 0,1 0 0,0 0 0,-1 0 0,1 0 0,0-1 0,-1 0 0,2 0 0,-2-1 0,1 0 0,0 0 0,0 0 0,0-1 0,-1 0 0,1 0 0,0 0 0,-1-1 0,7-3 0,-5 3 0,0-2 0,-1 0 0,0 0 0,0 0 0,0-1 0,-1 0 0,0 1 0,1-2 0,-2 0 0,1 1 0,-1-1 0,1 0 0,-2 0 0,5-10 0,-2 0 0,0 0 0,0 0 0,-3 0 0,1 0 0,-1-1 0,2-19 0,-4-7 0,-2-48 0,-18 162 0,9-9 0,3 0 0,0 101 0,8-156 14,0 1-1,0 0 0,0 0 0,1-1 1,0 1-1,1-1 0,0 1 1,4 9-1,-6-15-72,1 1-1,-1-1 1,1 1-1,0-1 1,-1 1 0,1-2-1,0 1 1,0 0-1,0 0 1,1 0 0,-1 0-1,0 0 1,0-1-1,1 0 1,0 0 0,0 0-1,-1 0 1,1 0-1,0 0 1,-1 0 0,2-1-1,-1 1 1,-1-1-1,6 0 1,16-4-6767</inkml:trace>
  <inkml:trace contextRef="#ctx0" brushRef="#br0" timeOffset="148.03">2840 375 24575,'3'0'0,"8"0"0,10 0 0,9-7 0,15-1 0,10-7 0,1-1 0,-8 2-8191</inkml:trace>
  <inkml:trace contextRef="#ctx0" brushRef="#br0" timeOffset="1274.58">3831 335 24575,'0'0'0,"1"0"0,1 0 0,-1-1 0,0 1 0,0-1 0,0 1 0,0-1 0,0 1 0,0-1 0,0 1 0,0 0 0,0-1 0,0 0 0,-1 0 0,0 0 0,1 0 0,0 0 0,0 0 0,-1 0 0,1 0 0,-1 0 0,1 0 0,-1 0 0,1 0 0,0-1 0,0-1 0,0 0 0,-1 0 0,1 0 0,0 0 0,-1 1 0,0-1 0,0 0 0,0-1 0,0-1 0,-1 0 0,-1-1 0,0 2 0,0-1 0,0 0 0,0 2 0,0-2 0,0 0 0,-1 2 0,0-1 0,-1-1 0,2 1 0,-2 1 0,0 0 0,0-1 0,1 1 0,-1 0 0,-1 1 0,1-1 0,0 0 0,-7-2 0,7 3 0,-1 1 0,0-1 0,1 1 0,0 0 0,-1 0 0,1 0 0,-1 0 0,0 1 0,1 0 0,-1 0 0,0 0 0,1 1 0,-1-1 0,0 1 0,1 0 0,-1 1 0,1-1 0,-1 0 0,1 1 0,0 0 0,-1 1 0,-2 2 0,-3 3 0,1 1 0,1-1 0,-1 1 0,1 1 0,0-1 0,2 1 0,-1 1 0,-7 15 0,2 1 0,1 0 0,-11 39 0,18-52 0,2 0 0,-1-1 0,2 1 0,-1 0 0,2 0 0,0 0 0,3 20 0,-3-30 0,1-1 0,0 2 0,1-1 0,-1 0 0,0-1 0,0 2 0,1-1 0,0-2 0,1 2 0,-1 0 0,1 0 0,3 4 0,-3-6 0,0 0 0,-1 0 0,0-1 0,1 1 0,0-1 0,0 0 0,0 0 0,0 0 0,-1 0 0,2 0 0,-1 0 0,0-1 0,0 1 0,0-1 0,0 0 0,0 0 0,1 0 0,-2-1 0,5 0 0,2-1 0,1-1 0,-1 1 0,0-2 0,0 0 0,-1 0 0,1 0 0,-1-1 0,1-1 0,-2 1 0,1-1 0,-1 0 0,1-1 0,-2 0 0,1 0 0,-2 0 0,6-9 0,5-8 0,-1 1 0,-1-2 0,0 0 0,11-35 0,-18 39 0,0-1 0,-2 0 0,0 0 0,-1 0 0,1-42 0,-5 49 0,0 0 0,-1 0 0,-1 0 0,-1 0 0,0 1 0,-1-1 0,0 1 0,-1 0 0,-10-20 0,14 31 0,-1 0 0,1 0 0,-1 1 0,1-1 0,-1 0 0,0 1 0,0 0 0,-1-1 0,1 1 0,-1 0 0,1 0 0,0 0 0,-1 1 0,0-1 0,-3-1 0,5 3 0,-1-1 0,0 1 0,0 0 0,1 0 0,-1 0 0,0 1 0,0-1 0,2 0 0,-2 0 0,0 1 0,1-1 0,-1 1 0,0 0 0,1-1 0,-1 1 0,1 0 0,0 0 0,0-1 0,-1 1 0,1 0 0,0 0 0,0 1 0,-1-1 0,1 0 0,0 1 0,0-1 0,0 1 0,0-1 0,-1 3 0,-2 5 0,-1-1 0,1 2 0,1-2 0,-1 1 0,1 1 0,0-1 0,1 1 0,1 0 0,0-1 0,0 1 0,1 0 0,0 0 0,0-1 0,1 2 0,0-2 0,0 1 0,2 0 0,0-1 0,5 15 0,-3-12 0,0-1 0,0 0 0,1-1 0,1 1 0,0-1 0,0-1 0,1 1 0,0-1 0,1 0 0,-1-1 0,2 0 0,-1 0 0,1-2 0,1 2 0,16 7 0,-15-10 0,1-1 0,0 1 0,0-1 0,0-1 0,1-1 0,0 0 0,-1-1 0,0 0 0,1-1 0,21-3 0,-29 2 0,0 0 0,-1 0 0,1 1 0,-1-2 0,1 0 0,0 0 0,-2-1 0,2 1 0,-1-1 0,0 0 0,0 0 0,0-1 0,-2 1 0,2 0 0,-1-2 0,1 1 0,-2-1 0,0 1 0,1-1 0,-1 0 0,0 1 0,0-1 0,-1-1 0,1 2 0,-1-2 0,0 1 0,0-8 0,-1 10 0,0-1 0,-1 0 0,1 0 0,-1 1 0,0-1 0,-1 0 0,1 0 0,0 1 0,-1-1 0,0 0 0,1 0 0,-1 2 0,-1-2 0,-1-4 0,2 7 0,0 0 0,0 0 0,0-1 0,0 1 0,0 0 0,-1 0 0,1 0 0,1-1 0,-2 1 0,1 0 0,0 1 0,-1-1 0,1 0 0,-1 0 0,0 1 0,1 0 0,-1 0 0,1-1 0,0 1 0,-1-1 0,0 1 0,1 0 0,-1 0 0,0 0 0,1 0 0,-1 0 0,0 1 0,1-1 0,0 0 0,-1 1 0,0-1 0,1 0 0,-1 1 0,-2 1 0,-1 1 0,-1 0 0,1 1 0,0-1 0,0 1 0,0 0 0,1 1 0,-1-1 0,1 1 0,1 0 0,-1-1 0,0 2 0,0 0 0,-3 9 0,1-3 0,2-2 0,0 1 0,0 0 0,1 2 0,1-2 0,-2 20 0,4-28 0,0-1 0,0 2 0,0-1 0,1 0 0,-1 0 0,1 0 0,0 0 0,0 0 0,-1 0 0,1 0 0,1-1 0,-1 1 0,1 0 0,0-1 0,0 1 0,0-1 0,0 0 0,-1 0 0,1 1 0,1-1 0,-1 0 0,1 0 0,0-1 0,-2 0 0,2 1 0,0 0 0,0-1 0,4 2 0,-3-2 0,1 1 0,-1-1 0,1 0 0,0 0 0,0-1 0,0 0 0,0 1 0,0-1 0,-1 0 0,1-1 0,0 1 0,-1 0 0,2-2 0,-2 1 0,0 0 0,1-1 0,8-4 0,-7 2 0,0-1 0,0-1 0,-1 2 0,1-2 0,-1-1 0,0 2 0,-1-2 0,1 2 0,-1-2 0,-1 0 0,1 0 0,4-14 0,13-21 0,-20 42 0,-1-1 0,1 0 0,0 1 0,0 0 0,0 0 0,0-1 0,0 1 0,0 0 0,0-1 0,-1 1 0,1 0 0,1 0 0,-1 0 0,0 0 0,0 0 0,0 0 0,0 0 0,0 0 0,0 0 0,0 0 0,0 1 0,0-1 0,0 0 0,-1 1 0,1-1 0,0 0 0,0 0 0,0 1 0,0 0 0,0-1 0,0 1 0,1 1 0,7 3 0,-3-3 0,0 0 0,0-2 0,1 2 0,-1-1 0,1-1 0,-2 1 0,2-1 0,-1-1 0,1 1 0,0-1 0,-2 0 0,2 0 0,-1 0 0,0-1 0,0 0 0,8-5 0,-4 2 0,0-1 0,0 0 0,-1-2 0,0 1 0,0-1 0,-1 0 0,0-1 0,8-11 0,-7 8 0,-1 1 0,-1-1 0,0 0 0,-1-1 0,0 1 0,4-18 0,-7 23 0,0-1 0,-2-1 0,0 2 0,1-2 0,-2 1 0,1-1 0,-1 1 0,0 0 0,-1-1 0,0 1 0,-2-12 0,-7 4 0,10 16 0,-1-1 0,1 1 0,0 0 0,-1 0 0,1 0 0,-1-1 0,1 1 0,0 0 0,-1 0 0,1 0 0,-1 0 0,1 0 0,0 0 0,0 0 0,0 0 0,-1 0 0,1 0 0,-1 0 0,1 0 0,-1 0 0,1 0 0,0 0 0,-1 1 0,1-1 0,-1 0 0,-1 2 0,0-1 0,0 1 0,1 0 0,-1-1 0,1 1 0,0-1 0,0 1 0,0 0 0,0 0 0,0 0 0,0 1 0,0-1 0,-1 3 0,-4 20 0,-1 1 0,2 0 0,3 0 0,-1 0 0,2 1 0,1-1 0,1 0 0,1 0 0,1 0 0,10 36 0,-9-49 14,2 0-1,-1-1 0,1-1 0,2 1 1,-2-1-1,2 0 0,0 0 1,13 11-1,-18-17-91,2 0 0,0-1 0,0 0-1,0 1 1,1-1 0,-1-1 0,1 1 0,-1-1 0,1 0-1,1 0 1,-2-2 0,2 2 0,-1-1 0,1-1 0,-1 1-1,1-1 1,0-1 0,6 1 0,16-8-6748</inkml:trace>
  <inkml:trace contextRef="#ctx0" brushRef="#br0" timeOffset="1599.36">4485 276 24575,'37'0'0,"34"1"0,127-16 0,-179 12 0,1 0 0,-2-2 0,1-1 0,0 1 0,-1-3 0,0 1 0,0-2 0,-1 0 0,0-1 0,0-1 0,19-18 0,-29 23 0,-1-1 0,0 1 0,-1-1 0,1 0 0,-1-1 0,5-11 0,-8 17 0,0-2 0,-1 1 0,1 0 0,-1-1 0,-1 2 0,1-2 0,0 0 0,-1 1 0,1 0 0,-1-1 0,0 1 0,0-1 0,0 1 0,-1 0 0,1-1 0,-1 0 0,0 1 0,-1-6 0,1 8 0,1 0 0,0 0 0,-1 0 0,1 0 0,-1 0 0,0 1 0,1-1 0,-1 0 0,0 1 0,1-1 0,-1 0 0,0 1 0,0-1 0,0 0 0,0 1 0,0-1 0,1 1 0,0-1 0,-1 1 0,0-1 0,0 1 0,0 0 0,0 0 0,-1-1 0,1 1 0,0 0 0,0 0 0,-1 0 0,0 1 0,0-1 0,0 1 0,-1 0 0,1 0 0,0 0 0,0 0 0,0 1 0,0-1 0,0 0 0,0 0 0,-3 4 0,-1 2 0,-2 1 0,2 0 0,-1 0 0,-8 15 0,6-4 0,0 1 0,2-1 0,-1 1 0,3 0 0,-7 30 0,11-41 0,-1 0 0,1 0 0,1 1 0,-1-2 0,2 2 0,-1-1 0,1 0 0,1 1 0,-1-2 0,1 2 0,1-2 0,0 1 0,0 0 0,9 14 0,-8-18 0,0 0 0,0-1 0,1 1 0,0 0 0,0-2 0,1 1 0,-1 0 0,0 0 0,2-2 0,-2 1 0,1 0 0,0 0 0,0-1 0,0 0 0,1-2 0,0 2 0,-1-1 0,9 0 0,9 0 0,1 0 0,-2-2 0,41-6 0,31-13-1365,-8-2-5461</inkml:trace>
  <inkml:trace contextRef="#ctx0" brushRef="#br0" timeOffset="3572.1">283 2040 24575,'0'-76'0,"0"732"0,0-1178 0,-1 633-65,-2-26-585,14 128 0,-2-161-6176</inkml:trace>
  <inkml:trace contextRef="#ctx0" brushRef="#br0" timeOffset="5236.07">521 2060 24575,'-21'-23'0,"15"17"0,0-1 0,0 1 0,0 0 0,-1 1 0,1-1 0,-2 0 0,1 2 0,-1-1 0,1 1 0,-1 0 0,-14-4 0,16 6 0,0 0 0,0 1 0,0 0 0,0 0 0,0 1 0,0 0 0,0 0 0,0 0 0,0 1 0,0 0 0,0 0 0,0 1 0,0-1 0,1 1 0,-8 4 0,5-3 0,1 2 0,0 0 0,0 0 0,0 1 0,0 0 0,1-1 0,0 2 0,0-1 0,-7 13 0,0 0 0,3-1 0,1 1 0,-1 2 0,3-2 0,-1 2 0,2 0 0,-6 39 0,6-29 0,3 1 0,1 0 0,1 0 0,2 0 0,6 46 0,-6-67 0,1 0 0,1-1 0,-1 1 0,2 0 0,0-1 0,0-1 0,0 2 0,2-2 0,0 1 0,-1-1 0,2 0 0,-1 0 0,2-1 0,-1 0 0,1 0 0,0-1 0,1 0 0,-1 0 0,16 8 0,-13-10 0,0 1 0,1-3 0,-1 1 0,2 0 0,-2-1 0,1 0 0,0-2 0,0 0 0,0 0 0,1-1 0,-1 0 0,0-1 0,0 0 0,0 0 0,0-2 0,14-4 0,-12 3 0,-1-2 0,0 0 0,0 0 0,0-2 0,-1 1 0,1-2 0,-2 1 0,0-1 0,0-1 0,0 0 0,-2 0 0,1-2 0,11-15 0,-8 5 0,0-2 0,-1 1 0,-1-1 0,-1-1 0,-2 1 0,11-50 0,-12 35 0,-2 0 0,-1 0 0,-4-76 0,0 108 0,0 1 0,0 0 0,0 0 0,-1 1 0,0-2 0,0 2 0,0-1 0,-1 0 0,0 1 0,1-1 0,-1 0 0,-5-5 0,7 10 0,0 1 0,0 0 0,0 0 0,-1 0 0,1 0 0,0-1 0,0 1 0,-1 0 0,1 0 0,0 0 0,0 0 0,-1 0 0,1 0 0,0 0 0,0 0 0,-1 0 0,1-1 0,0 1 0,-1 0 0,1 0 0,0 0 0,0 1 0,-1-1 0,1 0 0,0 0 0,0 0 0,0 0 0,0 0 0,0 0 0,0 0 0,-1 0 0,1 0 0,0 1 0,0-1 0,-1 0 0,1 0 0,0 0 0,0 1 0,0-1 0,-1 0 0,1 0 0,0 0 0,0 1 0,0-1 0,0 0 0,0 0 0,0 1 0,-1-1 0,1 0 0,0 1 0,0-1 0,-3 7 0,0-1 0,1 2 0,0-2 0,0 2 0,1-2 0,0 2 0,-1 8 0,0 56 0,2-57 0,1 16 0,1 0 0,2 0 0,14 61 0,-14-75 0,2-1 0,-1 0 0,2-1 0,0 1 0,1-1 0,0-1 0,2 1 0,-1-2 0,13 14 0,-17-21-136,1-2-1,-2 2 1,2-1-1,1-2 1,-2 2-1,2-1 1,-1-1-1,0 0 0,15 5 1,6-3-6690</inkml:trace>
  <inkml:trace contextRef="#ctx0" brushRef="#br0" timeOffset="5890.69">561 2436 24575,'16'-1'0,"1"-1"0,-1 0 0,0-2 0,0 0 0,0-1 0,-1 0 0,24-12 0,111-65 0,-130 70 0,48-27 0,0-5 0,-3-2 0,69-61 0,-126 99 0,0 1 0,-1-1 0,0 1 0,0-2 0,-1 1 0,0-2 0,9-16 0,-14 25 0,-1 0 0,0 0 0,1-1 0,-1 1 0,0 1 0,1-1 0,-1 0 0,0 0 0,0 0 0,0-1 0,0 1 0,0 0 0,0 0 0,0 0 0,0 0 0,-1-2 0,0 3 0,1 0 0,0-1 0,-1 1 0,1-1 0,-1 1 0,1 0 0,0-1 0,-1 1 0,1 0 0,-1-1 0,1 1 0,-1 0 0,1 0 0,-1-1 0,0 1 0,1 0 0,-1 0 0,1 0 0,-1 0 0,1 0 0,0 0 0,-1 0 0,0 0 0,-3 0 0,0 1 0,0 0 0,1 0 0,-1 0 0,0 0 0,0 0 0,-4 4 0,-3 2 0,0-1 0,1 2 0,0-1 0,0 2 0,0 0 0,2-1 0,-1 2 0,1 0 0,0 0 0,-7 14 0,12-19 0,0 0 0,1 0 0,-1 0 0,1 1 0,1-1 0,0 0 0,0 1 0,0-1 0,0 1 0,1 0 0,0 6 0,0-7 0,1-2 0,0 1 0,0 1 0,0-2 0,0 1 0,1 1 0,0-1 0,0-1 0,0 1 0,0-1 0,1 1 0,-2-1 0,2 0 0,0 0 0,1 1 0,3 2 0,1 0 0,-1-1 0,1-2 0,0 1 0,0 0 0,0 0 0,10 1 0,-7-1 0,0 0 0,22 11 0,-30-13 0,-1-1 0,1 1 0,-1 0 0,0 0 0,1 0 0,-1 1 0,1-1 0,-1 0 0,-1 0 0,1 1 0,-1 0 0,1 0 0,0 0 0,-1-1 0,2 7 0,-1 0 0,0 1 0,-2 0 0,2 13 0,-2-14 0,0-1 0,1 1 0,0-2 0,4 17 0,-3-21 0,-1 0 0,0 0 0,1-1 0,-2 0 0,2 1 0,0-1 0,0 1 0,0-1 0,0 1 0,0-1 0,0-1 0,0 1 0,0 0 0,1 0 0,0-1 0,-1 1 0,1-1 0,3 2 0,2-1 0,-1 0 0,2 0 0,-1-1 0,-1 1 0,2-2 0,-1 1 0,0-1 0,0 0 0,1-1 0,-2 0 0,2-1 0,-2 1 0,1-2 0,0 2 0,-1-2 0,1 0 0,-1-1 0,1 0 0,12-8 0,-3 0 0,0 0 0,0-1 0,-1-1 0,-1 0 0,0-1 0,20-28 0,-19 19 0,-1-1 0,-1 0 0,0-2 0,-2 1 0,13-41 0,-14 26 0,0-2 0,-4 1 0,4-43 0,-10 71 0,-1 1 0,0 0 0,-1-1 0,-2-18 0,2 29 0,1 0 0,-1 2 0,0-2 0,0 1 0,0-1 0,0 0 0,0 1 0,-1 0 0,1 0 0,-1 0 0,1 0 0,-4-4 0,4 5 0,0 0 0,0 1 0,-1-1 0,1 1 0,0 0 0,-1 0 0,1-1 0,0 1 0,0 0 0,-1-1 0,1 1 0,0 0 0,-1 0 0,1 0 0,-1 0 0,1 1 0,-1-1 0,1 0 0,0 1 0,0-1 0,0 0 0,-1 0 0,1 1 0,0-1 0,0 1 0,-2 1 0,-2 1 0,0 1 0,0 0 0,1-1 0,0 1 0,-1 1 0,1-1 0,1 0 0,-1 2 0,1-2 0,-1 1 0,-2 9 0,-5 8 0,-9 33 0,19-54 0,-6 19 14,2-1-1,0 1 0,1 0 0,1 0 1,1 1-1,0-1 0,2 1 1,2 22-1,-2-36-64,1-1 0,1 1-1,-2-1 1,2 1 0,0-1 0,1 1 0,-1-2-1,1 2 1,0-1 0,0 0 0,1 0 0,0-1-1,0 0 1,0 1 0,1-2 0,0 1-1,0 0 1,0-1 0,0 0 0,1 0 0,0 0-1,-1-1 1,1 0 0,0 0 0,1 0 0,-1-1-1,0 0 1,8 1 0,26 3-6775</inkml:trace>
  <inkml:trace contextRef="#ctx0" brushRef="#br0" timeOffset="6203.22">2027 2040 24575,'7'0'0,"9"0"0,8-7 0,11-2 0,9-6 0,10-1 0,3-4 0,2 1 0,-2 4 0,-11-3 0,-13 0 0,-13 2-8191</inkml:trace>
  <inkml:trace contextRef="#ctx0" brushRef="#br0" timeOffset="6438.34">2126 1683 24575,'0'7'0,"0"12"0,7 16 0,2 13 0,0 11 0,-3 9 0,6 5 0,0-6 0,5-6 0,6-14 0,-1-21 0,-3-16-8191</inkml:trace>
  <inkml:trace contextRef="#ctx0" brushRef="#br0" timeOffset="7013.29">2978 1584 24575,'-3'3'0,"-1"5"0,-7 1 0,-1 6 0,0-1-8191</inkml:trace>
  <inkml:trace contextRef="#ctx0" brushRef="#br0" timeOffset="7403.61">2899 1664 24575,'-14'-4'0,"14"4"0,0 0 0,0 0 0,-1 0 0,1 0 0,0 0 0,0 0 0,-1 0 0,1 0 0,0 0 0,0 0 0,-1-1 0,1 1 0,0 0 0,0 0 0,0 0 0,-1 0 0,1 0 0,0 0 0,0-1 0,0 1 0,-1 0 0,1 0 0,0 0 0,0 0 0,0-1 0,0 1 0,-1 0 0,1 0 0,0-1 0,0 1 0,0 0 0,0 0 0,0-1 0,0 1 0,0 0 0,0 0 0,0-1 0,0 1 0,0 0 0,0 0 0,0 0 0,0 0 0,0 0 0,0 0 0,0 0 0,0-1 0,0 1 0,0 0 0,1-1 0,-1 1 0,0 0 0,1 0 0,-1 0 0,0 1 0,1-1 0,-1 0 0,0 0 0,1 0 0,-1 0 0,0 0 0,1 0 0,-1 1 0,0-1 0,1 0 0,-1 0 0,0 0 0,0 0 0,1 0 0,-1 0 0,0 1 0,0-1 0,0 0 0,1 1 0,-1-1 0,0 0 0,0 1 0,0-1 0,0 0 0,0 1 0,0-1 0,1 0 0,-1 1 0,0-1 0,0 0 0,0 1 0,0 0 0,2 13 0,-4-2 0,-5-12 0,7-1 0,-1 0 0,1 1 0,0-1 0,-1 0 0,1 1 0,0-1 0,-1 0 0,1 0 0,0 0 0,0 0 0,0 0 0,0 0 0,0 1 0,0-1 0,0 0 0,0 0 0,0 0 0,1 0 0,-1 0 0,0 0 0,1 1 0,-1-1 0,0 1 0,1-1 0,-1 0 0,1 0 0,-1 0 0,1 1 0,1-2 0,-1 0 0,1 1 0,-1-1 0,0 1 0,1-1 0,-1 2 0,1-1 0,0 0 0,0-1 0,0 1 0,0 1 0,0-1 0,-1 0 0,1 1 0,1-1 0,-1 1 0,0-1 0,0 1 0,0 0 0,3 0 0,-4 0 0,-1 0 0,1 0 0,0 0 0,0 1 0,0-1 0,0 0 0,0 1 0,0-1 0,0 0 0,0 1 0,-1-1 0,0 1 0,1-1 0,0 1 0,0 0 0,-1-1 0,1 1 0,0 0 0,-1-1 0,1 1 0,0-1 0,-1 1 0,1 0 0,-1 0 0,0 0 0,1-1 0,-1 1 0,0 0 0,1 0 0,-1 0 0,0 0 0,0 0 0,0 0 0,0 0 0,0 0 0,0 0 0,0 0 0,0-1 0,0 1 0,-1 0 0,1 0 0,0 0 0,0 0 0,-1 0 0,0 1 0,1-1-3,0 0-1,0-1 1,-1 1 0,1 0-1,0 0 1,-1 0 0,1-1-1,0 1 1,-1-1-1,1 1 1,-1 0 0,0 0-1,1-1 1,-1 1 0,1 0-1,-1-1 1,1 1-1,0-1 1,-1 1 0,0-1-1,-1 1 1,1 0 11,1-1 1,-1 0-1,0-1 0,0 1 1,1 0-1,-1 0 1,0 0-1,1 0 1,-1 0-1,0-1 0,1 1 1,-1 0-1,0-1 1,1 1-1,-1 0 1,1-1-1,0 1 0,0-1 1,-1 1-1,1-1 1,-1 0-1,-2-2-156,1 1 1,-1-1-1,1 0 1,0-1-1,1 2 0,0-1 1,-1-1-1,1 0 1,-2-3-1,-1-21-6678</inkml:trace>
  <inkml:trace contextRef="#ctx0" brushRef="#br0" timeOffset="8162.49">2978 1902 24575,'-6'24'0,"6"-24"0,0 1 0,0-1 0,0 0 0,-1 1 0,1-1 0,0 0 0,0 1 0,0-1 0,-1 1 0,1-1 0,0 0 0,0 0 0,-1 1 0,1-1 0,0 0 0,-1 1 0,1-1 0,0 0 0,-1 0 0,1 0 0,0 1 0,-1-1 0,1 0 0,0 0 0,-1 0 0,1 0 0,-1 0 0,1 0 0,0 0 0,-1 0 0,1 0 0,0 0 0,0 0 0,0 0 0,-1 0 0,1 0 0,-1 0 0,1 0 0,0 0 0,-1 0 0,1 0 0,0 0 0,-1-1 0,1 1 0,0 0 0,-1 0 0,1-1 0,0 1 0,-1 0 0,1 0 0,0-1 0,-1 1 0,1 0 0,0-1 0,0 1 0,0 0 0,-1-1 0,1 0 0,0 0 0,-1 0 0,1 0 0,-1 0 0,1 0 0,0 0 0,-1 0 0,1 0 0,0 1 0,0-1 0,0 0 0,0 0 0,0 0 0,0 0 0,0 0 0,0 0 0,1 0 0,-1 0 0,0 0 0,0 0 0,1 0 0,-1 0 0,1 0 0,3 0 0,-7 14 0,6-12 0,-1 0 0,0 0 0,1 0 0,0-1 0,0 1 0,0 0 0,0-1 0,-1 1 0,1-1 0,1 0 0,2-1 0,-1 1 0,0 1 0,0-1 0,0 1 0,1 0 0,-2 0 0,2 1 0,-1 0 0,-1-1 0,1 1 0,0 0 0,-1 1 0,1-1 0,0 1 0,-1 1 0,0-2 0,0 2 0,0 0 0,-1 0 0,1-1 0,-1 1 0,1 0 0,3 9 0,-3-6 0,0 2 0,-1-2 0,-1 2 0,0-1 0,0 1 0,0-1 0,-1 0 0,0 1 0,-1-1 0,0 1 0,0 0 0,-1 0 0,-2 10 0,-3 6 7,0-2 0,-1-1 0,-1 2 0,-13 21 0,-51 85-1407,-19 10-5426</inkml:trace>
  <inkml:trace contextRef="#ctx0" brushRef="#br0" timeOffset="9005.41">283 1524 24575,'10'0'0,"24"0"0,46-2 0,57-20 0,69-18 0,81-20 0,68-16-3270,52-12 3270,31-1-3576,-3 4 3576,-23 16 0,-52 14-1689,-77 17 1689,-101 13 0,-94 19 0,-62 10 344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7.41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0 842 24575,'2'6'0,"-1"1"0,2 0 0,0 0 0,-1-1 0,2 1 0,-1-1 0,1 0 0,0 0 0,0 0 0,1 0 0,6 5 0,0 3 0,-6-8 0,0-1 0,1 1 0,0-1 0,-1 1 0,1-2 0,1 1 0,-1-1 0,1 1 0,0-1 0,0-1 0,15 6 0,-17-7 0,-1-1 0,2 0 0,-2 0 0,2 0 0,-2-1 0,2 0 0,-2 0 0,2 0 0,-1 0 0,0 0 0,0-1 0,0 0 0,0 0 0,0 0 0,0-1 0,-1 1 0,1-1 0,-1 0 0,1 0 0,5-4 0,5-4 0,-3 0 0,2 0 0,-2-1 0,-1-1 0,0 0 0,-1 0 0,1-1 0,-2 0 0,0 0 0,6-17 0,1-3 0,-1 0 0,-4-1 0,11-48 0,-6-7 0,-5 0 0,-4-1 0,-8-117 0,-5 135 0,3 61 0,-1 18 0,-1 29 0,3 39 0,4 1 0,4-1 0,4 0 0,28 107 0,-29-149-273,2-1 0,0 0 0,4-1 0,26 45 0,8-7-6553</inkml:trace>
  <inkml:trace contextRef="#ctx0" brushRef="#br0" timeOffset="331.45">357 757 24575,'80'-43'0,"24"-17"0,-3-3 0,180-151 0,-236 179 0,-44 34 0,-1 1 0,1-1 0,-1 1 0,1-1 0,-1 1 0,1-1 0,1 1 0,-2 0 0,1-1 0,0 1 0,-1 0 0,1-1 0,0 1 0,-1 0 0,1 0 0,0 0 0,0 0 0,-1 0 0,2 0 0,-1 0 0,0 0 0,-1 0 0,1 0 0,0 0 0,-1 0 0,1 0 0,0 1 0,0-1 0,-1 0 0,2 1 0,-1-1 0,-1 0 0,1 1 0,-1-1 0,1 1 0,-1-1 0,1 1 0,0-1 0,-1 1 0,0-1 0,1 1 0,-1 0 0,1-1 0,-1 1 0,0-1 0,2 1 0,-2 0 0,0 0 0,0-1 0,1 1 0,-1 0 0,0-1 0,0 1 0,0 0 0,0 1 0,1 6 0,0 1 0,-1 0 0,-1 15 0,1-18 0,-2 39 0,7 82 0,-3-111 0,2 0 0,-1 0 0,2-1 0,0 1 0,2-1 0,0 0 0,-1 0 0,18 23 0,-21-34 0,1 1 0,-1-1 0,2 0 0,-2 0 0,2 0 0,-1-1 0,1 1 0,-1-1 0,1 0 0,0 0 0,0 0 0,0-1 0,1 1 0,0-1 0,-1 0 0,1-1 0,-1 1 0,1-1 0,0 0 0,0 0 0,0-1 0,6 1 0,-4-2 0,-1 0 0,1 0 0,-1-1 0,0 0 0,0 0 0,0 0 0,0 0 0,-1-1 0,1 0 0,0-1 0,-1 1 0,0-1 0,0 0 0,0-1 0,-1 1 0,0-1 0,7-8 0,-4 3-341,0 1 0,-1-1-1,5-11 1,13-31-6485</inkml:trace>
  <inkml:trace contextRef="#ctx0" brushRef="#br0" timeOffset="424.37">1071 101 24575,'-8'0'0,"2"0"0</inkml:trace>
  <inkml:trace contextRef="#ctx0" brushRef="#br0" timeOffset="1188.76">1333 376 24575,'1'22'0,"3"0"0,0-1 0,11 33 0,-12-42 0,-2-8 0,2 7 0,1 1 0,-1-1 0,12 18 0,-15-27 0,1-1 0,0 1 0,-1-1 0,1 0 0,1 0 0,-2 1 0,1-1 0,0 0 0,0 0 0,0 0 0,0 0 0,0 0 0,0 0 0,1 0 0,-1 0 0,1 0 0,-1 0 0,0-1 0,1 1 0,0 0 0,-1-1 0,1 0 0,-1 1 0,1-1 0,-1 0 0,1 1 0,0-1 0,-1 0 0,1 0 0,-1 0 0,2 0 0,-2 0 0,1-1 0,-1 1 0,0 0 0,1-1 0,0 1 0,0-1 0,-1 1 0,2-2 0,6-4 0,-1-1 0,0 1 0,0-2 0,0 1 0,-1-1 0,-1 0 0,1 0 0,9-16 0,4-5 0,-2 3 0,-10 14 0,0 0 0,1 1 0,0-1 0,1 2 0,0-1 0,1 1 0,22-15 0,-33 25 0,1-1 0,0 1 0,-1-1 0,1 1 0,0 0 0,-1-1 0,1 1 0,1 0 0,-2 0 0,1-1 0,0 1 0,0 0 0,-1 0 0,1 0 0,0 0 0,0 0 0,-1 0 0,1 0 0,0 0 0,1 0 0,-1 0 0,-1 1 0,1-1 0,0 0 0,-1 0 0,1 1 0,0-1 0,1 1 0,0 1 0,-1-1 0,0 1 0,0-1 0,0 1 0,0-1 0,0 1 0,0-1 0,-1 1 0,2 0 0,-2 0 0,1-1 0,0 3 0,0 8 0,1 0 0,-2 24 0,0-30 0,0-5 0,0 13 0,1 0 0,4 23 0,-5-34 0,0-1 0,1 1 0,0-1 0,-1 1 0,1-1 0,0 1 0,0-1 0,1 0 0,-1 0 0,1 1 0,-1-1 0,1 0 0,-1 0 0,2 0 0,-1 0 0,0-1 0,-1 1 0,2 0 0,0-1 0,-1 1 0,5 1 0,-5-2 0,-1-1 0,2 0 0,-1 0 0,-1 0 0,1 0 0,-1 0 0,2 0 0,-1 0 0,-1 0 0,1-1 0,0 1 0,0-1 0,0 1 0,-1-1 0,1 1 0,-1-1 0,0 0 0,2 0 0,-2 0 0,0 0 0,1 0 0,-1 0 0,0 0 0,1 0 0,-1 0 0,1-2 0,28-39 0,-29 40 0,14-24 0,-7 12 0,0 0 0,1 0 0,1 0 0,13-15 0,-19 26 0,-2 0 0,1 1 0,0-1 0,0 1 0,0 0 0,1-1 0,-1 1 0,1 1 0,0-1 0,-1 0 0,1 1 0,0-1 0,0 1 0,0 0 0,1 1 0,-2-1 0,2 0 0,-1 1 0,-1 0 0,2 0 0,-1 0 0,0 0 0,8 2 0,12 4 0,-1 1 0,32 14 0,-30-11 0,47 13 0,-64-21 0,1 0 0,0-1 0,0 0 0,0 0 0,0-1 0,-1 0 0,1 0 0,0-1 0,14-3 0,-12 2 0,-2-1 0,1-1 0,-1 1 0,1-2 0,-1 1 0,-1-1 0,1 0 0,-2 0 0,2-1 0,-2 0 0,1-1 0,-1 1 0,0-1 0,-1-1 0,0 1 0,0-1 0,-1 0 0,1 0 0,-2 0 0,4-10 0,0-1 0,-1 0 0,-2 0 0,0-1 0,-2 1 0,1-1 0,-2 0 0,-2 0 0,-1-23 0,0 32 0,0 1 0,-1 0 0,-7-20 0,9 28 0,0 1 0,-1-1 0,1 1 0,0-1 0,-1 1 0,0 0 0,1-1 0,-1 1 0,0 0 0,0-1 0,0 1 0,-1 0 0,1 0 0,0-1 0,0 1 0,0 0 0,0 0 0,0 0 0,-2 1 0,2-1 0,0 0 0,-1 0 0,1 1 0,0-1 0,-2 1 0,2-1 0,-1 1 0,1 0 0,-1-1 0,1 1 0,-2 0 0,1 0 0,1 0 0,-4 0 0,2 1 0,1 0 0,0 0 0,-1 0 0,1 0 0,0 0 0,0 1 0,0-1 0,0 1 0,0-1 0,1 1 0,-1-1 0,-1 1 0,2 0 0,0 0 0,0 0 0,-2 2 0,-18 39 0,15-22 0,-1 1 0,2-1 0,1 1 0,0 0 0,2 0 0,1 0 0,4 39 0,-1-56 0,-1 1 0,0 0 0,1-1 0,-1 1 0,1-1 0,1 1 0,0-1 0,0 0 0,1 0 0,-1 0 0,1 0 0,-1-1 0,1 1 0,1-1 0,-1 0 0,8 4 0,-4-3 0,-1-1 0,1 1 0,1-2 0,0 1 0,-1-1 0,1 0 0,0-1 0,1 0 0,-1 0 0,10 0 0,11 0 0,0-2 0,-1 0 0,2-2 0,-2-1 0,55-12 0,-47 7-341,-1-2 0,0-2-1,59-25 1,-28 1-6485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6.42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396 498 24575,'0'-15'0,"0"-12"0,0 0 0,-3-1 0,-8-43 0,9 63 0,0 0 0,-2 1 0,1-1 0,0 1 0,-1 0 0,0 0 0,-1 0 0,0 0 0,0 1 0,-1 0 0,0 0 0,0 0 0,-1 0 0,1 1 0,-1 0 0,0 0 0,-9-4 0,13 7 0,0 0 0,-2 1 0,2-1 0,-2 0 0,2 1 0,-2 0 0,2 0 0,-1 0 0,-1 0 0,2 1 0,-2 0 0,1-1 0,0 1 0,0 0 0,-1 1 0,1-1 0,0 1 0,0 0 0,1-1 0,-2 2 0,1-1 0,0 0 0,1 1 0,-2-1 0,2 1 0,0 0 0,-1 0 0,1 1 0,-1-1 0,1 0 0,0 1 0,1 0 0,-2 0 0,2 0 0,-5 6 0,-5 9 0,-1 0 0,2 1 0,1 1 0,1 0 0,-6 20 0,-4 15 0,2 1 0,4 1 0,-11 96 0,22-112 0,1 0 0,2 0 0,2 0 0,3 0 0,21 79 0,-20-100 0,1 1 0,1-2 0,0 1 0,2-1 0,0 0 0,27 32 0,-30-43 0,-1 0 0,2 0 0,-1 0 0,1-1 0,0-1 0,1 1 0,0-1 0,0-1 0,0 1 0,0-1 0,2-1 0,-1 0 0,0 0 0,0-1 0,20 3 0,-17-5 0,1 0 0,-2-1 0,2 0 0,0-1 0,-2 0 0,2-1 0,-2 0 0,2-1 0,-2-1 0,16-5 0,-11 2 0,1-1 0,-1-1 0,-2-1 0,1 0 0,0-1 0,24-19 0,-22 13 0,0-2 0,-1 1 0,-1-2 0,-2 0 0,1-1 0,-2 0 0,-1-1 0,-2 0 0,1-1 0,10-39 0,-16 38 0,-1 0 0,-1 0 0,-1 0 0,-2 0 0,-2-25 0,-1 33 0,-1 18 0,-1 26 0,5-13 0,0 0 0,2 0 0,-1 0 0,2 0 0,0-1 0,1 0 0,1 1 0,1-2 0,-1 1 0,2-1 0,11 16 0,-14-24 0,-2 0 0,2 0 0,-1-1 0,1 1 0,0-1 0,0 0 0,1 0 0,-1-1 0,1 1 0,-1-1 0,2 0 0,-1 0 0,1-1 0,-1 0 0,0 0 0,1 0 0,-1 0 0,1-1 0,0 0 0,0-1 0,1 1 0,-2-1 0,1 0 0,0-1 0,-1 1 0,1-1 0,0 0 0,0-1 0,-1 0 0,9-3 0,-6 2 0,0-1 0,0 0 0,-1 0 0,0 0 0,0-1 0,0-1 0,-1 1 0,0-1 0,0 0 0,0 0 0,-1-1 0,0 0 0,0 0 0,-1 0 0,0 0 0,-1-1 0,1 0 0,-2 0 0,0 0 0,0 0 0,0 0 0,-1 0 0,-1-1 0,1 1 0,-1-1 0,-1-16 0,-7 3 0,7 22 0,0 0 0,0-1 0,-1 1 0,1 0 0,0-1 0,-1 1 0,1 0 0,0 0 0,-1-1 0,1 1 0,0 0 0,-2 0 0,2-1 0,0 1 0,-1 0 0,1 0 0,-1 0 0,1 0 0,0 0 0,-1 0 0,1 0 0,-1 0 0,1 0 0,0 0 0,-1 0 0,1 0 0,-1 0 0,0 0 0,-1 1 0,1-1 0,0 1 0,0 0 0,0 0 0,1 0 0,-1 0 0,0 0 0,0 0 0,-1 0 0,2 0 0,-1 1 0,1-1 0,-1 0 0,1 0 0,-1 1 0,1-1 0,0 0 0,-1 0 0,1 1 0,0-1 0,0 0 0,0 1 0,0-1 0,0 0 0,0 1 0,1 1 0,1 5 0,1-1 0,-1 1 0,0-1 0,1 0 0,1 0 0,0 0 0,0 0 0,0-1 0,2 1 0,-2-1 0,2 0 0,0 0 0,-1-1 0,2 0 0,0 1 0,-1-2 0,1 1 0,0-1 0,1 0 0,0 0 0,-2-1 0,2 0 0,15 4 0,-16-5 0,-1 0 0,2 0 0,-1 0 0,1-1 0,-2 0 0,2 0 0,0-1 0,-1 0 0,1 0 0,0 0 0,-2-1 0,2 0 0,-1 0 0,1-1 0,-1 0 0,1 0 0,-2 0 0,1-1 0,0 0 0,0 0 0,-1-1 0,0 0 0,0 0 0,0 0 0,0 0 0,-2-1 0,10-8 0,-6 2 0,0 0 0,-2 0 0,1 0 0,-1-1 0,-1 0 0,0 0 0,-1 0 0,0-1 0,-1 1 0,-1-1 0,-1 1 0,2-22 0,-3 26 0,-1-1 0,-1 1 0,1-1 0,0 1 0,-1 0 0,-1-1 0,0 1 0,0 0 0,-2 0 0,2 1 0,-1-1 0,-2 1 0,0 0 0,2 0 0,-3 0 0,1 1 0,0-1 0,-1 1 0,-12-7 0,17 11 0,-2 0 0,2 1 0,-1-1 0,0 1 0,0 0 0,0-1 0,-1 2 0,1-1 0,1 0 0,-2 0 0,1 1 0,0 0 0,-1-1 0,1 1 0,-1 0 0,1 1 0,0-1 0,-1 0 0,1 1 0,-4 1 0,5-2 0,1 1 0,-1 0 0,0 0 0,0 0 0,1 0 0,0 0 0,0 0 0,0 1 0,-2-1 0,2 0 0,0 1 0,1-1 0,-1 0 0,0 1 0,0-1 0,1 1 0,-1 0 0,0-1 0,1 1 0,0-1 0,-2 1 0,2 0 0,0-1 0,0 1 0,0 0 0,0-1 0,0 1 0,0 0 0,0-1 0,2 1 0,-2 0 0,1-1 0,-1 1 0,1-1 0,0 1 0,1 2 0,-1-2 0,0 1 0,1 0 0,0 0 0,-1-1 0,1 1 0,0-1 0,1 1 0,-1-1 0,0 0 0,0 0 0,1 0 0,0 0 0,-1 0 0,2 0 0,-2-1 0,1 1 0,1-1 0,5 2 0,3 1 0,0-2 0,2 1 0,22 0 0,-26-2 0,-1 0 0,1 0 0,-1 0 0,0 1 0,1 0 0,-1 1 0,9 3 0,-9 0 0,0 0 0,0 1 0,-1-1 0,0 2 0,0-1 0,-2 1 0,9 9 0,-8-8 0,1 0 0,-2-1 0,3 0 0,-1 0 0,13 7 0,-17-13 0,-1 0 0,1 0 0,0 0 0,0-1 0,0 1 0,0-1 0,0 0 0,1 0 0,-1 0 0,-1-1 0,2 1 0,-1-1 0,1 0 0,-1 0 0,0 0 0,0-1 0,1 1 0,-1-1 0,4-1 0,-1 0 0,0-1 0,-2 1 0,2-1 0,-1 0 0,-1-1 0,1 1 0,-1-1 0,1 0 0,-1 0 0,0 0 0,0-1 0,-1 0 0,0 0 0,0 0 0,-1 0 0,1 0 0,-1-1 0,1 1 0,-2-1 0,0 0 0,0 0 0,2-9 0,0-3 0,1 0 0,-3 0 0,0 0 0,-2 0 0,0 0 0,-3-29 0,1 37 0,-1-1 0,0 0 0,-9-20 0,12 29 0,-2 0 0,2-1 0,-1 2 0,0-1 0,0 0 0,0 0 0,0 0 0,0 0 0,-2 1 0,2-1 0,0 0 0,-1 1 0,1-1 0,-1 1 0,-1 0 0,2-1 0,-1 1 0,0 0 0,-1 0 0,1 0 0,0 0 0,0 1 0,-1-1 0,1 0 0,0 1 0,0-1 0,-5 1 0,6 0 0,-1 1 0,-1-1 0,1 1 0,1-1 0,-1 1 0,-1 0 0,2 0 0,-1-1 0,1 1 0,-1 0 0,1 1 0,-1-1 0,0 0 0,1 0 0,0 0 0,0 1 0,-1-1 0,0 1 0,1-1 0,1 1 0,-1-1 0,0 1 0,0 0 0,1-1 0,-1 1 0,1 0 0,-1 0 0,1-1 0,0 1 0,-1 0 0,1 0 0,0 0 0,0-1 0,1 4 0,-1 0 0,1 0 0,-1-1 0,1 1 0,0 0 0,0 0 0,1-1 0,0 1 0,0-1 0,0 1 0,1-1 0,4 7 0,-1-5 0,1-1 0,-2 0 0,2-1 0,0 1 0,-1-1 0,2 0 0,-1-1 0,1 1 0,0-1 0,0 0 0,0-1 0,-1 0 0,11 2 0,-4-1 0,1 1 0,-2 0 0,15 7 0,-23-8 0,-1 0 0,-1 0 0,2 1 0,-2-1 0,1 1 0,0 0 0,-2-1 0,2 1 0,-1 1 0,-1-1 0,1 0 0,-1 1 0,0-1 0,0 1 0,0-1 0,-1 1 0,0 0 0,1 5 0,-2-5 0,1 0 0,0 0 0,2 0 0,-2 0 0,1 0 0,0-1 0,0 1 0,2-1 0,-2 1 0,1-1 0,1 0 0,-1 0 0,1 0 0,0 0 0,6 5 0,-6-8 0,-2 0 0,0 0 0,1-1 0,0 1 0,0-1 0,-1 1 0,2-1 0,-2 0 0,1 0 0,0 0 0,0 0 0,-1 0 0,1-1 0,0 1 0,0-1 0,-1 1 0,1-1 0,0 0 0,-1 0 0,0 0 0,2 0 0,-2-1 0,0 1 0,3-3 0,9-4 0,-1-2 0,21-17 0,-32 25 0,9-8 0,0 0 0,-1-2 0,-1 1 0,0-1 0,0 0 0,-2 0 0,10-20 0,-14 26 0,0 1 0,-1-1 0,0 0 0,-1 1 0,0-1 0,0 0 0,1 0 0,-1 0 0,-1 0 0,0 0 0,-1 0 0,1 0 0,-2 0 0,1 0 0,0 0 0,-1 0 0,0 1 0,-1-1 0,-4-9 0,7 14 0,-2 0 0,1 0 0,1-1 0,-1 1 0,1 0 0,-1 0 0,0 0 0,0 0 0,0 0 0,0 0 0,-1 0 0,1 1 0,0-1 0,0 0 0,0 0 0,0 1 0,0-1 0,0 0 0,0 1 0,-1 0 0,0-1 0,1 1 0,0 0 0,-1-1 0,1 1 0,-1 0 0,1 0 0,-1 0 0,1 0 0,0 0 0,0 0 0,-2 1 0,2-1 0,0 0 0,-1 1 0,1-1 0,0 0 0,0 1 0,-1 0 0,1-1 0,0 1 0,0 0 0,-1-1 0,1 1 0,1 0 0,-1 0 0,-2 1 0,-1 3 0,-1-1 0,2 1 0,-2 0 0,2 0 0,0 0 0,0 1 0,1-1 0,-1 1 0,-1 6 0,2-6 0,0 0 0,1 1 0,0-1 0,1 0 0,-1 0 0,1 1 0,0-1 0,1 0 0,0 0 0,0 0 0,0 1 0,0-1 0,1 0 0,1 0 0,5 8 0,-5-8 0,1-1 0,2 1 0,-1-1 0,0 0 0,1 0 0,-1-1 0,1 1 0,1-1 0,-2-1 0,2 1 0,0-1 0,0 0 0,-1 0 0,12 3 0,-8-3 0,-1 0 0,2 0 0,-1-1 0,0 0 0,0-1 0,0 0 0,0 0 0,0-1 0,0 0 0,1 0 0,-1-1 0,0-1 0,0 1 0,0-1 0,-1-1 0,1 0 0,0 0 0,-1 0 0,0-1 0,0-1 0,0 1 0,-1-1 0,1-1 0,-1 1 0,0-1 0,-1 0 0,0-1 0,0 0 0,0 0 0,8-12 0,-5 4 0,-1-1 0,13-32 0,-14 29 0,23 77 0,-27-53 0,-1 0 0,2 0 0,-2-1 0,2 1 0,-1-1 0,2 1 0,-2-1 0,2-1 0,-2 1 0,2-1 0,1 1 0,-2-1 0,1-1 0,1 1 0,-2-1 0,2 0 0,0 0 0,-2-1 0,2 0 0,0 0 0,0 0 0,-1 0 0,1-1 0,9-1 0,-8 0 0,0 0 0,-1-1 0,1 1 0,-1-2 0,1 1 0,0-1 0,-1 0 0,-1 0 0,1-1 0,0 0 0,0 0 0,-2 0 0,2-1 0,-1 0 0,-1 0 0,1 0 0,-2 0 0,1-1 0,-1 0 0,7-10 0,-4 3 0,0-1 0,-1 0 0,-1 1 0,-1-2 0,5-27 0,-9 42 0,0 0 0,0-1 0,0 1 0,0 0 0,0 0 0,0 0 0,0-1 0,0 1 0,1 0 0,-1 0 0,0 0 0,0 0 0,0-1 0,0 1 0,0 0 0,0 0 0,0 0 0,0 0 0,0-1 0,1 1 0,-1 0 0,0 0 0,0 0 0,0 0 0,0 0 0,0 0 0,1-1 0,-1 1 0,0 0 0,0 0 0,0 0 0,0 0 0,1 0 0,-1 0 0,0 0 0,0 0 0,0 0 0,1 0 0,-1 0 0,0 0 0,0 0 0,0 0 0,13 7 0,17 26 0,-5-6 0,-15-19 0,0 0 0,0-1 0,1 1 0,0-2 0,1 1 0,0-2 0,0 1 0,1-1 0,-1-1 0,2 0 0,21 4 0,-30-7 0,2-1 0,0 1 0,-1-1 0,1 0 0,0 0 0,0-1 0,-1 0 0,1 0 0,0 0 0,0-1 0,-2 0 0,2 0 0,-1 0 0,0-1 0,0 1 0,0-1 0,-1-1 0,1 1 0,-1-1 0,0 0 0,1 0 0,-2 0 0,1 0 0,-1-1 0,5-6 0,-1-2 0,0 1 0,-1-1 0,-1 0 0,0-1 0,0 0 0,-2 0 0,-1 0 0,1 0 0,-2 0 0,0 0 0,-1-16 0,-2-5 0,0 0 0,-3 1 0,-12-48 0,11 61 0,-17-63 0,19 75 0,-1-1 0,0 1 0,-1 0 0,1 0 0,-2 1 0,-7-11 0,13 18 0,0 1 0,-2 0 0,2-1 0,0 1 0,0-1 0,0 1 0,-1 0 0,1-1 0,0 1 0,0 0 0,-1-1 0,1 1 0,0 0 0,0-1 0,-1 1 0,1 0 0,0 0 0,-1 0 0,1-1 0,-1 1 0,1 0 0,0 0 0,-1 0 0,1 0 0,-1-1 0,1 1 0,0 0 0,-2 0 0,2 0 0,-1 0 0,1 0 0,-1 0 0,1 0 0,0 0 0,-1 0 0,1 1 0,-1-1 0,1 0 0,0 0 0,-1 0 0,1 0 0,-1 1 0,1-1 0,0 0 0,-1 0 0,1 1 0,0-1 0,-2 0 0,-7 22 0,4 19 0,0 0 0,3-1 0,1 1 0,10 67 0,-8-94 0,1 0 0,2 1 0,0-1 0,1 0 0,-1-1 0,2 1 0,15 24 0,-17-32 0,0-1 0,-1 0 0,2 0 0,1 0 0,-2-1 0,2 1 0,-2-1 0,2 0 0,-1 0 0,2-1 0,-1 1 0,0-1 0,0 0 0,1-1 0,0 1 0,-1-1 0,1-1 0,0 1 0,0-1 0,9 1 0,-10-2-195,-1 1 0,0-2 0,0 1 0,0 0 0,0-1 0,8-2 0,22-10-6631</inkml:trace>
  <inkml:trace contextRef="#ctx0" brushRef="#br0" timeOffset="137.26">3465 244 24575,'4'0'0,"13"-7"0,17-3 0,17-17 0,14-11 0,11-7 0,9 4 0,2 7 0,-14 7-8191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0.2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340 171 24575,'-1'-5'0,"0"-1"0,-1 1 0,0 0 0,0 0 0,-1 0 0,0 1 0,1-1 0,-7-7 0,-4-5 0,11 13 0,0 0 0,0-1 0,-2 1 0,1 1 0,1-1 0,-3 0 0,2 1 0,-1 0 0,0-1 0,0 1 0,0 1 0,-1-1 0,1 0 0,-1 1 0,1 0 0,-1 0 0,0 0 0,0 0 0,0 1 0,0 0 0,-6-1 0,4 2 0,2 0 0,-1 0 0,0 1 0,1 0 0,-1 0 0,0 0 0,1 0 0,-1 1 0,1 0 0,0 0 0,0 0 0,-1 0 0,1 1 0,1 0 0,-1 0 0,1 0 0,-1 1 0,1-1 0,-5 6 0,-1 2 0,0 1 0,1 0 0,1 1 0,0-1 0,0 1 0,2 1 0,0-1 0,1 1 0,1 0 0,-1 0 0,0 15 0,-2 21 0,-1 89 0,8-113 0,1-1 0,1 0 0,2 1 0,0-1 0,2 0 0,15 39 0,-17-56 0,-1-1 0,1 1 0,1-1 0,-1 0 0,2-1 0,0 1 0,-1-1 0,1 0 0,1 0 0,12 9 0,-14-12 0,1 0 0,1 0 0,-2 0 0,2-1 0,0 0 0,0 0 0,-1 0 0,1-1 0,0 0 0,0 0 0,-1 0 0,1-1 0,0 0 0,0 0 0,13-2 0,-6-1 0,1 0 0,0-1 0,-2 0 0,1-1 0,-1-1 0,1 0 0,-2 0 0,0-1 0,1-1 0,-1 0 0,-1 0 0,-1-1 0,2 0 0,-2-1 0,13-17 0,-7 8 0,-1-1 0,-2 0 0,1-1 0,-3 0 0,0-1 0,-1 0 0,12-44 0,-17 46 0,-1-1 0,-1 1 0,-1-1 0,-1 0 0,-1 1 0,-1-1 0,-1 0 0,-1 1 0,-1 0 0,-14-38 0,1 33 0,17 25 0,-1-1 0,1 0 0,-1 1 0,1-1 0,-1 1 0,0 0 0,1-1 0,-1 1 0,0-1 0,1 1 0,-1 0 0,-1 0 0,2-1 0,-1 1 0,0 0 0,0 0 0,1 0 0,-1 0 0,0 0 0,-1 0 0,0 1 0,0 0 0,1 0 0,-1 0 0,1 0 0,-1 0 0,0 1 0,1-1 0,-1 0 0,1 1 0,0-1 0,0 1 0,0-1 0,-1 1 0,2 0 0,-1-1 0,0 1 0,1 0 0,-1 0 0,1 0 0,-1-1 0,1 1 0,0 3 0,-5 20 0,2-1 0,1 1 0,1 0 0,1 0 0,2 0 0,0-1 0,11 35 0,-4-24 0,1-1 0,2 0 0,3-1 0,30 52 0,-44-83-29,8 13 80,1-1 0,15 19 0,-22-30-151,0 0 1,1 0 0,-1 0 0,0 0-1,1 0 1,0 0 0,0-1 0,0 0-1,1 0 1,-2 0 0,2 0 0,-1 0-1,0-1 1,8 2 0,17-3-6727</inkml:trace>
  <inkml:trace contextRef="#ctx0" brushRef="#br0" timeOffset="666.72">317 552 24575,'-1'0'0,"1"-1"0,-1 1 0,1 0 0,-1 0 0,1 0 0,-2 0 0,2 0 0,-1 0 0,1 0 0,-1 0 0,1 0 0,-1 0 0,1 0 0,-1 0 0,1 1 0,-1-1 0,1 0 0,-1 0 0,1 0 0,-1 1 0,1-1 0,-2 0 0,2 1 0,0-1 0,-1 0 0,1 1 0,0-1 0,-1 0 0,1 1 0,0-1 0,-1 1 0,1-1 0,0 1 0,0-1 0,-1 1 0,1-1 0,0 1 0,0-1 0,0 1 0,0-1 0,0 1 0,0-1 0,0 1 0,0-1 0,0 1 0,0-1 0,0 2 0,1-1 0,-1 0 0,1 0 0,0 0 0,-1 0 0,1 0 0,1 0 0,-1-1 0,0 1 0,0 0 0,0 0 0,0-1 0,0 1 0,0 0 0,1-1 0,-1 1 0,0-1 0,1 1 0,-1-1 0,0 0 0,0 0 0,1 1 0,0-1 0,0 0 0,11 0 0,0-1 0,0 0 0,0 0 0,0-1 0,0-1 0,-1 0 0,0 0 0,21-9 0,93-47 0,-122 57 0,138-78 0,-123 68 0,-2 0 0,1-1 0,-2-1 0,1-1 0,17-22 0,-29 31 0,-2 0 0,2-1 0,-2 1 0,0-1 0,1 0 0,-2 0 0,0 0 0,2-10 0,-3 15 0,-1 1 0,1-1 0,-1 0 0,0 0 0,0 1 0,0-1 0,0 0 0,0 0 0,0 1 0,-1-1 0,1 0 0,0 0 0,-1 1 0,1-1 0,-1 0 0,-1 1 0,1-1 0,1 1 0,-1-1 0,0 1 0,0-1 0,-1 1 0,1 0 0,-1-1 0,1 1 0,-1 0 0,1 0 0,0 0 0,-1 0 0,0 0 0,0 0 0,0 0 0,1 1 0,-1-1 0,-1 1 0,2-1 0,-1 1 0,0-1 0,-3 1 0,2 0 0,-1 0 0,1 1 0,0-1 0,-2 1 0,2-1 0,0 1 0,-1 0 0,1 0 0,-1 1 0,1-1 0,0 1 0,-1-1 0,2 1 0,-1 0 0,0 0 0,0 0 0,1 0 0,0 1 0,-2-1 0,2 1 0,0-1 0,1 1 0,-2 0 0,1-1 0,1 1 0,-1 0 0,-1 5 0,0-3 0,1 0 0,1 0 0,-2 0 0,2 0 0,0 0 0,0 0 0,0 0 0,1 0 0,-1 1 0,1-1 0,1 0 0,-1 0 0,1 0 0,0 1 0,0-1 0,4 8 0,-2-9 0,1 0 0,-1 0 0,0-1 0,2 0 0,-2 1 0,2-1 0,-2 0 0,2-1 0,-1 1 0,2-1 0,-2 0 0,1 0 0,-1 0 0,2 0 0,-2-1 0,2 0 0,-1 0 0,8 1 0,5 0 0,0 0 0,0-1 0,37-3 0,-42 1 0,1-2 0,-1 1 0,0-1 0,0-1 0,0 0 0,11-6 0,-24 10 0,1-1 0,-1 1 0,2 0 0,-2-1 0,1 1 0,-1 0 0,1 0 0,-1 0 0,1-1 0,-1 1 0,1 0 0,-1 0 0,1 0 0,0 0 0,-1 0 0,1 0 0,-1 0 0,2 0 0,-2 0 0,1 1 0,-1-1 0,1 0 0,-1 0 0,1 0 0,-1 1 0,1-1 0,-1 0 0,1 0 0,-1 1 0,1-1 0,-1 0 0,0 1 0,1-1 0,-1 1 0,2-1 0,-2 0 0,0 1 0,1-1 0,-1 1 0,0-1 0,0 1 0,0-1 0,1 1 0,-1-1 0,0 1 0,0-1 0,0 1 0,0-1 0,0 1 0,0 0 0,0-1 0,0 1 0,0-1 0,0 1 0,0-1 0,0 1 0,-1 0 0,-7 44 0,3-28 0,4-10 0,1 0 0,0-1 0,0 1 0,0-1 0,1 1 0,0 0 0,1-1 0,0 0 0,0 1 0,0-1 0,1 0 0,0 0 0,0 0 0,1 0 0,-1 0 0,2-1 0,-1 1 0,1-1 0,-1 0 0,2-1 0,-2 1 0,2-1 0,1 1 0,7 4 0,-6-5 0,-1 0 0,1-1 0,-1 0 0,1 0 0,0-1 0,0 0 0,0 0 0,1 0 0,-1-1 0,0 0 0,1-1 0,-1 1 0,1-2 0,-2 1 0,2-1 0,-1 0 0,1 0 0,-1-1 0,0 0 0,0 0 0,11-6 0,-4 1 0,-1-1 0,0 0 0,-1-1 0,0-1 0,-1 0 0,-1 0 0,0-1 0,1-1 0,-2 1 0,-1-1 0,0-1 0,-1 0 0,0 0 0,-1 0 0,-1-1 0,5-15 0,-1 0 0,-2-1 0,0 1 0,-3-1 0,-1 0 0,-2-1 0,-3-56 0,1 78 0,-1 0 0,0 0 0,-1 0 0,-1 0 0,1 1 0,-1-1 0,-1 0 0,0 1 0,-1 0 0,-6-10 0,10 16 0,0 1 0,0-1 0,0 1 0,0 0 0,-1-1 0,1 1 0,-1 0 0,1-1 0,0 1 0,-1 0 0,0 0 0,0 0 0,1 0 0,-1 1 0,1-1 0,-1 0 0,-1 1 0,2-1 0,-1 1 0,0-1 0,-1 1 0,2 0 0,-5 0 0,3 0 0,1 1 0,-1 0 0,0 0 0,1 0 0,0 0 0,0 0 0,-1 1 0,1-1 0,0 0 0,0 1 0,-1 0 0,2-1 0,-1 1 0,0 0 0,-2 3 0,-3 6 0,0 0 0,0 0 0,0 1 0,2 0 0,-8 20 0,7-4 0,0 0 0,1 0 0,2 1 0,2-1 0,0 0 0,5 31 0,-1-39 0,0 1 0,0-1 0,3 0 0,0 0 0,1-1 0,1 0 0,1 0 0,1 0 0,15 21 0,-19-33-49,-1 0 1,2 0-1,0 0 0,0-1 0,1 0 1,-2 0-1,2 0 0,1-1 0,-1 0 1,1-1-1,0 1 0,0-1 0,0-1 1,0 0-1,1 0 0,-1 0 0,1-1 1,0-1-1,-1 1 0,1-1 0,1-1 1,-1 0-1,0 0 0,0-1 0,0 0 0,0 0 1,16-5-1,43-14-6777</inkml:trace>
  <inkml:trace contextRef="#ctx0" brushRef="#br0" timeOffset="886.61">1935 298 24575,'4'0'0,"5"0"0,14 0 0,18 0 0,20-7 0,10-3 0,10-10 0,3-2 0,0-4 0,-15 2-8191</inkml:trace>
  <inkml:trace contextRef="#ctx0" brushRef="#br0" timeOffset="1074.74">2101 44 24575,'4'0'0,"14"7"0,3 13 0,11 15 0,0 11 0,-6 13 0,1 10 0,-5 8 0,-5-1 0,2-4 0,-2-14-8191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7.1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 23892,'0'130'0,"130"-130"0,-130-130 0,-130 130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2.35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224 423 24575,'2'-4'0,"0"0"0,-1-1 0,1 0 0,0 1 0,-1-1 0,0 0 0,0 1 0,-1-1 0,0 0 0,0 0 0,0 1 0,-1-1 0,-1-9 0,2 13 0,-2-1 0,1 0 0,1 1 0,-1-1 0,0 1 0,1-1 0,-1 1 0,0 0 0,0-1 0,0 1 0,-1 0 0,0-1 0,1 1 0,0 0 0,0 0 0,-1 0 0,0 0 0,0 0 0,1 1 0,-1-1 0,1 0 0,-2 1 0,2-1 0,-1 1 0,0-1 0,1 1 0,-2 0 0,1 0 0,1 0 0,-1 0 0,0 0 0,0 0 0,0 0 0,0 0 0,1 1 0,-1-1 0,0 0 0,0 1 0,1 0 0,-1-1 0,-3 2 0,0 1 0,-2-1 0,0 1 0,2 0 0,-2 1 0,1-1 0,1 1 0,-1 0 0,0 1 0,2-1 0,-7 7 0,10-9 0,-2 0 0,2 0 0,-1 0 0,1 0 0,0 0 0,0 0 0,-1 1 0,1-1 0,0 0 0,1 0 0,-1 1 0,1-1 0,0 0 0,-1 1 0,1-1 0,0 1 0,0-1 0,0 0 0,1 1 0,-1-1 0,1 1 0,-1-1 0,1 0 0,0 1 0,1-1 0,-1 0 0,0 0 0,0 0 0,0 0 0,4 3 0,-1 0 0,1-1 0,0 0 0,0 0 0,0-1 0,1 1 0,0-1 0,-1 0 0,2 0 0,-1 0 0,0-1 0,0 0 0,7 2 0,15 1 0,46 6 0,-44-8 0,51 6 0,-36-5 0,-1 2 0,80 20 0,-119-25 0,1 0 0,-2 1 0,1-1 0,-1 1 0,1 0 0,-2 0 0,1 1 0,1-1 0,-2 1 0,1 0 0,0 0 0,0 0 0,-1 0 0,-1 1 0,2-1 0,2 5 0,-6-5 0,1 0 0,0 0 0,-1 0 0,2 0 0,-2 0 0,0 0 0,0 0 0,0 0 0,0 0 0,-2 0 0,2 0 0,-1 0 0,0 0 0,0 0 0,0 0 0,0 0 0,0-1 0,-1 1 0,0 0 0,0-1 0,0 1 0,1-1 0,-1 0 0,-6 5 0,-10 10 0,-1-1 0,-2 0 0,0-1 0,0-1 0,-1-1 0,-34 16 0,-153 54 0,191-76 0,13-5-36,-19 7-154,-1 0 0,-1-1 0,1-1 0,-2-1 1,2-1-1,-38 3 0,39-9-6636</inkml:trace>
  <inkml:trace contextRef="#ctx0" brushRef="#br0" timeOffset="1164.33">652 677 24575,'20'-9'0,"0"-1"0,-1-1 0,1 0 0,-2-2 0,0 0 0,29-28 0,-38 32 0,-1 0 0,-1-1 0,0 1 0,0-1 0,0-1 0,-2 1 0,0-1 0,0 0 0,-1 0 0,0 0 0,-1 0 0,-1-1 0,2-18 0,-4 23 0,-1-1 0,0 1 0,0-1 0,0 1 0,-1-1 0,-1 1 0,0 0 0,1 0 0,-2 0 0,0 0 0,0 0 0,-8-8 0,-7-8 0,0 1 0,-25-20 0,9 9 0,31 28 0,-26-21 0,29 25 0,1 1 0,-1 0 0,1-1 0,-1 1 0,1 0 0,-1-1 0,1 1 0,-1 0 0,1 0 0,-1-1 0,1 1 0,-1 0 0,1 0 0,-2 0 0,2 0 0,-1 0 0,0 0 0,1 0 0,-1 0 0,1 0 0,-1 0 0,1 0 0,-1 0 0,0 0 0,1 0 0,-1 1 0,1-1 0,-2 0 0,2 0 0,-1 1 0,1-1 0,-1 0 0,1 1 0,-1-1 0,1 0 0,0 1 0,-1-1 0,1 1 0,0-1 0,-1 1 0,1-1 0,0 1 0,-1-1 0,1 1 0,0-1 0,0 1 0,0-1 0,-1 1 0,1-1 0,0 1 0,0 0 0,0 0 0,-5 20 0,2 1 0,1-1 0,0 1 0,1-1 0,5 25 0,-3-7 0,2 50 0,4 0 0,27 125 0,-32-205 0,0 0 0,1 1 0,1-2 0,-1 1 0,2 0 0,-1-1 0,2 1 0,-1-1 0,8 8 0,-11-14 0,0 0 0,1 0 0,-1 0 0,0-1 0,1 1 0,0-1 0,-1 1 0,1-1 0,0 0 0,0 0 0,0 0 0,0 0 0,0 0 0,0 0 0,1-1 0,-2 0 0,1 1 0,1-1 0,-1 0 0,0 0 0,0-1 0,0 1 0,0 0 0,1-1 0,-2 0 0,1 0 0,1 0 0,-2 0 0,1 0 0,0 0 0,0-1 0,4-2 0,6-5 0,0 0 0,-2 0 0,1-1 0,-2 0 0,2-1 0,-3 0 0,1 0 0,-1-1 0,11-22 0,-9 16 0,2 0 0,0 1 0,20-19 0,-32 35 0,0 0 0,0 0 0,-1 0 0,1 1 0,0-1 0,1 0 0,0 0 0,-1 1 0,0-1 0,0 1 0,0-1 0,0 1 0,1 0 0,0-1 0,-1 1 0,0 0 0,0 0 0,1 0 0,-1 0 0,0 0 0,1 0 0,0 0 0,-1 0 0,0 0 0,0 1 0,1-1 0,0 1 0,1 0 0,32 21 0,-26-15 0,10 8 0,1-1 0,1-1 0,2-1 0,-1-1 0,1 0 0,34 10 0,-50-19 0,0 0 0,1 0 0,-2-1 0,2 0 0,0 0 0,-1-1 0,1 0 0,0 0 0,-1-1 0,0 0 0,12-2 0,-13 1 0,0 0 0,-1 0 0,0-1 0,0 1 0,1-1 0,-2 0 0,1 0 0,-1-1 0,1 1 0,-1-1 0,1 0 0,-2 0 0,2-1 0,-2 1 0,1 0 0,2-8 0,2-5 0,0 0 0,-2-1 0,-1 1 0,1-1 0,-3-1 0,1 1 0,-2 0 0,-1-1 0,-2-23 0,1 46 0,1 0 0,-1 0 0,1 0 0,0 0 0,0 0 0,2 0 0,-2 0 0,1 0 0,0 0 0,0 0 0,1-1 0,-1 1 0,0-1 0,2 0 0,-1 0 0,5 4 0,-1-2 0,-1 0 0,1 0 0,1-1 0,0 0 0,0 0 0,0-1 0,-1 0 0,15 3 0,-8-2 0,0-1 0,0-1 0,1 0 0,-1-1 0,0-1 0,1 0 0,-1 0 0,1-1 0,-1-1 0,0 0 0,23-6 0,-26 4 0,0 0 0,0-1 0,-1 0 0,0-1 0,0 0 0,-1 0 0,0-1 0,0 0 0,0 0 0,-1-1 0,10-11 0,-9 6 0,1 1 0,-2-2 0,0 1 0,-1-1 0,-1 0 0,0 0 0,5-22 0,-6 16 0,-1 0 0,-2 0 0,1 0 0,-3-1 0,0 1 0,-1 0 0,-2-1 0,0 1 0,0 0 0,-3 0 0,-1 1 0,-7-20 0,-12 0 0,26 37 0,-1 1 0,0 0 0,-1 0 0,1 0 0,0 0 0,0 0 0,0 0 0,-1 1 0,1-1 0,-1 0 0,1 0 0,-3 0 0,4 1 0,-1 0 0,0 0 0,1 0 0,-2 0 0,1 0 0,1 0 0,-1 0 0,1 0 0,-1 1 0,0-1 0,1 0 0,-1 0 0,1 1 0,-1-1 0,1 0 0,-1 1 0,1-1 0,-2 0 0,2 1 0,-1-1 0,1 1 0,-1-1 0,1 1 0,0-1 0,-1 1 0,1-1 0,0 1 0,-1-1 0,1 2 0,-5 6 0,2 0 0,0 0 0,0 0 0,1 0 0,0 0 0,1 0 0,-1 14 0,2 64 0,1-70 0,5 75 0,41 173 0,50 84 0,-47-180 0,-28-86 0,-6-20 0,2-1 0,45 96 0,-55-146 0,-3-11 0,2-19 0,-7 15 0,14-67 0,-5 0 0,-3-1 0,-3 0 0,-4 0 0,-4 0 0,-3 1 0,-3-1 0,-42-129 0,44 174 0,-1 0 0,-1 1 0,-17-26 0,23 46 0,1-1 0,-2 0 0,2 1 0,-2 0 0,-1 0 0,-10-8 0,14 12 0,0 0 0,-1-1 0,1 2 0,-2-1 0,2 0 0,0 1 0,-2 0 0,2-1 0,-2 1 0,2 1 0,-2-1 0,1 0 0,0 1 0,-8 0 0,11 0 0,-1 0 0,1 0 0,-1 0 0,1 0 0,0 1 0,-1-1 0,1 0 0,0 1 0,0-1 0,-1 1 0,1-1 0,-1 1 0,1 0 0,0-1 0,0 1 0,0 0 0,-1 0 0,2 0 0,-1 0 0,0 0 0,0 0 0,0 1 0,0-1 0,1-1 0,0 1 0,0 0 0,0 0 0,0-1 0,0 1 0,0 0 0,0 0 0,0-1 0,0 1 0,0 0 0,0 0 0,1-1 0,-1 1 0,0 0 0,0-1 0,1 1 0,-1 0 0,0-1 0,1 1 0,-1 0 0,1-1 0,-1 1 0,1-1 0,-1 1 0,2-1 0,-1 1 0,-1-1 0,1 1 0,-1-1 0,1 1 0,0-1 0,-1 0 0,1 1 0,0-1 0,0 0 0,6 2 0,1 0 0,-1 0 0,0-1 0,-1 0 0,2 0 0,-1 0 0,1-1 0,-1 0 0,0 0 0,0-1 0,0 0 0,1 0 0,-1 0 0,-1-1 0,1 0 0,11-4 0,0-1 0,-1 0 0,0-1 0,0-1 0,-1 0 0,16-13 0,-19 12 0,0-1 0,-1 0 0,0-1 0,0 0 0,-2-1 0,0 0 0,0-1 0,-2 0 0,12-25 0,-15 29 0,-1-1 0,0 0 0,-2 0 0,1 0 0,-2 0 0,2 0 0,-3 0 0,1-1 0,-2 1 0,1 0 0,-3 0 0,2 0 0,-2 0 0,-4-12 0,7 21 0,-1 0 0,1 1 0,-1-1 0,1 1 0,-1-1 0,0 1 0,-1-1 0,1 1 0,0-1 0,0 1 0,0 0 0,0 0 0,0-1 0,0 1 0,-2 0 0,2 0 0,0 0 0,-2 0 0,2 0 0,1 1 0,0 0 0,-2 0 0,2 0 0,-1 0 0,1 1 0,0-1 0,-1 0 0,1 0 0,0 0 0,-1 0 0,1 0 0,0 0 0,-1 1 0,1-1 0,0 0 0,-1 0 0,1 0 0,0 1 0,0-1 0,-1 0 0,1 0 0,0 1 0,0-1 0,-1 0 0,1 1 0,0-1 0,0 1 0,-7 21 0,7-6 0,1 1 0,0-1 0,1 1 0,2-1 0,-1 0 0,12 29 0,48 94 0,-59-130 0,1 0-59,12 25 152,31 46 1,-44-72-219,2-1 1,0 0-1,0 0 1,0 0 0,1-1-1,1 1 1,-2-2 0,2 1-1,0-1 1,0 0-1,18 8 1,3-6-6702</inkml:trace>
  <inkml:trace contextRef="#ctx0" brushRef="#br0" timeOffset="1306.45">2412 381 24575,'5'0'0,"8"0"0,11 0 0,18-7 0,17-3 0,11-6 0,-3-1 0,-12-8 0,-3 0 0,-10 4-8191</inkml:trace>
  <inkml:trace contextRef="#ctx0" brushRef="#br0" timeOffset="1446.55">1389 191 24575,'0'7'0,"8"2"0,16 0 0,14-1 0,1-3-8191</inkml:trace>
  <inkml:trace contextRef="#ctx0" brushRef="#br0" timeOffset="1884.37">2960 296 24575,'8'0'0,"11"0"0,22-7 0,25-2 0,21-8 0,20 0 0,8-4 0,-7 1 0,-15-4 0,-22 3-8191</inkml:trace>
  <inkml:trace contextRef="#ctx0" brushRef="#br0" timeOffset="2054.33">3269 0 24575,'0'11'0,"0"10"0,4 17 0,2 16 0,15 13 0,5 9 0,9 7 0,0 0 0,1-7 0,-5-17-8191</inkml:trace>
  <inkml:trace contextRef="#ctx0" brushRef="#br0" timeOffset="3991.85">1127 1461 24575,'0'-4'0,"5"-1"0,1 8 0,-2 10 0,-7-1 0,-5-9 0,3-5 0,8-3 0,1 4 0,2 5 0,-10 2 0,2 0 0,3-1 0,4 2 0,-10 8 0,-2-3 0</inkml:trace>
  <inkml:trace contextRef="#ctx0" brushRef="#br0" timeOffset="5749.59">1080 1609 24575,'0'-8'0,"5"-1"0,-1 3 0,2 7 0,-6 4 0,-7 0 0,-1-8 0,-1-7 0,10-1 0,9 0 0,4 10 0,-11 5 0,-4-1 0,-3-17 0,0-9 0,4 0 0,3 3-8191</inkml:trace>
  <inkml:trace contextRef="#ctx0" brushRef="#br0" timeOffset="6943.21">1127 1884 24575,'0'0'0,"-1"1"0,1-1 0,-1 1 0,0-1 0,1 0 0,-1 1 0,0-1 0,1 0 0,-1 0 0,0 1 0,1-1 0,-2 0 0,1 0 0,1 0 0,-1 0 0,0 0 0,0 0 0,1 0 0,-1 0 0,0 0 0,-2 0 0,5 0 0,-2-1 0,0 1 0,0 0 0,0 0 0,0 0 0,1 0 0,-1 0 0,0-1 0,0 1 0,0 0 0,0 0 0,0 0 0,0 0 0,1-1 0,-1 1 0,0 0 0,0 0 0,0 0 0,0-1 0,0 1 0,0 0 0,0 0 0,0 0 0,0-1 0,0 1 0,0 0 0,0 0 0,0 0 0,0-1 0,0 1 0,0 0 0,0 0 0,0 0 0,0-1 0,-1 1 0,1 0 0,0 0 0,0 0 0,0 0 0,0-1 0,0 1 0,0 0 0,-1 0 0,1 0 0,0 0 0,0 0 0,0-1 0,0 1 0,-2 0 0,2 0 0,0 0 0,3-1 0,-1 0 0,1 1 0,0-1 0,-1 1 0,1 0 0,-1-1 0,1 1 0,0 0 0,-1 0 0,2 1 0,-2-1 0,0 0 0,2 1 0,-2-1 0,3 2 0,-3-2 0,-1 1 0,0-1 0,0 0 0,0 1 0,0-1 0,-1 1 0,1-1 0,0 1 0,1 0 0,-1-1 0,0 1 0,-1 0 0,1-1 0,0 1 0,-1 0 0,1 0 0,-1 0 0,1 0 0,0 0 0,-1-1 0,0 1 0,1 0 0,-1 0 0,0 0 0,2 0 0,-2 0 0,0 0 0,0 0 0,0 1 0,0-1 0,0 0 0,0 0 0,0 0 0,0 0 0,-2 0 0,2 0 0,-1 1 0,1-1 0,0-1 0,-1 1 0,1 0 0,0-1 0,-1 1 0,1-1 0,0 1 0,-1-1 0,1 1 0,-1-1 0,1 1 0,-1-1 0,0 1 0,1-1 0,-1 0 0,1 1 0,-2-1 0,1 0 0,1 0 0,-1 1 0,0-1 0,1 0 0,-1 0 0,0 0 0,1 0 0,-1 0 0,0 0 0,1 0 0,-2 0 0,1 0 0,1 0 0,-1 0 0,0 0 0,1 0 0,-1-1 0,0 1 0,1 0 0,-1-1 0,0 1 0,1 0 0,-2-1 0,2 1 0,-1 0 0,1-1 0,-1 1 0,0-2 0,1 2 0,-1 0 0,1 0 0,0-1 0,-1 1 0,1-1 0,0 1 0,-1 0 0,1-1 0,0 1 0,-1-1 0,1 1 0,0-1 0,0 1 0,0 0 0,0-1 0,-2 1 0,2-1 0,0 1 0,0-1 0,0 1 0,0-1 0,0 1 0,0-1 0,0 1 0,0-1 0,2 0 0,-2 0 0,1 1 0,0-1 0,-1 0 0,1 1 0,-1-1 0,1 1 0,0-1 0,-1 1 0,1-1 0,0 1 0,1 0 0,-2-1 0,1 1 0,0 0 0,0 0 0,0-1 0,-1 1 0,1 0 0,0 0 0,0 0 0,2 0 0,6 0 14,-8-2-416,-3-2-575</inkml:trace>
  <inkml:trace contextRef="#ctx0" brushRef="#br0" timeOffset="8154.63">961 1503 24575,'0'-2'0,"1"0"0,-1 1 0,0-1 0,1 0 0,0 1 0,-1-1 0,2 0 0,-1 1 0,0-1 0,-1 1 0,1-1 0,1 1 0,-1 0 0,0-1 0,1 1 0,-1 0 0,1 0 0,-1 0 0,0 0 0,1 0 0,0 0 0,0 0 0,0 0 0,-1 0 0,1 1 0,0-1 0,0 1 0,0-1 0,0 1 0,-1 0 0,2 0 0,-1 0 0,0-1 0,3 2 0,0-2 0,1 1 0,1 0 0,-2 1 0,1-1 0,-1 1 0,1 0 0,0 0 0,-1 1 0,0-1 0,0 1 0,7 3 0,-10-4 0,0 1 0,-1-1 0,2 1 0,-1-1 0,-1 1 0,0-1 0,1 1 0,-1 0 0,1 0 0,-1-1 0,0 1 0,0 0 0,0 0 0,0 0 0,-1 0 0,1 0 0,0 1 0,-1-1 0,0 0 0,0 0 0,2 0 0,-2 0 0,-2 0 0,2 1 0,0-1 0,0 0 0,-1 0 0,1 0 0,-1 0 0,0 0 0,0 0 0,1 0 0,-1 0 0,-1 0 0,0 0 0,1-1 0,0 1 0,-1 0 0,1-1 0,-1 1 0,0-1 0,0 1 0,1-1 0,-1 0 0,0 1 0,-1-1 0,1 0 0,0 0 0,0-1 0,-1 1 0,1 0 0,0-1 0,-4 1 0,-12-2 0,18 1 0,-1 0 0,1-1 0,0 1 0,0 0 0,0 0 0,0-1 0,-1 1 0,1 0 0,0-1 0,0 1 0,0 0 0,0 0 0,0-1 0,0 1 0,0 0 0,0-1 0,0 1 0,0 0 0,0-1 0,0 1 0,0 0 0,0-1 0,0 1 0,0 0 0,0 0 0,0-1 0,0 1 0,1 0 0,-1-1 0,1 0 0,0-1 0,-1 1 0,1-1 0,2 1 0,-2 0 0,0 0 0,0 0 0,0 0 0,1 0 0,0 0 0,-1 0 0,1 0 0,-1 0 0,1 0 0,-1 1 0,5-2 0,-4 2 0,1-1 0,-1 1 0,0 0 0,0 0 0,1 0 0,-1 0 0,0 0 0,0 0 0,1 0 0,-2 1 0,1-1 0,0 1 0,0-1 0,1 1 0,-1 0 0,0 0 0,0 0 0,0 0 0,0 0 0,0 0 0,-1 0 0,3 2 0,-3-2 0,0 0 0,-1 0 0,1 0 0,-1 0 0,1 0 0,-1 0 0,1 0 0,-1 1 0,0-1 0,0 0 0,1 0 0,-1 0 0,0 0 0,0 0 0,0 1 0,0-1 0,-1 0 0,1 0 0,0 0 0,0 0 0,-1 1 0,1-1 0,0 0 0,-1 0 0,1 0 0,-1 0 0,0 0 0,1 0 0,-1 0 0,-1 0 0,1-1 0,1 1 0,-1 0 0,0 0 0,0 0 0,0-1 0,0 1 0,-3 0 0,1 2 0,-2-1 0,1 0 0,-1 0 0,1 0 0,-1-1 0,1 1 0,-2-1 0,2 0 0,-7 0 0,9 0 0,1-1 0,-1 0 0,1 0 0,0 1 0,-1-1 0,0 0 0,1 0 0,0 0 0,-1-1 0,1 1 0,0 0 0,-2 0 0,2-1 0,0 1 0,0-1 0,0 1 0,-1-1 0,1 1 0,-1-1 0,1 0 0,0 0 0,0 1 0,0-1 0,0 0 0,0 0 0,0 0 0,1 0 0,-2 0 0,1 0 0,0 0 0,1-1 0,-1 1 0,1 0 0,-1 0 0,0-2 0,1 1 0,1 1 0,-1-1 0,0 1 0,1 0 0,-1-1 0,1 1 0,-1-1 0,1 1 0,0 0 0,-1 0 0,2-1 0,-1 1 0,0 0 0,0 0 0,0 0 0,0 0 0,0 0 0,0 0 0,1 0 0,0 0 0,-1 1 0,0-1 0,0 0 0,1 1 0,0-1 0,0 1 0,-1-1 0,0 1 0,1 0 0,-1 0 0,3-1 0,4 0 0,-2-1 0,2 1 0,-1 0 0,1 1 0,11-1 0,-16 2 0,0-1 0,0 1 0,-1 0 0,1 0 0,0 0 0,-1 0 0,0 0 0,1 0 0,0 1 0,-1-1 0,1 1 0,-2-1 0,1 1 0,0 0 0,3 2 0,-5-3 0,1-1 0,-1 1 0,1 0 0,-1 0 0,1-1 0,-1 1 0,0 0 0,1 0 0,-1-1 0,0 1 0,0 0 0,0 0 0,1 0 0,-1-1 0,0 1 0,0 0 0,0 0 0,0 0 0,0-1 0,-1 1 0,1 0 0,0 0 0,0 0 0,0 0 0,-1-1 0,1 1 0,0 0 0,-1 0 0,1-1 0,-1 1 0,1 0 0,-1-1 0,1 1 0,-1-1 0,1 1 0,-2 0 0,1-1 0,1 1 0,-1-1 0,0 1 0,0-1 0,1 0 0,-1 1 0,0-1 0,0 0 0,-1 1 0,0-1 0,1 0 0,0 1 0,-1-1 0,1 0 0,-2 0 0,2 0 0,0 0 0,-1 0 0,1 0 0,-2-1 0,2 1 0,0 0 0,-1-1 0,1 1 0,0-1 0,-2 1 0,2-1 0,0 1 0,0-1 0,-1 0 0,1 0 0,0 0 0,-1 0 0,1 0 0,0 0 0,0 0 0,0 0 0,1 0 0,-1 0 0,0 0 0,0-1 0,1 1 0,-2 0 0,2-1 0,-1 1 0,1 0 0,0-1 0,-1 1 0,1 0 0,0-1 0,0 1 0,0-1 0,0 1 0,0 0 0,0-1 0,1 1 0,-1-1 0,0 1 0,1 0 0,-1-1 0,2 1 0,-2 0 0,2-2 0,0 0 0,0 1 0,2 1 0,-2-1 0,0 0 0,2 0 0,-2 1 0,1 0 0,1-1 0,-1 1 0,-1 0 0,6-1 0,-7 2 0,0-1 0,0 1 0,1 0 0,-1 0 0,0-1 0,0 1 0,0 0 0,0 0 0,0 0 0,0 0 0,1 0 0,-1 0 0,0 0 0,0 1 0,0-1 0,0 0 0,0 0 0,0 1 0,1-1 0,-1 1 0,0-1 0,0 1 0,0-1 0,0 1 0,0 0 0,-1-1 0,1 1 0,1 0 0,-2-1 0,1 1 0,0 0 0,-1 0 0,1 0 0,-1 0 0,1 0 0,0 1 0,-3 9-1365,-5-1-5461</inkml:trace>
  <inkml:trace contextRef="#ctx0" brushRef="#br0" timeOffset="51151.45">1199 1080 24575,'0'-1'0,"-1"0"0,1 0 0,0 1 0,-1-1 0,1 0 0,0 1 0,-1-1 0,1 0 0,-1 1 0,1-1 0,-1 1 0,1-1 0,-1 1 0,-1-1 0,2 1 0,-1-1 0,1 1 0,-1-1 0,0 1 0,0 0 0,1 0 0,-1-1 0,0 1 0,0 0 0,1 0 0,-2 0 0,1 0 0,-1-1 0,-27 0 0,6 4 0,1 1 0,-1 1 0,2 1 0,-1 1 0,-31 14 0,26-10 0,0-1 0,-1-1 0,-32 6 0,-39-6 0,79-9 0,1 1 0,-1 1 0,1 1 0,-2 0 0,2 1 0,0 1 0,-25 10 0,39-13 0,-1 2 0,0-1 0,1 1 0,0-1 0,0 1 0,0 0 0,1 1 0,0-1 0,0 1 0,-1 0 0,2 0 0,-1 0 0,2 0 0,-1 0 0,1 1 0,-1-1 0,1 1 0,0-1 0,1 1 0,0 0 0,0 0 0,1 0 0,-2-1 0,2 1 0,2 7 0,1 16 0,0-1 0,3-1 0,19 55 0,-18-58 0,23 70-1365,-19-57-5461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20:36.57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833 0 24575,'0'2'0,"15"362"0,-9-171 0,-1-36 0,-1-121 0,4 0 0,1 0 0,23 56 0,-10-28 0,5 52 0,-23-91 0,0 0 0,2 0 0,2-1 0,-1 1 0,17 28 0,-5-28 120,-19-25-149,0 1 0,1-1 0,-1 1 0,0-1-1,0 0 1,1 1 0,-1-1 0,0 1 0,0-1 0,1 0 0,-1 1 0,0-1-1,2 0 1,-2 1 0,0-1 0,1 0 0,-1 1 0,1-1 0,-1 0 0,1 0 0,-1 0-1,0 1 1,1-1 0,-1 0 0,1 0 0,-1 0 0,1 0 0,-1 0 0,1 0-1,-1 0 1,2 0 0,-2 0 0,1 0 0,-1 0 0,1 0 0,-1 0 0,1-1-1,-1 1 1,1 0 0,-1 0 0,0 0 0,1-1 0,-1 1 0,1 0 0,-1 0 0,0-1-1,1 1 1,-1 0 0,0-1 0,2 0 0,1-10-6797</inkml:trace>
  <inkml:trace contextRef="#ctx0" brushRef="#br0" timeOffset="1159.24">0 445 24575,'0'1'0,"1"25"0,7 38 0,34 160 0,-12-79 0,-19-95 0,20 56 0,-18-61 0,-2 0 0,8 61 0,-18-88 0,2-2 0,-1 1 0,1 0 0,2 0 0,0-1 0,1 0 0,2 0 0,12 24 0,-16-38 0,-2 1 0,1-1 0,1 1 0,-1-1 0,-1 0 0,2 0 0,0 0 0,-1-1 0,1 1 0,-1-1 0,2 0 0,-2 0 0,0 0 0,2 0 0,-2 0 0,2-1 0,-2 1 0,2-1 0,-1 0 0,6-1 0,11 0 0,-1-2 0,34-6 0,-48 7 0,105-15 0,0 4 0,183-1 0,-178 11 0,-83 0-1365,-11-1-5461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3.2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78 8192,'2'0'18022,"20"-6"-18022,21-3 0,19 1 0,19-6 0,9 1-2971,-8 2 2971,-24 2-15051,-25 4 15051,-19 2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2.3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17 182 8192,'-17'0'18022,"28"0"-18022,16 0 0,12 0 0,9 0 0,1 0 0,-9 0 0</inkml:trace>
  <inkml:trace contextRef="#ctx0" brushRef="#br0" timeOffset="121.99">94 316 8192,'7'0'2971,"11"0"-2971,14-3 5848,0-1-5848</inkml:trace>
  <inkml:trace contextRef="#ctx0" brushRef="#br0" timeOffset="356.07">344 28 8192,'-16'-20'18022,"19"12"-18022,10 9 0,11 10 0,6 11 0,6 7 0,-4 6 0,-1 6 0,-5 4 0,-8 3 0,-22 3 0,-25 0 0,-23-2 0,-12-3 0,-3-10 0,11-10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0.9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6 463 8192,'-5'0'18022,"20"0"-18022,10 0 0,21-10 0,19-3 0,15-6 0,6 1 0,-1 2 0,-11 5 0,-23 4 0,-25 3 0,-22 2 0,-17 2 0,-13 1 0,-2 0 0</inkml:trace>
  <inkml:trace contextRef="#ctx0" brushRef="#br0" timeOffset="325.45">218 59 8192,'8'-30'16796,"2"15"-16796,9 2 1226,0 13-1226,8 16 0,-2 19 0,2 20 0,-4 23 0,-5 15 0,-7 4 0,-4-7 0,-4-9 0,-2-12 0,-2-15 0,0-23 0,0-16 0</inkml:trace>
  <inkml:trace contextRef="#ctx0" brushRef="#br0" timeOffset="905.25">815 348 8192,'13'0'18022,"11"0"-18022,11 3 0,13 1 0,7 0 0,-1 0 0,-4-2 0,-7 0 0,-11-2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0 366 8192,'14'0'2971,"16"0"2877,20-3-5848,19-2 7957,16-5-7957,3-2 1246,-2-6-1246,-7 2 0,-17-5 0,-18 2 0</inkml:trace>
  <inkml:trace contextRef="#ctx0" brushRef="#br0" timeOffset="220.14">289 0 8192,'3'10'18022,"2"13"-18022,-1 16 0,6 14 0,1 8 0,-1 3 0,4 1 0,-1-4 0,5-13 0,-1-11 0,-3-11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0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1 236 8192,'1'8'18022,"23"-4"-18022,19-1 0,23-7 0,13-3 0,-1-1 0,-6-5 0,-17 0 0</inkml:trace>
  <inkml:trace contextRef="#ctx0" brushRef="#br0" timeOffset="139.95">232 294 8192,'9'0'2971,"17"0"2877,14 0-5848,13 0 0,10-7-3356,8-2 3356,2-5-5463,-12-2 5463</inkml:trace>
  <inkml:trace contextRef="#ctx0" brushRef="#br0" timeOffset="328.97">636 24 8192,'-2'-23'18022,"22"33"-18022,16 14 0,12 12 0,8 10 0,1 7 0,-10 1 0,-12 2 0,-16 0-3356,-21-3 3356,-16-3-5484,-12-10 5484,-8-10-7956,4-8 7956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4.9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0 443 8192,'4'0'11332,"6"0"-11332,16-3 6690,16-2-6690,18-9 0,14-2 0,8-9 0,0 1 0,-7 3 0,-17 6 0</inkml:trace>
  <inkml:trace contextRef="#ctx0" brushRef="#br0" timeOffset="231.54">289 116 8192,'0'18'8839,"0"1"-8839,3 11 7957,2 6-7957,-1 10 1226,2 7-1226,1 2 0,5-3 0,11-10 0,7-12 0,0-11 0</inkml:trace>
  <inkml:trace contextRef="#ctx0" brushRef="#br0" timeOffset="543.52">828 250 8192,'9'0'11332,"18"-6"-11332,9-3 6690,9 1-6690,10-5 0,9-1 0,3-4 0,-4 1 0,-5-3 0,-13-5 0,-14 2 0</inkml:trace>
  <inkml:trace contextRef="#ctx0" brushRef="#br0" timeOffset="744.8">1155 0 8192,'6'14'18022,"3"9"-18022,-1 12 0,-1 9 0,-2 11 0,-2 9 0,-2 0 0,0-4 0,-1-6 0,6-12 0,3-14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4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33 8192,'2'0'18022,"13"0"-18022,16 0 0,16-3 0,12-1 0,3-1 0,-2-4 0,-12-3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8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1 158 8192,'13'0'11332,"21"-9"-4642,30-11-6690,25-1-3356,23-10 3356,8-1-5996,-5 6 5996,-24 8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0.5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1 301 8192,'6'0'18022,"16"0"-18022,20 0 0,29 0 0,32-10-3356,28-3 3356,15-9-5484,-5-1 5484,-23 3-7956,-34-1 11312,-32 3-3356</inkml:trace>
  <inkml:trace contextRef="#ctx0" brushRef="#br0" timeOffset="326.17">366 12 8192,'3'-7'11991,"12"2"-11991,8 9 6031,2 15-6031,2 22 0,-3 19 0,-6 24-3356,-5 12 3356,-6 4-5484,-4-8 5484,-2-21 3356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9.3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1 213 8192,'6'7'11332,"19"-3"-11332,25 0 0,33-5 6690,32-2-6690,19-7-2971,4-2 2971,-13 2-5849,-26-5 5849,-32 0-7349</inkml:trace>
  <inkml:trace contextRef="#ctx0" brushRef="#br0" timeOffset="235.27">559 1 8192,'6'0'3356,"9"0"2127,9 0-5483,10 0 0,8 0 7957,11 6-6731,6 10-1226,-4 7 0,-11 7 0,-6 9 0,-10 3 0,-14 2 0,-11-4 0,-16-2 0,-17-1-2971,-12-6 2971,1-9-5849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7.8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501 93 8192,'0'-5'1053,"0"1"-1,0-1 1,-1 1 0,1-1 0,-1 1 0,0-1 0,0 1 0,-1 0 0,1 0-1,-1-1 1,0 1 0,-3-6 0,3 8-798,-1-1 0,1 1 0,-1-1 0,0 1 0,0 0 0,0 0 0,0 0 0,0 0 0,0 1 0,0-1 0,0 1 0,-1 0 0,1 0 0,0 0 0,-1 0 0,-5 0 0,2 1-255,-1-1 0,1 2 0,-1-1 0,1 1 0,-1 0 0,1 0 0,0 1 0,-1 0 0,1 1 0,0 0 0,0 0 0,0 0 0,1 0 0,-1 1 0,1 1 0,0-1 0,-9 9 0,-4 5 0,0 1 0,1 0 0,-24 35 0,23-27 40,1 1 1,0 0 0,2 1 0,2 1 0,-13 35 0,23-54-201,1 0 0,0 0 0,1 0-1,0 1 1,0-1 0,1 1 0,1 0 0,0-1 0,1 1 0,0-1 0,1 1 0,0-1 0,0 1-1,2-1 1,-1 0 0,1 0 0,1-1 0,5 11 0,10 8-1630,0-1 1,38 38-1,-32-36 575,36 49 1,-41-46-329,-2 0 0,-2 2 0,17 47 0,-19-39 1162,-2 2 1,-3 0-1,-1 0 0,5 79 0,-12-73 462,-3 1 1,-1 0-1,-3-1 0,-2 0 0,-3 0 0,-1-1 0,-35 93 0,29-104-147,0-1 1,-25 37-1,33-59 440,-2-1 1,1-1-1,-2 0 0,0 0 0,-1-1 0,0-1 0,-17 13 0,27-22-469,-1-1 0,1 0 0,-1 0-1,1 0 1,-1 0 0,1-1 0,-1 1 0,0-1-1,0 0 1,0 0 0,0-1 0,0 1-1,0-1 1,1 0 0,-1 0 0,-7 0 0,7-1 226,0-1 0,0 1 0,1 0 0,-1-1 1,1 0-1,-1 0 0,1 0 0,0 0 1,-1-1-1,1 1 0,0-1 0,1 0 1,-1 1-1,-2-5 0,-2-2 505,1-1 1,0 0-1,1 0 0,0 0 1,1-1-1,0 1 0,1-1 1,0 0-1,1 0 0,-2-17 1,3 19 250,1 0 0,0 1 0,1-1 0,0 1 0,0-1 0,1 1 0,5-16 0,-6 21-848,1-1 0,-1 0 0,1 1 0,0-1 0,0 1 0,0 0 0,0 0 0,0 0 0,1 0 0,0 0 0,-1 0 0,1 1 0,0-1 0,0 1 0,1 0 0,-1 0 0,0 0 0,1 0 0,5-2 0,-7 4-39,0-1 0,0 1 0,0 0 0,0 0 0,0 0 0,1 0 0,-1 0 0,0 0 0,0 0 0,0 1 0,0-1 0,0 1 0,0 0 0,0 0 0,0-1 0,0 1 0,0 0 0,-1 0 0,1 1 0,0-1 0,-1 0 0,1 1 0,0-1 0,-1 1 0,0-1 0,1 1 0,-1 0 0,0-1 0,0 1 0,0 0 0,0 0 0,1 3 0,2 5 0,0 0 0,0 1 0,-1-1 0,0 1 0,1 13 0,5 76-1272,-6 170 1,-4-159 2933,12 384-3436,-1-368 2661,48 234 0,-49-324-1327,0-1-1,3 0 1,28 61-1,-35-87 567,0 0 1,1 0-1,1-1 0,-1 0 1,1 0-1,1-1 0,0 0 1,0 0-1,0-1 0,1 0 1,0 0-1,1-1 0,-1 0 0,1-1 1,0 0-1,20 7 0,-13-8-579,0-1 0,1 0-1,-1-1 1,1-1 0,0-1-1,-1 0 1,1-1 0,0-1-1,29-8 1,-10 0-495,-1-1 0,0-3 1,46-23-1,7-10 948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9.2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1 159 8192,'0'-2'463,"1"-1"1,-1 1 0,1 0-1,0 0 1,0-1 0,0 1 0,0 0-1,0 0 1,1 0 0,-1 0-1,0 1 1,1-1 0,0 0-1,-1 0 1,4-1 0,34-27 4646,-26 20-2189,3 0-2616,-1 1 1,1 0-1,1 0 1,-1 2-1,1 0 1,1 1-1,-1 1 1,32-5-1,-5 4-364,0 2 0,65 2 0,-91 2 59,0 1 0,0 1 0,0 1 0,0 1 0,-1 0 0,0 1 0,1 1 0,-2 0 0,1 1 0,20 13 0,-24-12 0,-1 1 0,-1 1 0,1-1 0,-1 2 0,-1 0 0,0 0 0,0 0 0,-1 2 0,-1-1 0,0 1 0,-1 0 0,11 27 0,-7-8-952,-2 0 1,-1 0-1,-1 1 1,4 59-1,-7 139-6855,-4-174 4902,-1 41 1561,1 140 128,4-174 1220,19 108 0,-12-118-4,2 0 0,3-1 0,42 95 0,-50-129 0,2-1 0,0 0 0,1-1 0,1 0 0,0-1 0,2 0 0,0-1 0,0-1 0,1 0 0,1-1 0,0 0 0,1-2 0,32 18 0,-38-25-3,0 0 1,1 0-1,-1-1 1,1-1-1,-1 0 0,1 0 1,0-2-1,0 1 1,-1-1-1,1-1 1,0 0-1,0-1 1,-1 0-1,1-1 0,-1 0 1,20-8-1,-6 0 80,0-2 0,-2 0 0,0-1 0,0-1 0,-1-2 0,24-22 0,-34 27 1430,0 0 0,17-23 0,-24 28-45,0-1 0,0 0 1,-1 0-1,0-1 1,0 1-1,3-12 1,-7 18-1341,1 0 1,0 0-1,-1 0 1,0 0 0,1 1-1,-1-1 1,0 0-1,0 0 1,0 0 0,0 0-1,0 0 1,-1 0-1,1 0 1,0 1 0,-1-1-1,0 0 1,1 0-1,-1 0 1,0 1 0,-1-3-1,1 3-99,0 0-1,-1 0 0,1 0 0,-1 0 1,1 0-1,0 0 0,-1 0 1,1 1-1,-1-1 0,0 0 1,1 1-1,-1 0 0,0-1 0,1 1 1,-1 0-1,0 0 0,1 0 1,-3 0-1,-1 0-39,0 1 1,-1 0 0,1 0-1,0 0 1,0 0 0,0 1-1,0 0 1,0 0-1,1 0 1,-1 1 0,1 0-1,-1-1 1,-4 6 0,3-2 16,1 0 0,-1 0 0,1 1 0,1 0 0,-1 0 0,1 0 0,1 0 0,-1 1 0,1 0 0,0-1 0,1 1 0,0 0 0,0 0 0,1 1 0,0-1 0,0 0 0,1 0 0,0 1 0,0-1 0,1 0 0,0 1 0,1-1 0,-1 0 0,2 0 0,-1 0 0,1-1 0,6 12 0,17 19-455,2 0-1,59 60 1,16 21-655,-66-68 1291,-2 1 0,-2 2 1,-3 1-1,-2 2 0,-3 1 0,23 75 1,-38-94-517,-1 0 1,-2 1-1,-1 0 1,-1 58 0,-5-69-503,-2 1 0,-1-1 0,-1 0 0,-2-1 0,-1 1 0,-18 48 0,14-54 82,0 0 0,-1-1-1,-2-1 1,0 0 0,-1-1-1,-1 0 1,-1-2 0,-1 0 0,-1 0-1,-27 19 1,23-20 657,0-2 1,-2 0-1,1-2 1,-2-1-1,0 0 0,0-2 1,-1-1-1,0-2 0,-30 6 1,51-12 97,0 0 0,0 0 0,0-1 0,-1 0 0,1 0 0,0 0 0,0-1 0,0 0 0,0 0 0,0 0 0,0-1 0,0 0 0,0 0 0,1 0 0,-1-1 0,1 0 0,0 0 0,-1 0 0,1-1 0,1 0 0,-1 0 0,0 0 0,-3-5 0,-20-29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08:12:46.62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24575,'0'0'-8191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08:12:46.63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24575,'3'0'0,"5"0"0,9 0 0,8 0 0,0 0-8191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27.0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33.3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36.7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428 203 8192,'12'-11'15254,"-5"-2"-11407,-2-1-3495,1-15-3082,-5 13 4029,0 11-1299,-1-1 0,0 1 0,0 0 0,-1 0 0,0-1 0,0 1 0,0 0 0,0 0 0,-1 0 0,0 0 0,0 0 0,0 0 0,-1 1 0,1-1 0,-1 1 0,0-1 0,-4-3 0,4 5 0,0 1 0,0-1 0,0 1 0,0 0 0,0 0 0,0 0 0,-1 0 0,1 1 0,-1-1 0,1 1 0,-1 0 0,0 0 0,1 0 0,-1 1 0,0-1 0,0 1 0,1 0 0,-1 0 0,0 0 0,0 0 0,1 1 0,-1 0 0,0 0 0,-4 1 0,-8 4 0,0 1 0,0 0 0,1 1 0,0 1 0,1 0 0,0 1 0,1 1 0,-17 16 0,12-9 0,0 1 0,1 1 0,2 0 0,-26 43 0,37-56 0,0 1 0,1-1 0,0 0 0,0 1 0,1 0 0,0-1 0,0 1 0,1 0 0,0 0 0,0 0 0,1 0 0,1 11 0,-1-15 0,1 0 0,0 0 0,0 0 0,1 0 0,-1-1 0,1 1 0,0 0 0,0 0 0,0-1 0,0 1 0,1-1 0,-1 0 0,1 0 0,0 0 0,0 0 0,0 0 0,1-1 0,-1 1 0,0-1 0,1 0 0,0 0 0,-1 0 0,1 0 0,0-1 0,5 2 0,12 2 0,1-1 0,-1-1 0,1-1 0,0 0 0,29-3 0,-25 1 0,-26 0 0,0 0 0,0 0 0,0 0 0,0 0 0,0 0 0,0 0 0,0 0 0,1 0 0,-1 0 0,0 0 0,0 0 0,0 0 0,0 0 0,0 0 0,0 0 0,0 0 0,0 0 0,0 0 0,1 0 0,-1 0 0,0 0 0,0 0 0,0 0 0,0 0 0,0 0 0,0 0 0,0 0 0,0 0 0,0 0 0,0 1 0,0-1 0,0 0 0,0 0 0,0 0 0,0 0 0,0 0 0,0 0 0,0 0 0,1 0 0,-1 0 0,0 0 0,0 1 0,0-1 0,0 0 0,0 0 0,0 0 0,-1 0 0,1 0 0,0 0 0,0 0 0,0 0 0,0 0 0,0 1 0,0-1 0,0 0 0,0 0 0,0 0 0,0 0 0,0 0 0,0 0 0,-7 9 0,-19 14 0,15-14 0,-15 15-294,2 2 1,0 0 0,2 2 0,-24 37-1,27-34-790,2 0-1,0 2 0,3-1 0,0 2 0,2 0 0,2 0 0,-8 49 0,16-76 573,1 1 1,0-1-1,1 1 0,0-1 1,0 1-1,1-1 1,0 1-1,0-1 1,1 1-1,0-1 0,3 8 1,-3-10 430,0-1 1,1 0-1,-1-1 1,1 1-1,0 0 1,1-1-1,-1 1 1,0-1-1,1 0 1,0 0-1,0-1 1,0 1-1,0-1 1,0 1-1,0-1 1,1-1-1,-1 1 1,9 1-1,3 1 59,-1-1-1,1-1 1,0-1-1,0 0 0,-1-2 1,1 1-1,0-2 1,0 0-1,17-5 1,12-5 31,80-32 0,88-54-9,-179 79 0,-1-1 0,-1-1 0,0-2 0,28-27 0,-20 8 0</inkml:trace>
  <inkml:trace contextRef="#ctx0" brushRef="#br0" timeOffset="1071.33">936 542 8192,'-1'31'11230,"1"9"-5116,-1 11-3731,1 106-5624,3-95 4777,-3-54-1536,1 0 0,0 1 0,1-1 0,0 0 0,0 0 0,1 0 0,0 0 0,0 0 0,0 0 0,8 10 0,-9-15 0,0 0 0,1-1 0,-1 1 0,1-1 0,-1 1 0,1-1 0,0 0 0,0 0 0,0 0 0,0 0 0,0 0 0,1-1 0,-1 0 0,0 1 0,1-1 0,-1-1 0,1 1 0,-1 0 0,1-1 0,0 0 0,-1 1 0,1-1 0,-1-1 0,1 1 0,0-1 0,3 0 0,4-2 0,-1-1 0,1 1 0,-1-2 0,0 1 0,-1-1 0,1-1 0,-1 0 0,0 0 0,0-1 0,-1 0 0,0-1 0,0 0 0,0 0 0,-1 0 0,-1-1 0,0 0 0,0 0 0,7-15 0,-7 12 0,0-1 0,-1 0 0,-1 0 0,0 0 0,0 0 0,-2 0 0,1-1 0,-2 1 0,0-1 0,0 0 0,-1 1 0,-1-1 0,-1 0 0,-4-20 0,-6 9 0,12 25 0,0 0 0,0-1 0,0 1 0,-1 0 0,1-1 0,0 1 0,0 0 0,0-1 0,0 1 0,-1 0 0,1-1 0,0 1 0,0 0 0,-1 0 0,1-1 0,0 1 0,-1 0 0,1 0 0,0 0 0,0-1 0,-1 1 0,1 0 0,0 0 0,-1 0 0,1 0 0,-1 0 0,1 0 0,0 0 0,-1 0 0,1 0 0,0 0 0,-1 0 0,1 0 0,0 0 0,-1 0 0,1 0 0,0 0 0,-1 0 0,1 0 0,0 0 0,-1 0 0,1 1 0,0-1 0,-1 0 0,1 0 0,0 0 0,-1 1 0,1-1 0,0 0 0,0 0 0,-1 1 0,1-1 0,0 0 0,0 1 0,0-1 0,-1 0 0,1 0 0,0 1 0,0-1 0,0 1 0,0-1 0,0 0 0,0 1 0,-1 1 0,1 0 0,0 0 0,0-1 0,0 1 0,0 0 0,0 0 0,0-1 0,1 1 0,-1 0 0,0 0 0,1-1 0,0 1 0,-1 0 0,1-1 0,0 1 0,0-1 0,0 1 0,0-1 0,1 3 0,26 25 0,-18-22-101,1 0 0,0 0 0,1-1 0,0-1 0,0 0 0,0-1 0,0 0 0,1 0 0,-1-2 0,1 1 0,15 0 0,3-1-1577,0-1-1,0-2 1,47-6-1,-72 6 1088,1-1-1,0 1 1,-1-1-1,1-1 1,-1 1-1,0-1 1,0 0-1,0 0 1,0-1-1,10-7 1,-14 8 280,1 1 0,-1 0 1,0-1-1,1 0 0,-1 1 1,-1-1-1,1 0 0,0 0 0,-1 0 1,1 0-1,-1 0 0,1-5 0,-1 5 356,-1 0 0,0 0 0,1 0 0,-1 0 0,0 0 0,-1 0 0,1 0 0,-1 0 0,0-4 0,0 5-45,1 1 0,0 0 0,-1-1 0,1 1 0,0 0 0,-1 0 0,0-1 0,1 1 0,-1 0 0,0 0 0,1 0 0,-1 0 0,0 0 0,0 0 0,0 0 0,0 0 0,0 0 0,0 0 0,0 0 0,0 1 0,-1-1 0,1 0 0,0 1 0,0-1 0,-1 1 0,1-1 0,0 1 0,-1 0 0,1 0 0,0-1 0,-1 1 0,1 0 0,0 0 0,-1 0 0,1 0 0,0 1 0,-1-1 0,1 0 0,0 1 0,-1-1 0,1 0 0,0 1 0,0 0 0,-1-1 0,1 1 0,-2 1 0,-3 2 0,-1 0 0,1 1 0,0-1 0,1 1 0,-1 1 0,1-1 0,-7 10 0,5-5 0,0 1 0,1 0 0,0 1 0,1-1 0,1 1 0,0 0 0,0 0 0,1 1 0,0-1 0,1 1 0,1-1 0,0 15 0,1-19 0,0 1 0,1-1 0,0 1 0,0-1 0,1 1 0,0-1 0,0 0 0,1 0 0,0 0 0,1 0 0,0 0 0,0-1 0,0 1 0,1-1 0,0 0 0,1-1 0,-1 1 0,13 9 0,-6-7 0,1-1 0,0-1 0,1 0 0,-1 0 0,1-2 0,1 0 0,-1 0 0,1-1 0,0-1 0,0-1 0,0 0 0,16 0 0,-13-1 0,1-2 0,-1 0 0,0 0 0,1-2 0,-1 0 0,0-1 0,0-1 0,-1-1 0,26-12 0,-33 13 0,0-2 0,0 1 0,-1-1 0,0-1 0,0 0 0,-1 0 0,0 0 0,0-1 0,-1 0 0,0-1 0,-1 0 0,0 0 0,0 0 0,-1-1 0,-1 0 0,1 0 0,-2 0 0,0 0 0,2-13 0,-4 24 3,0-1 1,0 1 0,0 0-1,0 0 1,0 0 0,0 1-1,0-1 1,0 0 0,0 0-1,0 0 1,0 1 0,0-1-1,0 0 1,0 1 0,0-1-1,0 1 1,-1-1 0,1 1-1,1 1 1,6 2 482,-3-3-103,-1 0-1,1 0 1,-1 0 0,0-1-1,1 1 1,-1-1 0,1 0-1,-1-1 1,1 1 0,-1-1-1,1 1 1,-1-1 0,0-1-1,1 1 1,-1-1 0,5-2-1,5-4 1914,-1 0-1,0 0 0,16-15 0,-5 4-1527,-22 17-705,0 1 0,0-1 1,1 1-1,-1-1 0,0 1 1,1 0-1,-1 0 0,0 0 1,1 0-1,-1 1 0,1-1 1,0 1-1,2-1 0,-3 1-58,-1 0-1,0 1 0,1-1 1,-1 1-1,0-1 0,0 1 1,0-1-1,1 1 1,-1-1-1,0 1 0,0 0 1,0 0-1,0 0 0,0 0 1,0 0-1,0 0 1,0 0-1,-1 0 0,1 0 1,0 0-1,-1 0 0,1 0 1,0 1-1,-1-1 0,0 0 1,1 1-1,-1 0 1,13 50 26,-12-44-210,0-1-1,1 1 1,0 0 0,0 0 0,1-1 0,0 0 0,0 1 0,1-1 0,-1 0 0,2-1 0,-1 1 0,1-1 0,10 11 0,-6-9-371,1-1-1,1-1 1,-1 0 0,1 0 0,0-1 0,0 0 0,1-1-1,-1 0 1,1-1 0,0-1 0,0 1 0,0-2-1,0 0 1,25-1 0,3-2-1014,-1-2 0,1-1 0,46-13 1,7-9 732,-14 0 624</inkml:trace>
  <inkml:trace contextRef="#ctx0" brushRef="#br0" timeOffset="1819.3">2121 796 8192,'0'-8'2971,"0"-8"2877,0-7 1502,0 13-5497,0 21-1853,0 21 0,0 15 0,0 14 0,4 7 0,0-4 0,8-13 0,1-15 0</inkml:trace>
  <inkml:trace contextRef="#ctx0" brushRef="#br0" timeOffset="3349.49">3455 584 8192,'18'3'10018,"-3"6"-3948,-13-6-5705,0-1 1,0 1 0,0-1-1,0 1 1,-1 0-1,1-1 1,-1 1-1,1 0 1,0 4-1,1 6-1135,0 1 0,-1-1 0,1 27 0,-2-26 2129,3 140-1359,-4-151 0,0 1 0,0-1 0,1 1 0,0-1 0,-1 1 0,1-1 0,0 0 0,1 1 0,-1-1 0,1 0 0,-1 0 0,1 0 0,0 0 0,0 0 0,0 0 0,1-1 0,-1 1 0,1-1 0,-1 1 0,4 1 0,-2-2 0,-1 0 0,1-1 0,-1 0 0,1 0 0,0 0 0,-1 0 0,1 0 0,0-1 0,0 0 0,0 1 0,-1-2 0,1 1 0,0 0 0,0-1 0,-1 1 0,1-1 0,0 0 0,5-3 0,3-1 0,0 0 0,-1-1 0,0-1 0,0 0 0,0-1 0,-1 0 0,0 0 0,-1-1 0,1 0 0,13-20 0,-9 11 0,-2 0 0,0-1 0,-1-1 0,-1 0 0,10-31 0,-15 33 0,-12 41 0,-6 38 656,10-38-2126,0-1 0,1 36 1,3-47 970,-1 0 0,2 0 0,-1-1 0,2 1 0,-1 0 0,1-1 0,6 13 1,-6-17 673,0-1 0,0 1 0,1 0 0,0-1 0,0 0 0,0 0 0,9 8 0,-9-9 185,0-2 0,0 1 0,0 0 0,0-1 0,0 1 0,1-1 1,-1-1-1,1 1 0,-1 0 0,1-1 0,0 0 0,-1 0 0,1-1 1,9 1-1,-6-1-284,0-1 0,0 0 0,0-1 0,0 0 0,0 0 0,0 0 1,0-1-1,8-5 0,0 0-578,0-2 1,-1 0-1,0 0 0,-1-2 1,0 0-1,-1 0 0,15-19 1,-10 7-1975,0-1 1,-3 0 0,24-50-1,-8 7 1422,-34 79 855,0 0 0,0 1-1,2-1 1,-1 1 0,1 11 0,-1 7 1779,1-19-821,0-1 0,1 1 0,0 0 0,1-1 0,0 1 0,0-1 0,1 1 0,1-1 0,0 0 0,5 12 0,-6-17-279,1 0 1,0-1 0,0 1 0,0 0 0,0-1 0,1 1 0,0-1 0,0 0 0,0-1 0,0 1 0,6 3-1,-5-4-407,0 0 0,0-1 0,1 0 0,-1 0 0,0 0 0,1 0 0,8 1 0,-5-2-353,-1-1 0,1 1 0,-1-1 0,1-1 1,-1 0-1,1 0 0,-1 0 0,13-5 0,-9 2 402,0-1 1,-1 0-1,0-1 0,0-1 0,-1 1 1,0-2-1,0 1 0,-1-1 1,9-10-1,-3 3 90,-2-1 0,0-1 0,-1 0 0,18-34 0,-21 33-1148,0-1 0,6-25 0,-9 24 54,-1 0-1,-1-1 1,-1 1 0,-1-1 0,-1-34-1,-1 46 294,0-1-1,-2 1 0,1 0 0,-1 0 1,0-1-1,-1 1 0,0 1 1,0-1-1,-1 0 0,0 1 0,-1 0 1,0 0-1,0 0 0,-12-13 1,14 18 564,0 0 0,-1 0 1,1 0-1,-1 0 1,1 1-1,-1 0 1,0-1-1,0 1 1,0 1-1,0-1 1,0 1-1,0-1 1,-1 1-1,1 0 1,0 1-1,-1-1 1,1 1-1,-1 0 1,1 0-1,0 0 1,-1 1-1,1-1 0,0 1 1,-1 0-1,1 0 1,0 1-1,0-1 1,0 1-1,0 0 1,-5 3-1,1 0 30,0 1-1,0 0 0,1 0 0,0 0 1,0 1-1,1 0 0,0 0 0,0 1 1,1-1-1,-1 1 0,2 1 0,-1-1 1,-4 12-1,6-9-4,-1-1 0,2 1 0,-1 0 0,1-1 0,1 1 0,0 0 0,0 0 0,1 0 0,1 0 0,3 20 0,-3-25 0,1 0 0,0 1 0,0-1 0,1 0 0,-1-1 0,1 1 0,1 0 0,-1-1 0,1 0 0,0 1 0,0-2 0,0 1 0,1 0 0,0-1 0,0 0 0,0 0 0,0 0 0,1-1 0,10 6 0,2-2 0,0-1 0,1 0 0,0-2 0,0 0 0,0-1 0,0-1 0,0-1 0,1 0 0,30-4 0,-8-2 0,1-1 0,-2-3 0,53-17 0,-52 12 0,66-32 0,-94 39 0,-1 0 0,1-2 0,-1 1 0,0-2 0,-1 0 0,0 0 0,20-24 0,-31 32 0,1 0 0,0-1 0,-1 1 0,0-1 0,0 1 0,0-1 0,0 1 0,0-1 0,0 0 0,-1 0 0,1 1 0,-1-1 0,1 0 0,-1 0 0,0 0 0,-1 1 0,0-6 0,1 6 0,0 1 0,-1 0 0,1 0 0,-1-1 0,0 1 0,1 0 0,-1 0 0,0 0 0,0 0 0,0 0 0,0 0 0,0 0 0,0 0 0,0 0 0,0 0 0,0 0 0,0 1 0,0-1 0,-1 1 0,1-1 0,0 0 0,0 1 0,-1 0 0,1-1 0,0 1 0,-1 0 0,1 0 0,0 0 0,-1 0 0,1 0 0,0 0 0,-1 0 0,1 0 0,-1 0 0,1 1 0,0-1 0,-2 1 0,-1 0 274,-1 1 1,1 0 0,0 0 0,0 0-1,0 0 1,0 1 0,0-1 0,0 1-1,1 0 1,-1 0 0,1 0 0,0 1-1,0-1 1,0 1 0,0 0 0,1-1-1,-1 1 1,1 1 0,0-1 0,0 0-1,1 0 1,-1 1 0,1-1-1,0 1 1,0-1 0,1 1 0,-1-1-1,1 1 1,0 0 0,0-1 0,1 1-1,-1-1 1,1 1 0,0 0 0,0-1-1,3 7 1,2 3 1300,0 0-1,1-1 1,13 20-1,62 69-4591,-54-70 3506,-5-6 1032,-8-11-1476,-1 1 1,12 18 0,-24-31-242,0 0-1,0 0 1,0 0-1,0 1 0,-1-1 1,1 0-1,-1 1 1,0-1-1,0 1 1,0-1-1,-1 1 1,1 0-1,-1-1 1,0 1-1,0 0 0,0-1 1,-1 8-1,-1-7-118,0 0-1,-1-1 1,1 1-1,0-1 1,-1 0-1,0 0 1,0 0-1,0 0 1,0 0-1,0-1 1,-1 1-1,1-1 1,-1 0-1,0 0 1,1 0-1,-1-1 1,0 1-1,0-1 1,0 0-1,-7 1 1,0 1-364,1-2 0,0 1 1,0-1-1,-1-1 0,1 0 0,-1 0 1,-13-3-1,22 3 679,-1-1 0,1 1 0,-1-1 0,1 0 0,-1 0 0,1 0 0,0 0 0,0-1 0,-1 1 0,1 0 0,0-1 0,0 0 0,0 1 0,1-1 0,-1 0 0,0 0 0,1 0 0,-1 0 0,1 0 0,-2-4 0,-5-18 0</inkml:trace>
  <inkml:trace contextRef="#ctx0" brushRef="#br0" timeOffset="3458.41">5614 923 8192,'7'0'18022,"2"0"-18022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40.9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19 880 8192,'-19'-14'15559,"19"13"-15088,9-11 1521,3 5-1992,1 1 0,0 0 0,0 0 0,1 2 0,0-1 0,16-2 0,-2 2 0,0 1 0,34 0 0,-57 4 0,1 0 0,-1 0 0,1 1 0,-1 0 0,1 0 0,-1 0 0,1 1 0,-1-1 0,0 1 0,8 4 0,-12-5 0,1 0 0,0 1 0,-1-1 0,1 0 0,-1 0 0,0 1 0,1-1 0,-1 1 0,0-1 0,0 1 0,0 0 0,0-1 0,0 1 0,0 0 0,-1 0 0,1 0 0,0-1 0,-1 1 0,0 0 0,1 0 0,-1 0 0,0 0 0,0 0 0,0 0 0,0 0 0,0 0 0,-1 0 0,1 0 0,0 0 0,-1-1 0,0 1 0,-1 3 0,-1 3-38,-1 0 0,0-1 0,0 1 0,-1-1 0,1 0 0,-12 12 0,-42 36-3815,42-42 7,1 2-1,-22 26 1,35-39 3699,1-1 0,0 1 0,0 0 1,-1-1-1,1 1 0,0 0 0,1 0 0,-1 0 0,0 0 1,1 0-1,-1 0 0,1 0 0,-1 4 0,1-6 132,0 1 0,0-1 0,0 1 0,1 0 0,-1-1 0,0 1 0,0-1-1,1 1 1,-1-1 0,0 1 0,1-1 0,-1 1 0,1-1 0,-1 1 0,1-1 0,-1 1-1,1-1 1,-1 0 0,1 1 0,-1-1 0,1 0 0,-1 1 0,1-1 0,-1 0-1,1 0 1,0 1 0,-1-1 0,2 0 0,3 0 27,-1 1 0,1-1-1,0-1 1,0 1 0,0 0 0,-1-1 0,1 0-1,0-1 1,-1 1 0,6-3 0,14-6-12,0-1 0,-1-1 0,-1-1 0,29-22 0,-41 28 0,0-1 0,0-1 0,-1 0 0,-1 0 0,1-1 0,-1 0 0,-1 0 0,0-1 0,-1 0 0,0 0 0,5-14 0,-9 21 0,-1-1 0,0 1 0,0-1 0,0 1 0,-1-1 0,0 0 0,1 1 0,-2-1 0,1 0 0,-1 1 0,1-1 0,-1 1 0,0-1 0,-1 1 0,-2-8 0,-2 0 0,-1 0 0,0 1 0,-17-20 0,-4-8 0,27 38 0,1 1 0,0 0 0,-1-1 0,1 1 0,-1 0 0,1-1 0,0 1 0,0-1 0,-1 1 0,1-1 0,0 1 0,0-1 0,-1 1 0,1-1 0,0 1 0,0-1 0,0 1 0,0-1 0,0 0 0,0 1 0,0-1 0,0 1 0,0-1 0,0 1 0,0-1 0,0 1 0,1-2 0,14 8 0,2 5 0,-1 0 0,-1 2 0,0 0 0,0 0 0,-2 2 0,1-1 0,-2 2 0,0 0 0,-1 0 0,12 24 0,-12-18 0,0 0 0,-2 1 0,0 0 0,-2 1 0,0 0 0,-2 0 0,-1 0 0,2 26 0,-6-31 0,-1 0 0,0 1 0,-2-1 0,0 0 0,-1 0 0,-1 0 0,0-1 0,-2 0 0,0 0 0,-14 26 0,-14 13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58.0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219 331 8192,'-10'-17'15367,"9"17"-15228,0 0 1,-1 0 0,1 1 0,0-1-1,0 0 1,-1 1 0,1-1-1,0 0 1,0 1 0,0 0 0,0-1-1,0 1 1,-1 0 0,1-1 0,0 1-1,1 0 1,-1 0 0,-1 1 0,-9 10-326,1 1 0,0 0 1,1 0-1,1 1 0,0 1 1,1-1-1,-7 20 0,-31 115-1299,23-46-2019,4 2 1,5 0 0,2 181 0,11-273 3343,0 1 1,1-1-1,0 0 1,1 0-1,5 17 1,-6-27 156,0 0 0,0 0 0,1-1 1,-1 1-1,1 0 0,-1-1 0,1 1 1,0-1-1,0 0 0,0 0 0,0 1 0,0-1 1,0 0-1,1-1 0,-1 1 0,1 0 0,-1-1 1,1 1-1,0-1 0,0 0 0,0 0 0,-1 0 1,1 0-1,0-1 0,0 1 0,0-1 0,0 1 1,4-1-1,2-1 3,0 0 0,0 0 0,0-1 0,0 0 0,0-1 0,-1 0 0,1 0 0,-1-1 0,1 0 0,-1 0 0,-1-1 0,15-11 0,-1-1 0,-2 0 0,0-1 0,22-28 0,-23 24 0,-2-2 0,0 0 0,-1-1 0,-2 0 0,0-2 0,15-49 0,-17 39 0,-2 0 0,-2-1 0,-1 0 0,0-65 0,-7 51 0,-2-1 0,-2 1 0,-3 0 0,-2 0 0,-3 1 0,-1 0 0,-35-80 0,41 113 0,0 0 0,-1 0 0,0 1 0,-2 0 0,0 1 0,-1 0 0,0 1 0,-26-24 0,35 37 0,0-1 0,0 1 0,0-1 0,-1 1 0,1 0 0,-1 0 0,1 0 0,-1 1 0,0-1 0,1 1 0,-1 0 0,0 0 0,0 0 0,0 1 0,0-1 0,0 1 0,0 0 0,0 0 0,0 0 0,0 1 0,0-1 0,0 1 0,0 0 0,0 0 0,1 1 0,-1-1 0,0 1 0,1-1 0,-1 1 0,1 0 0,-1 1 0,1-1 0,0 1 0,0-1 0,-5 6 0,-1 3 0,0 0 0,1 1 0,0 0 0,1 0 0,0 1 0,1 0 0,1 0 0,-8 28 0,5-11 0,2 0 0,1 0 0,2 1 0,0-1 0,3 1 0,0 0 0,2 0 0,1-1 0,1 0 0,2 1 0,16 47 0,-15-57 0,2 1 0,1-1 0,0-1 0,1 0 0,1 0 0,1-1 0,1-1 0,1 0 0,0-1 0,2 0 0,-1-1 0,2-1 0,0-1 0,1-1 0,0 0 0,25 11 0,-18-12 0,1-1 0,0-2 0,0-1 0,43 7 0,1-6 0</inkml:trace>
  <inkml:trace contextRef="#ctx0" brushRef="#br0" timeOffset="966.22">959 924 8192,'-1'-42'15079,"-3"10"-10971,-4 2-3739,7 26-578,-1 1 0,1-1 0,-1 1 0,0 0 0,0 0 0,0 0 0,0 0 0,-1 0 0,1 0 0,-1 0 0,0 1 0,0-1 0,-5-2 0,5 3 348,-1 0 0,1 0 0,-1 1 0,0 0 1,0 0-1,0 0 0,1 0 0,-1 0 0,-6 1 1,5 0-140,-1 0 0,1 0 0,0 1 0,-1 0 0,1 0 0,0 0 0,-1 1 0,1-1 0,0 1 0,0 1 0,0-1 0,1 1 0,-1 0 0,-8 6 0,7-3 0,-1 0 0,1 1 0,0-1 0,0 1 0,1 1 0,0-1 0,1 1 0,-8 14 0,9-13 0,-1-1 0,1 1 0,0-1 0,1 1 0,0 0 0,0 0 0,1 0 0,0 1 0,1-1 0,0 0 0,0 0 0,1 0 0,0 0 0,1 1 0,0-1 0,0-1 0,1 1 0,6 14 0,-6-18 0,0-1 0,1 0 0,-1 1 0,1-2 0,0 1 0,0 0 0,0-1 0,0 1 0,1-1 0,0-1 0,-1 1 0,1 0 0,0-1 0,0 0 0,0 0 0,1-1 0,-1 0 0,0 1 0,1-2 0,-1 1 0,0-1 0,1 1 0,-1-2 0,1 1 0,-1 0 0,0-1 0,10-3 0,0 1 0,0-2 0,-1 0 0,0 0 0,0-1 0,0-1 0,-1 0 0,1-1 0,21-18 0,-22 14-182,-1-1 0,0 0 1,-1-1-1,0 0 0,-1 0 0,-1-2 1,0 1-1,-1-1 0,-1 0 1,0 0-1,7-33 0,-2-3-1875,-2-1-1,4-82 1,-13 127 2088,5-148-4304,-7 137 3402,0-1 0,-1 0 0,-1 1 0,-1-1 0,-10-31 1,12 48 857,1 0 0,0-1 1,-1 1-1,1 0 0,-1 0 1,0-1-1,0 2 0,0-1 1,-1 0-1,1 0 0,-1 1 1,1-1-1,-1 1 0,0 0 1,0 0-1,-5-3 0,6 4 14,0 1-1,0-1 1,0 1-1,0 0 1,-1 0-1,1 0 1,0 0-1,0 0 1,0 1-1,0-1 0,0 0 1,0 1-1,0 0 1,0-1-1,0 1 1,0 0-1,0 0 1,1 0-1,-1 0 1,0 1-1,1-1 1,-1 0-1,0 1 0,1-1 1,0 1-1,-1-1 1,1 1-1,-2 3 1,-5 7-1,0 0 0,1 1 0,1-1 0,0 2 0,1-1 0,0 0 0,1 1 0,1 0 0,-3 22 0,2-7 0,2 0 0,1 0 0,6 52 0,-3-62 0,1 0 0,1 0 0,1 0 0,1-1 0,1 1 0,0-1 0,1-1 0,1 0 0,1 0 0,0 0 0,1-1 0,1-1 0,1 0 0,0-1 0,0 0 0,2-1 0,-1 0 0,2-1 0,0-1 0,24 13 0,-7-6-7,1-1 0,0-2 0,2-1 0,0-1 0,0-3 0,42 8 0,-59-15 50,0 0 1,0-2-1,0 0 1,1-1-1,-1 0 0,0-2 1,0 0-1,0-1 1,0-2-1,-1 1 1,1-2-1,-1-1 1,33-16-1,-43 18 259,0 0-1,-1-1 1,1 0-1,8-10 1,-10 10 500,-1-1-1,0 1 1,0-1 0,0 0-1,-1-1 1,0 1 0,0-1 0,4-13-1,-7 17-380,0-1-1,0 1 1,0 0-1,-1-1 1,1 1-1,-1 0 1,0-1-1,0 1 1,-1-1-1,1 1 1,-1 0-1,0-1 1,0 1-1,-1 0 1,1 0-1,-5-7 1,4 6-295,-1 1 0,-1 0 1,1 0-1,0 0 0,-1 1 1,0-1-1,0 1 0,0 0 0,0 0 1,-8-4-1,1 2-112,0 0-1,0 0 1,0 2 0,-1-1-1,1 1 1,-1 1 0,0 0 0,0 1-1,0 0 1,0 1 0,1 0-1,-1 1 1,0 0 0,0 1 0,-12 3-1,16-3-13,0 1-1,0-1 0,0 1 0,1 1 0,-1 0 1,1 0-1,0 0 0,0 1 0,0 0 1,1 0-1,0 0 0,0 1 0,0 0 1,0 1-1,1-1 0,0 1 0,1 0 0,0 0 1,0 0-1,0 1 0,1-1 0,-3 10 1,1-1 0,2 0 0,0 0 0,1 0 0,0 1 0,1-1 0,2 25 0,-1-36 0,1 0 0,0 0 0,-1 0 0,1 0 0,1 0 0,-1-1 0,1 1 0,0 0 0,0 0 0,0-1 0,1 0 0,0 1 0,-1-1 0,2 0 0,-1 0 0,0 0 0,1-1 0,-1 1 0,1-1 0,0 0 0,0 0 0,1 0 0,-1-1 0,8 4 0,-3-3-99,1-1 0,-1 0 0,0 0 0,1-1 1,-1 0-1,1-1 0,-1 0 0,1-1 0,-1 1 1,1-2-1,-1 0 0,0 0 0,1 0 0,-1-1 1,0-1-1,-1 1 0,1-1 0,-1-1 0,13-8 1,-1-1 309,0-2 1,0 0-1,-2-1 1,0-1-1,-1-1 1,19-27-1,-15 16-1237,-2-2 0,-2-1 0,0 0 0,-2-1 0,-2 0 0,-1-1 0,14-72 0,-17 52-467,-2 1 0,-3-1 0,-2 0 0,-8-91 0,5 127 1300,-1 0 0,-1 0 0,-1 1 0,-1-1 0,0 1 0,-2 0 0,-8-18 0,14 33 176,-1 0 0,1 1 1,-1-1-1,0 1 0,1-1 1,-1 1-1,-1-1 1,1 1-1,0 0 0,0 0 1,-1 0-1,1 0 1,-1 1-1,0-1 0,1 1 1,-1-1-1,0 1 0,0 0 1,-6-1-1,7 2 18,-1 0 0,1 0 0,-1 1 0,1-1 0,-1 1 0,1 0 0,-1-1 0,1 1 0,0 0 0,-1 1 0,1-1 0,0 0-1,0 1 1,0-1 0,0 1 0,0-1 0,0 1 0,0 0 0,1 0 0,-1 0 0,1 0 0,-1 0 0,1 0 0,-2 5 0,-6 9 133,2 1 1,0 0 0,1 0-1,1 1 1,0 0-1,2 0 1,0 0 0,-1 24-1,3-15 130,1 0 1,1 0-1,1-1 0,2 1 0,7 29 0,-7-41-870,1 0-1,1 0 1,13 26 0,-11-27 758,1-1 1,0-1 0,1 1 0,0-1 0,0-1-1,20 16 1,-16-16 50,1 0 0,1-1 0,0-1 0,0 0 0,23 8 0,-18-9-924,0-2 0,27 5 0,3-3 1711,89 1 1,-55-9-496</inkml:trace>
  <inkml:trace contextRef="#ctx0" brushRef="#br0" timeOffset="2209.91">3013 521 8192,'16'1'15513,"-13"4"-15263,-1 0 0,0 1 0,0-1 0,0 1 0,0-1 0,-1 1 0,0 0 0,-1 0 0,1 0 0,-1 6 0,-4 66-660,3-68 579,-18 106-169,12-85 0,2 1 0,0 0 0,1 39 0,4-69 0,0 0 0,0 0 0,0-1 0,0 1 0,0 0 0,0 0 0,1 0 0,-1-1 0,1 1 0,-1 0 0,1 0 0,0-1 0,0 1 0,-1-1 0,1 1 0,0-1 0,0 1 0,1-1 0,-1 1 0,0-1 0,0 0 0,3 2 0,-2-2 0,0 0 0,0-1 0,0 1 0,0-1 0,0 0 0,0 0 0,0 0 0,0 0 0,0 0 0,0 0 0,0 0 0,0-1 0,0 1 0,0-1 0,0 1 0,4-3 0,5-2 0,0-1 0,-1 0 0,1-1 0,-1 0 0,12-11 0,-4-1-62,0 0 0,23-33 1,-6 6-3759,5 4-7753,-39 41 11455,1 0 0,-1-1-1,0 1 1,1 0 0,-1 0 0,0 0 0,1 0 0,0 1-1,-1-1 1,1 0 0,-1 1 0,1-1 0,0 0-1,0 1 1,-1 0 0,1 0 0,2-1 0,-3 2 93,0-1 1,-1 0 0,1 1 0,0-1 0,0 0 0,0 1 0,0-1-1,0 1 1,-1 0 0,1-1 0,0 1 0,0-1 0,-1 1-1,1 0 1,-1 0 0,1 0 0,0-1 0,-1 1 0,1 0-1,-1 0 1,0 0 0,1 1 0,2 7 99,-1 0 1,0 0-1,-1 0 1,0 0-1,0 11 1,0-4-290,-1-12 211,0 1 0,1-1 0,0 1-1,0-1 1,0 0 0,0 1 0,1-1 0,0 0 0,0 0 0,0 0 0,0 0 0,1 0 0,-1-1 0,1 1 0,5 5 0,-3-6 46,-1 0 1,0 0-1,1-1 1,0 1-1,-1-1 0,1 0 1,0-1-1,0 1 1,0-1-1,0 0 1,1 0-1,-1 0 1,8-1-1,2 0 615,0 0 0,28-5 0,-23 1-896,-1-1 0,-1 0 0,1-2 1,18-8-1,-23 9 126,-2-1 0,1 0 0,-1-1 0,0 0 0,-1-1 0,0 0 0,0-1 0,-1 0 0,0 0 0,-1-1 0,11-16 0,-12 9 112,-8 18 0,0-1 0,0 1 0,0 0 0,0 0 0,0 0 0,0 0 0,0 0 0,0 0 0,0 0 0,0-1 0,0 1 0,0 0 0,0 0 0,0 0 0,0 0 0,0 0 0,0 0 0,0-1 0,0 1 0,0 0 0,0 0 0,0 0 0,0 0 0,0 0 0,0 0 0,-1 0 0,1 0 0,0-1 0,0 1 0,0 0 0,0 0 0,0 0 0,0 0 0,0 0 0,0 0 0,0 0 0,-1 0 0,1 0 0,0 0 0,0 0 0,0 0 0,0 0 0,0 0 0,0 0 0,0 0 0,-1-1 0,1 1 0,0 0 0,0 0 0,0 1 0,0-1 0,0 0 0,0 0 0,-1 0 0,1 0 0,-2 1 0,1 0 0,-1 0 0,0 0 0,1 1 0,-1-1 0,1 1 0,-1-1 0,1 1 0,0 0 0,0-1 0,-1 1 0,0 3 0,-1 1 138,0 0 1,1 1 0,-1-1 0,2 0-1,-1 1 1,1-1 0,0 1 0,0-1-1,0 1 1,1-1 0,0 1 0,1 0-1,-1-1 1,3 11 0,-1-12-223,-1-1 0,1 1 0,0 0 1,0-1-1,0 0 0,1 1 0,0-1 0,0 0 0,0 0 1,0-1-1,0 1 0,1 0 0,-1-1 0,1 0 1,0 0-1,0 0 0,1-1 0,-1 1 0,0-1 0,7 2 1,5 2 54,0-2-1,0 0 1,1-1 0,-1 0 0,1-1 0,-1-1 0,1-1 0,0 0 0,0-2 0,-1 1 0,31-9 0,-36 7 34,-1 0 0,1-1 0,-1 0 1,0-1-1,0 0 0,0-1 0,-1 0 0,11-10 1,-14 11-8,0 0 1,-1-1-1,0 0 1,0 0-1,0-1 1,-1 1-1,0-1 1,0 0 0,-1 0-1,0-1 1,0 1-1,3-13 1,-3 2 1,-1 0 0,0-1 0,-1 1 0,-1-1 0,-1 0 0,-1 1 0,0 0 0,-2-1 0,0 1 0,-1 0 0,0 0 0,-2 1 0,0 0 0,-1 0 0,0 1 0,-20-28 0,24 39 0,1 1 0,-1 0 0,0 0 0,0 0 0,0 1 0,-1-1 0,1 1 0,-1 0 0,0 1 0,0-1 0,0 1 0,0 0 0,0 0 0,-10-2 0,11 4 0,0-1 0,0 1 0,0 0 0,-1 1 0,1-1 0,0 1 0,0 0 0,0 0 0,0 0 0,0 1 0,0-1 0,0 1 0,0 0 0,0 0 0,1 0 0,-1 1 0,1-1 0,0 1 0,-6 5 0,1 1 0,0 0 0,0 1 0,1 0 0,0 0 0,0 0 0,1 1 0,1 0 0,0 0 0,1 1 0,0-1 0,0 1 0,1 0 0,-2 20 0,4-24 0,1-1 0,-1 1 0,1 0 0,1 0 0,0 0 0,0 0 0,0 0 0,1-1 0,0 1 0,1 0 0,0-1 0,0 0 0,0 0 0,1 0 0,0 0 0,0 0 0,1-1 0,0 1 0,0-1 0,1-1 0,-1 1 0,9 5 0,-2-3 0,1 0 0,0-1 0,0 0 0,1-1 0,0-1 0,0 0 0,1-1 0,-1 0 0,1-1 0,0-1 0,-1 0 0,1-2 0,0 1 0,27-4 0,-20 1 0,0-2 0,-1 0 0,1-1 0,-1-2 0,0 0 0,0-1 0,-1-1 0,0-1 0,24-16 0,-33 19 0,-1 0 0,0 0 0,0-1 0,-1-1 0,0 1 0,-1-2 0,0 1 0,0-1 0,-1 0 0,0 0 0,7-16 0,-13 24-1,-1 0-1,1 0 1,-1 0 0,0 0 0,1 0 0,-1-1 0,0 1 0,0 0-1,0 0 1,-1 0 0,1 0 0,0 0 0,-1 0 0,0 0 0,1 0-1,-1 0 1,0 0 0,0 0 0,0 0 0,0 0 0,0 1 0,0-1-1,-1 0 1,1 1 0,-1-1 0,1 1 0,-1-1 0,1 1 0,-1 0-1,0 0 1,0 0 0,0 0 0,0 0 0,1 0 0,-1 0 0,0 0-1,-3 0 1,3 0 18,-1 1-1,1-1 0,0 0 1,-1 1-1,1-1 0,0 1 1,-1 0-1,1 0 0,-1 0 1,1 0-1,0 0 0,-1 0 0,1 1 1,-1-1-1,1 1 0,0 0 1,0 0-1,-1-1 0,1 2 1,0-1-1,0 0 0,0 0 1,0 1-1,0-1 0,0 1 1,0-1-1,1 1 0,-1 0 1,1 0-1,-1 0 0,1 0 1,-2 3-1,1-1 205,1 0 0,0 0 0,1 1 0,-1-1 0,1 0 0,0 0 0,0 1 0,0-1 1,0 0-1,1 1 0,0-1 0,-1 0 0,2 0 0,-1 0 0,0 0 0,1 0 0,0 0 0,0 0 0,0 0 0,0 0 0,4 4 0,7 8 940,0 0 0,1-1 0,18 15 0,-31-29-1119,49 43 4677,24 24-4672,-60-55-1796,-2 1 1,0 1 0,13 18-1,-23-30 1485,0 0 0,-1-1 0,1 1-1,-1 0 1,1 0 0,-1 0 0,0 0 0,0 0-1,0 0 1,0 1 0,-1-1 0,0 0 0,1 0-1,-1 1 1,0-1 0,0 0 0,-1 0 0,1 1-1,-1-1 1,1 0 0,-1 0 0,-2 5 0,0-4 161,1-1 1,-1 1 0,0-1-1,0 0 1,0 1 0,0-1-1,-1-1 1,1 1-1,-1-1 1,0 1 0,0-1-1,1 0 1,-2 0 0,1-1-1,0 1 1,-4 0 0,-10 3 102,1 0 0,-1-2 0,0 0 0,-27 0 0,40-2 0,-1-1 0,1 0 0,0 0 0,0-1 0,0 1 0,0-1 0,0 0 0,0-1 0,0 1 0,0-1 0,0 0 0,1 0 0,-1 0 0,1-1 0,-1 0 0,1 0 0,0 0 0,0 0 0,1-1 0,-7-6 0,9 8 0,-1-1 0,1 0 0,0 0 0,0 0 0,0 0 0,0 0 0,0 0 0,1 0 0,-1 0 0,1 0 0,0 0 0,0 0 0,0-1 0,1 1 0,-1 0 0,1 0 0,-1 0 0,2-4 0,10-22 0</inkml:trace>
  <inkml:trace contextRef="#ctx0" brushRef="#br0" timeOffset="2350.09">5087 966 8192,'7'0'3356,"3"0"-3356</inkml:trace>
  <inkml:trace contextRef="#ctx0" brushRef="#br0" timeOffset="2895.14">5807 754 8192,'-14'0'16169,"26"0"-16169,20 0 1853,15 0-1853,6 0 0,2 0 0,-9 0 0</inkml:trace>
  <inkml:trace contextRef="#ctx0" brushRef="#br0" timeOffset="3220.97">5934 902 8192,'0'17'15577,"6"-14"-15334,0 0-1,0 0 0,1-1 1,-1 0-1,1 0 1,-1-1-1,1 1 0,0-1 1,0-1-1,7 1 0,73-5-521,-84 3 337,17 0-31,-1-2 1,-1 0 0,1-1 0,0-1 0,-1-1 0,0-1 0,0 0 0,32-19-1,-43 22-146,-1-1-1,0 1 0,0-1 1,-1 0-1,1-1 0,-1 1 1,0-1-1,-1 0 0,1 0 1,-1 0-1,0-1 0,-1 0 1,0 1-1,0-1 0,0 0 1,-1-1-1,0 1 0,0 0 1,-1-1-1,0 1 0,0-1 1,-1 1-1,0-1 0,0 1 0,-2-14 1,1 18 222,1 1 1,0-1 0,-1 1-1,1-1 1,-1 1-1,0 0 1,0-1-1,0 1 1,0 0 0,0-1-1,0 1 1,-1 0-1,1 0 1,-1 0-1,0 0 1,1 0 0,-1 0-1,0 1 1,0-1-1,0 1 1,0-1 0,0 1-1,-1 0 1,1-1-1,0 1 1,-4-1-1,6 2-101,-1 0 0,1 0 0,0 0 0,-1 0 0,1 0-1,-1 0 1,1 0 0,0 0 0,-1 0 0,1 0 0,-1 0-1,1 0 1,0 0 0,-1 0 0,1 1 0,0-1 0,-1 0-1,1 0 1,-1 0 0,1 1 0,0-1 0,0 0-1,-1 0 1,1 1 0,0-1 0,-1 0 0,1 0 0,0 1-1,0-1 1,-1 0 0,1 1 0,0 0 0,0 15 7,11 17-14,14 20-510,-4-8-2172,-1 0 1,-2 2-1,17 70 0,-32-102 1919,-1-1 1,-1 1-1,0 0 0,-1 0 1,0 0-1,-4 24 1,2-29 640,-1 0 1,0 0 0,0-1 0,-1 1 0,0-1 0,0 0 0,-1 0 0,-1 0 0,1-1 0,-14 15 0,-12 7 126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4:48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527 628 8192,'-8'0'11332,"-8"-4"-4642,-7-4-6690,-5-2 0,1-5 0,6-1 0</inkml:trace>
  <inkml:trace contextRef="#ctx0" brushRef="#br0" timeOffset="685.92">167 374 8192,'-9'-4'17298,"-3"22"-16574,6-3-724,1 1 0,0-1 0,1 1 0,-5 30 0,0 71 0,8-99 0,1-16-1,-4 62-2214,8 97 0,-3-144 1816,1 1 0,1-1 0,1 0 0,0 0 0,1 0 0,1 0 0,1-1 0,0 0 0,1 0 0,17 24 0,-20-33 207,1 0 1,0-1-1,1 0 0,0 0 0,0 0 1,0-1-1,1 0 0,-1 0 1,1-1-1,0 0 0,1-1 0,-1 1 1,1-2-1,-1 1 0,1-1 1,0 0-1,0-1 0,0 0 0,0-1 1,0 0-1,0 0 0,0 0 1,15-4-1,-7 0-192,-1 0 1,0-1 0,0 0-1,0-1 1,-1-1-1,0-1 1,0 0-1,-1-1 1,0 0 0,0-1-1,21-21 1,-22 18 383,-1-1 0,-1 0 0,0-1 0,0 0 0,-2 0 0,0-1 0,-1-1 0,0 1 0,-1-1 0,-1 0 0,-1-1 0,-1 0 0,3-18 0,-5 22 0,-1-1 0,-1 1 0,0 0 0,-1 0 0,-1 0 0,0-1 0,-1 2 0,0-1 0,-1 0 0,-1 1 0,0-1 0,-1 1 0,0 0 0,-1 1 0,0 0 0,-1 0 0,-11-12 0,6 9 0,-1 1 0,0 0 0,-1 1 0,-1 0 0,0 2 0,0 0 0,-1 0 0,-1 2 0,0 0 0,-37-12 0,44 18 0,0 0 0,0 0 0,0 1 0,-1 0 0,1 1 0,-1 0 0,0 1 0,1 1 0,-1 0 0,1 0 0,-1 1 0,1 0 0,0 1 0,0 1 0,0 0 0,0 0 0,1 1 0,-1 0 0,-18 13 0,15-6 0,0 1 0,0 1 0,1 0 0,1 0 0,0 2 0,1-1 0,1 1 0,0 1 0,-11 28 0,11-22 0,2 0 0,0 1 0,2 0 0,0 1 0,2-1 0,-3 49 0,11 7 0</inkml:trace>
  <inkml:trace contextRef="#ctx0" brushRef="#br0" timeOffset="1492.16">1098 903 8192,'-2'15'14356,"-5"8"-10627,6-19-3792,1-5 63,1 0 0,-1 0 0,1 0 0,0 0 0,-1 0 0,1 0 0,0 0 0,0 0 0,0 0 0,-1 0 0,1 0 0,0 0 0,0 0 0,0 0 0,0 1 0,1-1 0,-1 1 0,0-1 0,0 0 0,0 1 0,0 0 0,1-1 0,-1 1 0,0 0 0,0 0 0,1-1 0,-1 1 0,0 0 0,0 0 0,1 1 0,-1-1 0,0 0 0,1 0 0,-1 0 0,0 1 0,0-1 0,0 1 0,2 0 0,1 1 0,0 0 0,-1 1 0,1-1 0,-1 1 0,0 0 0,0 0 0,0 0 0,0 0 0,-1 0 0,1 1 0,2 4 0,5 12-364,0 1 1,-2 0-1,0 1 0,-1 0 1,-2 0-1,0 0 1,-1 0-1,-2 1 1,0 0-1,-1 0 1,-1-1-1,-6 45 1,-1-30-1169,-1 0 0,-1 0-1,-2-1 1,-2 0 0,-1 0 0,-38 65 0,32-67 1195,-2 0-1,-1-1 0,-1-2 0,-2 0 1,-1-2-1,-42 35 0,12-22 131</inkml:trace>
  <inkml:trace contextRef="#ctx0" brushRef="#br0" timeOffset="3177.94">1776 818 8192,'1'-5'548,"1"-1"0,-1 1 0,2 0 0,28-31 13668,-30 37-14006,2 18 1991,-6 24-2998,-29 89 797,20-90 0,2 1 0,-9 80 0,19-119 0,0 0 0,-1 0 0,2 0 0,-1 0 0,0 0 0,1 0 0,0 0 0,-1 0 0,2 0 0,-1-1 0,0 1 0,1 0 0,0-1 0,0 1 0,0-1 0,0 0 0,0 1 0,1-1 0,4 4 0,-4-4 0,0-1 0,1 0 0,-1-1 0,1 1 0,0 0 0,0-1 0,-1 0 0,1 0 0,0 0 0,0 0 0,0-1 0,0 0 0,0 0 0,0 0 0,0 0 0,0 0 0,0-1 0,0 0 0,5-1 0,6-2-143,-1-1 1,0 0 0,0-1-1,0 0 1,-1-1-1,0-1 1,0 0 0,-1-1-1,0 0 1,15-16 0,36-45-3355,-6-4-4809,-43 55 5098,-13 17 2825,21-22 222,-22 23 155,0 1-1,1 0 0,-1 0 1,0-1-1,1 1 1,-1 0-1,0 0 1,1 0-1,-1-1 1,1 1-1,-1 0 0,0 0 1,1 0-1,-1 0 1,1 0-1,-1 0 1,0 0-1,1 0 1,-1 0-1,1 0 1,-1 0-1,1 0 0,-1 0 1,0 0-1,1 0 1,-1 0-1,1 0 1,-1 1-1,0-1 1,1 0-1,-1 0 0,0 0 1,1 1-1,-1-1 1,0 0-1,1 1 1,-1-1-1,0 0 1,1 1-1,-1-1 0,0 0 1,0 1-1,1-1 1,-1 0-1,0 1 1,0-1-1,0 1 1,0-1-1,0 0 1,0 1-1,1-1 0,-1 1 1,0-1-1,0 1 1,0-1-1,0 0 1,-1 1-1,1-1 1,0 1-1,0-1 0,0 1 1,2 12-193,0 0 116,0 0 0,0 0 0,10 25 0,-10-34 85,0 0 1,0 1-1,0-1 0,1 0 0,0-1 1,0 1-1,0 0 0,0-1 0,1 0 0,-1 0 1,1 0-1,0 0 0,-1 0 0,1-1 1,6 3-1,-5-3 82,-1-1 0,0 0 1,1 0-1,-1 0 0,1-1 0,0 1 1,-1-1-1,1 0 0,-1-1 1,1 1-1,0-1 0,-1 0 0,0 0 1,1 0-1,-1 0 0,1-1 1,-1 0-1,0 0 0,0 0 0,0 0 1,0-1-1,0 0 0,4-3 1,10-9 213,-1-1 1,0-1 0,17-21 0,-27 30-721,42-58-1413,-20 30 17266,-25 41-13694,-4 17-1844,-19 54-2191,12-54 532,1 1 0,-3 23 0,9-38 1988,-1-1 0,1 0 0,0 0-1,1 0 1,-1 0 0,3 10 0,-2-15 14,0 0-1,-1 1 1,1-1-1,0 0 1,0 1 0,0-1-1,0 0 1,1 0-1,-1 0 1,1 0 0,-1 0-1,1 0 1,0-1-1,-1 1 1,1 0 0,0-1-1,0 1 1,3 0-1,-2 0-188,1-1 0,-1 0 0,0 0 0,1 0 0,-1-1 0,0 1 0,1-1 0,-1 0 0,1 0 0,-1 0 0,6-1 0,2-1-415,-1 0 0,0-1 0,0-1 0,0 0 1,0 0-1,0-1 0,11-7 0,-7 2-286,-2 1-1,1-2 1,-1 0 0,-1-1-1,0 0 1,-1 0 0,0-1-1,-1 0 1,0-1-1,-1 0 1,-1-1 0,0 1-1,-1-1 1,0-1 0,-2 1-1,1-1 1,1-18 0,-3 14 91,-1 0-1,-1 0 1,-1 0 0,-1 0 0,-5-36 0,2 37 717,-1 1 1,0 0-1,-1 1 1,-1-1-1,0 1 0,-14-22 1,17 33-155,0-1 0,-1 0 0,0 1 0,0 0 0,0 1 0,-1-1 0,1 1 0,-13-8 0,16 11 0,0 1 0,-1 0 0,1 0 0,-1 0 0,1 0 0,-1 0 0,1 0 0,-1 1 0,0-1 0,1 1 0,-1 0 0,0 0 0,1 0 0,-1 0 0,0 0 0,1 1 0,-1-1 0,1 1 0,-1-1 0,0 1 0,1 0 0,-1 0 0,1 0 0,0 1 0,-1-1 0,1 1 0,0-1 0,0 1 0,-2 2 0,-7 5 0,1 2 0,0-1 0,1 2 0,1-1 0,-1 1 0,2 0 0,0 1 0,0 0 0,1 0 0,1 0 0,0 1 0,1 0 0,-3 14 0,6-22 0,0 1 0,0-1 0,0 1 0,1-1 0,0 0 0,0 1 0,0-1 0,1 1 0,0-1 0,1 0 0,-1 1 0,1-1 0,0 0 0,1 0 0,-1 0 0,1-1 0,1 1 0,-1-1 0,1 1 0,-1-1 0,2 0 0,-1 0 0,0-1 0,1 1 0,0-1 0,0 0 0,0-1 0,1 1 0,-1-1 0,1 0 0,8 4 0,2-2-76,-1 0 0,1-1 1,0 0-1,0-2 0,0 1 0,1-2 1,-1 0-1,0-1 0,0-1 0,26-4 1,-31 3 318,-1-1 0,1 0 0,-1 0 0,0-1 0,0 0 0,-1 0 0,1-2 0,-1 1 0,13-10 0,-16 10 635,-1 0 0,0 0 0,0-1 0,0 0-1,-1 1 1,1-2 0,-1 1 0,5-13 0,0-8 1236,-6 7 4296,4 30-6410,50 82 0,-52-83 0,0 1 0,-1 0 0,0 0 0,-1 0 0,0 0 0,0 1 0,1 19 0,-4-25 0,0 0 0,-1 0 0,1 0 0,-1 0 0,-1-1 0,1 1 0,-1 0 0,1 0 0,-1-1 0,-1 1 0,1-1 0,-1 0 0,1 1 0,-1-1 0,0 0 0,-1-1 0,1 1 0,-1-1 0,-5 5 0,5-5 0,0 1 0,-1-1 0,1-1 0,-1 1 0,0 0 0,0-1 0,0 0 0,0 0 0,0-1 0,0 0 0,0 1 0,0-2 0,-1 1 0,1-1 0,0 1 0,-1-1 0,-8-2 0,13 2 0,-1 0 0,0 0 0,1-1 0,-1 1 0,0-1 0,1 1 0,-1-1 0,0 0 0,1 0 0,-1 0 0,1 0 0,0 0 0,-1 0 0,1 0 0,0 0 0,0 0 0,-1-1 0,1 1 0,0 0 0,0-1 0,0 1 0,1-1 0,-1 1 0,0-1 0,0 0 0,1 1 0,-1-3 0,1 1 0,0 0 0,0 0 0,0 0 0,0 1 0,0-1 0,1 0 0,0 0 0,-1 0 0,1 1 0,0-1 0,0 0 0,1 1 0,-1-1 0,0 1 0,4-5 0,14-16 0</inkml:trace>
  <inkml:trace contextRef="#ctx0" brushRef="#br0" timeOffset="3255.77">3067 966 8192,'7'0'3356,"10"0"2640,9 0 2674,10 0-8670,0 0 0</inkml:trace>
  <inkml:trace contextRef="#ctx0" brushRef="#br0" timeOffset="3618.05">3702 966 8192,'-4'0'18022,"-1"-3"-18022,1-2 0</inkml:trace>
  <inkml:trace contextRef="#ctx0" brushRef="#br0" timeOffset="4020.78">4443 1030 8192,'14'10'0,"16"19"0,10 15 0,-2 0 0</inkml:trace>
  <inkml:trace contextRef="#ctx0" brushRef="#br0" timeOffset="5695.67">4675 818 8192,'0'-25'9975,"-1"-5"-4104,0 17-4796,-1 0 0,-6-23 0,7 31-1239,0 1 0,-1 0-1,1 0 1,-1 0 0,0 0 0,-1 0 0,1 0 0,-1 0 0,0 0 0,-4-4 0,5 6 202,0 1-1,-1-1 1,1 1 0,0-1 0,0 1 0,-1 0-1,1 0 1,-1 0 0,1 0 0,-1 1-1,1-1 1,-1 1 0,0-1 0,1 1 0,-1 0-1,1 0 1,-1 0 0,0 1 0,-3 0 0,0 0-38,0 1 0,0 1 0,0-1 0,1 1 0,-1 0 0,1 0 0,0 0 0,0 1 0,0 0 0,0 0 0,1 0 0,0 1 0,-1-1 0,2 1 0,-1 0 0,0 0 0,-2 6 0,-7 13 0,1 0 0,-15 38 0,14-27-854,2 0 0,1 0 0,2 1 0,-7 58 0,15-88 168,0 0 0,0 0 1,0 0-1,1 0 0,0 0 0,0 0 1,0 0-1,1 0 0,0 0 1,0-1-1,1 1 0,-1-1 0,7 10 1,-7-12 348,0 0 1,1-1 0,-1 1-1,1-1 1,0 1 0,0-1-1,0 0 1,0 0 0,0 0-1,4 1 1,-3-1 314,-1-1-1,1 0 0,0 0 1,0 0-1,0-1 1,1 1-1,-1-1 1,0 0-1,0 0 1,4-1-1,2-1 9,0 0 0,-1-1 0,1-1 1,-1 1-1,0-1 0,0-1 0,0 0 0,-1 0 0,0-1 0,0 1 0,0-2 0,-1 1 0,1-1 1,-2-1-1,10-11 0,-1-1 17,0-1 0,-2-1 0,-1 0 0,0 0 0,8-26 0,-6 7-3,-2-1 0,-1-1 0,-3 0 0,5-63 0,-9 23 0,-8-112 0,3 166 0,-2 0 0,-1 0 0,-2 0 0,-13-39 0,18 65 0,0-1 0,0 1 0,0 0 0,-1 0 0,0 0 0,1 1 0,-1-1 0,0 0 0,-1 1 0,-2-4 0,4 6 0,1-1 0,-1 1 0,0-1 0,1 1 0,-1 0 0,0-1 0,0 1 0,0 0 0,1-1 0,-1 1 0,0 0 0,0 0 0,0 0 0,0 0 0,1 0 0,-1 0 0,0 0 0,0 0 0,0 0 0,0 0 0,1 0 0,-1 1 0,0-1 0,0 0 0,0 1 0,0-1 0,-3 4 0,0-1 0,1 1 0,-1-1 0,1 1 0,0 0 0,0 0 0,0 1 0,0-1 0,1 1 0,0-1 0,-3 10 0,-12 36 0,2 0 0,2 1 0,2 0 0,3 1 0,2 0 0,3 0 0,1 0 0,3 1 0,2-1 0,14 75 0,-11-99 0,1 0 0,1 0 0,1 0 0,2-1 0,23 43 0,-28-60 0,0 1 0,1-2 0,0 1 0,0 0 0,1-1 0,1-1 0,0 1 0,0-2 0,0 1 0,1-1 0,0 0 0,0-1 0,1 0 0,0-1 0,0 0 0,15 4 0,-21-8-20,1 0 1,-1 0 0,1 0-1,0-1 1,0 0-1,-1 0 1,1 0 0,0-1-1,-1 0 1,1 0-1,0 0 1,-1 0 0,9-5-1,-6 2 98,0 0 0,-1 0-1,0-1 1,0 0 0,0-1-1,-1 1 1,0-1 0,8-10-1,-2 0 485,0-1-1,-1 0 0,-1-1 0,-1 0 0,-1 0 0,13-40 0,-12 27 1363,-2-1-1,-1 0 1,-1 0-1,-1 0 1,-3-1-1,-1-38 1,-4 52-1718,1 20-214,-2 12 12,-7 38-716,1 1 0,3 0 1,2 0-1,3 1 0,5 91 1,7-90-2956,-5-40 3791,0-1 1,0 0-1,1 0 0,13 22 1,-15-30-32,0 0 0,0-1 0,1 1 1,-1-1-1,1 0 0,0 0 0,0 0 1,1 0-1,-1-1 0,9 5 0,-10-6-297,1-1 1,0 1-1,-1-1 0,1 0 0,0 0 1,0 0-1,0-1 0,0 0 0,0 1 1,0-1-1,0 0 0,-1-1 1,1 1-1,0-1 0,0 0 0,7-2 1,-4 0-183,-1 0 0,1 0 0,-1-1 0,1 0 0,-1 0 0,0-1 0,-1 0 0,1 0 0,-1 0 0,0 0 0,0-1 0,0 0 0,-1 0 0,0 0 0,-1-1 0,1 1 0,-1-1 0,0 0 0,2-8 0,4-15 233,-1 0 0,-1-1 0,2-35 0,-7 54 216,18-105 496,-20 115-408,1 1 1,-1 0-1,0 0 0,0-1 0,0 1 1,1 0-1,-1 0 0,1-1 0,-1 1 0,1 0 1,-1 0-1,1 0 0,0 0 0,0 0 1,-1 0-1,1 0 0,1-1 0,-1 2 29,0 1-1,-1 0 1,1-1-1,-1 1 1,1 0-1,-1-1 0,1 1 1,-1 0-1,0 0 1,1 0-1,-1-1 1,0 1-1,0 0 0,0 0 1,1 0-1,-1 0 1,0-1-1,0 2 1,4 53 3724,1 15 1934,-3-57-5425,0-1 0,1 1 0,7 19 1,-9-27-417,1 0 1,0-1 0,0 1-1,1-1 1,-1 0-1,1 0 1,0 0 0,0 0-1,0 0 1,1-1 0,-1 1-1,1-1 1,0 0-1,0 0 1,0 0 0,0 0-1,1-1 1,-1 0 0,1 0-1,-1 0 1,1 0-1,0-1 1,0 0 0,0 0-1,0 0 1,8 0 0,-7-1-1,1 0 1,-1 0 0,1-1 0,-1 1 0,1-2-1,-1 1 1,1-1 0,-1 0 0,0 0 0,0 0-1,0-1 1,0 0 0,0 0 0,7-7 0,-5 4 11,-1-1 0,0 1 0,-1-2 0,0 1 0,0-1 0,0 0 0,-1 0 1,8-18-1,-3 1-111,-1-1 1,-2-1-1,0 0 1,-2 0 0,5-53-1,-8 34-3403,-2 3-8008,3 35 11762,4 14 1295,14 24 2916,-7-10-2360,9 10 3475,-2 1-3658,-13-17-2440,0 0 1,-1 0-1,-1 1 1,0-1-1,6 25 1,-4 15 2894,-6-18-2523,-1-21-719,-1-1-1,2-1 0,0 1 0,7 26 0,-8-36 349,1 0-1,0 0 1,0 0-1,0 0 1,1 0-1,-1-1 1,1 1-1,0-1 1,0 0-1,0 1 1,0-1-1,1-1 1,-1 1-1,1 0 1,0-1-1,-1 0 1,1 0-1,0 0 1,9 2-1,-4-1 349,0-1-1,-1 0 0,2-1 1,-1 0-1,0 0 0,0-1 0,0-1 1,0 1-1,0-1 0,0-1 1,0 0-1,0 0 0,0 0 0,8-5 1,-1 0 182,1-1 0,-1-1 0,-1 0 0,0-1 1,27-23-1,9-16-8</inkml:trace>
  <inkml:trace contextRef="#ctx0" brushRef="#br0" timeOffset="5835.95">6136 331 8192</inkml:trace>
  <inkml:trace contextRef="#ctx0" brushRef="#br0" timeOffset="5944.83">5395 501 8192,'-11'10'0,"-10"5"3356,-3 6 2127,15 6 2474,8 0-7957</inkml:trace>
  <inkml:trace contextRef="#ctx0" brushRef="#br0" timeOffset="6658.04">6242 1136 8192,'5'16'8786,"-3"-14"-8386,-1-2-78,0 0 1,0 1-1,0-1 1,0 0 0,1 0-1,-1 1 1,0-1-1,0 0 1,0 0-1,0 0 1,0 0 0,0 0-1,0-1 1,0 1-1,2-1 1,3-1 121,0 0 0,0-1 1,0 0-1,0 0 0,5-4 1,12-12-361,0 0 0,-2-1 0,0-1 0,-2-1 0,0 0 0,-1-2 0,-2 0 0,0-1 0,-1-1 0,-2 0 1,15-43-1,-26 64-84,-1 0 0,0 0 0,-1 1 0,1-1 0,-1 0 0,0 0 0,0 0 0,0 0 0,-1 0 0,-1-6 0,2 10 0,-1-1 0,1 1 0,-1-1 0,1 1 0,-1 0 0,1-1 0,-1 1 0,0 0 0,1 0 0,-1-1 0,0 1 0,0 0 0,0 0 0,0 0 0,0 0 0,0 0 0,0 0 0,0 0 0,-1 1 0,1-1 0,0 0 0,0 1 0,-1-1 0,1 1 0,-1-1 0,1 1 0,0-1 0,-1 1 0,1 0 0,-1 0 0,1 0 0,-1 0 0,1 0 0,0 0 0,-1 0 0,1 0 0,-3 1 0,2 0 0,0 0 0,0 0 0,-1 1 0,1-1 0,0 1 0,0-1 0,0 1 0,0-1 0,0 1 0,1 0 0,-1 0 0,1 0 0,-1 0 0,1 0 0,0 1 0,-1-1 0,1 0 0,0 1 0,0-1 0,1 0 0,-1 1 0,0-1 0,1 5 0,-2 0 0,1 1 0,0 0 0,1 0 0,-1 0 0,2 0 0,1 12 0,0-11 0,0-1 0,1 1 0,0-1 0,0 1 0,1-1 0,0 0 0,0-1 0,1 1 0,0-1 0,9 10 0,6 4 0,42 34 0,-20-20 0,-37-31 0,-1-1 0,0 1 0,0 0 0,-1 1 0,1-1 0,-1 0 0,0 1 0,3 6 0,-6-10 0,1 1 0,-1-1 0,1 1 0,-1-1 0,0 1 0,0 0 0,0-1 0,0 1 0,0 0 0,0-1 0,0 1 0,-1-1 0,1 1 0,0 0 0,-1-1 0,0 1 0,1-1 0,-1 1 0,0-1 0,0 1 0,1-1 0,-1 0 0,0 0 0,-1 1 0,1-1 0,0 0 0,0 0 0,0 0 0,-1 0 0,1 0 0,-3 1 0,-6 5-40,-2-1 0,1 0 1,-1-1-1,0 0 1,0-1-1,0 0 1,-1-1-1,1 0 1,-15 1-1,12-2-330,0-1 0,0-1 0,-1 0 0,1-1 0,0 0 0,0-1 0,-21-6 0,2-6 370</inkml:trace>
  <inkml:trace contextRef="#ctx0" brushRef="#br0" timeOffset="7048.92">6729 712 8192,'0'4'18022,"0"15"-18022,0 19 0,0 18 0,7 13 0,2 2 0,8-3 0,7-14 0,3-9 0,9-11 0,8-20 0,11-22 0,11-28 0,-6-8 0</inkml:trace>
  <inkml:trace contextRef="#ctx0" brushRef="#br0" timeOffset="7173.54">7004 352 8192,'0'-7'0,"-11"-2"2971,-3 3 2877,-7 11-5848,0 7 7957,4 10-7957,5 0 0</inkml:trace>
  <inkml:trace contextRef="#ctx0" brushRef="#br0" timeOffset="8047.52">6961 1030 8192,'0'3'1145,"0"0"0,0 1 0,0-1 0,1 1 1,-1-1-1,1 0 0,0 0 0,0 1 0,0-1 0,0 0 0,1 0 1,1 4-1,-2-6-865,0 0 1,0 0-1,0 0 0,0 0 1,0 0-1,1 0 0,-1 0 1,0 0-1,0-1 1,1 1-1,-1 0 0,2 0 1,25 0-791,-17-3 512,-1-1 1,1 0-1,-1-1 1,0 0-1,0 0 1,0-1 0,-1-1-1,1 1 1,-1-2-1,-1 1 1,1-1-1,13-15 1,-6 5-421,-2 0 0,0 0-1,-1-2 1,-1 1 0,14-30 0,-13 16-754,0 0 0,-3-1 0,0 0 0,-2-1 0,4-48 1,-7 29-1153,-2 0 0,-8-94 1,3 126 1790,-9-36 1,10 51 484,-1 0 0,0 0 0,0 0 0,-1 1 0,1-1 0,-1 1 1,-1-1-1,1 1 0,-7-7 0,10 11 48,-1 0 0,0 0 0,1 0 0,-1 0 0,0 1 0,0-1 0,0 0 0,0 1 0,0-1 0,1 0 0,-1 1 0,0-1 0,0 1 0,0 0 0,0-1 0,-1 1 0,1 0 0,0 0 0,0-1 0,0 1 0,0 0 0,0 0 0,0 0 0,0 0 0,0 0 0,0 1 0,0-1 0,0 0 0,-1 0 0,1 1 0,0-1 0,0 1 0,0-1 0,-1 2 0,-1 0 0,1 1 0,-1 0 0,1-1 0,-1 1 0,1 0 0,0 1 0,1-1 0,-1 0 0,-2 7 0,-9 28 0,3 1 0,-10 65 0,16-82 0,-12 76 0,-7 177 0,22-236 0,3-1 0,1 1 0,1 0 0,3-1 0,1 0 0,1-1 0,25 60 0,-28-83 0,1 0 0,1-1 0,0 0 0,1-1 0,0 1 0,1-1 0,0-1 0,1 0 0,0-1 0,1 0 0,0 0 0,15 8 0,-21-14 0,1-1 0,-1 0 0,1 0 0,0 0 0,0-1 0,0 0 0,0 0 0,0-1 0,0 0 0,0 0 0,1-1 0,-1 0 0,0 0 0,0 0 0,1-1 0,-1 0 0,0-1 0,0 0 0,0 0 0,0 0 0,0-1 0,-1 0 0,1 0 0,-1-1 0,0 1 0,0-2 0,6-4 0,-3 1 19,-1 0 1,0-1 0,-1 0 0,0 0-1,-1-1 1,0 1 0,0-2-1,-1 1 1,0 0 0,-1-1-1,0 0 1,-1 0 0,0-1-1,3-19 1,-1-16 835,-2 1 0,-3-60 1,-1 72-361,1 24-502,-1-39 2789,-2 19 6664,4 45-6787,0-11-2690,0 1 1,0-1-1,0 1 0,0-1 1,1 1-1,2 3 1,-2-4 30,0 0 0,0 0 0,1-1 0,-1 1 0,1-1 0,0 0 0,0 0 0,1 0 0,-1 0 0,0 0 0,1 0 0,0-1 0,0 0 0,-1 0 0,1 0 0,1 0 0,-1-1 0,0 1 0,0-1 0,0 0 0,1 0 0,4 0 0,-3-2 0,0 1 0,-1-1 0,0 0 0,1 0 0,-1-1 0,0 1 0,1-1 0,-1 0 0,0-1 0,0 1 0,-1-1 0,1 0 0,0-1 0,-1 1 0,0-1 0,0 1 0,5-7 0,0-1 0,0-1 0,-1 0 0,0-1 0,-1 0 0,0 0 0,-1 0 0,-1-1 0,0 0 0,-1 0 0,-1 0 0,4-25 0,-2-13 0,-2-97 0,-3 142 0,-1-7 0,2-1 0,-1-1 0,-1 1 0,-1-1 0,-6-27 0,8 42 0,0 1 0,0-1 0,0 1 0,-1-1 0,1 1 0,0-1 0,0 1 0,0 0 0,0-1 0,0 1 0,0-1 0,-1 1 0,1-1 0,0 1 0,0 0 0,-1-1 0,1 1 0,0 0 0,0-1 0,-1 1 0,1 0 0,0-1 0,-1 1 0,1 0 0,-1 0 0,1-1 0,0 1 0,-1 0 0,1 0 0,-1 0 0,1 0 0,-1 0 0,1-1 0,0 1 0,-1 0 0,1 0 0,-1 0 0,1 0 0,-1 0 0,1 0 0,-1 0 0,1 1 0,0-1 0,-1 0 0,1 0 0,-1 0 0,1 0 0,-1 0 0,1 1 0,0-1 0,-1 0 0,1 0 0,0 1 0,-1-1 0,1 0 0,0 1 0,-1-1 0,1 1 0,-16 25 0,0 20-560,1 1 1,3 1 0,2 0-1,-6 65 1,14-95-112,1 1 1,0 0-1,2 0 1,0 0-1,1 0 1,9 33-1,-9-45 699,0 1-1,1-1 1,0 0-1,0 0 1,1 0-1,0-1 1,0 0-1,0 1 1,1-1-1,0-1 1,0 1-1,1-1 1,0 0-1,0 0 1,0 0-1,0-1 1,1 0-1,-1 0 1,13 4-1,-2-2-863,1 0 1,0-2-1,0 0 0,0-2 0,0 0 0,1 0 0,-1-2 0,36-3 0,-43 1 420,-1 0-1,0 0 1,0-1 0,0 0-1,0-1 1,0 0 0,14-8-1,-19 8 401,0 1 0,0-1 0,0 0-1,-1 0 1,1-1 0,-1 1 0,0-1-1,0 0 1,-1 0 0,1 0 0,-1-1-1,0 1 1,3-9 0,-5 10 146,0 0 0,0 0 1,0 0-1,-1 0 0,1 0 1,-1-1-1,0 1 0,0 0 1,-1 0-1,1 0 0,-1 0 0,0 0 1,-1-5-1,2 8-23,-1 1 0,1-1 0,0 0 0,-1 0 0,1 0 0,-1 0 0,1 1 0,-1-1 0,0 0 0,1 0 0,-1 1 0,0-1 0,1 1 0,-1-1 0,0 0 0,0 1 0,1-1 0,-1 1 0,0 0 0,0-1 0,0 1 0,-1-1 0,0 1 95,0 0 0,1 1 0,-1-1 1,0 0-1,1 1 0,-1-1 0,1 1 1,-1 0-1,1-1 0,-1 1 0,1 0 1,-1 0-1,1 0 0,-1 0 0,1 0 1,0 0-1,-2 2 0,-2 3 214,0 0 0,0 0 0,0 1 0,1 0 0,0-1 0,0 1 0,1 1 0,0-1 0,0 0 0,1 1 0,0 0 0,0-1 0,1 1 0,0 0 0,0 0 0,1 15 0,1-17-107,-1 0 1,1 1-1,0-1 0,0 0 0,1 0 0,0 0 0,0 0 1,1 0-1,-1-1 0,1 1 0,0-1 0,5 7 0,-5-8-399,0-1 0,1 0-1,-1 1 1,1-1-1,-1 0 1,1-1-1,0 1 1,0-1-1,1 1 1,7 2 0,6 0 90,0-1 0,1-1 0,0-1 0,0 0 0,-1-1 0,1-1 0,23-4 0,26-1 0</inkml:trace>
  <inkml:trace contextRef="#ctx0" brushRef="#br0" timeOffset="9241.21">9311 1093 8192,'24'-5'7000,"9"-15"-4504,-26 15-1846,15-11 199,0-1 1,-1-1-1,-1-1 1,26-31-1,-24 22-1969,-1-2 0,-1 0 0,-2-1 0,-1-1 0,20-51-1,-21 38-1027,-2-1 0,-3 0 0,12-83 0,-19 80 2608,-2-79 0,-2 118-460,-10-112 0,8 109 0,0 0 0,-2 0 0,1 0 0,-1 0 0,-1 1 0,-12-23 0,17 34 0,-1 0 0,1-1 0,-1 1 0,0 0 0,0 0 0,0-1 0,0 1 0,0 0 0,0 0 0,0 0 0,0 0 0,0 0 0,0 1 0,-1-1 0,1 0 0,0 0 0,0 1 0,-1-1 0,1 1 0,-1-1 0,1 1 0,0 0 0,-1-1 0,1 1 0,-3 0 0,2 1 0,0-1 0,-1 1 0,1 0 0,0 0 0,0 1 0,0-1 0,0 0 0,0 1 0,0-1 0,0 1 0,0 0 0,0-1 0,1 1 0,-1 0 0,-2 4 0,-4 7 0,-1 1 0,2 0 0,0 0 0,-8 25 0,-18 72 0,32-109 0,-32 126 0,-28 224 0,55-290 0,2 1 0,3 0 0,3-1 0,3 1 0,23 111 0,-24-158-25,1 1 0,0-1 1,2 0-1,-1-1 1,2 1-1,12 18 0,-17-29 160,1 0 0,-1-1 0,1 1 0,0-1 0,0 0 0,0 0 0,0-1 0,1 1 0,0-1 0,0 0 0,0 0 0,0 0 0,0-1 0,0 0 0,0 0 0,1 0 0,-1-1 0,1 0 0,0 0-1,-1 0 1,11 0 0,-7-2 214,0-1-1,0 0 0,0 0 1,0 0-1,0-1 1,-1-1-1,0 1 0,0-1 1,0-1-1,0 0 0,0 0 1,-1 0-1,0-1 1,9-8-1,-2-1 893,1-1 0,-2 0 1,0-1-1,-1-1 0,11-21 1,-6 4-759,-1 0 0,-2-1 0,-1 0 1,9-45-1,-12 32-1406,4-58 1,-14 105 938,2-15 510,-1 0 0,-2-32 0,1 46-531,-1 0 1,1 0-1,0 0 1,-1 0-1,0 0 1,1 0-1,-1 0 1,0 0-1,-1 0 0,1 1 1,0-1-1,-1 0 1,0 1-1,1-1 1,-1 1-1,0 0 1,0-1-1,0 1 1,-1 0-1,1 0 1,0 0-1,-1 1 1,-4-3-1,5 3-93,-1 1-1,1-1 1,0 1-1,0 0 0,0 0 1,-1 0-1,1 0 1,0 1-1,0-1 0,0 1 1,-1-1-1,1 1 1,0 0-1,0 0 0,0 0 1,0 0-1,0 0 1,0 0-1,0 0 0,1 1 1,-1-1-1,0 0 1,1 1-1,-3 3 0,-2 2-98,0 0 0,0 1 0,1-1 0,-7 14 0,7-11-581,0 1 0,1 0-1,0 0 1,1 0 0,0 0 0,1 1 0,0-1-1,1 1 1,0-1 0,0 1 0,3 15 0,-1-20 588,0 0 1,0-1 0,1 1 0,0 0-1,0-1 1,1 1 0,0-1 0,7 11-1,-7-12 479,1 0-1,0-1 1,1 1-1,-1-1 1,1 1-1,0-1 1,0-1-1,0 1 1,0-1-1,11 5 1,-5-3 492,0-1-1,0-1 1,1 0-1,-1 0 1,1-1 0,-1-1-1,1 0 1,14 0 0,-12-2-404,-1 0 1,1-1-1,0-1 1,0 0 0,-1 0-1,24-11 1,-27 10-276,-1 0 0,1-1 0,-1 0 0,0-1 0,0 0 1,-1-1-1,1 0 0,-2 0 0,1 0 0,-1-1 0,0 0 0,0-1 1,-1 0-1,0 0 0,-1 0 0,0 0 0,-1-1 0,1 0 0,-2 0 0,5-18 1,-8 26-103,1 1 0,-1 0 0,1-1 0,-1 1 0,0 0 0,0-1 0,0 1 0,0-1 0,0 1 0,0 0 0,0-1 0,-1 1 0,1 0 0,0-1 0,-1 1 0,1 0 0,-1-1 0,1 1 0,-1 0 0,0 0 0,1-1 0,-1 1 0,0 0 0,0 0 0,0 0 0,0 0 0,0 0 0,0 0 0,-2-1 0,2 2 0,-1 0 0,1 0 0,-1 0 0,1 0 0,-1 0 0,1 0 0,-1 0 0,1 0 0,-1 0 0,1 1 0,-1-1 0,1 1 0,-1-1 0,1 1 0,0 0 0,-1-1 0,1 1 0,0 0 0,-1 0 0,1 0 0,0 0 0,0 0 0,0 0 0,0 0 0,0 0 0,-1 3 0,-1-1 0,0 1 0,0-1 0,1 1 0,0 0 0,0 0 0,0 0 0,0 0 0,1 0 0,-1 0 0,1 0 0,0 0 0,0 1 0,1-1 0,-1 1 0,1-1 0,0 0 0,0 1 0,2 7 0,-1-9 0,0 1 0,0-1 0,0 0 0,0 0 0,1 0 0,0 0 0,0 0 0,0 0 0,0 0 0,0-1 0,0 1 0,1-1 0,-1 1 0,1-1 0,0 0 0,-1 0 0,1 0 0,0 0 0,0-1 0,1 1 0,-1-1 0,0 0 0,0 0 0,7 2 0,2-1-622,1-1 0,-1 0 0,1 0 0,0-1 0,-1-1 0,1 0 0,-1 0 1,1-2-1,-1 1 0,0-2 0,0 1 0,22-11 0,-18 6-276,-1 0 0,0-1-1,-1 0 1,0-1 0,-1-1-1,0 0 1,0-1 0,21-25 0,-21 25 612,-13 12 268,1 0 0,-1 0 0,0 0 0,0 0 0,1 0 0,-1 0 0,0 0 0,0 0 0,1 0 0,-1 0 0,0 0 0,0 0 0,1 0 0,-1 0 0,0 0 0,0 0 0,0 0 0,1 1 0,-1-1 0,0 0 1,0 0-1,1 0 0,-1 0 0,0 1 0,0-1 0,0 0 0,0 0 0,0 0 0,1 1 0,-1-1 0,0 0 0,0 0 0,0 1 0,0-1 0,4 37-920,-4-37 938,-27 680 0,27-679 0,-29 205 0,25-184 0,-2 0 0,-1 0 0,0 0 0,-2-1 0,0 0 0,-25 37 0,29-50 25,-1-1 0,0 0 0,0-1 0,0 1 0,-1-1 0,0-1 0,-1 1 0,1-1 1,-1-1-1,0 1 0,-10 3 0,16-7 31,-1 0-1,0 0 1,1 0 0,-1-1 0,0 1-1,0-1 1,1 1 0,-1-1 0,0 0-1,0 0 1,0-1 0,0 1 0,1 0 0,-1-1-1,0 0 1,0 0 0,1 0 0,-1 0-1,1 0 1,-1 0 0,1 0 0,-1-1-1,1 0 1,0 1 0,-1-1 0,1 0-1,0 0 1,0 0 0,1 0 0,-1 0-1,0-1 1,1 1 0,-1-1 0,1 1-1,0-1 1,0 1 0,0-1 0,-1-4 0,-3-8-83,1 0 1,1 0 0,0 0-1,2-1 1,-1 1 0,2 0-1,0-1 1,1 1 0,0 0 0,1-1-1,9-28 1,-1 9 505,23-55 0,2 15-2717,77-123 1422,-61 123 752</inkml:trace>
  <inkml:trace contextRef="#ctx0" brushRef="#br0" timeOffset="9754.08">11216 479 8192,'4'-24'10457,"8"3"-4439,-8 17-5695,-1 1 0,0-1 0,1 1 1,0 0-1,-1 0 0,1 0 0,0 1 0,8-4 0,-8 4-520,1 0 0,-1 1-1,1-1 1,-1 1-1,1 0 1,0 0-1,-1 1 1,1-1 0,0 1-1,-1 0 1,1 1-1,0-1 1,5 2 0,17 10 1599,-22-6-1400,1-1 1,-1 1 0,0 0 0,0 0-1,-1 0 1,0 1 0,0 0 0,0 0-1,-1 0 1,0 0 0,0 0 0,-1 0-1,0 1 1,2 14 0,-2-6-80,0 0 1,-2 0-1,0 0 0,0 0 1,-2 0-1,-3 22 0,-2-13-543,-1-1-1,0 1 0,-2-1 0,-1-1 0,-1 0 0,-1 0 0,-23 30 0,-126 136-6852,83-103 2696,74-81 4740,1 0 1,0 0-1,0 0 1,0 0-1,0 1 1,1-1 0,0 1-1,-3 9 1,5-14 37,1-1 0,0 1 0,0 0 0,0 0 0,0-1 0,0 1 0,0 0 1,0-1-1,0 1 0,1 0 0,-1 0 0,0-1 0,0 1 0,1 0 0,-1-1 0,0 1 0,1 0 0,-1-1 1,1 1-1,-1 0 0,1-1 0,-1 1 0,1-1 0,-1 1 0,1-1 0,-1 1 0,1-1 0,0 1 1,3 0-4,-1 1 1,0-1 0,1 0-1,-1 0 1,1-1 0,0 1 0,-1-1-1,1 0 1,5 0 0,65-4 1,138-24 0,-79 6 0,228-16 0,-52 7 0,-218 16 0,-30-1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5:02.99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270 462 8192,'23'2'9278,"-21"-1"-8295,1-1 0,0 1 1,0-1-1,-1 0 0,1 0 1,0 0-1,0 0 0,4-1 1,-6 0-990,1 0 1,-1 0-1,1 0 0,-1 0 1,1 0-1,-1 0 1,0 0-1,0 0 0,0 0 1,1-1-1,-1 1 1,0 0-1,-1-1 1,1 1-1,0-1 0,0 1 1,0-1-1,0-2 1,2-7 5,0 0 0,0 0 0,-1 1 0,-1-1 0,0-1 0,0 1 0,-1 0 0,-1 0 0,0 0 0,0 0 0,-4-13 0,4 19 0,-1 1 0,1 0 0,-1-1 0,0 1 0,0 0 0,0 0 0,-1 0 0,1 0 0,-1 0 0,0 1 0,0-1 0,-6-5 0,6 7 0,0 0 0,-1 1 0,1-1 0,0 1 0,0-1 0,-1 1 0,1 0 0,-1 0 0,1 1 0,-1-1 0,1 1 0,-1-1 0,1 1 0,-1 0 0,0 1 0,1-1 0,-1 1 0,-5 1 0,-2 1 0,0 1 0,0 1 0,1 0 0,0 0 0,0 1 0,0 0 0,1 1 0,-1 0 0,2 1 0,-1 0 0,1 0 0,0 0 0,1 1 0,0 1 0,-11 17 0,5-4 0,0 1 0,2 1 0,1-1 0,0 1 0,-10 49 0,17-59 0,0 1 0,1 0 0,1 0 0,1 0 0,0 0 0,1 0 0,5 27 0,-5-37 0,0-1 0,0 0 0,1 1 0,0-1 0,0 0 0,1 0 0,-1 0 0,1-1 0,0 1 0,0 0 0,1-1 0,-1 0 0,1 0 0,0 0 0,0 0 0,0-1 0,1 0 0,-1 1 0,1-2 0,0 1 0,0 0 0,0-1 0,0 0 0,0 0 0,11 2 0,-10-3 0,0 0 0,0-1 0,0 1 0,0-1 0,0-1 0,0 1 0,-1-1 0,1 0 0,0 0 0,0-1 0,0 1 0,-1-1 0,1-1 0,8-4 0,-5 1 0,-1 1 0,0-2 0,0 1 0,-1-1 0,1 0 0,-2-1 0,1 1 0,6-11 0,-2 1 0,-2 0 0,1-1 0,-2 0 0,0 0 0,-2-1 0,0 0 0,-1 0 0,4-26 0,-9 17 0,-1 28 0,1 0 0,0 0 0,0-1 0,0 1 0,0 0 0,0 0 0,0 0 0,0 0 0,0-1 0,-1 1 0,1 0 0,0 0 0,0 0 0,0 0 0,0 0 0,0 0 0,-1 0 0,1-1 0,0 1 0,0 0 0,0 0 0,0 0 0,-1 0 0,1 0 0,0 0 0,0 0 0,0 0 0,-1 0 0,1 0 0,0 0 0,0 0 0,0 0 0,-1 0 0,1 0 0,0 0 0,0 0 0,0 0 0,-1 0 0,1 0 0,0 1 0,0-1 0,0 0 0,0 0 0,0 0 0,-1 0 0,1 0 0,0 0 0,0 1 0,0-1 0,0 0 0,0 0 0,0 0 0,-1 0 0,1 0 0,0 1 0,0-1 0,0 0 0,0 0 0,0 0 0,0 1 0,0-1 0,0 0 0,0 0 0,0 0 0,0 1 0,0-1 0,0 0 0,0 0 0,0 1 0,-7 15 0,5-10 0,0 1 0,1-1 0,0 1 0,0 0 0,0-1 0,1 1 0,0 0 0,0-1 0,1 1 0,0 0 0,0-1 0,0 1 0,1-1 0,0 1 0,0-1 0,1 0 0,0 0 0,0 0 0,0 0 0,1 0 0,0-1 0,0 1 0,0-1 0,1 0 0,-1 0 0,1-1 0,0 0 0,1 1 0,-1-2 0,1 1 0,0-1 0,0 1 0,0-2 0,0 1 0,0-1 0,14 3 0,-6-1-75,1-1 0,0-1 1,0-1-1,0 0 0,1-1 1,-1 0-1,0-2 0,0 1 1,0-2-1,0 0 0,-1-1 1,1 0-1,-1-1 0,0-1 1,0 0-1,0-1 1,-1-1-1,0 0 0,20-16 1,-16 9-594,1 0 1,-2-2 0,0 0 0,-1 0 0,-1-1 0,0-1 0,-1-1 0,-2 0 0,0 0 0,-1-1-1,-1 0 1,9-31 0,-8 11-2787,10-75 1,-18 94 3263,0-1 0,-2 0 0,-1 0 1,-7-43-1,8 61 190,-1 1 0,0 0 0,-1 0 0,1 0 0,-1 0 0,0 0 0,0 0 0,0 0 0,0 0 0,-1 1 0,1-1 0,-5-4 0,6 8 0,0-1 0,0 0 0,0 1 0,0-1 0,0 1 0,0-1 0,0 1 0,0-1 0,0 1 0,0 0 0,0 0 0,0-1 0,0 1 0,-1 0 0,1 0 0,0 0 0,0 0 0,0 0 0,0 0 0,-1 1 0,-1 0 0,1 0 0,0 0 0,0 0 0,0 0 0,0 0 0,0 1 0,0-1 0,0 1 0,1 0 0,-1-1 0,1 1 0,-4 4 0,-6 13 0,1 0 0,0 1 0,2 0 0,0 0 0,1 1 0,-4 24 0,-9 33 0,4 1 0,4 0 0,3 1 0,1 109 0,8-172 0,1 1 0,1-1 0,0 0 0,1-1 0,1 1 0,0-1 0,10 23 0,-12-34 0,1 0 0,0 0 0,0 0 0,0 0 0,0-1 0,1 1 0,0-1 0,0 0 0,0 0 0,0 0 0,1-1 0,0 0 0,-1 0 0,1 0 0,0 0 0,1-1 0,-1 1 0,0-1 0,1-1 0,-1 1 0,1-1 0,-1 0 0,1 0 0,0 0 0,8-1 0,-5 0 0,0-1 0,1 0 0,-1 0 0,0-1 0,1 0 0,-1 0 0,0-1 0,-1-1 0,1 1 0,-1-1 0,11-7 0,-7 3 0,0-1 0,-1 0 0,0 0 0,-1-2 0,0 1 0,15-22 0,-9 8 0,-2-1 0,0-1 0,-1 0 0,-2 0 0,-1-2 0,13-50 0,-2-40 0,-19 103 0,-1 0 0,-1 0 0,0 0 0,-1 0 0,-4-25 0,5 39 0,-1-1 0,1 0 0,0 1 0,-1-1 0,1 1 0,-1-1 0,1 1 0,-1-1 0,0 1 0,0-1 0,0 1 0,0 0 0,0-1 0,0 1 0,0 0 0,0 0 0,0 0 0,0 0 0,-1 0 0,1 0 0,-3-1 0,3 2 0,-1 0 0,1 0 0,-1 0 0,1 0 0,-1 0 0,1 0 0,-1 1 0,1-1 0,-1 1 0,1-1 0,-1 1 0,1 0 0,0-1 0,-1 1 0,1 0 0,0 0 0,0 0 0,-1 0 0,1 0 0,0 0 0,0 0 0,0 0 0,-1 2 0,-9 13 0,0 1 0,1 0 0,1 0 0,1 1 0,0 1 0,2-1 0,-6 21 0,-8 26 0,-16 89 0,32-127 0,0 0 0,2 1 0,1-1 0,2 0 0,0 0 0,7 37 0,-6-56 0,-1 0 0,2-1 0,-1 1 0,1-1 0,0 0 0,1 0 0,-1 0 0,2-1 0,-1 1 0,1-1 0,0 0 0,0 0 0,0 0 0,1-1 0,10 8 0,-9-8 0,1-1 0,0 1 0,0-2 0,1 1 0,-1-1 0,1 0 0,0-1 0,0 0 0,0-1 0,0 1 0,0-2 0,0 1 0,10-2 0,4-1 0,0-1 0,0-2 0,0 0 0,0-1 0,21-10 0,27-13 0</inkml:trace>
  <inkml:trace contextRef="#ctx0" brushRef="#br0" timeOffset="794.48">2408 632 8192,'-1'14'10133,"0"1"-4291,-2 3-2678,-1 9-3394,-2 7-2061,4-13 3695,-1 10-1404,-2 53 0,5-79 0,0 1 0,1 0 0,-1 0 0,1-1 0,1 1 0,-1-1 0,1 1 0,0-1 0,0 0 0,0 1 0,4 5 0,-5-10-6,0 0 1,0 1-1,1-1 1,-1 0-1,0 0 1,1 0-1,-1 0 1,0 0-1,1 0 1,-1 0-1,1-1 1,0 1-1,-1 0 1,1-1-1,0 1 1,-1-1 0,1 0-1,0 1 1,0-1-1,-1 0 1,1 0-1,0 0 1,-1 0-1,1-1 1,0 1-1,0 0 1,-1-1-1,1 1 1,0-1-1,-1 0 1,1 1-1,-1-1 1,1 0-1,-1 0 1,2-1-1,5-3-373,-1 0-1,1-1 0,-1 0 0,0 0 1,8-11-1,-4 3-483,-1 0 1,-1-1-1,0 0 0,-1 0 1,0-1-1,-2 0 0,0-1 1,0 1-1,-2-1 0,0 0 1,-1 0-1,0-1 0,-2 1 1,0-21-1,-2 12 36,0 0 0,-2 1 0,-9-41 0,6 42 1003,-1 1-1,-1-1 0,-18-34 1,22 51-176,0 0 0,-1 0 0,1 1 0,-1-1 0,-1 1 0,1 0 0,-1 0 0,0 1 0,0-1 0,-12-6 0,16 11 0,0 0 0,-1 0 0,1 0 0,0 0 0,-1 0 0,1 0 0,-1 1 0,1-1 0,-1 1 0,1-1 0,-1 1 0,0 0 0,1 0 0,-1 0 0,1 1 0,-1-1 0,1 1 0,-1-1 0,1 1 0,-1 0 0,1 0 0,-1 0 0,1 0 0,0 0 0,0 1 0,-1-1 0,1 1 0,0-1 0,0 1 0,1 0 0,-1 0 0,0 0 0,1 0 0,-1 0 0,1 0 0,-3 4 0,-2 4 0,1 1 0,0-1 0,0 1 0,1 0 0,0 0 0,1 1 0,0-1 0,1 1 0,0 0 0,1-1 0,0 1 0,1 0 0,1 0 0,1 12 0,-1-14 0,1 0 0,0 0 0,1 0 0,0 0 0,0 0 0,1-1 0,0 1 0,1-1 0,0 0 0,1-1 0,0 1 0,0-1 0,0 0 0,1-1 0,0 1 0,14 9 0,-9-9 0,0 0 0,1-1 0,0-1 0,0 0 0,0-1 0,1 0 0,0-1 0,0 0 0,0-2 0,0 1 0,0-2 0,1 0 0,-1 0 0,1-1 0,-1-1 0,0-1 0,22-4 0,-23 3 0,0-1 0,0-1 0,0 1 0,-1-2 0,0 0 0,0 0 0,0-1 0,-1-1 0,0 0 0,0 0 0,-1-1 0,0-1 0,0 0 0,-1 0 0,-1 0 0,0-1 0,0-1 0,10-20 0,-6 4 0,-1 0 0,-1 0 0,-2-1 0,-1 0 0,-1-1 0,-1 0 0,-2 1 0,-1-59 0,-5 67 0,2 22 0,0-1 0,1 1 0,-1-1 0,1 1 0,-1-1 0,1 1 0,-1-1 0,1 1 0,0 0 0,-1-1 0,1 1 0,0 0 0,-1-1 0,1 1 0,0 0 0,0-1 0,0 1 0,-1 0 0,1 0 0,0-1 0,0 1 0,0 0 0,0 1 0,-16 73 186,2 1 1,-6 154-1,20-211 512,0 0-1,2 0 1,4 30-1,-4-44-842,-1 1 0,0-1-1,1 0 1,0 0 0,0 0 0,0 0-1,1 0 1,0 0 0,0-1 0,0 1-1,0-1 1,1 0 0,0 0 0,0 0-1,0-1 1,8 7 0,16 3-350</inkml:trace>
  <inkml:trace contextRef="#ctx0" brushRef="#br0" timeOffset="1763.7">2767 589 8192,'36'-1'12494,"0"-2"-6598,-2-3-4638,64-17-5945,-56 10 5272,29-11-1722,100-48 1,-150 61 66,-1 0-1,0-1 1,0-1 0,-2-1 0,1 0 0,-2-2 0,0 0 0,-1-1-1,16-21 1,-25 28 927,-1 0 1,0 0-1,-1 0 0,0 0 0,-1-1 0,0 0 0,-1 0 0,0 0 1,0 0-1,-1 0 0,-1-1 0,0 1 0,0-1 0,-1 1 0,-1-1 0,0 1 1,-4-17-1,5 26 143,-1 0 0,1 0 0,-1 0 0,0 0 0,1 0 0,-1 1 0,0-1 0,0 0 0,0 1 0,-1-1 0,1 1 0,0-1 0,0 1 0,-1 0 0,1-1 0,-1 1 0,-2-2 0,3 3 0,-1 0 0,1-1 0,0 1 0,0 0 0,0 0 0,-1 0 0,1 0 0,0 0 0,0 0 0,0 0 0,-1 1 0,1-1 0,0 0 0,0 1 0,0-1 0,0 1 0,0-1 0,-1 1 0,1-1 0,-2 2 0,-2 3 0,0-1 0,1 1 0,-1 0 0,1 0 0,0 1 0,0-1 0,0 1 0,1 0 0,-3 7 0,-9 28 0,2 0 0,1 2 0,-9 77 0,15-82 0,-14 88 247,-4 151 1,23-267-39,1-1-1,1 0 1,-1 0 0,1 0 0,1 0-1,-1 0 1,7 16 0,-7-22-284,0-1 0,1 1 1,-1-1-1,1 0 0,0 1 1,-1-1-1,1 0 1,0 0-1,0 0 0,1-1 1,-1 1-1,0 0 0,1-1 1,-1 1-1,1-1 0,-1 0 1,1 0-1,-1 0 0,1 0 1,0 0-1,0-1 0,-1 1 1,1-1-1,0 0 0,0 0 1,0 0-1,-1 0 0,4-1 1,9 0 57,-1-2 0,1 0-1,-1-1 1,0 0 0,0-1 0,0 0 0,-1-1 0,22-14 0,2-4 1492,55-45 0,-54 35 1900,-17 13 6031,-21 20-9345,0 1-1,1 0 0,-1 0 0,0 0 1,0 0-1,1 1 0,-1-1 0,0 0 1,0 0-1,1 0 0,-1 0 0,0 0 1,0 0-1,0 0 0,1 0 0,-1 0 1,0 0-1,0 1 0,0-1 0,1 0 1,-1 0-1,0 0 0,0 0 0,0 1 1,0-1-1,1 0 0,-1 0 0,0 0 1,0 1-1,0-1 0,0 0 0,0 0 1,0 1-1,0-1 0,0 0 0,0 0 1,0 1-1,0-1 0,0 0 0,8 21 130,7 13-345,-12-30 172,0 0-1,1 0 1,-1-1 0,1 1 0,0-1 0,0 0 0,0 0 0,1-1 0,-1 1 0,0-1 0,1 0 0,0 0 0,0 0 0,9 2 0,-5-3-124,1 0 0,-1 0 0,1 0 0,-1-2 0,1 1 1,-1-1-1,14-3 0,4-3-562,-1-1 0,0-1 0,0-2 0,34-18 0,-16 3-2727,21-20 2493,-55 37 322,0-1 0,0 0 0,13-18 1,0-15-5341,-22 41 5811,0 0-1,-1 0 0,1 0 1,0 0-1,-1 0 0,0 0 1,0 0-1,1 0 0,-1 0 0,0-1 1,-1 1-1,1-2 0,0 3 101,-1 0 0,1 0-1,0 1 1,-1-1 0,1 0-1,0 0 1,-1 1 0,1-1-1,-1 0 1,1 1-1,-1-1 1,1 1 0,-1-1-1,0 1 1,1-1 0,-1 1-1,0-1 1,1 1 0,-1-1-1,0 1 1,-1-1 0,0 1 17,-1 0 0,1-1 0,-1 1 0,1 0 0,-1 0 0,1 1 0,0-1 0,-1 0 0,1 1 0,0 0 0,-1-1 0,1 1 0,0 0 0,0 0 0,-1 0 0,1 1 0,0-1 0,-3 3 0,0 1-11,-1 0 0,1 0-1,0 1 1,0-1 0,0 1 0,1 1 0,0-1 0,0 1 0,1-1 0,0 1 0,-4 13 0,6-17 21,0-1 0,0 1 1,0 0-1,1 0 1,-1-1-1,1 1 0,0 0 1,0 0-1,0 0 1,0-1-1,1 1 0,-1 0 1,1 0-1,-1 0 0,1-1 1,0 1-1,0 0 1,0-1-1,1 1 0,-1-1 1,0 1-1,1-1 0,0 0 1,-1 0-1,1 0 1,0 0-1,0 0 0,1 0 1,-1 0-1,0 0 1,0-1-1,1 1 0,-1-1 1,4 2-1,6 1 21,1-1 0,-1 0 0,0 0 0,1-1 0,0 0 0,0-2-1,-1 1 1,1-1 0,0-1 0,0 0 0,-1-1 0,18-5 0,-12 3-155,-1-2 0,0 0 0,0-1 0,-1 0 0,1-1 0,-2-1 1,1-1-1,15-13 0,-22 15 117,0 0 0,0-1 0,-1-1 0,0 1 0,-1-1 0,0-1 0,-1 1 0,0-1 0,4-12 0,-7 16 0,0 0 0,-1 0 0,0 0 0,0 0 0,-1 0 0,0-1 0,0 1 0,-1 0 0,0 0 0,0-1 0,0 1 0,-1 0 0,-1-1 0,1 1 0,-1 0 0,-3-8 0,5 13 0,-1-1 0,0 1 0,0 0 0,0 0 0,0 1 0,0-1 0,0 0 0,0 0 0,-1 0 0,1 1 0,-1-1 0,1 1 0,-1-1 0,0 1 0,1-1 0,-1 1 0,0 0 0,0 0 0,0 0 0,0 0 0,0 0 0,0 1 0,0-1 0,0 1 0,0-1 0,0 1 0,-1 0 0,1-1 0,0 1 0,0 0 0,0 0 0,-1 1 0,1-1 0,0 0 0,0 1 0,0 0 0,0-1 0,-3 2 0,-1 1 0,1 0 0,-1 1 0,1-1 0,0 1 0,0 0 0,0 0 0,0 1 0,1 0 0,0-1 0,0 2 0,0-1 0,-4 7 0,6-7 0,-1-1 0,1 1 0,0 0 0,0 0 0,1 0 0,-1 0 0,1 0 0,0 0 0,1 1 0,-1-1 0,1 0 0,0 0 0,1 7 0,-1-9 0,1 1 0,0-1 0,0 1 0,1-1 0,-1 1 0,1-1 0,-1 0 0,1 0 0,0 0 0,0 0 0,1 0 0,-1 0 0,0 0 0,1-1 0,0 1 0,0-1 0,-1 0 0,1 0 0,1 0 0,3 2 0,4 2 1,1-2 0,0 1 0,0-1 1,0-1-1,0 0 0,1-1 0,21 1 0,92-6-49,-92 0 226,-1 2 0,43 4 0,-73-3 59,1 0 1,-1 1-1,1 0 1,-1-1-1,0 1 1,1 0-1,-1 1 0,0-1 1,0 1-1,0-1 1,0 1-1,0 0 1,0 0-1,-1 0 0,5 4 1,-4-1 265,0-1 0,0 1-1,-1 0 1,1 0 0,-1 0 0,0 0 0,0 0 0,1 9-1,-2-11-218,0 0-1,-1-1 1,2 1-1,-1 0 0,0-1 1,1 1-1,-1-1 1,1 1-1,0-1 0,0 0 1,0 0-1,0 0 1,0 0-1,0 0 0,0 0 1,1 0-1,-1-1 0,1 1 1,3 1-1,32 9 2445,-10-8-3662,30 3-199,-1-4-1,1-2 1,75-8-1,170-34-2657,-122 10 3791</inkml:trace>
  <inkml:trace contextRef="#ctx0" brushRef="#br0" timeOffset="3052.45">6620 483 8192,'-2'31'12023,"-2"-1"-6150,-4 7-4046,-7 17-4113,-2 6 2871,8-24-585,5-23 0,0 1 0,1 0 0,1-1 0,-2 28 0,4-40 0,0 0 0,0 1 0,0-1 0,1 0 0,-1 0 0,0 1 0,0-1 0,1 0 0,-1 0 0,1 1 0,-1-1 0,1 0 0,-1 0 0,1 0 0,0 0 0,-1 0 0,1 0 0,0 0 0,0 0 0,0 0 0,0 0 0,0 0 0,0-1 0,0 1 0,0 0 0,0-1 0,0 1 0,1 0 0,-1-1 0,0 0 0,0 1 0,1-1 0,-1 0 0,0 0 0,0 1 0,1-1 0,-1 0 0,0 0 0,0 0 0,1-1 0,-1 1 0,0 0 0,1 0 0,-1-1 0,0 1 0,2-1 0,5-2 0,0 1 0,-1-1 0,1-1 0,0 1 0,-1-1 0,8-6 0,6-7-221,-1-1 0,-2-1 1,1-1-1,-2 0 0,-1-1 1,24-41-1,2-1-4120,3 7-5287,-44 54 9434,1 1-1,-1-1 1,1 1 0,0-1-1,-1 1 1,1 0-1,0-1 1,0 1 0,0 0-1,-1 0 1,5-1-1,-5 2 181,-1 0 0,1 0 0,0 0 0,-1 0-1,1 0 1,0 0 0,-1 0 0,1 0-1,-1 0 1,1 0 0,0 1 0,-1-1 0,1 0-1,-1 0 1,1 1 0,-1-1 0,1 0 0,-1 1-1,1-1 1,-1 0 0,1 1 0,-1-1 0,1 1-1,-1-1 1,0 1 0,1 0 0,1 3 35,0 0-1,-1 0 1,1 0 0,-1 0 0,0 1 0,0-1-1,-1 0 1,0 1 0,1 6 0,-5 82-28,2-70 102,0 0-1,2 0 0,1 0 0,0 1 1,6 24-1,-6-43-48,1 0 0,-1-1-1,1 1 1,0-1 0,0 1 0,0-1-1,1 0 1,-1 0 0,1 0 0,0 0 0,0 0-1,1-1 1,-1 1 0,1-1 0,-1 0-1,1 0 1,0 0 0,0-1 0,1 1-1,-1-1 1,1 0 0,-1 0 0,1-1-1,-1 1 1,1-1 0,0 0 0,0 0 0,-1-1-1,1 1 1,10-1 0,-3-1 69,1 0 0,-1-1 1,1 0-1,-1 0 0,1-2 0,-1 1 1,0-2-1,-1 0 0,1 0 0,20-13 1,-15 5-571,0 0-1,0-2 1,-2 0 0,1-1 0,-2 0 0,20-30 0,16-35 3713,-10-1 9130,-26 49-10072,-13 24-2330,-6 14 48,-8 18-550,10-13 516,0-1-1,1 1 0,0 0 0,1 0 0,0 0 1,0 0-1,1 0 0,2 18 0,-1-25 15,-1 0 0,0 0 0,1 0 0,0-1 0,-1 1 0,1 0 0,0 0 0,0-1 0,1 1 0,-1-1 0,1 1 0,-1-1 0,1 1 0,0-1 0,-1 0 0,1 0-1,0 0 1,1 0 0,-1 0 0,0 0 0,1-1 0,-1 1 0,1-1 0,-1 0 0,1 1 0,-1-1 0,1 0 0,0-1 0,0 1 0,0 0 0,-1-1 0,1 1 0,0-1 0,0 0 0,3 0 0,2-1-70,0 0 0,-1 0 0,1-1 0,-1 0 0,0 0 0,1-1 0,-1 0 0,0 0 0,-1 0 0,1-1 0,0 0 0,-1 0 0,0-1 0,0 0 0,0 0 0,-1 0 0,9-12 0,-6 7-612,-1-1 0,-1 0 1,1 0-1,-2-1 0,0 1 1,0-1-1,-1 0 0,-1 0 1,0-1-1,2-14 0,0-16-1213,1-61-1,-6 87 1067,-1-1 0,-1 1 0,0 0 0,-2 0 0,0 0 0,-8-24 1,11 38 804,0 0 1,-1 0-1,1 0 1,0 1-1,-1-1 1,0 1-1,1-1 1,-1 1-1,0-1 1,0 1-1,0 0 1,-1 0-1,1 0 1,0 0-1,-1 1 1,0-1-1,1 1 1,-1-1-1,-5-1 1,4 2 7,0 1 0,1 0-1,-1-1 1,0 1 0,0 1 0,0-1 0,1 1 0,-1-1 0,0 1 0,1 0-1,-1 0 1,0 1 0,-5 2 0,-3 3 4,1 0 0,-1 0 1,2 1-1,-1 1 0,1 0 0,1 0 1,-17 21-1,14-14-2,1 0 0,1 1 0,0 0 0,1 1 0,1 0 0,-7 23 0,13-34 0,0-1 0,1 1 0,0-1 0,0 1 0,1-1 0,0 1 0,0 0 0,1-1 0,2 13 0,-2-15 0,1 0 0,-1 1 0,1-1 0,0 0 0,0 0 0,1 0 0,-1 0 0,1 0 0,0-1 0,0 1 0,0-1 0,1 0 0,-1 0 0,1 0 0,6 4 0,1-1 0,2 0 0,-1-1 0,1 0 0,-1-1 0,1-1 0,1 0 0,-1 0 0,0-1 0,0-1 0,27-1 0,-14-1 0,1-1 0,0-1 0,-1-2 0,40-11 0,-39 7 0,0-2 0,-1 0 0,0-2 0,-1-1 0,0-1 0,-1-1 0,-1-1 0,0-1 0,23-25 0,-17 4 0,-22 16 0,-7 23 0,0-1 0,0 0 0,0 1 0,0-1 0,0 0 0,0 1 0,0-1 0,0 0 0,-1 1 0,1-1 0,0 0 0,0 1 0,-1-1 0,1 1 0,0-1 0,-1 1 0,1-1 0,-1 1 0,1-1 0,0 1 0,-1-1 0,1 1 0,-1-1 0,0 1 0,1 0 0,-2-1 0,2 0 0,-1 1 0,0 0 0,1 0 0,-1 0 0,1 0 0,-1-1 0,0 1 0,1 0 0,-1 0 0,0 0 0,1 0 0,-1 0 0,1 0 0,-1 1 0,0-1 0,1 0 0,-1 0 0,0 0 0,1 1 0,-1-1 0,1 0 0,-1 1 0,1-1 0,-1 0 0,1 1 0,-1-1 0,1 1 0,-1-1 0,1 0 0,-1 1 0,1-1 0,0 1 0,-1 0 0,1-1 0,0 1 0,-1-1 0,1 1 0,0-1 0,0 1 0,-1 1 0,1 0 0,-1 0 0,0 1 0,1-1 0,-1 0 0,1 1 0,0-1 0,0 1 0,0-1 0,0 1 0,0 2 0,3 5 0,0 0 0,1 0 0,0-1 0,0 1 0,1-1 0,10 15 0,44 49 0,-46-59 0,0 0 0,-1 2 0,-1-1 0,0 2 0,15 31 0,-25-45-13,0 0 0,0 1-1,0-1 1,0 1 0,-1 0 0,1-1 0,-1 1 0,0 0 0,0-1 0,0 1-1,-1-1 1,1 1 0,-1 0 0,0-1 0,0 1 0,0-1 0,0 0 0,-1 1 0,1-1-1,-1 0 1,0 0 0,0 0 0,0 0 0,0 0 0,-1 0 0,1-1 0,-1 1-1,0-1 1,-3 3 0,1-1 119,0-1 0,0 0 1,0 0-1,0-1 0,0 1 0,-1-1 0,-9 2 0,9-2 426,1-1 0,0-1-1,-1 1 1,1-1 0,-1 0-1,1 0 1,0-1 0,-8-1 0,10 2 277,0-1 1,0 0 0,0 0 0,0-1 0,1 1-1,-1-1 1,0 1 0,1-1 0,-1 0 0,1 0-1,0 0 1,-1 0 0,-1-3 0,-12-21 634,5-9-1444</inkml:trace>
  <inkml:trace contextRef="#ctx0" brushRef="#br0" timeOffset="3192.38">8631 568 8192,'23'0'18022,"-4"0"-18022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05.85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1 533 24575,'112'0'0,"32"2"0,147-20 0,-246 12 0,0-3 0,0-1 0,-1-3 0,0-1 0,-1-3 0,0-2 0,55-34 0,-85 45 0,-1-1 0,0 0 0,0-1 0,-1 0 0,0-1 0,-1 0 0,0-1 0,0 0 0,-2-1 0,13-22 0,-18 29 0,0 0 0,-1 0 0,0 0 0,0-1 0,0 0 0,-1 1 0,0-1 0,0 0 0,0 1 0,-1-1 0,0 0 0,0 0 0,0 1 0,-1-1 0,0 0 0,-1 0 0,1 1 0,-1-1 0,0 1 0,0 0 0,-1-1 0,0 1 0,0 0 0,0 1 0,-1-1 0,-7-9 0,8 10 0,-1 1 0,0-1 0,0 1 0,0 0 0,0 0 0,-1 1 0,1-1 0,-1 1 0,0 0 0,0 0 0,0 1 0,0-1 0,0 1 0,-11-2 0,12 4 0,0 0 0,0 0 0,0 0 0,0 1 0,0-1 0,0 1 0,0 0 0,0 1 0,1-1 0,-1 1 0,0 0 0,1 0 0,-1 0 0,1 0 0,0 0 0,-1 1 0,1 0 0,0 0 0,0 0 0,1 0 0,-1 0 0,-2 5 0,-8 10 0,2 1 0,0 0 0,1 0 0,1 1 0,-9 25 0,-26 112 0,35-121 0,-28 112 0,6 3 0,6 0 0,-10 218 0,34-344 0,1 1 0,1-1 0,1 0 0,7 33 0,-8-53 0,0 1 0,0-1 0,1 1 0,0-1 0,0 1 0,0-1 0,0 0 0,1 0 0,0 0 0,0-1 0,0 1 0,1-1 0,-1 0 0,1 1 0,0-2 0,0 1 0,0 0 0,0-1 0,1 0 0,-1 0 0,1-1 0,0 1 0,0-1 0,7 2 0,-4-2-273,1-1 0,-1 0 0,1-1 0,15-1 0,33-8-6553</inkml:trace>
  <inkml:trace contextRef="#ctx0" brushRef="#br0" timeOffset="575.67">1157 1134 24575,'-1'-7'0,"-1"8"0,-4 13 0,-4 24 0,9-24 0,0 0 0,1 1 0,0-1 0,1 0 0,1 1 0,0-1 0,1 0 0,8 26 0,-10-35 0,1-1 0,0 0 0,-1 1 0,1-1 0,1 0 0,-1 0 0,0 0 0,1 0 0,0-1 0,0 1 0,0-1 0,0 0 0,0 0 0,1 0 0,-1 0 0,1-1 0,0 1 0,-1-1 0,1 0 0,0 0 0,0-1 0,1 1 0,-1-1 0,0 0 0,0 0 0,1-1 0,-1 1 0,0-1 0,1 0 0,-1 0 0,6-1 0,-2-1 0,1-1 0,0 0 0,-1 0 0,1 0 0,-1-1 0,0-1 0,0 1 0,-1-2 0,1 1 0,-1-1 0,0 0 0,0-1 0,-1 1 0,0-2 0,0 1 0,0-1 0,-1 0 0,0 0 0,0 0 0,7-18 0,-7 12 0,0 1 0,-1-1 0,0 0 0,-1 0 0,0 0 0,-1 0 0,-1-1 0,0 1 0,-1 0 0,0-1 0,-1 1 0,0-1 0,-6-23 0,3 25 0,0 0 0,0 0 0,-1 1 0,-1 0 0,0 0 0,-1 1 0,0 0 0,0 0 0,-1 0 0,0 1 0,-19-17 0,24 23 0,-1 2 0,0-1 0,0 0 0,0 1 0,0-1 0,0 1 0,-1 1 0,1-1 0,0 1 0,-1-1 0,1 1 0,-1 1 0,0-1 0,1 1 0,-1 0 0,1 0 0,-1 0 0,0 1 0,1-1 0,-1 1 0,1 1 0,-1-1 0,1 1 0,0-1 0,-1 1 0,1 1 0,0-1 0,0 1 0,0-1 0,1 1 0,-1 1 0,1-1 0,-1 0 0,-4 7 0,0-1 0,1 0 0,-1 1 0,2 0 0,-1 0 0,1 1 0,1 0 0,0 0 0,0 0 0,1 0 0,0 1 0,1 0 0,-3 17 0,5-24 0,1 1 0,0-1 0,-1 1 0,2-1 0,-1 1 0,0-1 0,1 1 0,0-1 0,0 1 0,1-1 0,-1 0 0,1 0 0,0 0 0,1 0 0,-1 0 0,1 0 0,-1-1 0,1 1 0,1-1 0,-1 0 0,0 0 0,1 0 0,0 0 0,0-1 0,0 1 0,0-1 0,1 0 0,-1-1 0,8 4 0,0 0 0,0-2 0,0 1 0,1-2 0,-1 0 0,1 0 0,0-1 0,0-1 0,0 0 0,0-1 0,19-3 0,-14 0 0,1-1 0,-1-1 0,0 0 0,-1-2 0,1 0 0,30-19 0,-27 13 0,-1-1 0,0-1 0,-1-1 0,-1-1 0,0-1 0,-1-1 0,-1 0 0,-1-1 0,0-1 0,-2-1 0,21-40 0,-23 33 0,-2 0 0,0 0 0,-2-1 0,-1 0 0,-1 0 0,3-53 0,-8 80 0,0 0 0,0 0 0,0 0 0,0-1 0,0 1 0,-1 0 0,1 0 0,-1 0 0,1 0 0,-1 0 0,-2-3 0,3 6 0,0-1 0,-1 1 0,1 0 0,0-1 0,-1 1 0,1 0 0,-1 0 0,1 0 0,0-1 0,-1 1 0,1 0 0,-1 0 0,1 0 0,-1 0 0,1 0 0,0 0 0,-1 0 0,1 0 0,-1 0 0,1 0 0,-1 0 0,1 0 0,0 0 0,-1 0 0,1 1 0,-1-1 0,1 0 0,0 0 0,-1 0 0,1 1 0,0-1 0,-1 0 0,1 0 0,0 1 0,-1-1 0,1 0 0,0 1 0,-1-1 0,1 1 0,-6 7 0,1-1 0,0 1 0,0-1 0,1 2 0,0-1 0,-3 10 0,-20 63 0,4 2 0,3 0 0,3 1 0,4 2 0,3-1 0,1 158 0,10-223 0,0-1 0,1 1 0,0-1 0,2 0 0,0 0 0,9 24 0,-11-38 0,0 1 0,1-1 0,-1 1 0,1-1 0,1 0 0,-1-1 0,0 1 0,1 0 0,0-1 0,8 7 0,-9-9 0,0 0 0,0 0 0,1-1 0,-1 1 0,0-1 0,1 0 0,-1 0 0,1 0 0,0 0 0,-1 0 0,1-1 0,0 0 0,-1 0 0,1 0 0,0 0 0,-1-1 0,8-1 0,-7 0-170,1 1-1,-1-1 0,1 0 1,-1-1-1,0 1 0,0-1 1,4-3-1,24-24-6655</inkml:trace>
  <inkml:trace contextRef="#ctx0" brushRef="#br0" timeOffset="714.48">1687 1317 24575,'-9'0'0,"3"0"0,13 0 0,18-13 0,18-5 0,17-8 0,11 1 0,-7 4-8191</inkml:trace>
  <inkml:trace contextRef="#ctx0" brushRef="#br0" timeOffset="1367.99">2361 1370 24575,'5'0'0,"0"0"0,0-1 0,0 1 0,0-1 0,0 0 0,0 0 0,-1-1 0,1 1 0,0-1 0,-1 0 0,9-6 0,-7 3 0,0-1 0,0 1 0,0-2 0,-1 1 0,0 0 0,8-15 0,-7 11 0,0-1 0,-1 1 0,0-2 0,-1 1 0,0 0 0,-1-1 0,0 0 0,-1 0 0,0 0 0,-1 0 0,0 0 0,-1-21 0,0 28 0,0-1 0,-1 1 0,1-1 0,-2 1 0,1 0 0,0-1 0,-1 1 0,0 0 0,0 0 0,0 0 0,-1 0 0,1 1 0,-1-1 0,0 1 0,0-1 0,-1 1 0,1 0 0,-1 0 0,0 1 0,0-1 0,0 1 0,0 0 0,0 0 0,-1 1 0,1-1 0,-1 1 0,0 0 0,0 0 0,0 1 0,-6-2 0,6 3 0,0 0 0,0 0 0,0 0 0,-1 1 0,1-1 0,0 2 0,0-1 0,0 0 0,0 1 0,1 0 0,-1 0 0,0 1 0,1-1 0,-1 1 0,1 0 0,0 0 0,0 1 0,0-1 0,0 1 0,0 0 0,1 0 0,-6 10 0,-2 1 0,1 1 0,1 0 0,0 1 0,1 0 0,-8 25 0,8-18 0,1 1 0,1-1 0,-4 40 0,9-58 0,0 1 0,0-1 0,1 1 0,0 0 0,0-1 0,1 1 0,-1-1 0,1 1 0,1 0 0,-1-1 0,1 0 0,0 0 0,0 1 0,1-1 0,0 0 0,0-1 0,0 1 0,7 8 0,-9-12 0,1-1 0,0 1 0,1 0 0,-1-1 0,0 0 0,0 1 0,0-1 0,1 0 0,-1 0 0,1 0 0,-1-1 0,0 1 0,1-1 0,-1 1 0,1-1 0,-1 0 0,1 0 0,3-1 0,0 0 0,0 0 0,-1 0 0,1-1 0,0 0 0,-1-1 0,1 0 0,7-4 0,5-6 0,-1-1 0,0 0 0,19-21 0,-10 5 0,31-44 0,-31 38 0,-31 45 0,0 0 0,0 1 0,1 0 0,0 0 0,0 0 0,1 1 0,0-1 0,-2 18 0,5-23 0,-1-1 0,1 1 0,0-1 0,0 0 0,0 1 0,1-1 0,-1 1 0,1-1 0,0 1 0,0-1 0,3 7 0,-2-9 0,-1 1 0,0-1 0,1 0 0,0 0 0,-1 0 0,1 0 0,0 0 0,0 0 0,0-1 0,0 1 0,0-1 0,0 0 0,0 1 0,1-1 0,-1 0 0,0 0 0,1 0 0,-1-1 0,1 1 0,-1-1 0,4 1 0,3-1 0,0 0 0,0 0 0,-1-1 0,1 0 0,0-1 0,0 0 0,-1 0 0,1-1 0,-1 0 0,14-8 0,9-7 0,39-30 0,-64 43 0,60-45 0,-3-3 0,-1-3 0,75-88 0,-102 101 0,0-2 0,-3-1 0,-2-2 0,-1-1 0,-3-1 0,21-56 0,-41 92 0,0-1 0,-1 1 0,-1-1 0,0 0 0,0-1 0,-2 1 0,0-1 0,1-28 0,-3 42 0,0 1 0,0-1 0,0 0 0,0 1 0,0-1 0,-1 0 0,1 1 0,0-1 0,-1 0 0,1 1 0,-1-1 0,1 1 0,-1-1 0,0 1 0,0-1 0,1 1 0,-1-1 0,0 1 0,0 0 0,0-1 0,-1 1 0,1 0 0,0 0 0,0 0 0,0 0 0,-1 0 0,1 0 0,-1 1 0,1-1 0,0 0 0,-1 1 0,1-1 0,-1 1 0,1-1 0,-1 1 0,0 0 0,1 0 0,-1 0 0,1 0 0,-1 0 0,1 0 0,-1 0 0,0 1 0,-1 0 0,-3 1 0,-1 1 0,1 0 0,0 0 0,0 0 0,1 1 0,-1 0 0,1 0 0,-1 1 0,-7 8 0,-2 6 0,0 1 0,2 1 0,0 0 0,1 1 0,1 0 0,0 1 0,2 1 0,-7 27 0,4-9 0,2 1 0,1 0 0,-5 85 0,13-106 0,1 1 0,0-1 0,2 1 0,1 0 0,0-1 0,2 0 0,11 37 0,-11-46 0,0 0 0,1 0 0,0 0 0,1-1 0,0-1 0,1 1 0,0-1 0,1 0 0,0-1 0,1 0 0,0-1 0,0 0 0,17 10 0,-4-6-136,0-2-1,1-1 1,1-2-1,-1 0 1,1-1-1,0-2 1,1-1-1,-1-1 0,51-2 1,20-4-6690</inkml:trace>
  <inkml:trace contextRef="#ctx0" brushRef="#br0" timeOffset="2368.67">4143 846 24575,'5'6'0,"-1"-1"0,-1 1 0,1-1 0,-1 1 0,0 0 0,0 1 0,0-1 0,-1 0 0,0 1 0,0 0 0,0 7 0,8 80 0,-8-55 0,-1-30 0,0 5 0,0 0 0,1-1 0,1 1 0,0-1 0,4 14 0,-6-24 0,0-1 0,0 1 0,1-1 0,-1 1 0,0-1 0,1 0 0,-1 0 0,1 1 0,0-1 0,-1-1 0,1 1 0,0 0 0,0 0 0,0-1 0,0 1 0,1-1 0,-1 0 0,0 1 0,0-1 0,1 0 0,-1-1 0,1 1 0,-1 0 0,1-1 0,-1 0 0,1 1 0,-1-1 0,1 0 0,-1 0 0,1-1 0,4 0 0,1-1 0,0 0 0,0-1 0,-1 0 0,1-1 0,-1 0 0,0 0 0,0 0 0,8-7 0,52-50 0,-34 29 0,81-85 0,-113 115 0,1 0 0,0 0 0,0 0 0,0 1 0,0-1 0,0 1 0,0-1 0,0 1 0,1 0 0,-1 0 0,0 0 0,1 0 0,-1 0 0,1 1 0,-1-1 0,0 1 0,1-1 0,-1 1 0,1 0 0,4 1 0,-5 0 0,0 0 0,0 0 0,0 0 0,0 1 0,0-1 0,0 1 0,0-1 0,0 1 0,-1 0 0,1 0 0,-1 0 0,1 0 0,-1 0 0,1 0 0,-1 0 0,0 1 0,1 2 0,4 12 0,-1 1 0,0-1 0,-2 1 0,4 30 0,-6-43 0,0 11 0,1-1 0,1 0 0,0 0 0,1 0 0,11 29 0,-13-42 0,-1 1 0,1-1 0,-1 1 0,1-1 0,0 1 0,0-1 0,0 0 0,0 0 0,0 0 0,0 0 0,0 0 0,1 0 0,-1-1 0,1 0 0,3 2 0,-3-2 0,0 0 0,1-1 0,-1 0 0,0 1 0,1-1 0,-1-1 0,0 1 0,0 0 0,1-1 0,-1 0 0,0 0 0,0 0 0,0 0 0,0-1 0,0 1 0,4-3 0,7-6 0,-1 0 0,1 0 0,-2-1 0,0-1 0,0-1 0,-1 0 0,0 0 0,17-29 0,0-7 0,32-73 0,-7 2 0,-53 119 0,1 0 0,-1 1 0,0-1 0,1 0 0,-1 0 0,1 0 0,-1 1 0,1-1 0,-1 0 0,1 1 0,-1-1 0,1 1 0,0-1 0,-1 1 0,1-1 0,0 1 0,0-1 0,-1 1 0,1 0 0,1-1 0,5 12 0,-3 30 0,-4-39 0,0 10 0,1 16 0,0 0 0,1 0 0,2 0 0,7 31 0,-9-50 0,1-1 0,0 0 0,0-1 0,0 1 0,1 0 0,0-1 0,1 0 0,-1 0 0,1-1 0,0 1 0,1-1 0,0 0 0,-1-1 0,2 1 0,-1-1 0,1 0 0,-1-1 0,12 6 0,-10-6 0,0-1 0,1 1 0,-1-2 0,1 1 0,0-1 0,-1-1 0,1 1 0,0-2 0,0 1 0,0-1 0,0-1 0,0 0 0,0 0 0,-1-1 0,1 0 0,0-1 0,-1 0 0,1 0 0,-1-1 0,15-9 0,-15 7 0,0-1 0,0 0 0,-1 0 0,0-1 0,0 0 0,0 0 0,-1 0 0,-1-1 0,1 0 0,-1-1 0,0 1 0,-1-1 0,0 0 0,-1 0 0,0 0 0,0-1 0,-1 1 0,2-20 0,-4 14 0,0 0 0,-1 0 0,0 0 0,-1 0 0,-1 0 0,0 0 0,-1 1 0,-1 0 0,0 0 0,-1 0 0,-1 0 0,0 1 0,0 1 0,-1-1 0,-1 1 0,0 0 0,-15-15 0,16 19 0,0-1 0,-1 1 0,0 1 0,-1 0 0,0 0 0,0 1 0,0 0 0,-1 1 0,0 0 0,0 1 0,0 1 0,-1 0 0,0 0 0,1 1 0,-1 1 0,0 0 0,0 1 0,0 0 0,0 1 0,0 1 0,-21 3 0,29-3 0,-1 0 0,0 1 0,1 0 0,0 0 0,-1 1 0,1-1 0,0 1 0,0 0 0,0 0 0,0 0 0,1 1 0,-1 0 0,1-1 0,0 1 0,0 0 0,0 1 0,-3 5 0,5-7 0,-1 1 0,1-1 0,0 0 0,0 1 0,0-1 0,0 1 0,1-1 0,-1 1 0,1 0 0,0-1 0,0 1 0,0-1 0,0 1 0,1 0 0,-1-1 0,1 1 0,0-1 0,0 1 0,0-1 0,0 0 0,1 1 0,-1-1 0,1 0 0,0 0 0,0 0 0,2 3 0,4 2-124,1 0 0,0 0 0,0-1 0,0 0 0,1-1 0,0 0-1,0-1 1,0 0 0,1-1 0,17 5 0,51 14-6702</inkml:trace>
  <inkml:trace contextRef="#ctx0" brushRef="#br0" timeOffset="2476.14">5974 899 24575,'-4'0'0</inkml:trace>
  <inkml:trace contextRef="#ctx0" brushRef="#br0" timeOffset="3239.07">6456 559 24575,'-3'3'0,"1"0"0,0 0 0,1 0 0,-1 1 0,0-1 0,1 0 0,0 1 0,0 0 0,0-1 0,0 1 0,0 0 0,0 4 0,-2 53 0,3-37 0,-1-8 0,0 10 0,0 0 0,6 53 0,-4-72 0,0-1 0,0 1 0,1 0 0,0-1 0,0 1 0,1-1 0,-1 0 0,1 0 0,0 0 0,1 0 0,-1 0 0,1-1 0,0 0 0,1 0 0,-1 0 0,9 7 0,-12-11 0,0 0 0,0 0 0,1 0 0,-1 0 0,0 0 0,1 0 0,-1-1 0,1 1 0,-1 0 0,1-1 0,-1 1 0,1-1 0,-1 1 0,1-1 0,-1 0 0,1 0 0,0 0 0,-1 0 0,1 0 0,-1 0 0,1 0 0,-1-1 0,1 1 0,0-1 0,-1 1 0,1-1 0,-1 0 0,0 1 0,1-1 0,-1 0 0,1 0 0,-1 0 0,0 0 0,0 0 0,0-1 0,1 1 0,-1 0 0,0 0 0,0-1 0,-1 1 0,1-1 0,0 1 0,0-1 0,-1 1 0,1-1 0,-1 0 0,1-1 0,4-10 0,-1-1 0,-1 1 0,0-1 0,1-22 0,2-173 0,-6 145 0,1 0 0,10-64 0,-8 109 0,0 0 0,2 1 0,0 0 0,0 0 0,2 0 0,0 1 0,1 0 0,0 0 0,1 1 0,1 0 0,13-16 0,-15 23 0,0 1 0,0-1 0,1 2 0,0-1 0,0 1 0,0 1 0,1 0 0,0 0 0,0 1 0,0 0 0,1 1 0,0 0 0,19-3 0,-22 6 0,0 0 0,-1 1 0,1-1 0,0 2 0,0-1 0,0 2 0,-1-1 0,1 1 0,0 0 0,-1 0 0,1 1 0,-1 0 0,0 1 0,0 0 0,0 0 0,-1 1 0,1-1 0,-1 2 0,0-1 0,7 8 0,-2 2 0,0 0 0,-1 1 0,-1 0 0,0 1 0,-1 0 0,0 0 0,-2 1 0,0 0 0,-1 0 0,0 0 0,2 23 0,3 35 0,2 111 0,-11-152 0,1 166-122,-39 354-1,-75 196-323,8-57 229,99-654 217,-1 3 0,2-1 0,1 74 0,5-104 0,5-21 0,4-19 0,0-1 0,-2 0 0,9-49 0,10-103 0,-21 130 0,-5 32 3,31-311 470,-32 296-419,-1 0 0,-2 1 0,-1-1 0,-1 0 0,-1 1 0,-2 0 0,-18-54 0,17 70-54,-1 0 0,0 0 0,-1 1 0,0 0 0,-1 1 0,-1 0 0,0 1 0,-1 0 0,0 1 0,-1 1 0,-27-19 0,25 16-57,15 4 166,3 10-171,-1-1 0,1 1-1,1 0 1,-1-1 0,0 1 0,0 0-1,0 0 1,0 1 0,1-1 0,2 0 0,6-2-671,33-11-6093</inkml:trace>
  <inkml:trace contextRef="#ctx0" brushRef="#br0" timeOffset="4964.26">8045 925 24575,'-8'-19'0,"0"1"0,0 1 0,-1 0 0,-20-29 0,25 41 0,1 1 0,0 0 0,-1 1 0,0-1 0,0 1 0,0 0 0,0 0 0,-1 0 0,1 0 0,0 1 0,-1 0 0,0 0 0,0 0 0,1 1 0,-1 0 0,0 0 0,0 0 0,-9 0 0,9 2 0,1-1 0,-1 1 0,1-1 0,0 2 0,-1-1 0,1 0 0,0 1 0,0 0 0,0 0 0,0 0 0,0 1 0,0-1 0,0 1 0,-3 4 0,-1 0 0,1 1 0,1 0 0,-1 0 0,1 1 0,1-1 0,-6 12 0,-3 11 0,1 1 0,-19 67 0,15-31 0,-16 109 0,28-138 0,2 1 0,1 0 0,2 0 0,6 50 0,-4-80 0,-1 0 0,1-1 0,1 1 0,-1 0 0,1-1 0,1 0 0,0 0 0,0 0 0,1-1 0,0 1 0,0-1 0,0 0 0,9 8 0,-9-11 0,1 0 0,-1 0 0,1-1 0,0 0 0,0 0 0,1 0 0,-1-1 0,1 0 0,0 0 0,0-1 0,0 0 0,0-1 0,0 1 0,0-1 0,0-1 0,0 1 0,9-2 0,5-1 0,-1-2 0,1 0 0,-1-2 0,0 0 0,0-1 0,-1-2 0,0 0 0,0-1 0,-1-1 0,0 0 0,24-22 0,-17 11 0,0-1 0,-2-1 0,0-1 0,-2-1 0,0-2 0,28-50 0,-36 54 0,-1 0 0,-1-1 0,0 0 0,12-51 0,-46 147 0,-3 101 0,25-155 0,0 0 0,1 0 0,0 0 0,1 0 0,1 0 0,0 0 0,2 0 0,4 18 0,-7-31 0,1 1 0,0-1 0,0 0 0,0 1 0,0-1 0,0 0 0,1 0 0,-1 0 0,1-1 0,0 1 0,0-1 0,0 1 0,1-1 0,-1 0 0,1-1 0,0 1 0,-1-1 0,1 1 0,0-1 0,0-1 0,0 1 0,1-1 0,-1 1 0,0-1 0,1 0 0,-1-1 0,7 1 0,-4-2 0,0 0 0,0 0 0,0-1 0,-1 0 0,1 0 0,-1 0 0,0-1 0,1 0 0,-1-1 0,0 0 0,-1 0 0,1 0 0,-1 0 0,1-1 0,-1 0 0,0 0 0,5-8 0,-2 0 0,0 0 0,0-1 0,-1 0 0,-1 0 0,0-1 0,-1 0 0,0 0 0,-1-1 0,-1 1 0,0-1 0,-1 0 0,0 1 0,-1-19 0,-1 17 0,0-1 0,-1 1 0,-1-1 0,0 1 0,-2 0 0,1 0 0,-2 0 0,0 0 0,-1 1 0,0 0 0,-15-26 0,18 37 0,0 0 0,-1 0 0,0 1 0,1-1 0,-1 1 0,0 0 0,-1 0 0,1 0 0,-1 0 0,0 1 0,1 0 0,-1 0 0,-1 1 0,1-1 0,0 1 0,0 0 0,-1 1 0,1-1 0,-1 1 0,-6 0 0,7 1 0,1 1 0,-1-1 0,1 1 0,0 0 0,-1 1 0,1-1 0,0 1 0,-1 0 0,1 0 0,0 0 0,0 1 0,1-1 0,-1 1 0,0 0 0,1 0 0,0 1 0,-1-1 0,1 1 0,0 0 0,1 0 0,-1 0 0,1 0 0,-1 0 0,-2 9 0,3-9 0,1 0 0,-1 0 0,1-1 0,0 1 0,0 1 0,0-1 0,0 0 0,1 0 0,0 0 0,0 0 0,0 0 0,0 1 0,0-1 0,1 0 0,-1 0 0,1 0 0,0 0 0,1 0 0,-1 0 0,0 0 0,1 0 0,0-1 0,0 1 0,0-1 0,0 1 0,1-1 0,-1 0 0,1 0 0,-1 0 0,1 0 0,0 0 0,0-1 0,0 0 0,5 3 0,3 2 0,1 0 0,0 0 0,1-1 0,-1-1 0,1 0 0,0-1 0,0-1 0,21 3 0,-14-4 0,0-2 0,0 0 0,0-1 0,0-1 0,0-1 0,0-1 0,-1 0 0,1-2 0,-1-1 0,0 0 0,22-14 0,-27 13 0,-3 2 0,1 0 0,-1 0 0,1 1 0,-1 1 0,20-5 0,-29 9 0,0-1 0,1 1 0,-1 0 0,0 0 0,0 0 0,0 0 0,0 1 0,1-1 0,-1 0 0,0 1 0,0 0 0,0 0 0,0 0 0,0 0 0,0 0 0,0 0 0,0 0 0,0 0 0,-1 1 0,1-1 0,0 1 0,-1 0 0,1 0 0,-1-1 0,1 1 0,-1 0 0,0 0 0,0 0 0,0 0 0,0 1 0,0-1 0,0 0 0,-1 0 0,1 1 0,-1-1 0,1 0 0,-1 1 0,0 2 0,4 19 0,-1-6 0,0 0 0,0 0 0,2 0 0,0-1 0,13 31 0,-15-43 0,-1-1 0,1 0 0,0 0 0,0 0 0,0-1 0,0 1 0,1-1 0,-1 1 0,1-1 0,0-1 0,0 1 0,0 0 0,0-1 0,0 0 0,0 0 0,1 0 0,-1-1 0,1 0 0,-1 0 0,1 0 0,-1 0 0,1-1 0,0 0 0,-1 0 0,1 0 0,7-1 0,2-2 0,-1 1 0,1-2 0,-1 0 0,0 0 0,0-2 0,0 1 0,-1-2 0,21-13 0,3-8 0,46-44 0,18-15 0,-100 87 0,1-1 0,-1 1 0,1-1 0,-1 1 0,1-1 0,-1 1 0,1-1 0,-1 1 0,1 0 0,-1-1 0,1 1 0,0 0 0,-1 0 0,1-1 0,0 1 0,-1 0 0,1 0 0,-1 0 0,1 0 0,0 0 0,-1 0 0,1 0 0,0 0 0,-1 0 0,1 0 0,0 0 0,-1 1 0,1-1 0,0 0 0,-1 0 0,1 1 0,-1-1 0,1 0 0,-1 1 0,1-1 0,-1 1 0,1-1 0,-1 1 0,1-1 0,-1 1 0,1-1 0,-1 1 0,0-1 0,1 1 0,-1 0 0,0-1 0,1 2 0,6 44 0,-2-7 0,-1-32 0,-1 1 0,2-1 0,-1 0 0,1 0 0,0-1 0,0 1 0,0-1 0,1-1 0,0 1 0,0-1 0,0 0 0,1 0 0,0-1 0,0 0 0,0 0 0,0-1 0,0 0 0,1 0 0,-1-1 0,10 2 0,18 3 0,1-1 0,69 2 0,-66-7 0,1-2 0,-1-2 0,0-2 0,40-10 0,-59 10 0,1-1 0,-2-1 0,1-1 0,-1-1 0,0-1 0,-1 0 0,0-2 0,0 0 0,21-21 0,-33 28 0,-1-1 0,0 1 0,0-1 0,0 0 0,-1-1 0,0 1 0,0-1 0,0 0 0,-1 0 0,0-1 0,0 1 0,-1 0 0,1-1 0,-2 0 0,1 0 0,-1 0 0,0 1 0,-1-1 0,1-10 0,-2 11 0,0 1 0,-1-1 0,1 1 0,-1-1 0,0 1 0,-1 0 0,1 0 0,-1 0 0,0 0 0,0 1 0,-1-1 0,0 1 0,0 0 0,0 0 0,0 0 0,-1 1 0,0-1 0,1 1 0,-1 0 0,-1 1 0,1-1 0,0 1 0,-7-2 0,2 1 0,0 0 0,0 1 0,0 0 0,0 0 0,0 2 0,0-1 0,-1 1 0,1 1 0,-1 0 0,1 1 0,0 0 0,0 1 0,-1 0 0,1 0 0,0 1 0,0 1 0,1 0 0,-16 9 0,15-8 0,0 1 0,1 1 0,0 0 0,0 0 0,1 1 0,0 0 0,0 1 0,1 0 0,-1 0 0,2 0 0,-1 1 0,2 0 0,-1 1 0,1 0 0,0-1 0,1 2 0,-4 17 0,6-24 0,2-1 0,-1 0 0,0 1 0,1-1 0,0 1 0,0-1 0,0 1 0,0-1 0,1 0 0,0 1 0,0-1 0,0 0 0,0 1 0,0-1 0,1 0 0,0 0 0,-1 0 0,1 0 0,1-1 0,-1 1 0,1 0 0,-1-1 0,1 0 0,0 0 0,0 0 0,0 0 0,6 4 0,-3-3 0,0 0 0,1-1 0,-1 0 0,1 0 0,0-1 0,0 0 0,0 0 0,0 0 0,0-1 0,1 0 0,-1-1 0,0 0 0,0 0 0,1-1 0,6-1 0,2-2 0,-1 0 0,0-1 0,0 0 0,0-2 0,0 0 0,-1 0 0,0-2 0,-1 0 0,0-1 0,0 0 0,0-1 0,-1 0 0,11-16 0,-9 10 0,-1-1 0,0-1 0,-2-1 0,0 0 0,-1 0 0,-1-1 0,-1 0 0,0-1 0,6-31 0,-1-9 0,7-83 0,-18 117 0,0 1 0,-2-1 0,-1 1 0,-1 0 0,-8-43 0,9 66 0,0 0 0,0 0 0,0 0 0,-1 1 0,1-1 0,-1 0 0,0 1 0,1-1 0,-2 1 0,1 0 0,0-1 0,0 1 0,-1 0 0,0 1 0,0-1 0,-5-4 0,6 6 0,1 0 0,-1 1 0,1-1 0,0 1 0,-1 0 0,1-1 0,-1 1 0,1 0 0,-1 0 0,1 0 0,-1 0 0,1 0 0,-1 0 0,1 1 0,-1-1 0,1 1 0,-3 0 0,1 0 0,1 1 0,-1 0 0,0 0 0,1 0 0,-1 0 0,1 1 0,-1-1 0,1 1 0,0-1 0,-4 6 0,-4 9 0,1 0 0,0 0 0,1 1 0,1 1 0,0-1 0,-6 30 0,-17 124 0,28-158 0,-5 39 0,2 0 0,2 1 0,4 78 0,1-110 0,1-1 0,1 1 0,0-1 0,14 38 0,-13-48 0,0 0 0,0 0 0,1 0 0,0-1 0,1 1 0,0-2 0,0 1 0,1-1 0,13 12 0,-13-14 0,0-1 0,1 0 0,0 0 0,0-1 0,1 0 0,-1-1 0,1 0 0,0-1 0,0 0 0,0-1 0,0 0 0,1 0 0,-1-1 0,0-1 0,1 0 0,-1-1 0,15-2 0,-12 0 0,-1 0 0,1 0 0,-1-2 0,0 0 0,-1 0 0,1-1 0,-1 0 0,0-2 0,-1 1 0,1-1 0,-1-1 0,-1 0 0,17-19 0,-9 3 0,0 0 0,-2-2 0,0 0 0,-2-1 0,-1 0 0,-1-1 0,-1-1 0,-1 0 0,-2 0 0,-1-1 0,4-37 0,-11 40 0,1 28 0,0 0 0,0 0 0,0 0 0,0-1 0,0 1 0,0 0 0,0 0 0,0 0 0,0 0 0,-1 0 0,1-1 0,0 1 0,0 0 0,0 0 0,0 0 0,0 0 0,0 0 0,0 0 0,-1 0 0,1 0 0,0-1 0,0 1 0,0 0 0,0 0 0,0 0 0,-1 0 0,1 0 0,0 0 0,0 0 0,0 0 0,0 0 0,0 0 0,-1 0 0,1 0 0,0 0 0,0 0 0,0 0 0,0 0 0,-1 0 0,1 0 0,0 0 0,0 1 0,0-1 0,0 0 0,0 0 0,0 0 0,-1 0 0,1 0 0,0 0 0,0 0 0,0 0 0,0 1 0,0-1 0,0 0 0,0 0 0,0 0 0,-1 1 0,-1 3 0,-1 0 0,0 1 0,1 0 0,0 0 0,0-1 0,-2 10 0,-2 10 0,0 0 0,1 1 0,1 0 0,2 0 0,0 1 0,1-1 0,2 0 0,3 33 0,-3-49 0,1 0 0,0 0 0,0 0 0,0 0 0,1 0 0,0-1 0,1 1 0,0-1 0,0 0 0,1 0 0,0-1 0,0 0 0,0 1 0,1-2 0,0 1 0,0-1 0,1 0 0,-1 0 0,1-1 0,1 0 0,-1-1 0,0 1 0,1-1 0,0-1 0,0 0 0,11 3 0,-4-2 13,0-2 0,1 0-1,0-1 1,-1 0-1,1-1 1,0-1 0,18-4-1,-2-2-500,-1-1-1,44-19 0,17-14-6337</inkml:trace>
  <inkml:trace contextRef="#ctx0" brushRef="#br0" timeOffset="5070.59">11176 663 24575,'-12'0'0,"-12"5"0,-3 10 0,4 2-8191</inkml:trace>
  <inkml:trace contextRef="#ctx0" brushRef="#br0" timeOffset="5352.03">11417 611 24575,'0'-9'0,"-12"-12"0,-4-11 0,0 18 0,4 29 0,3 33 0,3 32 0,3 33 0,2 42 0,1 26 0,0 4 0,1-12 0,0-30 0,3-40 0,2-28 0,0-28-8191</inkml:trace>
  <inkml:trace contextRef="#ctx0" brushRef="#br0" timeOffset="6595.36">11080 1422 24575,'-1'-1'0,"1"1"0,-1-1 0,0 0 0,1 1 0,-1-1 0,1 0 0,-1 0 0,1 0 0,-1 0 0,1 0 0,-1 1 0,1-1 0,0 0 0,0 0 0,-1 0 0,1 0 0,0 0 0,0 0 0,0 0 0,0 0 0,0 0 0,0 0 0,0 0 0,0 0 0,0 0 0,1 0 0,-1 0 0,0 0 0,1 0 0,-1 0 0,0 0 0,1 0 0,-1 0 0,1 0 0,-1 1 0,1-1 0,0 0 0,-1 0 0,2 0 0,2-3 0,1 0 0,0 0 0,-1 0 0,2 1 0,7-5 0,32-10 0,0 1 0,1 2 0,1 3 0,72-9 0,-62 11 0,327-62 0,-343 68 0,-40 4 0,-1 0 0,1 0 0,0 1 0,-1-1 0,1 0 0,-1 0 0,1 0 0,-1 1 0,1-1 0,-1 0 0,1 1 0,0-1 0,-1 0 0,0 1 0,1-1 0,-1 1 0,1-1 0,-1 1 0,1-1 0,-1 1 0,1 1 0,-1-1 0,0 0 0,0 0 0,0 0 0,0 0 0,0 1 0,0-1 0,0 0 0,0 0 0,0 0 0,-1 0 0,1 0 0,0 1 0,-1-1 0,1 0 0,-1 0 0,1 0 0,-1 1 0,-28 46 0,18-31 0,0 1 0,1 0 0,-9 24 0,17-38 0,1 1 0,-1-1 0,1 0 0,0 1 0,0 0 0,0-1 0,1 1 0,-1-1 0,1 1 0,0 0 0,1-1 0,-1 1 0,1-1 0,-1 1 0,1-1 0,1 1 0,-1-1 0,0 1 0,5 7 0,-3-8 0,0-1 0,0 1 0,0-1 0,0 0 0,0 1 0,1-2 0,0 1 0,-1 0 0,1-1 0,0 0 0,0 0 0,0 0 0,0 0 0,1-1 0,-1 0 0,0 0 0,1 0 0,-1 0 0,0-1 0,1 0 0,-1 0 0,1 0 0,-1-1 0,6 0 0,4-2 0,0 1 0,0-2 0,-1 0 0,1-1 0,-1 0 0,16-9 0,-15 5 0,0-1 0,-1 0 0,0-1 0,0-1 0,-1 0 0,-1-1 0,0 0 0,10-15 0,10-21 0,27-54 0,-46 80 0,-12 22 0,0 1 0,0 0 0,0-1 0,0 1 0,0-1 0,0 1 0,0 0 0,1-1 0,-1 1 0,0 0 0,0-1 0,0 1 0,0 0 0,1-1 0,-1 1 0,0 0 0,0-1 0,0 1 0,1 0 0,-1-1 0,0 1 0,1 0 0,-1 0 0,0 0 0,0-1 0,1 1 0,-1 0 0,0 0 0,1 0 0,-1 0 0,0 0 0,1-1 0,-1 1 0,0 0 0,1 0 0,-1 0 0,1 0 0,-1 0 0,0 0 0,1 0 0,0 1 0,1 20 0,-9 58 0,4-52 0,0 0 0,1-5 0,0 0 0,2 1 0,2 34 0,-1-51 0,-1 0 0,1-1 0,1 1 0,-1 0 0,1-1 0,0 1 0,0-1 0,0 0 0,1 0 0,0 0 0,0 0 0,0 0 0,0-1 0,1 1 0,-1-1 0,1 0 0,0 0 0,0-1 0,5 4 0,0-2 0,0 0 0,1-1 0,-1 0 0,1 0 0,0-2 0,0 1 0,0-1 0,0 0 0,0-1 0,0-1 0,0 0 0,0 0 0,0-1 0,1 0 0,-1-1 0,0 0 0,16-7 0,-17 6 0,-1 0 0,0-1 0,1-1 0,-1 1 0,0-1 0,-1-1 0,1 1 0,-1-2 0,0 1 0,-1-1 0,1 0 0,-1 0 0,-1-1 0,1 0 0,-1 0 0,0 0 0,-1-1 0,0 0 0,0 0 0,3-12 0,-3 4 0,-2 0 0,0-1 0,0 1 0,-2-1 0,0 0 0,-1 1 0,0-1 0,-1 1 0,-1-1 0,-1 1 0,0 0 0,-8-20 0,6 19 0,-1 1 0,-1-1 0,0 2 0,-1 0 0,-1 0 0,0 0 0,-1 2 0,0-1 0,-1 1 0,-1 1 0,-16-14 0,23 23 0,0 0 0,0 0 0,0 0 0,0 1 0,0 0 0,0 0 0,-1 1 0,0 0 0,1 0 0,-1 0 0,0 1 0,0 1 0,0-1 0,-6 1 0,9 1 0,0-1 0,0 1 0,0 0 0,0 1 0,1-1 0,-1 1 0,1 0 0,-1-1 0,1 2 0,-1-1 0,1 0 0,0 1 0,0 0 0,0-1 0,0 1 0,1 1 0,-1-1 0,1 0 0,0 1 0,-1-1 0,2 1 0,-1 0 0,0 0 0,1 0 0,-3 6 0,2-3 0,0-1 0,1 0 0,-1 1 0,1-1 0,0 1 0,1-1 0,-1 1 0,1-1 0,0 1 0,1 0 0,-1-1 0,1 1 0,1-1 0,-1 1 0,1-1 0,0 0 0,4 8 0,-2-6 0,0-1 0,1 0 0,0 0 0,1 0 0,0-1 0,-1 1 0,2-2 0,-1 1 0,1-1 0,0 0 0,10 6 0,4 0 0,0-2 0,0-1 0,1 0 0,0-2 0,0-1 0,1 0 0,-1-2 0,31 0 0,-27-4 0,0-2 0,0-1 0,35-10 0,-16 3 0,-43 10 0,1 0 0,-1 0 0,0 1 0,0-1 0,0 1 0,0 0 0,0-1 0,1 1 0,-1 0 0,0 0 0,0 1 0,0-1 0,1 0 0,-1 1 0,0 0 0,0-1 0,0 1 0,0 0 0,0 0 0,0 0 0,0 0 0,0 1 0,0-1 0,-1 1 0,1-1 0,0 1 0,-1 0 0,1-1 0,-1 1 0,2 3 0,0 3 0,-1-1 0,0 1 0,-1 0 0,1 0 0,-1 0 0,-1 0 0,0 13 0,7 45 0,-7-63 0,1 0 0,0-1 0,-1 1 0,1 0 0,1-1 0,-1 1 0,0-1 0,0 1 0,1-1 0,-1 0 0,1 0 0,0 0 0,0 0 0,0 0 0,-1 0 0,2 0 0,-1-1 0,4 3 0,1-1 0,1 0 0,-1-1 0,1 0 0,0-1 0,0 0 0,-1 0 0,1-1 0,0 0 0,0 0 0,0-1 0,0 0 0,0-1 0,-1 1 0,9-4 0,-2 0 0,-1 0 0,0-1 0,0 0 0,0-1 0,-1-1 0,23-18 0,-20 12 0,0-2 0,20-29 0,17-18 0,-51 62 0,0 0 0,0-1 0,0 1 0,1 0 0,-1 1 0,0-1 0,0 0 0,0 0 0,1 0 0,-1 1 0,0-1 0,1 1 0,-1-1 0,1 1 0,-1 0 0,2-1 0,-2 1 0,0 1 0,-1-1 0,1 0 0,0 0 0,-1 1 0,1-1 0,0 0 0,0 1 0,-1-1 0,1 1 0,-1-1 0,1 1 0,0-1 0,-1 1 0,1 0 0,-1-1 0,1 1 0,-1 0 0,0-1 0,1 1 0,-1 0 0,1 0 0,2 7 0,-1 1 0,0-1 0,0 0 0,-1 1 0,1 8 0,4 19 0,-3-30 0,-1-1 0,1 1 0,1-1 0,-1 0 0,1 0 0,0 0 0,0-1 0,0 1 0,0-1 0,1 0 0,0-1 0,0 1 0,0-1 0,0 0 0,0 0 0,0 0 0,1-1 0,-1 0 0,1 0 0,0-1 0,0 0 0,7 1 0,-1 0 0,0-2 0,0 1 0,0-2 0,0 1 0,0-2 0,-1 0 0,1 0 0,0-1 0,-1-1 0,13-6 0,-7 1 0,1-2 0,-2 0 0,0-2 0,0 0 0,-1 0 0,0-2 0,-1 0 0,-1 0 0,0-2 0,-1 0 0,-1 0 0,0-1 0,-1-1 0,-1 0 0,0 0 0,-2-1 0,0 0 0,-1 0 0,-1-1 0,5-33 0,-9 42 0,0 0 0,-1 0 0,0 0 0,-4-21 0,4 27 0,-1 1 0,0 0 0,-1 0 0,1 0 0,-1 0 0,0 0 0,0 0 0,0 1 0,-1-1 0,0 1 0,0-1 0,0 1 0,-4-4 0,7 7 0,0 1 0,0-1 0,-1 1 0,1-1 0,0 1 0,-1-1 0,1 1 0,0 0 0,-1-1 0,1 1 0,-1-1 0,1 1 0,-1 0 0,1-1 0,-1 1 0,1 0 0,-1 0 0,1 0 0,-1-1 0,1 1 0,-1 0 0,1 0 0,-1 0 0,1 0 0,-1 0 0,1 0 0,-1 0 0,0 0 0,1 0 0,-1 0 0,1 0 0,-1 0 0,1 1 0,-1-1 0,1 0 0,-1 0 0,1 0 0,-1 1 0,1-1 0,-1 0 0,1 1 0,0-1 0,-1 1 0,1-1 0,-1 0 0,1 1 0,0-1 0,-1 1 0,1-1 0,0 1 0,0-1 0,-1 1 0,1-1 0,0 1 0,0 0 0,0-1 0,-1 1 0,1-1 0,0 1 0,0 0 0,0-1 0,0 1 0,0-1 0,0 1 0,0 0 0,0-1 0,1 1 0,-1-1 0,0 1 0,0 6 0,0-1 0,1 1 0,-1-1 0,1 1 0,3 9 0,1-1 0,2 0 0,-1 0 0,2-1 0,0 0 0,0 0 0,14 17 0,69 69 0,-71-82 0,-1 2 0,-1 0 0,-1 1 0,0 1 0,-2 1 0,20 37 0,-33-57 0,0 0 0,-1 0 0,0 1 0,0-1 0,0 1 0,0-1 0,0 1 0,-1-1 0,1 1 0,-1-1 0,0 1 0,0 0 0,0-1 0,-1 1 0,1-1 0,-1 1 0,0-1 0,1 1 0,-1-1 0,-1 1 0,-1 3 0,0-2 0,0-1 0,-1 1 0,1-1 0,-1 0 0,0 0 0,0-1 0,0 1 0,0-1 0,-1 0 0,1 0 0,-1 0 0,-6 2 0,-11 3 0,-1 0 0,1-2 0,-1-1 0,-43 4 0,34-7-114,0-1 1,0-3-1,0 0 0,1-2 0,-1-2 1,1-1-1,0-2 0,1-1 0,-1-1 1,2-2-1,-44-26 0,-31-27-6712</inkml:trace>
  <inkml:trace contextRef="#ctx0" brushRef="#br0" timeOffset="6719.94">12453 297 24575,'-4'0'0,"-10"0"0,-2 5 0,2 0-8191</inkml:trace>
  <inkml:trace contextRef="#ctx0" brushRef="#br0" timeOffset="7424.87">14958 899 24575,'12'0'0,"21"0"0,25 0 0,15 0 0,11 0 0,12 0 0,7 0 0,-3 0 0,-18 4 0,-23 2-8191</inkml:trace>
  <inkml:trace contextRef="#ctx0" brushRef="#br0" timeOffset="7564.23">15030 1160 24575,'0'9'0,"-8"3"0,5-1 0,24-1 0,29-4 0,26-6 0,25-4 0,20-1 0,9 0 0,-4-7 0,-24-2-8191</inkml:trace>
  <inkml:trace contextRef="#ctx0" brushRef="#br0" timeOffset="8310.23">16259 480 24575,'-1'-5'0,"1"1"0,0-1 0,1 0 0,-1 0 0,1 0 0,0 1 0,0-1 0,0 0 0,1 1 0,-1-1 0,1 1 0,0-1 0,0 1 0,1 0 0,-1 0 0,1 0 0,0 0 0,5-5 0,-2 4 0,1 1 0,-1 0 0,1 0 0,0 0 0,0 1 0,0 0 0,1 1 0,-1-1 0,0 2 0,10-2 0,-5 1 0,0 0 0,0 2 0,1-1 0,-1 2 0,0 0 0,0 0 0,0 1 0,0 1 0,0 0 0,22 9 0,-30-10 0,1 1 0,0-1 0,-1 1 0,0 0 0,1 0 0,-1 0 0,0 1 0,0 0 0,-1 0 0,1 0 0,-1 0 0,0 0 0,0 1 0,0-1 0,0 1 0,-1 0 0,0 0 0,0 0 0,0 0 0,0 1 0,-1-1 0,0 0 0,0 1 0,0-1 0,-1 1 0,1-1 0,-1 1 0,-1 6 0,0-5 0,0-1 0,0 0 0,-1 1 0,1-1 0,-1 0 0,-1 0 0,1 0 0,-1-1 0,0 1 0,0-1 0,-1 1 0,-6 8 0,-6 4 0,-1-1 0,-20 16 0,25-23 0,0 0 0,1 1 0,0 0 0,1 0 0,-16 25 0,24-33 0,1 0 0,0 0 0,-1 0 0,1 0 0,1 0 0,-1 0 0,0 1 0,1-1 0,0 0 0,-1 0 0,1 1 0,0-1 0,1 0 0,-1 1 0,0-1 0,1 0 0,0 0 0,-1 0 0,1 1 0,1-1 0,-1 0 0,0 0 0,1-1 0,-1 1 0,1 0 0,0 0 0,0-1 0,0 1 0,2 2 0,9 8 0,0 0 0,0-1 0,30 21 0,-17-14 0,4 4 0,1 0 0,-1 2 0,-1 1 0,0 1 0,43 56 0,-68-78 0,-1-1 0,0 1 0,0 0 0,-1 1 0,1-1 0,-1 0 0,0 1 0,0-1 0,-1 1 0,0 0 0,2 11 0,-3-14 0,-1 0 0,1 1 0,0-1 0,-1 0 0,0 0 0,0 0 0,0 0 0,0 0 0,0 0 0,-1 0 0,1 0 0,-1 0 0,0-1 0,1 1 0,-1-1 0,0 1 0,0-1 0,-1 0 0,1 0 0,0 0 0,-1 0 0,1 0 0,-1-1 0,-2 2 0,-14 8 0,-1-2 0,0 0 0,0-2 0,0 0 0,-36 6 0,-110 7 0,157-19 0,-2 0 0,-247 9 0,231-11 0,1-1 0,-1-1 0,1-2 0,0-1 0,0-1 0,1-1 0,-40-19 0,59 24-65,0-1 0,0 1 0,0-1 0,1 0 0,-1-1 0,1 0 0,0 0 0,0 0 0,0 0 0,1-1 0,0 0 0,0 0 0,0 0 0,1 0 0,0-1 0,0 0 0,0 1 0,1-1 0,0 0 0,-2-10 0,-2-56-6761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29.2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14588 2565 24575,'12'0'0,"21"0"0,29-9 0,33-3 0,20 1 0,8 2 0,-6 2 0,-18 3 0,-26 2-8191</inkml:trace>
  <inkml:trace contextRef="#ctx0" brushRef="#br0" timeOffset="123.9">14877 2669 24575,'-12'0'0,"-5"9"0,14 3 0,27-1 0,39-1 0,41-4 0,39-2 0,21-2 0,-1-5 0,-29-3-8191</inkml:trace>
  <inkml:trace contextRef="#ctx0" brushRef="#br0" timeOffset="855">16756 2041 24575,'1'-3'0,"0"0"0,0 0 0,1 0 0,-1 0 0,1 1 0,-1-1 0,1 0 0,0 1 0,0-1 0,0 1 0,1 0 0,-1-1 0,5-2 0,-1 0 0,8-6 0,0 1 0,1 0 0,0 2 0,1-1 0,0 2 0,0 1 0,0 0 0,1 1 0,0 1 0,0 0 0,0 2 0,0 0 0,0 1 0,0 1 0,0 1 0,30 5 0,-42-5 0,0 0 0,-1 0 0,1 1 0,0 0 0,-1 0 0,0 1 0,1-1 0,-1 1 0,0 0 0,0 0 0,0 1 0,0-1 0,-1 1 0,0 0 0,1 0 0,-1 0 0,0 0 0,-1 1 0,4 5 0,-5-5 0,1-1 0,-1 1 0,0 0 0,0 0 0,0-1 0,-1 1 0,0 0 0,0 0 0,0 0 0,0 0 0,-1 0 0,1 0 0,-1-1 0,0 1 0,-1 0 0,1 0 0,-1-1 0,0 1 0,0-1 0,-4 8 0,-2-1 0,0 0 0,-1-1 0,0 0 0,-1 0 0,0-1 0,0 0 0,-1-1 0,0-1 0,0 0 0,-15 7 0,11-6 0,1 1 0,0 1 0,1 0 0,-25 23 0,37-32 0,0 0 0,0 0 0,0 1 0,0-1 0,0 0 0,0 1 0,1-1 0,-1 1 0,0-1 0,1 1 0,-1-1 0,1 1 0,0-1 0,-1 1 0,1 0 0,0-1 0,0 1 0,0 0 0,0-1 0,0 1 0,0 0 0,0-1 0,1 1 0,-1 0 0,0-1 0,1 1 0,-1-1 0,1 1 0,0-1 0,-1 1 0,1-1 0,0 0 0,0 1 0,0-1 0,0 0 0,0 1 0,0-1 0,0 0 0,0 0 0,2 1 0,8 7 0,-1-1 0,1 0 0,23 12 0,-14-9 0,11 9 0,110 77 0,-129-88 0,0 1 0,-1 1 0,0 0 0,-1 1 0,0 0 0,0 1 0,-1 0 0,12 25 0,-20-36 0,0 0 0,0 0 0,0 0 0,0 0 0,0 0 0,-1 1 0,1-1 0,-1 0 0,0 0 0,1 0 0,-1 1 0,0-1 0,0 0 0,0 0 0,0 1 0,-1-1 0,1 0 0,0 0 0,-1 0 0,0 0 0,1 1 0,-1-1 0,0 0 0,0 0 0,0 0 0,0-1 0,0 1 0,-1 0 0,1 0 0,0-1 0,-1 1 0,1-1 0,-1 1 0,0-1 0,1 1 0,-1-1 0,0 0 0,0 0 0,0 0 0,0 0 0,1-1 0,-5 2 0,-10 3 0,1-1 0,-1 0 0,1-2 0,-25 2 0,32-4 0,-52 5 0,-1-4 0,-65-7 0,101 3 0,0-1 0,1-1 0,0-1 0,0-2 0,0 0 0,1-2 0,-42-24 0,58 29 15,0 1 0,1-1 0,0 0 0,0-1 0,0 0 0,0 0 0,-8-11 0,13 14-70,0 1 0,-1 0 0,1-1 0,0 1 0,0-1 0,0 1 0,0-1 0,1 1 0,-1-1 0,1 0 0,-1 1 0,1-1 0,0 0 0,0 0 0,0 1 0,0-1 0,1 0 0,-1 0 0,1 1 0,-1-1 0,1 1 0,0-1 0,0 0 0,0 1 0,0 0 0,2-4 0,22-26-6771</inkml:trace>
  <inkml:trace contextRef="#ctx0" brushRef="#br0" timeOffset="-11578.83">642 1047 24575,'2'-34'0,"0"0"0,3 1 0,12-57 0,-14 76 0,-1 6 0,0-1 0,-1 0 0,-1 0 0,1 0 0,-1 0 0,-1 0 0,1 1 0,-1-1 0,-1 0 0,0 0 0,0 1 0,0-1 0,-1 1 0,-7-15 0,8 19 0,-1 0 0,1 0 0,-1 0 0,0 0 0,0 1 0,0 0 0,-1-1 0,1 1 0,-1 1 0,1-1 0,-1 0 0,0 1 0,0 0 0,0 0 0,0 0 0,0 1 0,0-1 0,-1 1 0,1 0 0,0 1 0,-1-1 0,1 1 0,-1 0 0,1 0 0,0 0 0,-1 1 0,1-1 0,-1 1 0,-6 3 0,-2 0 0,0 1 0,0 1 0,1 1 0,0 0 0,0 0 0,0 1 0,1 1 0,0 0 0,1 0 0,0 2 0,-14 16 0,-3 9 0,1 1 0,-31 60 0,20-25 0,4 2 0,2 1 0,4 2 0,2 1 0,-16 90 0,15-25 0,5 2 0,-2 149 0,21-260 0,-1 26 0,5 76 0,-1-119 0,1 0 0,0-1 0,2 1 0,-1-1 0,2 0 0,0 0 0,1-1 0,0 1 0,11 18 0,-13-27 0,1 0 0,0-1 0,0 1 0,0-1 0,0 0 0,1 0 0,0-1 0,0 0 0,1 0 0,-1-1 0,1 1 0,0-2 0,0 1 0,0-1 0,9 3 0,-6-4 0,0 0 0,0-1 0,0 0 0,0 0 0,0-1 0,1-1 0,-1 0 0,0-1 0,0 0 0,14-5 0,-5 0 0,0-1 0,0-1 0,-1-1 0,0-1 0,-1 0 0,0-2 0,0 0 0,-2-1 0,1-1 0,25-32 0,-19 15 0,-1-1 0,-2-2 0,-1 0 0,-2-1 0,0 0 0,-3-2 0,-1 0 0,9-47 0,-20 79 0,7-41 0,-8 45 0,0 0 0,1 0 0,-1 0 0,0 0 0,0 0 0,-1 0 0,1 0 0,0 0 0,-1 0 0,1 0 0,-1 0 0,1 0 0,-1 0 0,0 1 0,0-1 0,0 0 0,-1-2 0,1 4 0,1-1 0,-1 1 0,1 0 0,-1 0 0,1 0 0,-1 0 0,1-1 0,-1 1 0,1 0 0,-1 0 0,1 0 0,-1 0 0,1 0 0,-1 0 0,1 0 0,-1 1 0,1-1 0,0 0 0,-1 0 0,1 0 0,-1 0 0,1 1 0,-1-1 0,1 0 0,-1 1 0,1-1 0,0 0 0,-1 1 0,1-1 0,-1 0 0,1 1 0,0-1 0,0 1 0,-1-1 0,1 1 0,0-1 0,0 1 0,-1 0 0,-12 25 0,12-24 0,-10 22 0,1 0 0,1 1 0,1 0 0,1 0 0,1 1 0,-4 38 0,9-57 0,0 0 0,1 0 0,0 1 0,0-1 0,0 0 0,1 0 0,0 0 0,0 0 0,1 0 0,0-1 0,0 1 0,0 0 0,1-1 0,0 1 0,0-1 0,1 0 0,-1 0 0,1-1 0,1 1 0,-1-1 0,0 0 0,1 0 0,0 0 0,0-1 0,1 0 0,-1 0 0,1 0 0,0-1 0,6 4 0,-4-4 0,0-1 0,1 0 0,-1 0 0,1 0 0,-1-1 0,1-1 0,-1 1 0,1-2 0,0 1 0,-1-1 0,1-1 0,-1 1 0,0-2 0,1 1 0,-1-1 0,0-1 0,0 1 0,-1-2 0,1 1 0,-1-1 0,0 0 0,12-11 0,-4 3 0,-1-1 0,0-1 0,-1 0 0,-1-1 0,0 0 0,-1-1 0,0-1 0,-2 0 0,11-23 0,-15 28 0,-1-1 0,0 0 0,-1 0 0,0 0 0,-1 0 0,0 0 0,-1 0 0,0-1 0,-1 1 0,-1-1 0,0 1 0,-1 0 0,-4-18 0,3 23 0,1-1 0,-1 2 0,-1-1 0,0 0 0,0 1 0,0 0 0,-1 0 0,0 0 0,-1 1 0,1-1 0,-1 2 0,-1-1 0,1 1 0,-1 0 0,0 0 0,0 1 0,-1 0 0,1 0 0,-1 1 0,0 0 0,-9-3 0,5 3 0,0 2 0,0-1 0,0 2 0,0 0 0,-1 0 0,1 1 0,0 1 0,0 0 0,0 1 0,0 0 0,0 1 0,0 1 0,-12 4 0,19-6 0,0 0 0,0 1 0,0-1 0,0 1 0,0 0 0,0 0 0,1 1 0,-1 0 0,1 0 0,0 0 0,0 0 0,0 0 0,1 1 0,-1 0 0,1 0 0,0 0 0,0 0 0,1 1 0,-1-1 0,1 1 0,0-1 0,1 1 0,-1 0 0,1 0 0,0 0 0,0 0 0,1 0 0,0 0 0,0 0 0,1 10 0,0-11 0,0 0 0,0 0 0,0 0 0,0-1 0,1 1 0,0 0 0,0-1 0,0 1 0,1-1 0,-1 0 0,1 0 0,0 0 0,0 0 0,6 6 0,-3-5 0,0 0 0,1-1 0,0 1 0,-1-1 0,1 0 0,1-1 0,-1 0 0,8 2 0,10 1 0,-1-1 0,1-2 0,-1-1 0,39-1 0,-30-3 0,1-2 0,0-2 0,-1-1 0,53-19 0,-82 24 0,0 0 0,0 1 0,0 0 0,0 0 0,0 0 0,0 1 0,0-1 0,0 1 0,0 0 0,0 0 0,0 1 0,0-1 0,0 1 0,0 0 0,4 2 0,-5-1 0,-1 0 0,0-1 0,0 2 0,0-1 0,0 0 0,0 0 0,0 1 0,-1-1 0,1 1 0,-1 0 0,0-1 0,0 1 0,1 0 0,-2 0 0,1 0 0,0 0 0,0 0 0,-1 0 0,0 0 0,1 0 0,-1 0 0,-1 5 0,1 34 0,-1-27 0,1 0 0,0 0 0,1 0 0,5 28 0,-5-40 0,-1 0 0,1 0 0,0-1 0,0 1 0,1 0 0,-1 0 0,0-1 0,1 1 0,-1 0 0,1-1 0,0 0 0,0 1 0,0-1 0,0 0 0,0 0 0,1 0 0,-1-1 0,0 1 0,1-1 0,-1 1 0,1-1 0,-1 0 0,1 0 0,0 0 0,-1 0 0,1 0 0,0-1 0,0 0 0,4 1 0,1-1 0,0 0 0,0-1 0,1 0 0,-1-1 0,0 0 0,0 0 0,0-1 0,0 0 0,14-8 0,3-4 0,36-29 0,-46 32 0,-1 0 0,1 2 0,1 0 0,0 1 0,30-12 0,-45 20 0,0 1 0,0-1 0,0 1 0,0 0 0,1 0 0,-1-1 0,0 1 0,0 0 0,0 0 0,0 0 0,0 0 0,1 0 0,-1 1 0,0-1 0,0 0 0,0 1 0,0-1 0,0 0 0,0 1 0,0-1 0,0 1 0,0 0 0,0-1 0,0 1 0,0 0 0,0 0 0,0 0 0,-1 0 0,1 0 0,0 0 0,-1 0 0,1 0 0,0 0 0,-1 0 0,1 0 0,0 2 0,1 4 0,-1-1 0,0 1 0,0 0 0,0 0 0,-1 10 0,1 4 0,0-15 0,1 1 0,-1-1 0,1 0 0,1 0 0,-1 0 0,1-1 0,0 1 0,0-1 0,0 1 0,1-1 0,0 0 0,0-1 0,0 1 0,0-1 0,1 0 0,0 0 0,-1 0 0,1-1 0,0 1 0,1-1 0,-1-1 0,10 4 0,9 4 0,1-2 0,0-1 0,45 6 0,-42-9 0,-1 0 0,1-3 0,0 0 0,-1-2 0,47-7 0,-66 6 0,1 0 0,-1 0 0,1-1 0,-1 0 0,0-1 0,0 1 0,0-2 0,-1 0 0,1 0 0,-1 0 0,0-1 0,0 0 0,-1 0 0,0-1 0,0 0 0,0 0 0,-1-1 0,0 1 0,0-1 0,0 0 0,-1-1 0,3-9 0,-3 8 0,-1 0 0,-1 0 0,1-1 0,-1 1 0,-1-1 0,0 1 0,0-1 0,-1 1 0,0-1 0,-1 0 0,0 1 0,-1-1 0,-3-13 0,3 18 0,0-1 0,-1 0 0,0 0 0,0 1 0,-1 0 0,0 0 0,0 0 0,0 0 0,0 1 0,-1-1 0,0 1 0,0 1 0,0-1 0,0 1 0,-1 0 0,0 0 0,0 0 0,0 1 0,0 0 0,-9-3 0,7 3 0,1 1 0,-2 0 0,1 0 0,0 1 0,0 0 0,0 0 0,-1 1 0,1 0 0,0 1 0,0 0 0,0 0 0,-1 1 0,1 0 0,1 1 0,-14 5 0,15-4 0,0 0 0,-1 0 0,1 1 0,1 0 0,-1 0 0,1 0 0,-1 1 0,1 0 0,1 0 0,-1 0 0,1 1 0,0-1 0,0 1 0,1 0 0,0 1 0,0-1 0,-3 16 0,2-7 0,0 0 0,2 0 0,0 1 0,0 0 0,1-1 0,2 26 0,0-36 0,0 1 0,0-1 0,0 0 0,0 0 0,1 1 0,0-1 0,0 0 0,1 0 0,-1-1 0,1 1 0,0-1 0,1 1 0,-1-1 0,1 0 0,0 0 0,0-1 0,0 1 0,1-1 0,8 7 0,-3-6 0,-1 1 0,1-2 0,0 1 0,0-1 0,1-1 0,-1 0 0,0-1 0,1 0 0,0 0 0,-1-1 0,1-1 0,15-1 0,-19 0 0,1 0 0,-1-1 0,0 1 0,0-1 0,-1-1 0,1 0 0,0 0 0,-1 0 0,1-1 0,-1 0 0,0 0 0,0-1 0,-1 0 0,1 0 0,-1 0 0,0-1 0,0 0 0,-1 0 0,7-10 0,-3-1 0,0 0 0,-2 0 0,1-1 0,-2 0 0,0-1 0,-1 1 0,2-26 0,4-137 0,-9 153 0,-1 12 0,2-38 0,-1-1 0,-3 1 0,-3 0 0,-13-76 0,16 123 0,-1-1 0,1 0 0,-1 1 0,0-1 0,-1 1 0,0 0 0,0 0 0,-6-9 0,8 15 0,1 0 0,0-1 0,0 1 0,0 0 0,-1 0 0,1 0 0,0 0 0,-1 1 0,1-1 0,0 0 0,-1 1 0,1-1 0,-1 0 0,0 1 0,1 0 0,-1-1 0,1 1 0,-1 0 0,1 0 0,-1 0 0,0 0 0,1 1 0,-1-1 0,1 0 0,-1 1 0,1-1 0,-1 1 0,1-1 0,-1 1 0,1 0 0,-1 0 0,1-1 0,0 1 0,-1 0 0,1 0 0,0 1 0,0-1 0,0 0 0,0 0 0,0 1 0,0-1 0,0 1 0,0-1 0,0 2 0,-7 8 0,1 1 0,1 0 0,0 0 0,0 0 0,1 1 0,1 0 0,0 0 0,-3 19 0,0 7 0,-4 68 0,9-73 0,2 0 0,1-1 0,1 1 0,2 0 0,1-1 0,1 0 0,16 51 0,-16-68 0,0 0 0,1-1 0,0 0 0,1 0 0,0-1 0,1 0 0,1-1 0,0 0 0,1 0 0,0-1 0,0-1 0,1 0 0,1-1 0,0 0 0,0-1 0,28 14 0,-24-17 0,0 0 0,0-1 0,0-1 0,1-1 0,-1 0 0,1-2 0,-1 0 0,1-1 0,0-1 0,-1-1 0,1 0 0,-1-2 0,1 0 0,22-9 0,-29 8 0,0 1 0,-1-2 0,0 0 0,0 0 0,-1-1 0,1 0 0,-1 0 0,-1-1 0,1-1 0,8-12 0,-11 14 0,-1-1 0,-1-1 0,1 1 0,-1-1 0,0 1 0,-1-1 0,0-1 0,0 1 0,-1 0 0,0-1 0,-1 1 0,1-1 0,-2 0 0,0-12 0,1 20 0,-1 0 0,0-1 0,-1 1 0,1 0 0,0-1 0,-1 1 0,1 0 0,-1 0 0,1 0 0,-1-1 0,0 1 0,0 0 0,0 0 0,0 0 0,0 1 0,-1-1 0,1 0 0,0 0 0,-1 1 0,-2-3 0,3 3 0,-1 1 0,1-1 0,0 1 0,0 0 0,-1 0 0,1 0 0,0 0 0,0 0 0,-1 0 0,1 0 0,0 0 0,0 0 0,-1 1 0,1-1 0,0 1 0,0-1 0,-1 1 0,1-1 0,0 1 0,0 0 0,0-1 0,0 1 0,0 0 0,0 0 0,0 0 0,0 0 0,0 0 0,1 0 0,-1 0 0,0 0 0,0 1 0,1-1 0,-1 0 0,0 2 0,-1 1 0,0-1 0,0 1 0,0 0 0,1 0 0,-1 0 0,1 0 0,0 0 0,0 0 0,0 0 0,0 0 0,1 0 0,0 1 0,0-1 0,0 0 0,0 0 0,0 0 0,1 1 0,0-1 0,-1 0 0,1 0 0,1 0 0,-1 0 0,1 0 0,-1 0 0,1-1 0,0 1 0,0-1 0,1 1 0,-1-1 0,5 6 0,0-2 0,0 0 0,0-1 0,1 1 0,-1-2 0,1 1 0,1-1 0,-1 0 0,0-1 0,1 0 0,0 0 0,18 3 0,-1-4-170,-1-1-1,1-1 0,0-2 1,-1 0-1,1-3 0,-1 0 1,36-11-1,16-7-6655</inkml:trace>
  <inkml:trace contextRef="#ctx0" brushRef="#br0" timeOffset="-11469.83">3027 1623 24575,'-9'-9'0,"-5"-3"0,-2 5 0,6 4 0</inkml:trace>
  <inkml:trace contextRef="#ctx0" brushRef="#br0" timeOffset="-11158.01">3268 1675 24575,'-5'-13'0,"0"-18"0,0-26 0,1-17 0,-8-4 0,0 24 0,0 39 0,4 49 0,2 50 0,2 42 0,2 25 0,2 19 0,0 3 0,0-10 0,5-25 0,9-35 0,3-39 0,-2-32-8191</inkml:trace>
  <inkml:trace contextRef="#ctx0" brushRef="#br0" timeOffset="-9959.19">3051 2355 24575,'0'-1'0,"0"0"0,0 0 0,1 0 0,-1 0 0,0 0 0,1 0 0,-1 0 0,1 0 0,-1 0 0,1 1 0,-1-1 0,1 0 0,0 0 0,-1 0 0,1 1 0,0-1 0,0 0 0,0 1 0,-1-1 0,1 1 0,0-1 0,0 1 0,0-1 0,1 0 0,30-9 0,-22 7 0,265-61 0,-74 19 0,-169 37 0,-4 0 0,0 1 0,45-3 0,-70 9 0,-1 1 0,1 0 0,-1 0 0,1 0 0,-1 1 0,1-1 0,-1 1 0,1-1 0,-1 1 0,1 0 0,-1 0 0,1 0 0,-1 0 0,0 1 0,4 2 0,-5-3 0,0 1 0,0-1 0,0 1 0,0-1 0,0 1 0,0-1 0,-1 1 0,1 0 0,0-1 0,-1 1 0,0 0 0,1-1 0,-1 1 0,0 0 0,0 0 0,1 0 0,-1-1 0,-1 4 0,-1 8 0,-1 0 0,0 0 0,-1 0 0,0-1 0,-10 19 0,-3 15 0,16-42 0,0-1 0,0 1 0,0 0 0,1 0 0,0-1 0,-1 1 0,1 0 0,1 0 0,-1 0 0,0-1 0,1 1 0,0 0 0,0 0 0,0-1 0,0 1 0,0-1 0,1 1 0,-1-1 0,1 0 0,0 1 0,0-1 0,0 0 0,0 0 0,1-1 0,2 4 0,-1-3 0,-1 0 0,1-1 0,1 1 0,-1-1 0,0 0 0,0 0 0,1 0 0,-1-1 0,1 1 0,0-1 0,-1-1 0,1 1 0,0-1 0,-1 0 0,1 0 0,0 0 0,0 0 0,7-3 0,0-1 0,0 0 0,-1-1 0,0 0 0,0-1 0,0 0 0,-1-1 0,1 0 0,-2-1 0,1 0 0,-1-1 0,0 0 0,0-1 0,11-16 0,-9 11 0,-1-1 0,0-1 0,-1 1 0,-1-1 0,-1-1 0,0 0 0,-1 0 0,7-32 0,-10 32 0,-6 29 0,-5 34 0,6-26 0,1-1 0,1 1 0,0-1 0,1 1 0,3 20 0,-2-33 0,-1 0 0,1 1 0,0-1 0,0 0 0,1 0 0,0 0 0,0-1 0,0 1 0,1-1 0,-1 0 0,1 0 0,0 0 0,0 0 0,1-1 0,0 0 0,-1 0 0,1 0 0,8 4 0,3 0 0,1-1 0,0 0 0,0-2 0,1 0 0,0-1 0,0-1 0,0 0 0,0-2 0,0 0 0,0-2 0,0 0 0,0-1 0,0-1 0,19-5 0,-30 5 0,0 0 0,-1 0 0,0-1 0,0 0 0,0 0 0,0 0 0,0-1 0,-1 0 0,1 0 0,-1-1 0,-1 1 0,1-1 0,-1 0 0,0-1 0,0 1 0,0-1 0,-1 0 0,0 0 0,0 0 0,-1 0 0,0-1 0,0 1 0,0-1 0,-1 1 0,0-9 0,1-5 0,-1 0 0,-1 0 0,-1 0 0,0 0 0,-2 0 0,0 0 0,-1 0 0,-7-20 0,5 25 0,0 0 0,-1 0 0,0 1 0,-1 0 0,0 0 0,-2 1 0,1 0 0,-2 1 0,1 0 0,-2 1 0,-13-12 0,17 17 0,1 1 0,-1 0 0,0 1 0,-1 0 0,1 0 0,-1 1 0,0 0 0,0 0 0,0 1 0,0 1 0,-1-1 0,1 2 0,-1 0 0,1 0 0,-1 0 0,1 2 0,-1-1 0,0 1 0,-17 5 0,21-4 0,0 1 0,-1-1 0,1 2 0,0-1 0,0 1 0,1 0 0,-1 0 0,1 1 0,0 0 0,0 0 0,0 0 0,0 1 0,1 0 0,0 0 0,0 0 0,0 0 0,1 1 0,-5 12 0,6-13 0,0 0 0,0 0 0,1 0 0,0 0 0,0 0 0,0 0 0,1 1 0,-1-1 0,2 0 0,-1 1 0,0-1 0,1 0 0,0 0 0,1 0 0,-1 0 0,1 0 0,0 0 0,0 0 0,1 0 0,0-1 0,-1 1 0,8 8 0,-1-4 0,0-1 0,1 0 0,0 0 0,0-1 0,1 0 0,0-1 0,0-1 0,0 0 0,1 0 0,0-2 0,0 1 0,22 4 0,3-2 0,0-1 0,0-2 0,42-1 0,-50-5 0,0-1 0,-1-1 0,1-2 0,-1-1 0,0-2 0,0-1 0,-1-1 0,40-22 0,-60 29 0,1 0 0,-1 1 0,1 0 0,0 0 0,0 1 0,10-2 0,-16 4 0,-1 0 0,1 0 0,-1 0 0,1 0 0,-1 1 0,1-1 0,-1 0 0,1 1 0,-1-1 0,1 1 0,-1 0 0,1 0 0,-1-1 0,0 1 0,0 0 0,1 0 0,-1 0 0,0 1 0,0-1 0,0 0 0,0 0 0,0 1 0,0-1 0,0 0 0,0 1 0,-1-1 0,1 1 0,0 0 0,-1-1 0,1 1 0,-1-1 0,0 1 0,1 0 0,-1-1 0,0 1 0,0 3 0,3 52 0,-3-43 0,0 0 0,1 0 0,0-1 0,1 1 0,5 17 0,-6-27 0,1-1 0,-1 1 0,1 0 0,0 0 0,0-1 0,0 0 0,1 1 0,-1-1 0,1 0 0,-1 0 0,1 0 0,0-1 0,0 1 0,0-1 0,0 0 0,1 1 0,-1-2 0,1 1 0,-1 0 0,1-1 0,-1 0 0,6 2 0,2-2 0,-1 0 0,0 0 0,0-1 0,0 0 0,1-1 0,-1-1 0,0 0 0,0 0 0,0-1 0,-1 0 0,1-1 0,-1 0 0,1 0 0,-1-1 0,0-1 0,14-11 0,-4 2 0,-1 0 0,0-2 0,-1 0 0,-1-1 0,0-1 0,15-25 0,-13 16 0,-22 140 0,5-109 0,-1 1 0,0-1 0,1 1 0,-1 0 0,1-1 0,0 1 0,0-1 0,1 0 0,-1 1 0,1-1 0,-1 0 0,1 0 0,0 0 0,0 0 0,0 0 0,0 0 0,1-1 0,-1 1 0,6 3 0,-2-2 0,-1-1 0,1 0 0,0 0 0,0-1 0,0 0 0,0 0 0,0-1 0,0 0 0,0 0 0,7 0 0,7-1 0,-1 0 0,1-2 0,-1-1 0,0 0 0,0-2 0,20-7 0,-20 6 0,-1-2 0,1-1 0,-1 0 0,-1-1 0,0-2 0,0 0 0,-1 0 0,0-2 0,-1 0 0,-1-1 0,0 0 0,0-2 0,-2 1 0,0-2 0,-1 0 0,0 0 0,-1-1 0,12-35 0,-21 50 0,0 0 0,0 0 0,-1 0 0,1 0 0,-1-1 0,0 1 0,0 0 0,-1 0 0,1 0 0,-1 0 0,1-1 0,-1 1 0,-1 0 0,1 0 0,0 1 0,-3-6 0,3 7 0,0 1 0,0-1 0,0 1 0,0-1 0,0 1 0,0 0 0,0-1 0,0 1 0,0 0 0,-1 0 0,1 0 0,0 0 0,-1 0 0,1 0 0,-1 0 0,1 0 0,-1 1 0,0-1 0,1 1 0,-1-1 0,1 1 0,-1 0 0,0 0 0,1-1 0,-1 1 0,0 1 0,1-1 0,-1 0 0,0 0 0,1 1 0,-1-1 0,0 1 0,1-1 0,-1 1 0,1 0 0,-1-1 0,-2 3 0,2-2 0,1 0 0,-1 0 0,1 0 0,-1 0 0,1 1 0,0-1 0,-1 0 0,1 1 0,0-1 0,0 1 0,0 0 0,0-1 0,0 1 0,0 0 0,1-1 0,-1 1 0,0 0 0,1 0 0,-1 0 0,1 0 0,-1 0 0,1-1 0,0 5 0,0-2 0,1 1 0,0 0 0,-1 0 0,2-1 0,-1 1 0,0-1 0,1 1 0,0-1 0,3 7 0,4 4 0,1 0 0,0 0 0,1-1 0,13 14 0,2-2 0,34 39 0,-57-61 0,0 0 0,0 1 0,0 0 0,0-1 0,-1 1 0,0 0 0,0 1 0,0-1 0,0 0 0,-1 1 0,0-1 0,0 1 0,1 5 0,-2-9 0,-1 0 0,1 0 0,0 1 0,-1-1 0,1 0 0,-1 0 0,1 0 0,-1 0 0,0 0 0,0 0 0,0 0 0,0 0 0,0 0 0,-1 0 0,1 0 0,0-1 0,-1 1 0,1-1 0,-1 1 0,1-1 0,-1 1 0,0-1 0,0 0 0,1 0 0,-1 0 0,0 0 0,-3 0 0,-5 3 0,0-1 0,0 0 0,-21 2 0,30-4 0,-140 6-1365,73-7-5461</inkml:trace>
  <inkml:trace contextRef="#ctx0" brushRef="#br0" timeOffset="-9852.06">4303 1492 24575,'-4'0'0</inkml:trace>
  <inkml:trace contextRef="#ctx0" brushRef="#br0" timeOffset="-7719.51">6808 1754 24575,'-8'251'0,"4"-204"0,-1-1 0,-3 0 0,-20 71 0,20-100 0,3-22 0,3-29 0,12-80 0,28-143 0,-36 247 0,0 0 0,1-1 0,0 2 0,0-1 0,1 0 0,8-16 0,-11 25 0,0-1 0,0 1 0,0-1 0,0 1 0,1 0 0,-1 0 0,0-1 0,0 1 0,1 0 0,-1 0 0,1 0 0,-1 1 0,1-1 0,-1 0 0,1 0 0,-1 1 0,1-1 0,2 1 0,-2 0 0,0 0 0,0 0 0,0 1 0,0 0 0,0-1 0,0 1 0,0 0 0,0 0 0,0 0 0,0 0 0,-1 0 0,1 0 0,0 1 0,-1-1 0,1 1 0,-1-1 0,1 1 0,1 3 0,11 15 0,0 0 0,-2 1 0,15 31 0,7 13 0,-16-33 0,1-2 0,2 0 0,1-1 0,44 45 0,-56-65 0,0 0 0,1-1 0,-1-1 0,1 0 0,1 0 0,-1-1 0,13 4 0,-16-8 0,0 1 0,0-2 0,0 1 0,0-1 0,0 0 0,0-1 0,0 0 0,0-1 0,1 0 0,-1 0 0,0-1 0,8-2 0,-9 2 0,-1-1 0,0 0 0,0 0 0,0 0 0,0-1 0,0 0 0,-1 0 0,1-1 0,-1 1 0,0-1 0,-1-1 0,1 1 0,-1-1 0,4-5 0,-2 0 0,-1 0 0,0 1 0,0-2 0,-1 1 0,-1 0 0,0-1 0,4-21 0,-4-3 0,-1 0 0,-2 0 0,-1 0 0,-9-61 0,8 76 0,-2-1 0,-1 1 0,0-1 0,-10-23 0,15 44 0,-1-1 0,1 1 0,-1 0 0,1-1 0,-1 1 0,1-1 0,-1 1 0,0 0 0,0 0 0,0 0 0,1-1 0,-1 1 0,0 0 0,0 0 0,-1 0 0,1 1 0,0-1 0,0 0 0,-2-1 0,3 3 0,-1-1 0,1 0 0,-1 1 0,0-1 0,1 0 0,-1 1 0,1-1 0,-1 1 0,0-1 0,1 1 0,0-1 0,-1 1 0,1-1 0,-1 1 0,1 0 0,-1-1 0,1 1 0,0 0 0,0-1 0,-1 1 0,1 0 0,0-1 0,0 1 0,0 0 0,-1 1 0,-1 7 0,0 1 0,1 0 0,0 0 0,0 13 0,3-6 0,0 0 0,1 0 0,0 0 0,2-1 0,-1 1 0,2-1 0,0 0 0,1-1 0,0 0 0,1 0 0,1 0 0,17 22 0,-12-19 0,0-1 0,2 0 0,0-1 0,0-1 0,1-1 0,1-1 0,0 0 0,37 18 0,-47-27 0,0-1 0,1 1 0,-1-2 0,1 1 0,-1-2 0,1 1 0,0-1 0,-1 0 0,1-1 0,15-2 0,-20 1 0,0 0 0,0 0 0,0 0 0,-1 0 0,1-1 0,0 0 0,-1 0 0,1 0 0,-1 0 0,0-1 0,0 0 0,0 1 0,0-1 0,0 0 0,0 0 0,-1-1 0,1 1 0,-1-1 0,0 1 0,0-1 0,0 0 0,-1 0 0,1 0 0,-1 0 0,0 0 0,1-6 0,0-1 0,-1-1 0,0 1 0,0-1 0,-2 1 0,1-1 0,-1 0 0,-1 1 0,0-1 0,0 1 0,-1 0 0,0 0 0,-1 0 0,0 0 0,-1 1 0,0 0 0,-8-13 0,-7-9 0,-1 1 0,-2 1 0,-38-41 0,42 51 0,-1 1 0,-37-29 0,52 44 0,0 0 0,-1 1 0,1 0 0,-1 0 0,1 0 0,-1 0 0,0 1 0,0 0 0,0 1 0,0-1 0,0 1 0,0 0 0,0 1 0,0 0 0,0 0 0,-1 0 0,-8 3 0,12-2 0,1 0 0,-1 0 0,1 0 0,-1 1 0,1-1 0,0 1 0,0 0 0,-1 0 0,1 0 0,0 0 0,0 0 0,1 0 0,-1 1 0,0-1 0,1 1 0,-1-1 0,1 1 0,0-1 0,0 1 0,0 0 0,0 0 0,0 0 0,1 0 0,-1 0 0,1 0 0,-1 0 0,1 0 0,0 0 0,0 0 0,1 0 0,-1 0 0,1 3 0,0 2 0,1 0 0,-1-1 0,1 1 0,0-1 0,1 1 0,0-1 0,0 0 0,1 0 0,-1 0 0,1-1 0,8 10 0,-1-5 0,0-1 0,1 0 0,0-1 0,0-1 0,1 0 0,0 0 0,0-2 0,1 0 0,0 0 0,23 5 0,-8-4 0,0-2 0,0-1 0,0-1 0,42-2 0,-53-2 0,-1-1 0,1-1 0,-1 0 0,0-1 0,0-1 0,-1-1 0,1-1 0,25-14 0,-33 16 0,-1-1 0,0 0 0,-1 0 0,1 0 0,-1-1 0,0-1 0,0 1 0,-1-1 0,0-1 0,0 1 0,-1-1 0,0 0 0,0 0 0,-1-1 0,0 1 0,-1-1 0,3-13 0,-1 1 0,-2-2 0,0 1 0,-1 0 0,-1-1 0,-1 1 0,-1 0 0,-6-40 0,-1 47 0,0 24 0,-5 35 0,12-37 0,-11 46 0,2 1 0,2 0 0,2 0 0,2 1 0,3 0 0,6 67 0,-4-105 17,2 1 0,0-1 1,1 0-1,1 0 0,0 0 0,12 26 0,-13-34-131,1 0 0,0 0-1,0 0 1,0 0 0,1-1 0,0 0-1,0 0 1,1 0 0,0-1 0,0-1-1,0 1 1,14 7 0,14 0-6712</inkml:trace>
  <inkml:trace contextRef="#ctx0" brushRef="#br0" timeOffset="-7580.01">8085 1911 24575,'12'0'0,"17"0"0,23 0 0,28-9 0,17-3 0,-1 1 0,-8 2 0,-10 2 0,-19 3-8191</inkml:trace>
  <inkml:trace contextRef="#ctx0" brushRef="#br0" timeOffset="-6260.52">9217 1754 24575,'-1'127'0,"2"142"0,0-268 0,-1 6 0,0 1 0,1-1 0,0 0 0,0 1 0,2 6 0,-2-13 0,-1 0 0,1 1 0,-1-1 0,0 0 0,1 0 0,0 0 0,-1 0 0,1 0 0,0 0 0,-1 0 0,1 0 0,0 0 0,0 0 0,0 0 0,0 0 0,0-1 0,0 1 0,0 0 0,0-1 0,0 1 0,0-1 0,0 1 0,0-1 0,0 0 0,0 1 0,0-1 0,1 0 0,-1 0 0,0 0 0,0 0 0,0 0 0,0 0 0,1 0 0,-1 0 0,0-1 0,0 1 0,1-1 0,5-2 0,0 0 0,-1-1 0,0 1 0,1-2 0,-1 1 0,-1-1 0,1 0 0,-1 0 0,0 0 0,0-1 0,7-10 0,8-13 0,20-38 0,-25 41 0,77-147 0,-75 145 0,-17 27 0,0 1 0,0 0 0,0 0 0,0 0 0,0-1 0,1 1 0,-1 0 0,0 0 0,0 0 0,0 0 0,0 0 0,0-1 0,1 1 0,-1 0 0,0 0 0,0 0 0,0 0 0,1 0 0,-1 0 0,0 0 0,0 0 0,0 0 0,1 0 0,-1 0 0,0 0 0,0 0 0,0 0 0,1 0 0,-1 0 0,0 0 0,0 0 0,0 0 0,1 0 0,-1 0 0,0 0 0,0 0 0,0 0 0,0 0 0,1 1 0,-1-1 0,0 0 0,0 0 0,0 0 0,0 0 0,1 0 0,-1 1 0,0-1 0,0 0 0,0 0 0,0 0 0,0 1 0,0-1 0,0 0 0,5 20 0,-2 22 0,-3-20 0,0 0 0,2 0 0,0 0 0,1 0 0,1-1 0,1 1 0,1-1 0,1 0 0,0-1 0,1 0 0,2 0 0,16 28 0,-23-43 0,0-1 0,1 1 0,-1-1 0,1 0 0,0 0 0,0 0 0,0-1 0,0 1 0,1-1 0,-1 0 0,1 0 0,0-1 0,-1 1 0,1-1 0,0-1 0,1 1 0,-1-1 0,0 0 0,0 0 0,0 0 0,1-1 0,-1 0 0,0 0 0,1 0 0,-1-1 0,0 0 0,0 0 0,1 0 0,-1-1 0,0 0 0,0 0 0,-1 0 0,7-5 0,4-2 0,0-1 0,0-1 0,-1-1 0,-1 0 0,0-1 0,0-1 0,-1 0 0,19-29 0,-15 16 0,-2 0 0,0-1 0,-2 0 0,13-45 0,-24 78 0,-1 1 0,1-1 0,0 0 0,0 0 0,1 0 0,0 1 0,0-1 0,0-1 0,0 1 0,0 0 0,1-1 0,6 9 0,1 0 0,0-1 0,1-1 0,1 0 0,0-1 0,0 0 0,0 0 0,1-2 0,1 0 0,-1 0 0,1-2 0,0 0 0,1 0 0,-1-2 0,28 6 0,-8-4 0,1-2 0,-1-1 0,1-2 0,0-2 0,49-7 0,-62 5 0,0-1 0,-1-2 0,1 0 0,-1-1 0,0-2 0,-1 0 0,37-24 0,-51 29 0,1 0 0,-1-1 0,-1 0 0,1 0 0,-1-1 0,0 0 0,0 1 0,0-2 0,-1 1 0,0-1 0,0 0 0,-1 0 0,1 0 0,-1 0 0,-1 0 0,1-1 0,-1 0 0,0 1 0,-1-1 0,0 0 0,0 0 0,-1 0 0,1 0 0,-1 0 0,-1 0 0,0 0 0,-2-10 0,2 11 0,-1 0 0,0 1 0,-1-1 0,1 1 0,-1 0 0,-1 0 0,1 0 0,-1 0 0,1 0 0,-1 1 0,-1 0 0,1 0 0,-1 0 0,0 1 0,0-1 0,0 1 0,0 0 0,-1 1 0,0 0 0,1 0 0,-1 0 0,0 0 0,0 1 0,-1 0 0,1 1 0,0-1 0,-1 1 0,-6 0 0,2 0 0,1 1 0,-1 0 0,1 0 0,-1 1 0,1 0 0,-1 1 0,1 1 0,0 0 0,0 0 0,0 1 0,0 0 0,0 1 0,1 0 0,0 1 0,0 0 0,-12 10 0,15-9 0,0-1 0,0 1 0,0 0 0,1 1 0,0 0 0,0-1 0,1 2 0,0-1 0,-5 13 0,8-17 0,0 0 0,0 0 0,0 1 0,1-1 0,-1 0 0,1 1 0,0-1 0,0 0 0,0 1 0,1-1 0,0 0 0,-1 1 0,1-1 0,0 0 0,1 0 0,-1 0 0,1 0 0,0 0 0,0 0 0,0 0 0,0-1 0,4 6 0,4 2 0,1-1 0,0 0 0,0-1 0,1 0 0,-1-1 0,2 0 0,-1-1 0,1 0 0,0-2 0,1 1 0,-1-2 0,1 0 0,14 2 0,-9-2 0,-1-1 0,1-1 0,0-1 0,0-1 0,0 0 0,0-2 0,-1-1 0,1 0 0,23-8 0,-30 6 0,0 0 0,-1-1 0,1 0 0,-2-1 0,1 0 0,-1-1 0,0-1 0,0 1 0,-1-2 0,11-12 0,-16 17 0,1-2 0,-1 1 0,0 0 0,0-1 0,-1 0 0,1 0 0,-2 0 0,1 0 0,-1-1 0,0 1 0,0-1 0,0 1 0,-1-1 0,-1 0 0,1 1 0,-1-1 0,0 0 0,-2-15 0,1 20 0,1-1 0,-1 1 0,0 0 0,0-1 0,-1 1 0,1 0 0,-1 0 0,1 0 0,-1 0 0,0 0 0,0 0 0,0 0 0,0 1 0,0-1 0,-1 1 0,1 0 0,-1-1 0,0 1 0,1 0 0,-1 1 0,0-1 0,0 1 0,0-1 0,0 1 0,0 0 0,0 0 0,-1 0 0,1 1 0,0-1 0,0 1 0,-1 0 0,1 0 0,0 0 0,0 0 0,-1 1 0,1-1 0,0 1 0,0 0 0,0 0 0,0 0 0,0 1 0,0-1 0,0 1 0,0 0 0,0 0 0,1 0 0,-1 0 0,1 0 0,-1 0 0,1 1 0,0 0 0,0-1 0,0 1 0,0 0 0,-3 5 0,2-1 0,-1-1 0,1 1 0,0-1 0,0 1 0,0 0 0,1 1 0,0-1 0,1 0 0,-1 1 0,1-1 0,1 1 0,-1-1 0,1 1 0,0-1 0,1 1 0,0-1 0,0 1 0,0-1 0,1 0 0,0 1 0,0-1 0,1 0 0,0 0 0,0-1 0,0 1 0,1-1 0,0 1 0,0-1 0,0-1 0,1 1 0,0-1 0,0 1 0,0-1 0,0-1 0,1 1 0,0-1 0,0 0 0,0-1 0,8 4 0,7 3 0,0-1 0,1-1 0,-1-1 0,1-1 0,1-1 0,-1-2 0,1 0 0,-1-1 0,1-2 0,0 0 0,-1-2 0,1-1 0,25-6 0,-34 6 0,-1-1 0,1 0 0,-1-1 0,0-1 0,0 0 0,-1-1 0,0 0 0,0-1 0,0-1 0,-1 0 0,0 0 0,-1-1 0,0-1 0,0 0 0,-1 0 0,-1-1 0,1-1 0,-2 1 0,0-1 0,0-1 0,-1 1 0,8-25 0,-6 3 0,-2 0 0,-1-1 0,-1 0 0,-2 0 0,-2-49 0,-8 32 0,8 54 0,0-1 0,0 0 0,0 1 0,0-1 0,-1 0 0,1 1 0,0-1 0,0 0 0,0 0 0,-1 1 0,1-1 0,0 0 0,0 0 0,-1 1 0,1-1 0,0 0 0,-1 0 0,1 0 0,0 1 0,-1-1 0,1 0 0,0 0 0,-1 0 0,1 0 0,0 0 0,-1 0 0,1 0 0,0 0 0,-1 0 0,1 0 0,0 0 0,-1 0 0,1 0 0,0 0 0,-1 0 0,1 0 0,0 0 0,-1 0 0,1-1 0,0 1 0,-1 0 0,1 0 0,0 0 0,0-1 0,-1 1 0,1 0 0,0 0 0,0-1 0,-1 1 0,1 0 0,0-1 0,0 1 0,0 0 0,-1 0 0,1-1 0,0 1 0,0-1 0,0 1 0,0 0 0,0-1 0,0 1 0,0 0 0,0-1 0,0 1 0,0 0 0,0-1 0,0 1 0,0-1 0,-10 33 0,-12 84 0,-10 144 0,30-234 20,2-1 0,0 1 0,1 0 0,2-1 0,4 26 0,-4-40-126,-1 0 0,1 0 0,1 0 0,0-1 0,0 0 0,1 0-1,0 0 1,1-1 0,0 0 0,0 0 0,1 0 0,0-1 0,14 14 0,11 1-6720</inkml:trace>
  <inkml:trace contextRef="#ctx0" brushRef="#br0" timeOffset="-5123.67">11264 2068 24575,'107'2'0,"99"-2"0,-171-2 0,0-2 0,0-2 0,60-18 0,-87 22 0,1-1 0,-2 0 0,1-1 0,0 0 0,-1-1 0,1 1 0,-1-1 0,0-1 0,-1 0 0,1 0 0,-1 0 0,0-1 0,0 0 0,-1 0 0,0 0 0,0-1 0,-1 0 0,0 0 0,0 0 0,0-1 0,-1 1 0,0-1 0,-1 0 0,2-9 0,-3-5 0,-7 35 0,-6 38 0,11-42 0,0 0 0,1 0 0,0 0 0,0 1 0,1-1 0,0 0 0,0 0 0,1 0 0,0 0 0,0 0 0,1 0 0,-1-1 0,7 12 0,-6-14 0,1 0 0,0 0 0,0-1 0,0 1 0,0-1 0,1 0 0,-1 0 0,1 0 0,0-1 0,0 0 0,0 0 0,0 0 0,1-1 0,-1 0 0,1 0 0,-1 0 0,1-1 0,7 1 0,-2 0 0,0-1 0,1-1 0,-1 0 0,0 0 0,1-1 0,-1-1 0,0 0 0,0-1 0,0 0 0,0-1 0,0 0 0,-1-1 0,0 0 0,0-1 0,0 0 0,0-1 0,12-11 0,-21 18 0,3-5 0,0 1 0,1 0 0,-1 0 0,1 1 0,0 0 0,0 0 0,0 0 0,6-2 0,-9 5 0,0 0 0,1 0 0,-1 0 0,0 0 0,0 0 0,0 1 0,0-1 0,0 1 0,0-1 0,0 1 0,0 0 0,0 0 0,0 0 0,0 0 0,0 0 0,0 1 0,-1-1 0,1 1 0,0-1 0,-1 1 0,1 0 0,-1-1 0,0 1 0,1 0 0,0 2 0,5 5 0,0 0 0,0 0 0,1-1 0,0 0 0,0-1 0,1 0 0,0 0 0,0-1 0,0-1 0,1 1 0,0-1 0,0-1 0,0 0 0,0-1 0,1 0 0,-1-1 0,1 0 0,0-1 0,-1 0 0,1 0 0,0-1 0,0-1 0,-1 0 0,1-1 0,14-4 0,-12 2 0,-1 0 0,1 0 0,-1-2 0,0 0 0,0 0 0,21-16 0,-11 3 0,0-1 0,19-23 0,-39 42 0,0-1 0,-1 0 0,1 1 0,0 0 0,0-1 0,0 1 0,0 0 0,0 0 0,0 0 0,0 0 0,0 1 0,0-1 0,0 1 0,0-1 0,0 1 0,0 0 0,1 0 0,-1 0 0,0 0 0,3 1 0,43 16 0,-18-4 0,-1-4 0,0-1 0,0-1 0,0-2 0,1-2 0,0 0 0,30-3 0,-48-1 0,-1 0 0,1-1 0,-1-1 0,0 0 0,1 0 0,-1-1 0,0-1 0,11-7 0,-16 8 0,0 0 0,0 0 0,0-1 0,0 0 0,-1-1 0,0 1 0,0-1 0,-1 0 0,1-1 0,-1 1 0,0-1 0,-1 0 0,1 0 0,2-8 0,-5 9 0,1 1 0,-1 0 0,0-1 0,0 1 0,0-1 0,-1 1 0,0-1 0,0 1 0,0-1 0,-1 0 0,1 1 0,-1-1 0,0 1 0,-1 0 0,1-1 0,-1 1 0,0 0 0,0 0 0,-1 0 0,1 0 0,-1 1 0,0-1 0,0 1 0,-1 0 0,1 0 0,-1 0 0,0 0 0,0 0 0,0 1 0,0 0 0,0 0 0,-1 0 0,1 1 0,-1-1 0,0 1 0,0 1 0,0-1 0,1 1 0,-2-1 0,1 2 0,0-1 0,0 0 0,0 1 0,0 0 0,0 1 0,0-1 0,0 1 0,0 0 0,0 0 0,0 1 0,0-1 0,0 1 0,0 1 0,1-1 0,-1 1 0,1-1 0,0 2 0,-8 5 0,7-4 0,0 0 0,0 0 0,1 0 0,0 1 0,-1-1 0,2 1 0,-1 0 0,1 0 0,0 1 0,0-1 0,0 1 0,1 0 0,0 0 0,0 0 0,-1 13 0,2-15 0,1 0 0,0-1 0,0 1 0,1 0 0,0 0 0,-1-1 0,1 1 0,1 0 0,-1-1 0,1 1 0,-1-1 0,1 0 0,0 1 0,1-1 0,-1 0 0,1 0 0,-1-1 0,1 1 0,0-1 0,0 1 0,1-1 0,-1 0 0,1 0 0,5 4 0,1-2 0,-1 1 0,0-2 0,1 1 0,0-2 0,0 1 0,0-1 0,0-1 0,1 0 0,-1 0 0,1-1 0,16-1 0,-20-1 0,-1 1 0,0-1 0,1 0 0,-1-1 0,0 0 0,1 0 0,-1 0 0,0-1 0,-1 0 0,1 0 0,0 0 0,-1-1 0,1 0 0,-1 0 0,0-1 0,-1 0 0,1 0 0,-1 0 0,8-10 0,-6 4 0,0-1 0,-1 1 0,0-1 0,0 0 0,-1 0 0,-1-1 0,0 0 0,0 1 0,0-18 0,-4 20 0,-3 11 0,-6 16 0,-1 8 0,2 0 0,1 1 0,1 0 0,-8 53 0,-4 118 0,17-173 0,-13 428 0,11-227 0,-8-53 0,9-152 0,0 0 0,-2-1 0,0 1 0,-1-1 0,-1-1 0,-12 24 0,17-38 0,1 0 0,-1 0 0,-1-1 0,1 1 0,0-1 0,-1 0 0,0 0 0,1 0 0,-1 0 0,0 0 0,-1-1 0,1 1 0,0-1 0,-1 0 0,1 0 0,-1 0 0,0-1 0,1 1 0,-1-1 0,0 0 0,0 0 0,0 0 0,-6 0 0,5-2 0,1 0 0,-1 0 0,1 0 0,-1 0 0,1-1 0,0 0 0,-1 0 0,1 0 0,0-1 0,0 1 0,0-1 0,1 0 0,-1 0 0,1 0 0,-1-1 0,1 0 0,0 1 0,0-1 0,-4-8 0,-2-4 0,1-1 0,1 0 0,0-1 0,1 1 0,1-1 0,0-1 0,-3-25 0,2 1 0,2-1 0,2-47 0,2 75 0,1 0 0,0 0 0,1-1 0,1 1 0,1 0 0,0 1 0,0-1 0,1 1 0,1 0 0,1 0 0,0 1 0,11-18 0,-7 17 0,0 1 0,1 0 0,0 1 0,1 1 0,0 0 0,0 1 0,1 0 0,1 1 0,0 1 0,25-11 0,-23 13-170,0-1-1,0-1 0,-1-1 1,0 0-1,-1-1 0,0-1 1,22-23-1,-3-8-6655</inkml:trace>
  <inkml:trace contextRef="#ctx0" brushRef="#br0" timeOffset="-4997.07">11794 890 24575,'-12'0'0,"-9"0"0,-8 0 0,0 0-8191</inkml:trace>
  <inkml:trace contextRef="#ctx0" brushRef="#br0" timeOffset="-4049.16">3797 3245 24575,'0'-9'0,"0"15"0,0 24 0,0 25 0,-8 21 0,-3 19 0,-7 17 0,-1 2 0,-6-5 0,2-17 0,5-23-8191</inkml:trace>
  <inkml:trace contextRef="#ctx0" brushRef="#br0" timeOffset="-3379.88">3388 3925 24575,'-10'0'0,"14"0"0,47-2 0,46-16 0,-1-5 0,147-57 0,-182 59 0,0-1 0,192-71 0,-204 71 0,-1-1 0,89-61 0,-126 77 0,-1-2 0,1 1 0,-2-2 0,1 1 0,-2-1 0,1-1 0,-1 0 0,0 0 0,8-19 0,-13 25 0,-1 0 0,0 0 0,0 0 0,0-1 0,-1 1 0,0-1 0,0 1 0,0-1 0,-1 0 0,0 0 0,0 1 0,0-1 0,0 0 0,-1 1 0,0-1 0,0 1 0,0-1 0,-1 1 0,0-1 0,0 1 0,0 0 0,0 0 0,-1 0 0,0 0 0,-4-5 0,2 2 0,-1 1 0,0 0 0,0 0 0,-1 1 0,1 0 0,-1 0 0,0 0 0,-1 1 0,-7-4 0,11 7 0,0 0 0,1 1 0,-1 0 0,0 0 0,0 0 0,0 0 0,0 0 0,0 1 0,0 0 0,0 0 0,0 0 0,0 0 0,0 1 0,0 0 0,0 0 0,0 0 0,1 0 0,-1 1 0,0-1 0,1 1 0,-1 0 0,-4 4 0,-1 2 0,0 0 0,1 1 0,0 0 0,0 1 0,1 0 0,0 0 0,1 1 0,0 0 0,0 0 0,1 1 0,1-1 0,0 1 0,-6 24 0,1 7 0,2 0 0,-5 74 0,10-85 0,-4 149 0,7-163 0,0 0 0,1 0 0,0 0 0,1 0 0,1-1 0,1 1 0,10 25 0,-14-40 0,1 0 0,-1 0 0,0 0 0,1 0 0,0 0 0,0 0 0,-1-1 0,1 1 0,1-1 0,-1 1 0,0-1 0,1 0 0,-1 0 0,1 0 0,-1 0 0,1-1 0,0 1 0,-1-1 0,1 0 0,0 1 0,0-2 0,0 1 0,0 0 0,0-1 0,0 1 0,0-1 0,1 0 0,-1 0 0,0 0 0,0 0 0,0-1 0,0 1 0,0-1 0,0 0 0,0 0 0,0 0 0,0-1 0,-1 1 0,4-3 0,11-6 0,-1-2 0,0 0 0,0-1 0,26-29 0,-27 27 0,-10 10 0,0 0 0,0 0 0,0 1 0,1 0 0,-1 0 0,1 0 0,7-2 0,-12 5 0,0 1 0,1-1 0,-1 1 0,1 0 0,-1 0 0,1 0 0,-1 0 0,0 0 0,1 0 0,-1 1 0,1-1 0,-1 0 0,1 1 0,-1-1 0,0 1 0,1-1 0,-1 1 0,0 0 0,0 0 0,1 0 0,-1 0 0,0 0 0,0 0 0,0 0 0,0 0 0,0 0 0,0 0 0,0 1 0,0-1 0,-1 0 0,1 1 0,0-1 0,-1 1 0,1-1 0,-1 1 0,1 2 0,3 7 0,0-1 0,1 1 0,0-1 0,1 0 0,-1 0 0,2-1 0,-1 1 0,1-2 0,1 1 0,0-1 0,0 0 0,0-1 0,1 0 0,0 0 0,0-1 0,0 0 0,1-1 0,0 0 0,0-1 0,0 0 0,0-1 0,0 0 0,1-1 0,14 2 0,-8-3 0,0 0 0,0-2 0,0 0 0,0-1 0,0-1 0,0 0 0,0-1 0,-1-1 0,0-1 0,22-11 0,-27 11 0,0 0 0,-1 0 0,1-1 0,-1-1 0,0 0 0,-1 0 0,1-1 0,-2 0 0,1-1 0,-1 0 0,-1 0 0,0-1 0,0 0 0,0-1 0,5-14 0,-11 23 0,0 1 0,0-1 0,0 0 0,0 0 0,0 0 0,-1 0 0,1 0 0,-1 0 0,0 0 0,0 0 0,0 0 0,0 0 0,0 0 0,0 1 0,-1-1 0,1 0 0,-1 0 0,0 0 0,0 0 0,0 0 0,0 1 0,0-1 0,-1 0 0,1 1 0,-1-1 0,0 1 0,1 0 0,-1-1 0,0 1 0,0 0 0,0 0 0,0 1 0,-1-1 0,1 0 0,0 1 0,-1-1 0,1 1 0,-1 0 0,0 0 0,1 0 0,-1 0 0,-4 0 0,0-1 0,0 1 0,1 0 0,-1 0 0,0 1 0,0-1 0,0 2 0,0-1 0,1 1 0,-1 0 0,0 1 0,1 0 0,-1 0 0,1 0 0,-1 1 0,1 0 0,-9 6 0,10-5 0,0 1 0,0 0 0,1 0 0,-1 0 0,1 0 0,0 1 0,1 0 0,-1 0 0,1 0 0,0 0 0,0 1 0,1-1 0,-1 1 0,2 0 0,-3 9 0,4-12 0,-1 0 0,1 0 0,0-1 0,0 1 0,0 0 0,1 0 0,-1 0 0,1-1 0,0 1 0,0 0 0,0-1 0,0 1 0,1 0 0,-1-1 0,1 0 0,0 1 0,0-1 0,0 0 0,0 0 0,0 0 0,1 0 0,-1-1 0,1 1 0,0-1 0,0 0 0,0 1 0,0-1 0,0-1 0,4 3 0,10 3 12,-1 0 0,1-1 0,0-2 0,0 1-1,19 0 1,90 4-793,-99-8 126,83 1-6171</inkml:trace>
  <inkml:trace contextRef="#ctx0" brushRef="#br0" timeOffset="-2430.08">6688 3664 24575,'0'-6'0,"0"1"0,0-1 0,-1 1 0,0-1 0,1 1 0,-2-1 0,1 1 0,0 0 0,-1 0 0,0 0 0,0 0 0,-1 0 0,1 0 0,-1 0 0,-4-5 0,3 6 0,1 1 0,-1 0 0,1 0 0,-1 1 0,0-1 0,0 1 0,0 0 0,0 0 0,0 0 0,-1 1 0,1-1 0,0 1 0,-1 0 0,1 1 0,-1-1 0,1 1 0,-9 0 0,1 1 0,0 1 0,1 0 0,-1 0 0,1 1 0,-1 1 0,1 0 0,0 0 0,0 2 0,1-1 0,-1 1 0,1 1 0,0 0 0,1 1 0,0 0 0,0 0 0,-15 19 0,15-16 0,0 2 0,1 0 0,0 0 0,0 0 0,2 1 0,-1 0 0,2 1 0,0 0 0,0 0 0,1 0 0,1 0 0,0 1 0,0 20 0,2-31 0,1 0 0,0 1 0,0-1 0,1 0 0,-1 0 0,1 0 0,0 1 0,0-1 0,1 0 0,0 0 0,-1-1 0,1 1 0,1 0 0,-1-1 0,1 1 0,-1-1 0,1 0 0,0 0 0,1 0 0,-1 0 0,1-1 0,-1 1 0,1-1 0,0 0 0,0 0 0,0-1 0,1 1 0,-1-1 0,7 3 0,7 0 0,0 0 0,1 0 0,-1-2 0,1-1 0,-1 0 0,26-2 0,-3-2 0,0-1 0,-1-2 0,1-2 0,-2-2 0,1-2 0,-1-2 0,0-1 0,-1-3 0,-1-1 0,-1-2 0,0-1 0,41-35 0,-62 43 0,0-1 0,-2 0 0,1-2 0,-2 0 0,0 0 0,11-21 0,-19 32 0,-1-1 0,0 1 0,0-1 0,-1 0 0,0 0 0,0 0 0,0 0 0,0 0 0,-1 0 0,0-1 0,0 1 0,-1-1 0,1 1 0,-1 0 0,0-1 0,-1 1 0,0-1 0,0 1 0,0 0 0,-1-1 0,1 1 0,-1 0 0,-4-8 0,4 11 0,0 0 0,0 0 0,-1 0 0,1 0 0,-1 0 0,0 1 0,1-1 0,-1 1 0,0 0 0,0 0 0,0 0 0,0 0 0,-1 1 0,1 0 0,0-1 0,-1 1 0,1 0 0,-1 1 0,1-1 0,-1 1 0,1-1 0,-1 1 0,1 0 0,-1 1 0,1-1 0,-1 1 0,1-1 0,-1 1 0,1 0 0,-1 1 0,1-1 0,0 1 0,0-1 0,0 1 0,0 0 0,0 0 0,0 1 0,0-1 0,0 1 0,1-1 0,-1 1 0,1 0 0,0 0 0,0 0 0,0 0 0,0 1 0,0-1 0,1 0 0,-3 7 0,2-5 0,0 1 0,0 0 0,1 0 0,0 0 0,0-1 0,0 1 0,0 0 0,1 1 0,0-1 0,0 0 0,1 0 0,-1 0 0,1 0 0,0 0 0,1-1 0,-1 1 0,1 0 0,0 0 0,1-1 0,-1 0 0,1 1 0,0-1 0,0 0 0,0 0 0,1-1 0,0 1 0,5 5 0,1-2 0,0 1 0,1-2 0,-1 0 0,1 0 0,1-1 0,-1 0 0,1-1 0,0 0 0,0-1 0,1-1 0,16 2 0,31 3 0,1-4 0,90-6 0,-136 1 0,-19 2 0,-20 4 0,10 0 0,1 2 0,0 0 0,1 1 0,-1 0 0,-13 13 0,21-17 0,-1 1 0,1 0 0,0 0 0,1 0 0,-1 1 0,1 0 0,0 0 0,0 0 0,1 1 0,-1-1 0,1 1 0,-4 13 0,7-18 0,0 0 0,0 0 0,0 0 0,0-1 0,0 1 0,0 0 0,0 0 0,1-1 0,-1 1 0,0 0 0,1-1 0,0 1 0,-1 0 0,1-1 0,0 1 0,0-1 0,-1 1 0,1-1 0,0 1 0,0-1 0,1 0 0,-1 1 0,0-1 0,0 0 0,1 0 0,-1 0 0,0 0 0,1 0 0,-1-1 0,1 1 0,-1 0 0,1-1 0,-1 1 0,1-1 0,3 1 0,7 2 0,1 0 0,-1-1 0,21 0 0,-25-2 0,11 2 0,0-2 0,1-1 0,-1-1 0,0 0 0,1-1 0,-1-2 0,25-9 0,-35 11 0,-1-1 0,0 0 0,0-1 0,0 0 0,0-1 0,-1 1 0,1-2 0,-2 1 0,1-1 0,0 0 0,-1 0 0,-1-1 0,1 0 0,-1 0 0,0-1 0,0 1 0,5-17 0,-8 21 0,-1 0 0,0 0 0,1 0 0,-1 0 0,-1 0 0,1 0 0,0 0 0,-1 0 0,0 0 0,0 0 0,0 0 0,0 0 0,-1 0 0,-1-7 0,2 11 0,0 0 0,0 0 0,0-1 0,0 1 0,0 0 0,0 0 0,0-1 0,0 1 0,0 0 0,-1 0 0,1 0 0,0 0 0,0-1 0,0 1 0,0 0 0,0 0 0,0 0 0,-1 0 0,1-1 0,0 1 0,0 0 0,0 0 0,0 0 0,-1 0 0,1 0 0,0 0 0,0 0 0,0 0 0,0 0 0,-1 0 0,1-1 0,0 1 0,0 0 0,0 0 0,-1 0 0,1 0 0,0 0 0,0 0 0,0 1 0,-1-1 0,1 0 0,0 0 0,0 0 0,0 0 0,-1 0 0,1 0 0,0 0 0,0 0 0,0 0 0,0 1 0,-1-1 0,-7 15 0,-2 19 0,9-27 0,0-1 0,0 0 0,0 0 0,1 1 0,0-1 0,0 0 0,1 1 0,-1-1 0,1 0 0,0 0 0,1 1 0,0-1 0,0 0 0,0-1 0,0 1 0,1 0 0,5 9 0,-2-8 0,0 1 0,1-1 0,0 0 0,0-1 0,0 1 0,0-1 0,1-1 0,0 0 0,0 0 0,12 4 0,7 2 0,1-2 0,0-1 0,0-1 0,1-2 0,0-1 0,37 0 0,54-9-1365,-6-8-5461</inkml:trace>
  <inkml:trace contextRef="#ctx0" brushRef="#br0" timeOffset="-2272.84">8085 3402 24575,'-8'0'0,"-12"0"0,-1 4 0,7 16 0,13 3 0,15 3 0,6-3-8191</inkml:trace>
  <inkml:trace contextRef="#ctx0" brushRef="#br0" timeOffset="-2009.29">8470 3350 24575,'0'-14'0,"0"-8"0,0-10 0,0 15 0,0 27 0,0 25 0,0 25 0,0 20 0,0 19 0,0 9 0,0-3 0,0-12 0,4-21 0,2-19 0,7-17 0,2-25 0,-1-14-8191</inkml:trace>
  <inkml:trace contextRef="#ctx0" brushRef="#br0" timeOffset="-825.15">8253 3742 24575,'94'1'0,"1"1"0,120-15 0,-187 9 0,0-1 0,0-1 0,-1-2 0,0-1 0,0-1 0,-1-2 0,0 0 0,41-29 0,-59 34 0,0 0 0,-1 0 0,1 0 0,-2-1 0,1 0 0,-1 0 0,0-1 0,-1 0 0,0 0 0,0-1 0,5-14 0,-9 21 0,1-1 0,-1 1 0,0-1 0,0 1 0,-1-1 0,1 1 0,-1-1 0,1 0 0,-1 1 0,0-1 0,-1 0 0,1 1 0,0-1 0,-1 1 0,0-1 0,0 1 0,0-1 0,0 1 0,0-1 0,-1 1 0,1 0 0,-1 0 0,0 0 0,0 0 0,0 0 0,0 0 0,0 0 0,0 1 0,-1-1 0,0 1 0,1 0 0,-1 0 0,0 0 0,0 0 0,0 0 0,-3-1 0,1 1 0,0 0 0,0 0 0,0 0 0,-1 1 0,1 0 0,0 0 0,0 1 0,-1-1 0,1 1 0,0 1 0,-1-1 0,1 1 0,0 0 0,0 0 0,0 0 0,-1 1 0,-5 3 0,4-1 0,-1 0 0,1 1 0,0 0 0,0 0 0,0 1 0,1 0 0,-1 0 0,1 1 0,1-1 0,-8 12 0,7-9 0,1 0 0,0 0 0,1 0 0,0 1 0,0 0 0,1-1 0,0 1 0,0 1 0,-1 12 0,4-16 0,-1-1 0,1 1 0,0 0 0,0-1 0,1 1 0,-1-1 0,1 1 0,1-1 0,-1 1 0,1-1 0,0 0 0,1 1 0,-1-1 0,7 10 0,-2-7 0,0 0 0,1 0 0,0-1 0,0 0 0,1-1 0,0 0 0,0-1 0,0 0 0,1 0 0,0-1 0,0 0 0,0-1 0,1 0 0,-1-1 0,1 0 0,14 1 0,-2-1 0,0 0 0,1-2 0,-1-1 0,1-1 0,-1-1 0,38-9 0,-44 6 0,0-1 0,-1 0 0,1-1 0,-1-1 0,-1-1 0,1 0 0,-2-1 0,1-1 0,23-23 0,-31 27 0,0 0 0,-1-1 0,1 0 0,-1 0 0,-1 0 0,1-1 0,-1 0 0,-1 0 0,0-1 0,0 1 0,0-1 0,-1 0 0,-1 0 0,1 0 0,-2-1 0,1 1 0,-1 0 0,-1-1 0,0-11 0,0 20 0,0-1 0,0 1 0,-1-1 0,1 1 0,-1-1 0,1 1 0,-1-1 0,0 1 0,0 0 0,0-1 0,0 1 0,0 0 0,0 0 0,-3-3 0,4 5 0,-1-1 0,0 0 0,0 1 0,0-1 0,0 0 0,0 1 0,0 0 0,0-1 0,1 1 0,-1-1 0,0 1 0,0 0 0,0 0 0,0 0 0,-1 0 0,1 0 0,0 0 0,0 0 0,0 0 0,0 0 0,0 0 0,-1 1 0,-2 1 0,1-1 0,0 1 0,-1 0 0,1 1 0,0-1 0,0 1 0,0-1 0,1 1 0,-1 0 0,1 0 0,-1 0 0,1 0 0,0 1 0,0-1 0,-3 7 0,3-6 0,1 0 0,-1 1 0,1-1 0,-1 1 0,1-1 0,1 1 0,-1-1 0,0 1 0,1 0 0,0-1 0,0 1 0,0 0 0,1-1 0,0 1 0,-1 0 0,1-1 0,1 1 0,-1-1 0,0 0 0,1 1 0,0-1 0,0 0 0,0 0 0,1 0 0,-1 0 0,1-1 0,0 1 0,0-1 0,0 0 0,0 1 0,1-1 0,6 4 0,3 2 0,-1-1 0,2 0 0,-1-1 0,1-1 0,0 0 0,0-1 0,1-1 0,18 3 0,6-3 0,-30-4 0,0 0 0,1 1 0,-1 0 0,0 1 0,1 0 0,9 4 0,-17-5 0,-1 0 0,1 0 0,0 0 0,-1 1 0,1-1 0,-1 0 0,1 1 0,-1-1 0,1 1 0,-1 0 0,0-1 0,0 1 0,0 0 0,0 0 0,0 0 0,0 0 0,0 0 0,0 0 0,-1 0 0,1 0 0,-1 0 0,1 0 0,-1 0 0,0 0 0,0 0 0,0 1 0,0-1 0,0 0 0,0 0 0,-1 0 0,1 0 0,0 0 0,-2 4 0,-4 19 0,3-14 0,0 0 0,1 0 0,1 0 0,-1 0 0,1 19 0,2-26 0,-1 0 0,1-1 0,0 1 0,0 0 0,0-1 0,0 1 0,0-1 0,1 1 0,0-1 0,-1 0 0,1 0 0,0 0 0,1 0 0,-1 0 0,0 0 0,1-1 0,-1 1 0,1-1 0,0 0 0,0 0 0,5 3 0,1 0 0,-1-2 0,1 1 0,0-1 0,0-1 0,0 1 0,0-2 0,1 0 0,-1 0 0,0 0 0,1-1 0,-1-1 0,0 0 0,1 0 0,-1-1 0,0 0 0,0-1 0,11-5 0,-2 1 0,0-1 0,-1-1 0,0-1 0,-1-1 0,1 0 0,-2-1 0,22-22 0,-22 18 0,0-1 0,22-32 0,-33 45 0,-1-1 0,0 0 0,-1 0 0,1 0 0,-1-1 0,0 1 0,0-1 0,0 1 0,-1-1 0,1 1 0,-1-1 0,-1 0 0,1 0 0,-1 0 0,0 0 0,0-6 0,0 11 0,0 0 0,-1-1 0,1 1 0,0-1 0,0 1 0,-1 0 0,1-1 0,-1 1 0,1 0 0,-1-1 0,0 1 0,1 0 0,-1 0 0,0 0 0,0 0 0,0 0 0,1 0 0,-1 0 0,0 0 0,0 0 0,-1 0 0,1 0 0,0 1 0,0-1 0,0 0 0,0 1 0,-1-1 0,1 1 0,0 0 0,0-1 0,-1 1 0,1 0 0,0 0 0,-1 0 0,1 0 0,0 0 0,0 0 0,-1 0 0,1 0 0,0 1 0,-1-1 0,1 1 0,0-1 0,-2 1 0,-1 1 0,0 0 0,0 1 0,0-1 0,0 1 0,0 0 0,1 0 0,-1 0 0,1 1 0,-1-1 0,1 1 0,-4 7 0,2-4 0,2 0 0,-1 0 0,1 0 0,0 0 0,0 0 0,0 1 0,1 0 0,0-1 0,1 1 0,0 0 0,0 0 0,0 0 0,1 0 0,0 0 0,1 0 0,-1 0 0,1-1 0,1 1 0,-1 0 0,1 0 0,1-1 0,-1 1 0,1-1 0,0 0 0,1 0 0,-1 0 0,1 0 0,1-1 0,-1 0 0,1 1 0,0-2 0,0 1 0,1-1 0,-1 0 0,9 5 0,7 3 0,0-1 0,1-2 0,0 0 0,0-2 0,1 0 0,0-2 0,43 6 0,4-4 0,95-3 0,-143-5 0,1-1 0,-1-1 0,0-1 0,-1-1 0,1-1 0,24-10 0,-41 13 0,1 0 0,-1 0 0,0-1 0,0 0 0,0 0 0,-1 0 0,1-1 0,-1 1 0,0-1 0,0-1 0,0 1 0,0 0 0,0-1 0,-1 0 0,0 0 0,0 0 0,0 0 0,-1-1 0,1 1 0,-1-1 0,-1 1 0,1-1 0,-1 0 0,1 0 0,-2 0 0,1 0 0,0 0 0,-1 0 0,-1-12 0,0 13 0,0-1 0,0 1 0,0-1 0,0 1 0,-1-1 0,0 1 0,0 0 0,0 0 0,-1 0 0,0 0 0,1 0 0,-2 1 0,1-1 0,0 1 0,-5-4 0,1 1 0,0 1 0,0 1 0,-1-1 0,1 1 0,-1 0 0,-1 1 0,1 0 0,-13-4 0,12 5 0,-1 0 0,1 1 0,-1 0 0,0 0 0,1 1 0,-1 0 0,0 1 0,0 1 0,1 0 0,-1 0 0,0 1 0,1 0 0,-1 0 0,1 1 0,0 1 0,0 0 0,-10 6 0,13-5 0,0 0 0,0 0 0,1 1 0,-1 0 0,1 0 0,0 1 0,0-1 0,1 1 0,0 1 0,0-1 0,1 0 0,0 1 0,0 0 0,0 0 0,1 0 0,0 0 0,0 0 0,0 10 0,2-11 0,-1-1 0,1 1 0,1 0 0,-1 0 0,1 0 0,0 0 0,0 0 0,1-1 0,0 1 0,0-1 0,0 1 0,1-1 0,0 0 0,0 0 0,1 0 0,-1 0 0,1-1 0,0 1 0,0-1 0,1 0 0,0-1 0,5 6 0,2-2 0,0-1 0,0 0 0,1-1 0,-1 0 0,1-1 0,1-1 0,-1 0 0,1-1 0,-1-1 0,1 0 0,0-1 0,-1 0 0,24-3 0,-28 1 0,0-1 0,0 0 0,0 0 0,0-1 0,0 0 0,-1 0 0,1-1 0,-1-1 0,12-7 0,-15 8 0,-1 0 0,1 0 0,-1-1 0,0 1 0,0-1 0,0 0 0,0-1 0,-1 1 0,0-1 0,0 1 0,0-1 0,-1 0 0,1 0 0,-1 0 0,1-9 0,-2 12 0,-1 1 0,1 0 0,-1-1 0,1 1 0,-1 0 0,0-1 0,0 1 0,0 0 0,-1-1 0,1 1 0,0 0 0,-1-1 0,1 1 0,-1 0 0,0-1 0,0 1 0,0 0 0,0 0 0,0 0 0,0 0 0,-3-3 0,4 5 0,0-1 0,0 1 0,-1 0 0,1 0 0,0 0 0,0 0 0,-1-1 0,1 1 0,0 0 0,0 0 0,-1 0 0,1 0 0,0 0 0,0 0 0,-1 0 0,1 0 0,0 0 0,0 0 0,-1 0 0,1 0 0,0 0 0,-1 0 0,1 0 0,0 0 0,0 0 0,-1 0 0,1 0 0,0 0 0,0 0 0,-1 0 0,1 1 0,0-1 0,0 0 0,-1 0 0,1 0 0,0 1 0,0-1 0,0 0 0,0 0 0,-1 0 0,1 1 0,0-1 0,0 0 0,0 1 0,0-1 0,0 0 0,-1 0 0,1 1 0,0-1 0,0 0 0,0 1 0,0-1 0,0 0 0,0 0 0,0 1 0,0-1 0,0 0 0,0 1 0,0-1 0,3 23 0,0-16 0,0 0 0,1 0 0,0 0 0,0-1 0,0 0 0,1 1 0,-1-2 0,1 1 0,1 0 0,-1-1 0,1 0 0,0-1 0,0 1 0,0-1 0,0-1 0,1 1 0,0-1 0,-1 0 0,1-1 0,13 4 0,6 0 0,1 0 0,0-2 0,0-1 0,33-1 0,-45-3-170,-1 1-1,1-2 0,-1 0 1,1-1-1,-1-1 0,0 0 1,13-6-1,16-14-6655</inkml:trace>
  <inkml:trace contextRef="#ctx0" brushRef="#br0" timeOffset="-727.54">10108 3376 24575,'-4'0'0</inkml:trace>
  <inkml:trace contextRef="#ctx0" brushRef="#br0" timeOffset="3921.82">16611 1 24575,'8'0'0,"3"13"0,0 18 0,-3 26 0,-2 30 0,-2 22 0,-2 15 0,-2 9 0,-4-1 0,-1-9 0,-1-21 0,1-19 0,-6-24 0,-2-22-8191</inkml:trace>
  <inkml:trace contextRef="#ctx0" brushRef="#br0" timeOffset="4201.02">16178 786 24575,'-9'0'0,"-1"-5"0,-1-10 0,3 11 0,2 20 0,6 15 0,4 21 0,12 18 0,13 12 0,9 5 0,11-4 0,4-15 0,7-11 0,4-15 0,4-15 0,-9-11-8191</inkml:trace>
  <inkml:trace contextRef="#ctx0" brushRef="#br0" timeOffset="4372.59">17069 995 24575,'0'-9'0,"4"-12"0,1-15 0,-4-2 0,-14 5 0,-18 23 0,-20 25 0,-13 24 0,-8 27 0,-9 21 0,2 13 0,14 3 0,6-8 0,13-14 0,23-22 0,14-21-8191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46.15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3831 1 24575,'7'0'0,"7"0"0,-1 7 0,-1 3-8191</inkml:trace>
  <inkml:trace contextRef="#ctx0" brushRef="#br0" timeOffset="1767.98">0 2350 24575,'1695'-53'-2353,"-454"5"733,-1099 45 1559,829 0-581,-961 4-2873</inkml:trace>
  <inkml:trace contextRef="#ctx0" brushRef="#br0" timeOffset="2044.79">1863 2647 24575,'14'0'0,"30"0"0,41 0 0,40-11 0,44-3 0,38 0 0,36-8 0,12 0-1111,-16 3 1111,-27 6 0,-42 4 0,-50 4-7080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55.13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241 5 24575,'0'-4'0,"0"11"0,9 14 0,2 21 0,-1 26 0,-2 32 0,-2 30 0,-2 20 0,-2 16 0,-1 1 0,-1-9 0,-1-23 0,1-35-8191</inkml:trace>
  <inkml:trace contextRef="#ctx0" brushRef="#br0" timeOffset="1212.58">1 947 24575,'221'-9'0,"-181"4"0,0-2 0,0-1 0,54-21 0,-36 5 0,-1-2 0,-1-2 0,84-60 0,-101 60 0,-2-2 0,-1-2 0,-1-1 0,-2-2 0,44-58 0,-65 77 0,-1 0 0,0-1 0,-1 0 0,-1-1 0,-1 0 0,0-1 0,-1 0 0,-1 0 0,-1 0 0,6-38 0,-10 53 0,-1 0 0,0 0 0,0-1 0,-1 1 0,1 0 0,-1 0 0,0 0 0,0-1 0,0 1 0,0 0 0,-4-6 0,5 9 0,0 1 0,-1-1 0,1 0 0,-1 1 0,1-1 0,-1 1 0,1-1 0,-1 1 0,1-1 0,-1 1 0,1-1 0,-1 1 0,0 0 0,1-1 0,-1 1 0,0 0 0,1 0 0,-1-1 0,0 1 0,1 0 0,-1 0 0,0 0 0,1 0 0,-1 0 0,0 0 0,0 0 0,-1 1 0,0 0 0,0 0 0,0 0 0,0 0 0,1 0 0,-1 0 0,0 1 0,1-1 0,-1 1 0,1-1 0,-1 1 0,1 0 0,-2 3 0,-12 18 0,2 1 0,0 1 0,2 0 0,0 1 0,2 0 0,-12 53 0,-23 176 0,35-180 0,-1 105 0,10-154 0,1 0 0,1 0 0,1 0 0,1-1 0,2 1 0,0-1 0,15 41 0,-18-60 0,-1 0 0,1 0 0,0-1 0,1 1 0,-1-1 0,1 0 0,0 0 0,0 0 0,0 0 0,1-1 0,0 0 0,-1 0 0,1 0 0,0-1 0,1 0 0,-1 0 0,1 0 0,-1-1 0,1 1 0,6 0 0,-3-1 0,0-1 0,0-1 0,1 0 0,-1 0 0,0-1 0,0 0 0,0-1 0,0 0 0,0 0 0,0-1 0,-1 0 0,13-7 0,5-4 0,0-2 0,-1 0 0,-1-2 0,-1 0 0,0-2 0,-1-1 0,-1-1 0,-1-1 0,0-1 0,-2-1 0,-1 0 0,-1-2 0,-1 0 0,-1-1 0,17-46 0,-29 67 0,0-1 0,-1 1 0,0 0 0,0 0 0,0-1 0,-1 1 0,0 0 0,-1-9 0,0 15 0,1 0 0,0 0 0,0-1 0,0 1 0,-1 0 0,1 0 0,-1 0 0,1-1 0,-1 1 0,1 0 0,-1 0 0,0 0 0,1 0 0,-1 0 0,0 0 0,0 0 0,0 0 0,0 0 0,1 1 0,-3-2 0,2 2 0,0 0 0,-1-1 0,1 1 0,-1 0 0,1 0 0,-1 0 0,1 0 0,-1 1 0,1-1 0,-1 0 0,1 1 0,-1-1 0,1 1 0,0-1 0,-1 1 0,1 0 0,0-1 0,0 1 0,-1 0 0,-1 2 0,-5 4 0,0 1 0,0 0 0,0 0 0,1 1 0,0 0 0,1 0 0,0 1 0,-8 15 0,2 1 0,0 1 0,-9 35 0,18-53 0,1 1 0,0 0 0,0 1 0,1-1 0,0 0 0,1 0 0,0 1 0,0-1 0,1 0 0,0 1 0,1-1 0,5 18 0,-5-23 0,-1 0 0,1 0 0,1-1 0,-1 1 0,1-1 0,-1 1 0,1-1 0,0 0 0,1 0 0,-1 0 0,1-1 0,-1 1 0,1-1 0,0 0 0,0 0 0,0 0 0,1-1 0,-1 1 0,0-1 0,1-1 0,0 1 0,-1 0 0,1-1 0,0 0 0,0-1 0,9 1 0,-7-1 0,-1 0 0,1-1 0,0 0 0,-1 0 0,1-1 0,-1 0 0,0 0 0,1-1 0,-1 1 0,0-2 0,0 1 0,-1-1 0,1 0 0,-1 0 0,9-8 0,-7 4 0,1-1 0,-1 1 0,-1-1 0,1-1 0,-2 1 0,1-1 0,-1 0 0,0 0 0,5-19 0,-7 19 0,-1 1 0,1-1 0,-2 0 0,1 0 0,-1-1 0,-1 1 0,0 0 0,0 0 0,-1 0 0,-3-19 0,3 23 0,-1 0 0,0 0 0,0 0 0,0 0 0,-1 0 0,0 1 0,0-1 0,0 1 0,-1 0 0,0 0 0,1 0 0,-2 1 0,1-1 0,0 1 0,-1 0 0,0 0 0,-9-5 0,10 7 0,0-1 0,0 1 0,0 0 0,-1 1 0,1-1 0,0 1 0,-1 0 0,1 0 0,0 1 0,-1-1 0,1 1 0,-1 0 0,1 0 0,-1 1 0,1 0 0,-1-1 0,1 2 0,-7 1 0,6 0 0,-1 0 0,1 0 0,0 1 0,0 0 0,1 0 0,-1 0 0,1 0 0,-1 1 0,1 0 0,1 0 0,-1 0 0,-4 9 0,2-3 0,1-1 0,0 1 0,1 1 0,0-1 0,1 1 0,0 0 0,0 0 0,1 0 0,1 0 0,0 0 0,0 0 0,1 0 0,1 1 0,2 15 0,-1-20 0,1 1 0,0-1 0,1 1 0,0-1 0,0 0 0,0-1 0,1 1 0,0-1 0,0 0 0,1 0 0,0-1 0,0 0 0,0 0 0,1 0 0,0-1 0,0 0 0,0-1 0,0 0 0,1 0 0,0 0 0,9 2 0,1 1 0,0-2 0,1 0 0,0-1 0,-1-2 0,1 0 0,1 0 0,-1-2 0,23-3 0,-20 0 0,0-2 0,0 0 0,-1-2 0,1 0 0,-1-1 0,-1-2 0,34-20 0,-46 25 0,0-1 0,0 1 0,-1-1 0,1-1 0,-1 1 0,-1-1 0,1-1 0,-1 1 0,0-1 0,-1 0 0,0-1 0,0 0 0,0 1 0,-1-2 0,-1 1 0,1 0 0,-1-1 0,-1 0 0,0 0 0,2-17 0,-7 3 0,3 23 0,0 1 0,0 0 0,0 0 0,-1-1 0,1 1 0,0 0 0,0 0 0,0-1 0,-1 1 0,1 0 0,0 0 0,0 0 0,-1 0 0,1 0 0,0-1 0,0 1 0,-1 0 0,1 0 0,0 0 0,0 0 0,-1 0 0,1 0 0,0 0 0,0 0 0,-1 0 0,1 0 0,0 0 0,-1 0 0,1 0 0,0 0 0,0 0 0,-1 0 0,1 1 0,0-1 0,0 0 0,-1 0 0,1 0 0,0 1 0,-2 0 0,0 1 0,0 0 0,0 0 0,1 1 0,-1-1 0,1 0 0,-1 1 0,1-1 0,0 1 0,0-1 0,0 1 0,0 0 0,0 2 0,0-1 0,0 0 0,0 0 0,0 0 0,1 1 0,0-1 0,0 0 0,0 0 0,0 0 0,1 0 0,-1 0 0,1 1 0,0-1 0,0 0 0,0-1 0,1 1 0,-1 0 0,1 0 0,0 0 0,0-1 0,0 0 0,0 1 0,1-1 0,-1 0 0,1 0 0,0 0 0,0 0 0,0-1 0,0 1 0,0-1 0,0 0 0,1 0 0,-1 0 0,7 2 0,7 3 0,1 0 0,0-2 0,0 0 0,1-1 0,31 2 0,-35-5 0,1 0 0,-1-1 0,1 0 0,-1-2 0,1 0 0,-1-1 0,0 0 0,0-2 0,16-6 0,-25 8 0,1 0 0,-1-1 0,0 0 0,0 0 0,0-1 0,0 0 0,-1 0 0,0 0 0,0-1 0,0 0 0,0 0 0,-1 0 0,0-1 0,0 1 0,-1-1 0,0 0 0,0 0 0,0 0 0,-1-1 0,0 1 0,2-13 0,-4-31 0,-7 32 0,6 19 0,1 0 0,0 0 0,-1 0 0,1-1 0,-1 1 0,1 0 0,-1 0 0,1 1 0,-1-1 0,1 0 0,-1 0 0,1 0 0,-1 0 0,1 0 0,-1 1 0,1-1 0,-1 0 0,1 0 0,-1 1 0,1-1 0,0 0 0,-1 1 0,1-1 0,0 0 0,-1 1 0,1-1 0,0 1 0,-1-1 0,1 0 0,0 1 0,0-1 0,-1 1 0,1-1 0,0 1 0,0 0 0,-2 3 0,0-1 0,0 1 0,0 0 0,1-1 0,-1 1 0,1 0 0,0 0 0,0 0 0,0 0 0,1 0 0,-1 0 0,1 0 0,0 0 0,0 1 0,0-1 0,1 0 0,-1 0 0,1 0 0,0 0 0,0 0 0,0 0 0,1 0 0,-1-1 0,1 1 0,0 0 0,0-1 0,0 1 0,0-1 0,0 0 0,1 0 0,-1 0 0,1 0 0,0 0 0,0-1 0,0 1 0,0-1 0,0 0 0,1 0 0,-1 0 0,1 0 0,-1-1 0,1 0 0,-1 1 0,1-1 0,0-1 0,-1 1 0,1 0 0,0-1 0,0 0 0,0 0 0,-1 0 0,1-1 0,0 0 0,0 1 0,-1-1 0,1 0 0,0-1 0,4-2 0,1-1 0,0 0 0,-1-1 0,0 0 0,0-1 0,0 0 0,-1 0 0,1 0 0,-2-1 0,1-1 0,-1 1 0,0-1 0,-1 0 0,0 0 0,0-1 0,-1 0 0,0 0 0,-1 0 0,0 0 0,0-1 0,-1 1 0,0-1 0,-1 0 0,0 1 0,0-22 0,-1 30 0,-1 0 0,1-1 0,0 1 0,0 0 0,-1-1 0,0 1 0,1 0 0,-1 0 0,0-1 0,0 1 0,0 0 0,0 0 0,0 0 0,0 0 0,-1 0 0,1 1 0,-1-1 0,1 0 0,-1 1 0,0-1 0,1 1 0,-3-2 0,4 3 0,0 0 0,0 0 0,-1-1 0,1 1 0,0 0 0,0 0 0,0 0 0,0 0 0,-1 0 0,1 0 0,0 0 0,0 0 0,0 0 0,0 0 0,-1 0 0,1 0 0,0 0 0,0 0 0,0 0 0,0 0 0,-1 0 0,1 0 0,0 0 0,0 0 0,0 0 0,0 0 0,-1 0 0,1 0 0,0 0 0,0 0 0,0 0 0,0 0 0,0 1 0,-1-1 0,1 0 0,0 0 0,0 0 0,0 0 0,0 0 0,0 0 0,0 1 0,0-1 0,-1 0 0,1 0 0,0 0 0,0 0 0,0 1 0,0-1 0,0 0 0,7 9 0,0-4 0,1-1 0,1 0 0,-1-1 0,0 0 0,1 0 0,-1-1 0,1 0 0,13 0 0,76 1 0,-90-3 0,12 0-341,0-1 0,0-2-1,38-8 1,-16-5-6485</inkml:trace>
  <inkml:trace contextRef="#ctx0" brushRef="#br0" timeOffset="3325.91">3710 764 24575,'0'390'0,"0"-386"0,0 1 0,0-1 0,0 0 0,0 0 0,1 0 0,0 0 0,0 1 0,0-1 0,3 7 0,-4-10 0,1 0 0,-1-1 0,1 1 0,-1 0 0,1-1 0,-1 1 0,1-1 0,0 1 0,-1-1 0,1 1 0,0-1 0,-1 0 0,1 1 0,0-1 0,-1 0 0,1 1 0,0-1 0,0 0 0,-1 0 0,3 0 0,-1 0 0,0 0 0,0 0 0,0-1 0,0 1 0,0-1 0,0 0 0,0 0 0,0 1 0,-1-2 0,1 1 0,2-1 0,8-7 0,-1-1 0,0 0 0,0-1 0,0 0 0,-2-1 0,1 0 0,14-26 0,49-104 0,-68 130 0,14-30 0,26-53 0,-40 87 0,-1 0 0,2 1 0,-1-1 0,1 1 0,0 1 0,0-1 0,0 1 0,13-9 0,-17 14 0,-1 0 0,1 0 0,-1 0 0,1 0 0,-1 0 0,1 1 0,0-1 0,0 1 0,-1-1 0,1 1 0,0 0 0,0 0 0,-1-1 0,1 1 0,0 1 0,0-1 0,-1 0 0,1 0 0,0 1 0,0-1 0,-1 1 0,1 0 0,0-1 0,-1 1 0,1 0 0,-1 0 0,1 0 0,-1 0 0,1 1 0,-1-1 0,0 0 0,1 0 0,-1 1 0,0-1 0,0 1 0,0 0 0,0-1 0,1 3 0,3 7 0,0 0 0,0 1 0,0 0 0,4 20 0,-6-19 0,3 7 0,0 2 0,0 0 0,2-1 0,17 37 0,-23-53 0,1-1 0,-1 0 0,0 0 0,1-1 0,0 1 0,0-1 0,0 1 0,0-1 0,0 0 0,1 0 0,-1 0 0,1-1 0,0 0 0,0 1 0,0-1 0,0-1 0,0 1 0,0-1 0,0 1 0,0-1 0,1-1 0,-1 1 0,0 0 0,8-1 0,-3-2 0,-1 1 0,1-1 0,0-1 0,-1 0 0,0 0 0,1-1 0,-1 0 0,0 0 0,-1-1 0,1 0 0,-1-1 0,0 0 0,0 0 0,0-1 0,-1 1 0,7-11 0,8-12 0,-1-2 0,30-63 0,-11 21 0,-20 49 0,-18 24 0,-1 0 0,0 0 0,1 0 0,-1 0 0,0 0 0,1 0 0,-1 0 0,0 0 0,1 0 0,-1 0 0,0 0 0,1 0 0,-1 0 0,1 0 0,-1 0 0,0 0 0,1 0 0,-1 0 0,0 0 0,1 1 0,-1-1 0,0 0 0,0 0 0,1 0 0,-1 1 0,0-1 0,0 0 0,1 0 0,-1 1 0,0-1 0,0 0 0,1 1 0,-1-1 0,0 0 0,0 1 0,0-1 0,0 1 0,2 6 0,0 0 0,0 0 0,-1 1 0,0-1 0,-1 10 0,1-1 0,1-6 0,-1 0 0,1 1 0,1-1 0,0-1 0,0 1 0,1 0 0,0-1 0,0 0 0,1 0 0,0 0 0,1 0 0,0-1 0,0 0 0,0-1 0,1 1 0,0-1 0,0-1 0,1 1 0,0-1 0,0-1 0,0 0 0,1 0 0,11 5 0,4 0 0,2-1 0,-1-1 0,1-1 0,0-2 0,1 0 0,-1-2 0,32-1 0,-43-2 0,-1-1 0,1 0 0,-1-1 0,1-1 0,-1 0 0,0-1 0,0 0 0,-1-2 0,1 0 0,-1 0 0,13-9 0,-19 10 0,0-1 0,0 1 0,-1-1 0,0-1 0,0 1 0,0-1 0,-1 0 0,0 0 0,0-1 0,-1 0 0,0 0 0,0 0 0,0 0 0,-1-1 0,-1 1 0,1-1 0,-1 0 0,0 0 0,-1 0 0,1-12 0,-2 12 0,0 0 0,-1 0 0,0 0 0,-1 0 0,1 0 0,-1 0 0,-1 0 0,0 0 0,0 1 0,0-1 0,-1 1 0,0 0 0,-1 0 0,0 1 0,0 0 0,0-1 0,-1 2 0,0-1 0,0 1 0,-8-6 0,10 8 0,0 1 0,-1-1 0,0 1 0,0 0 0,0 1 0,0-1 0,0 1 0,0 0 0,-1 0 0,1 1 0,-1 0 0,1 0 0,-1 0 0,1 1 0,-1 0 0,1 0 0,-1 0 0,1 1 0,-1 0 0,1 0 0,-1 1 0,1 0 0,0 0 0,-1 0 0,1 0 0,0 1 0,0 0 0,1 0 0,-1 0 0,-8 8 0,0 3 0,0 1 0,1 0 0,0 1 0,1 1 0,1-1 0,-15 34 0,18-37 0,2 1 0,-1 1 0,2-1 0,-1 1 0,2 0 0,0 0 0,1 0 0,0 1 0,1 21 0,1-31 0,0 0 0,1 0 0,0 0 0,0 0 0,0 0 0,1-1 0,0 1 0,0 0 0,0-1 0,1 1 0,0-1 0,-1 0 0,2 0 0,-1 0 0,0-1 0,1 1 0,0-1 0,0 0 0,0 0 0,1 0 0,-1-1 0,1 1 0,0-1 0,0 0 0,7 2 0,-6-3 0,0 0 0,0 0 0,1-1 0,-1 0 0,0-1 0,1 1 0,-1-1 0,0 0 0,1-1 0,-1 0 0,0 0 0,1-1 0,-1 1 0,0-2 0,0 1 0,0-1 0,0 0 0,-1 0 0,1 0 0,-1-1 0,9-7 0,-3 0 0,0 0 0,-1 0 0,-1-1 0,0-1 0,0 0 0,-1 0 0,0-1 0,-1 0 0,7-19 0,-14 38 0,1 1 0,0-2 0,1 1 0,-1 0 0,1 0 0,0 0 0,0-1 0,0 1 0,0-1 0,1 1 0,0-1 0,-1 0 0,1 0 0,1-1 0,-1 1 0,1-1 0,-1 1 0,7 3 0,2 0 0,0-1 0,0-1 0,1 0 0,-1 0 0,1-2 0,0 0 0,0 0 0,0-1 0,0-1 0,0 0 0,14-2 0,-16 0 0,0 0 0,0 0 0,0-2 0,0 1 0,0-2 0,0 1 0,-1-2 0,0 1 0,0-1 0,0-1 0,0 0 0,-1-1 0,12-10 0,18-32 0,-34 41 0,1 1 0,-1-1 0,1 1 0,0 1 0,1-1 0,-1 1 0,1 0 0,9-6 0,-15 12 0,0-1 0,0 1 0,0-1 0,0 1 0,0 0 0,-1 0 0,1-1 0,0 1 0,0 0 0,0 0 0,0 0 0,0 0 0,0 0 0,0 0 0,0 0 0,0 0 0,0 1 0,0-1 0,0 0 0,0 0 0,-1 1 0,1-1 0,0 1 0,0-1 0,0 1 0,0-1 0,-1 1 0,1 0 0,0-1 0,-1 1 0,1 0 0,0 0 0,-1 0 0,1-1 0,-1 1 0,1 0 0,-1 0 0,1 0 0,-1 0 0,0 0 0,1 0 0,-1 1 0,11 51 0,-10-41 0,0-5 0,0-1 0,0 0 0,1 0 0,0 0 0,0-1 0,0 1 0,0 0 0,1-1 0,0 1 0,0-1 0,0 0 0,1 0 0,0-1 0,6 8 0,-3-7 0,-1 0 0,0-1 0,1 0 0,0-1 0,0 1 0,0-1 0,0-1 0,0 1 0,0-1 0,15 1 0,-6-1 0,0 0 0,-1-1 0,1-1 0,0-1 0,-1 0 0,25-7 0,-31 6 0,0-1 0,-1 0 0,1-1 0,-1 0 0,0 0 0,0-1 0,0 0 0,0 0 0,-1-1 0,0-1 0,0 1 0,10-14 0,27-53 0,-7 12 0,-36 60 0,-1 1 0,0 0 0,1-1 0,-1 1 0,1 0 0,-1 0 0,1 0 0,-1-1 0,1 1 0,-1 0 0,1 0 0,-1 0 0,1 0 0,-1 0 0,1 0 0,-1 0 0,1 0 0,-1 0 0,1 0 0,-1 0 0,1 1 0,-1-1 0,1 0 0,-1 0 0,1 0 0,-1 1 0,1-1 0,-1 0 0,1 1 0,-1-1 0,0 0 0,1 1 0,18 17 0,-11-10 0,1-2 0,0 0 0,0 0 0,1-1 0,0 0 0,-1-1 0,2 0 0,-1 0 0,0-1 0,18 2 0,-22-4 0,0-1 0,1 0 0,-1 0 0,0 0 0,1-1 0,-1 0 0,0 0 0,0-1 0,1 0 0,-1 0 0,0 0 0,0-1 0,-1 0 0,1 0 0,-1-1 0,1 0 0,4-4 0,11-15 0,-17 17 0,1 1 0,0 0 0,0 0 0,11-8 0,-15 13 0,-1-1 0,1 1 0,0 0 0,-1 0 0,1 0 0,0 0 0,-1 0 0,1 0 0,0 0 0,-1 0 0,1 0 0,0 0 0,-1 0 0,1 0 0,0 1 0,-1-1 0,1 0 0,0 0 0,-1 1 0,1-1 0,-1 1 0,1-1 0,-1 0 0,1 1 0,-1-1 0,1 1 0,-1-1 0,2 2 0,16 24 0,2 1 0,-13-24 0,-1 0 0,1 0 0,0 0 0,0-1 0,0 0 0,0 0 0,0-1 0,0 0 0,1-1 0,-1 1 0,0-2 0,0 1 0,0-1 0,1 0 0,-1-1 0,0 1 0,0-2 0,11-4 0,-5 1 0,0 0 0,0-1 0,0 0 0,-1-1 0,0-1 0,0 0 0,-1-1 0,16-18 0,-18 16 0,0-1 0,-1 1 0,0-2 0,-1 0 0,-1 0 0,0 0 0,6-22 0,-23 80 0,1 0 0,3 1 0,1 0 0,2 0 0,1 76 0,28 252 0,-14-252 0,-6-55 0,29 579 0,-35-624 0,0-1 0,-1 1 0,0 0 0,-12 40 0,13-57 0,0 1 0,0-1 0,-1 0 0,1 0 0,-1 0 0,0 0 0,0 0 0,0 0 0,-1-1 0,1 1 0,-1-1 0,0 1 0,0-1 0,0 0 0,0-1 0,0 1 0,-1 0 0,1-1 0,-1 0 0,0 0 0,1 0 0,-1 0 0,0-1 0,0 0 0,0 0 0,0 0 0,0 0 0,-6 0 0,5-1 0,1-1 0,0 0 0,0 1 0,0-2 0,0 1 0,0 0 0,0-1 0,0 0 0,1 0 0,-1 0 0,1 0 0,-1-1 0,1 1 0,-1-1 0,1 0 0,0 0 0,0-1 0,1 1 0,-1 0 0,1-1 0,-1 0 0,-2-6 0,-2-6 0,0 0 0,1 0 0,1 0 0,-7-33 0,-3-39 0,4-1 0,3 0 0,4 0 0,4-1 0,3 0 0,4 1 0,3 0 0,38-154 0,-34 190 40,2 0 0,26-56 0,-29 81-288,1 0 1,1 1-1,1 1 1,2 0-1,20-23 1,26-16-6579</inkml:trace>
  <inkml:trace contextRef="#ctx0" brushRef="#br0" timeOffset="5151.89">7877 712 24575,'0'0'0,"1"0"0,0 0 0,-1 0 0,1 0 0,0 0 0,-1 0 0,1 0 0,0 0 0,-1 0 0,1 0 0,0 0 0,-1 0 0,1 0 0,-1-1 0,1 1 0,0 0 0,-1-1 0,1 1 0,-1 0 0,1-1 0,-1 1 0,1-1 0,-1 1 0,1-1 0,-1 1 0,1-1 0,-1 1 0,1-1 0,-1 1 0,0-1 0,1 0 0,-1 1 0,0-1 0,0 0 0,1 1 0,-1-1 0,0 0 0,0 1 0,0-1 0,0 0 0,0 0 0,0 1 0,0-1 0,0 0 0,0 1 0,0-1 0,0 0 0,0 1 0,-1-1 0,1 0 0,0 1 0,0-1 0,-1 0 0,1 1 0,-1-2 0,0 1 0,1 0 0,-1 0 0,0 0 0,0 0 0,0 0 0,0 0 0,0 1 0,-1-1 0,1 0 0,0 1 0,0-1 0,0 0 0,-1 1 0,1 0 0,0-1 0,0 1 0,-1 0 0,1 0 0,0-1 0,-1 1 0,1 0 0,0 1 0,-1-1 0,1 0 0,0 0 0,-1 1 0,1-1 0,0 0 0,0 1 0,-1-1 0,1 1 0,0 0 0,0 0 0,-2 1 0,-7 5 0,1 1 0,0 1 0,1 0 0,0 0 0,0 1 0,0 0 0,1 0 0,1 1 0,0 0 0,-5 12 0,-3 7 0,2 1 0,-15 54 0,24-74 0,0 2 0,1-1 0,0 0 0,1 0 0,0 1 0,0-1 0,2 0 0,-1 1 0,4 15 0,-3-22 0,1 1 0,0-1 0,0-1 0,0 1 0,1 0 0,-1 0 0,1-1 0,1 0 0,-1 0 0,1 0 0,0 0 0,0 0 0,0-1 0,0 0 0,1 0 0,-1 0 0,1 0 0,0-1 0,0 0 0,7 3 0,-3-2 0,1 0 0,0-1 0,0 0 0,0 0 0,0-2 0,0 1 0,1-1 0,-1-1 0,0 0 0,21-3 0,-15 0 0,-1 0 0,1-2 0,-1 0 0,0-1 0,-1-1 0,26-15 0,-23 11 0,0-1 0,-1-1 0,0-1 0,-1 0 0,-1-1 0,0-1 0,0 0 0,-2-1 0,0-1 0,-1 0 0,16-33 0,-26 48 0,1 0 0,-1 0 0,0 0 0,0 0 0,-1 0 0,1 0 0,0-1 0,-1 1 0,0 0 0,1 0 0,-2-5 0,1 7 0,0 1 0,0 0 0,0 0 0,0 0 0,0-1 0,0 1 0,0 0 0,-1 0 0,1 0 0,0-1 0,0 1 0,0 0 0,0 0 0,-1 0 0,1 0 0,0 0 0,0 0 0,0-1 0,-1 1 0,1 0 0,0 0 0,0 0 0,0 0 0,-1 0 0,1 0 0,0 0 0,0 0 0,0 0 0,-1 0 0,1 0 0,0 0 0,0 0 0,0 0 0,-1 0 0,1 0 0,0 0 0,0 1 0,0-1 0,-1 0 0,1 0 0,0 0 0,0 0 0,0 0 0,-1 1 0,-16 17 0,10-8 0,0 1 0,1 0 0,1 0 0,0 0 0,0 1 0,1 0 0,0-1 0,1 2 0,0-1 0,-1 13 0,3-21 0,1 1 0,-1-1 0,1 0 0,0 1 0,0-1 0,0 1 0,0-1 0,1 0 0,0 1 0,0-1 0,0 0 0,0 0 0,0 0 0,1 0 0,0 0 0,0 0 0,0 0 0,0 0 0,0-1 0,1 1 0,-1-1 0,1 0 0,0 0 0,0 0 0,0 0 0,0-1 0,1 1 0,-1-1 0,1 0 0,-1 0 0,1 0 0,5 2 0,-5-3 0,-1 0 0,1 0 0,0 0 0,0 0 0,0-1 0,0 1 0,0-1 0,0 0 0,1-1 0,-1 1 0,0-1 0,0 0 0,-1 0 0,1 0 0,0 0 0,0-1 0,0 0 0,5-3 0,-4 1 0,0 0 0,0-1 0,0 0 0,-1 0 0,1 0 0,-1-1 0,0 1 0,-1-1 0,1 0 0,4-11 0,-2 1 0,0-1 0,0 0 0,-2 0 0,0-1 0,-1 1 0,-1-1 0,0 0 0,-1-24 0,-1 31 0,-2 1 0,1 0 0,-1 0 0,0 0 0,-1 0 0,0 0 0,-1 1 0,0 0 0,0-1 0,-1 1 0,0 1 0,0-1 0,-1 1 0,0 0 0,0 1 0,-11-11 0,12 14 0,0-1 0,-1 1 0,0-1 0,0 2 0,0-1 0,0 1 0,0 0 0,0 0 0,-1 1 0,0 0 0,1 0 0,-1 1 0,0-1 0,0 2 0,0-1 0,1 1 0,-1 0 0,0 1 0,0 0 0,0 0 0,0 0 0,1 1 0,-11 4 0,12-3 0,-1 0 0,1 1 0,-1-1 0,1 1 0,0 0 0,1 1 0,-1-1 0,1 1 0,0 0 0,0 0 0,0 1 0,0-1 0,1 1 0,0 0 0,0 0 0,-3 9 0,5-12 0,0 0 0,0 0 0,0 0 0,1 0 0,-1 0 0,1 1 0,-1-1 0,1 0 0,0 0 0,1 1 0,-1-1 0,0 0 0,1 0 0,-1 1 0,1-1 0,0 0 0,0 0 0,0 0 0,1 0 0,-1 0 0,1 0 0,-1-1 0,1 1 0,0 0 0,0-1 0,0 1 0,0-1 0,0 0 0,0 0 0,1 0 0,-1 0 0,1 0 0,-1-1 0,1 1 0,5 1 0,13 4 0,0-1 0,1-1 0,-1-1 0,1-1 0,0-1 0,0-1 0,32-3 0,-21 1 0,104-13 0,-75 5 0,-58 8 0,1 1 0,-1-1 0,1 1 0,-1 0 0,0 1 0,1-1 0,-1 1 0,0 0 0,1 0 0,-1 0 0,0 1 0,0-1 0,0 1 0,0 0 0,5 4 0,-4-1 0,0 0 0,0 0 0,-1 0 0,0 1 0,0-1 0,0 1 0,0 0 0,-1 0 0,4 10 0,-4-9 0,0 1 0,1-1 0,0 0 0,0 0 0,1 0 0,0 0 0,0-1 0,0 0 0,1 0 0,0-1 0,0 0 0,0 0 0,0 0 0,1-1 0,0 0 0,-1 0 0,2-1 0,-1 1 0,0-2 0,0 1 0,1-1 0,0-1 0,-1 0 0,1 0 0,14 0 0,-9-2 0,0 0 0,1-1 0,-1-1 0,0 0 0,-1-1 0,1 0 0,20-11 0,4-5 0,38-29 0,-42 26 0,47-24 0,-78 46 0,-1 0 0,0 1 0,1-1 0,-1 0 0,0 0 0,1 1 0,-1-1 0,1 1 0,0-1 0,-1 1 0,1 0 0,-1-1 0,1 1 0,-1 0 0,1 0 0,0 0 0,-1 1 0,1-1 0,-1 0 0,1 1 0,-1-1 0,1 1 0,-1-1 0,1 1 0,-1 0 0,1 0 0,-1 0 0,0-1 0,1 1 0,-1 1 0,0-1 0,0 0 0,1 1 0,1 4 0,0 0 0,-1 0 0,0 1 0,0-1 0,-1 0 0,0 1 0,1 9 0,-1-8 0,0 0 0,1-1 0,0 1 0,0 0 0,5 11 0,-2-11 0,1 0 0,0 0 0,0-1 0,1 0 0,0 0 0,0 0 0,1-1 0,0 0 0,0-1 0,0 0 0,0 0 0,1-1 0,0 0 0,-1-1 0,1 0 0,0 0 0,1-1 0,9 1 0,8 1 0,0-2 0,0 0 0,0-2 0,0-2 0,29-4 0,-40 3 0,0-1 0,-1-1 0,1 0 0,-1-1 0,0-1 0,23-15 0,-28 16 0,-1 0 0,0-1 0,0-1 0,-1 1 0,0-2 0,0 1 0,-1-1 0,0 0 0,0-1 0,9-17 0,-15 24 0,1-1 0,-1 1 0,0-1 0,0 0 0,0 0 0,0 1 0,-1-1 0,1 0 0,-1 0 0,0 0 0,0 0 0,0 0 0,0 0 0,-1 1 0,0-1 0,0 0 0,1 0 0,-2 1 0,1-1 0,0 0 0,-1 1 0,0-1 0,1 1 0,-1 0 0,-1 0 0,1 0 0,0 0 0,-1 0 0,1 0 0,-1 1 0,0-1 0,0 1 0,0 0 0,-3-2 0,1 0 0,-1 0 0,0 1 0,0 0 0,0 0 0,0 0 0,0 1 0,-1 0 0,1 0 0,0 1 0,-1 0 0,1 0 0,-1 1 0,0 0 0,1 0 0,-1 1 0,1 0 0,-1 0 0,-7 3 0,7-1 0,1 0 0,1 1 0,-1 0 0,1 1 0,-1-1 0,1 1 0,0 0 0,1 1 0,-1-1 0,1 1 0,0 0 0,0 0 0,1 1 0,-1-1 0,1 1 0,1 0 0,-1 0 0,1 0 0,-3 14 0,4-17 0,0 1 0,0-1 0,1 1 0,-1-1 0,1 1 0,0 0 0,0-1 0,0 1 0,1-1 0,-1 1 0,1-1 0,0 1 0,0-1 0,1 1 0,-1-1 0,1 0 0,0 0 0,0 0 0,0 0 0,0 0 0,1 0 0,0-1 0,-1 1 0,1-1 0,0 0 0,1 0 0,-1 0 0,0 0 0,1-1 0,-1 1 0,1-1 0,7 3 0,-6-4 0,-1 0 0,1 0 0,0-1 0,0 0 0,-1 0 0,1 0 0,0 0 0,0-1 0,-1 0 0,1 0 0,0-1 0,-1 1 0,1-1 0,-1 0 0,1 0 0,-1-1 0,0 1 0,0-1 0,0 0 0,0 0 0,-1-1 0,1 1 0,5-8 0,1 0 0,0-1 0,-1 0 0,-1 0 0,0-1 0,0 0 0,10-27 0,-7 8 0,-2-1 0,-1 0 0,-1-1 0,-2 0 0,-1 0 0,-2 0 0,-1-1 0,-1 1 0,-2 0 0,-1-1 0,-8-39 0,-5 29 0,16 44 0,-1 1 0,1-1 0,0 1 0,0-1 0,0 1 0,0-1 0,-1 1 0,1 0 0,0-1 0,0 1 0,-1-1 0,1 1 0,0 0 0,0-1 0,-1 1 0,1 0 0,-1-1 0,1 1 0,0 0 0,-1 0 0,1-1 0,0 1 0,-1 0 0,1 0 0,-1 0 0,1 0 0,-1-1 0,1 1 0,0 0 0,-1 0 0,1 0 0,-1 0 0,1 0 0,-1 0 0,1 0 0,-1 1 0,1-1 0,0 0 0,-1 0 0,1 0 0,-1 0 0,1 0 0,0 1 0,-1-1 0,1 0 0,-1 0 0,1 1 0,0-1 0,-1 0 0,1 1 0,0-1 0,-1 1 0,-9 27 0,1 26 0,3 0 0,1 1 0,3 0 0,7 81 0,-4-114 0,1 0 0,1 0 0,1 0 0,1 0 0,1-1 0,0 0 0,1-1 0,2 1 0,14 27 0,-16-36 0,0-2 0,1 1 0,-1-1 0,2 0 0,-1-1 0,1 0 0,1 0 0,0-1 0,0 0 0,0-1 0,1-1 0,0 0 0,0 0 0,0-1 0,1 0 0,-1-1 0,14 2 0,-7-3 0,1-2 0,-1 0 0,0-1 0,0-1 0,0-1 0,0-1 0,0 0 0,0-2 0,-1 0 0,1-1 0,-1-1 0,-1-1 0,1 0 0,29-21 0,-32 19 0,1-1 0,-1 0 0,-1-1 0,0-1 0,0 0 0,-1-1 0,-1 0 0,0-1 0,-1 0 0,0-1 0,-1 0 0,-1-1 0,0 0 0,-1 0 0,7-27 0,-21 62 0,-2 27 0,8-40 0,1 0 0,0 0 0,0 0 0,1 1 0,-1-1 0,1 0 0,0 0 0,0 0 0,1 0 0,-1 0 0,1-1 0,0 1 0,0 0 0,1-1 0,-1 1 0,1-1 0,0 0 0,0 0 0,0 0 0,0-1 0,1 1 0,0-1 0,-1 0 0,1 0 0,0 0 0,0 0 0,1-1 0,-1 0 0,0 0 0,1 0 0,-1 0 0,1-1 0,-1 0 0,8 1 0,5 1 0,0-2 0,0 0 0,0-1 0,0 0 0,0-2 0,-1 0 0,1-1 0,25-9 0,-17 3-273,-1-1 0,0-2 0,0-1 0,34-24 0,0-10-6553</inkml:trace>
  <inkml:trace contextRef="#ctx0" brushRef="#br0" timeOffset="5259.92">10791 450 24575,'-8'0'0,"-7"0"0,-1 0-8191</inkml:trace>
  <inkml:trace contextRef="#ctx0" brushRef="#br0" timeOffset="5520.68">11008 450 24575,'-2'-66'0,"1"35"0,3-55 0,-22 402 0,11-104 0,-3-68 0,-10 269 0,23-395 0,0-1 0,1 0 0,0 0 0,6 21 0,-7-34 0,0 0 0,1 1 0,0-2 0,-1 1 0,1 0 0,0 0 0,1-1 0,-1 1 0,5 5 0,-5-8 0,-1 0 0,1 1 0,0-1 0,-1 0 0,1 0 0,0 0 0,0 0 0,0 0 0,-1-1 0,1 1 0,0-1 0,0 1 0,0-1 0,0 0 0,0 0 0,0 0 0,0 0 0,0 0 0,0 0 0,3-1 0,-2 0-76,0-1 1,1 0-1,-1 0 0,0 0 0,0 0 0,0-1 0,0 1 0,0-1 1,0 0-1,-1 0 0,0 0 0,1 0 0,-1 0 0,0-1 1,0 1-1,0-1 0,2-7 0,14-33-6750</inkml:trace>
  <inkml:trace contextRef="#ctx0" brushRef="#br0" timeOffset="6708.9">11032 1209 24575,'-5'-4'0,"1"-1"0,-1 2 0,0-1 0,0 1 0,-1-1 0,1 2 0,0-1 0,-1 1 0,0-1 0,1 2 0,-12-3 0,-14-5 0,37 5 0,12 1 0,296-27 0,-265 20 0,-1-2 0,1-2 0,-2-3 0,60-29 0,-106 46 0,-1-1 0,0 1 0,0 0 0,0 0 0,0 0 0,0 0 0,1 0 0,-1-1 0,0 1 0,0 0 0,0 0 0,0 0 0,1 0 0,-1 0 0,0 0 0,0 0 0,0 0 0,1 0 0,-1 0 0,0 0 0,0 0 0,0 0 0,1 0 0,-1 0 0,0 0 0,0 0 0,0 0 0,1 0 0,-1 0 0,0 0 0,0 0 0,0 0 0,0 0 0,1 1 0,-1-1 0,0 0 0,0 0 0,0 0 0,0 0 0,1 0 0,-1 1 0,0-1 0,0 0 0,0 0 0,0 0 0,0 0 0,0 1 0,0-1 0,0 0 0,0 0 0,1 0 0,-1 1 0,0-1 0,0 0 0,0 0 0,0 1 0,0-1 0,0 0 0,0 0 0,0 0 0,0 1 0,0-1 0,-1 0 0,-7 25 0,-23 39 0,25-54 0,1 0 0,0 0 0,1 0 0,0 0 0,0 1 0,1 0 0,0-1 0,1 1 0,-2 20 0,4-28 0,0 0 0,0 0 0,0 0 0,1 0 0,-1 0 0,1-1 0,0 1 0,-1 0 0,1 0 0,0-1 0,1 1 0,-1-1 0,0 1 0,1-1 0,2 5 0,-1-5 0,0 1 0,0-1 0,0 0 0,0 0 0,0 0 0,1 0 0,-1-1 0,0 1 0,1-1 0,-1 0 0,1 0 0,-1 0 0,1-1 0,6 1 0,2-1 0,0 0 0,1-1 0,-1-1 0,0 0 0,0-1 0,-1 0 0,1-1 0,-1 0 0,1-1 0,-1-1 0,0 0 0,-1 0 0,1-1 0,-1 0 0,12-12 0,-1-2 0,0-1 0,-1 0 0,-1-2 0,-1 0 0,19-34 0,-22 41 0,-15 18 0,1-1 0,-1 0 0,0 0 0,1 1 0,-1-1 0,0 0 0,1 1 0,-1-1 0,0 0 0,0 1 0,1-1 0,-1 0 0,0 1 0,0-1 0,0 0 0,1 1 0,-1-1 0,0 1 0,0-1 0,0 1 0,0-1 0,0 0 0,0 1 0,0-1 0,0 1 0,0-1 0,0 1 0,0-1 0,0 1 0,-4 57 0,2-36 0,1-15 0,1 0 0,1 0 0,-1 0 0,1 0 0,0 1 0,1-1 0,-1 0 0,1-1 0,1 1 0,-1 0 0,1-1 0,0 1 0,0-1 0,1 0 0,0 0 0,0 0 0,0-1 0,0 1 0,8 5 0,-8-7 0,1-1 0,0 0 0,0 0 0,0 0 0,0-1 0,0 1 0,0-1 0,1-1 0,-1 1 0,1-1 0,-1 0 0,1-1 0,-1 1 0,1-1 0,-1 0 0,1-1 0,0 1 0,-1-1 0,1 0 0,-1-1 0,0 0 0,1 0 0,5-3 0,-4 1 0,0 0 0,-1-1 0,0 0 0,0 0 0,0-1 0,0 0 0,-1 0 0,0 0 0,0-1 0,-1 1 0,0-1 0,0-1 0,0 1 0,-1-1 0,1 1 0,-2-1 0,1 0 0,-1 0 0,0 0 0,-1 0 0,1-12 0,-1 12 0,0 1 0,0-2 0,-1 1 0,0 0 0,0 0 0,-1 0 0,0 0 0,0 1 0,-1-1 0,0 0 0,0 0 0,-1 1 0,0-1 0,0 1 0,0 0 0,-1 0 0,0 0 0,0 1 0,-1-1 0,0 1 0,0 0 0,-7-6 0,2 5 0,-1 0 0,0 1 0,0 1 0,0 0 0,-1 0 0,0 2 0,1-1 0,-1 1 0,0 1 0,0 1 0,-1 0 0,1 0 0,0 1 0,0 1 0,0 0 0,0 1 0,0 1 0,0 0 0,-19 7 0,28-9 0,1 1 0,-1-1 0,0 1 0,1-1 0,-1 1 0,1 0 0,0 0 0,-1 0 0,1 0 0,0 1 0,0-1 0,0 1 0,0-1 0,1 1 0,-1 0 0,1 0 0,-1 0 0,1 0 0,0 0 0,0 0 0,0 0 0,0 0 0,1 0 0,-1 0 0,1 5 0,0-5 0,1 1 0,0-1 0,-1 0 0,1 0 0,1 0 0,-1 0 0,0 0 0,0-1 0,1 1 0,0 0 0,-1-1 0,1 1 0,0-1 0,0 1 0,0-1 0,1 0 0,-1 0 0,0 0 0,1-1 0,-1 1 0,1 0 0,0-1 0,-1 0 0,1 0 0,5 2 0,22 5 0,0-2 0,1-1 0,0-2 0,-1-1 0,60-4 0,-5 1 0,-80 1 0,0 0 0,-1 0 0,1 0 0,0 1 0,0 0 0,0 0 0,0 1 0,-1-1 0,1 1 0,0 0 0,-1 1 0,1-1 0,-1 1 0,6 5 0,-7-5 0,0 1 0,0 0 0,0 0 0,-1 0 0,0 0 0,0 0 0,0 1 0,0-1 0,0 1 0,-1-1 0,0 1 0,0 0 0,0-1 0,0 1 0,-1 0 0,0 6 0,0-8 0,1 16 0,0 0 0,1 1 0,1-1 0,9 31 0,-11-46 0,0 1 0,1-1 0,-1 0 0,1 0 0,0 0 0,0-1 0,0 1 0,1 0 0,-1-1 0,1 0 0,0 0 0,0 0 0,0 0 0,0 0 0,1 0 0,-1-1 0,0 0 0,1 1 0,0-2 0,-1 1 0,1 0 0,0-1 0,0 0 0,0 0 0,0 0 0,0 0 0,5 0 0,2-2 0,1 0 0,-1-1 0,1 0 0,-1-1 0,0 0 0,0-1 0,-1 0 0,1-1 0,-1 0 0,0-1 0,13-9 0,6-6 0,-2-1 0,38-39 0,12-24 0,-77 85 0,1-1 0,0 0 0,-1 1 0,1-1 0,0 0 0,-1 1 0,1-1 0,0 1 0,0 0 0,0-1 0,-1 1 0,1-1 0,0 1 0,0 0 0,0 0 0,0 0 0,0 0 0,0-1 0,-1 1 0,1 0 0,0 1 0,0-1 0,0 0 0,0 0 0,0 0 0,0 0 0,-1 1 0,1-1 0,0 1 0,0-1 0,0 0 0,-1 1 0,1 0 0,0-1 0,0 1 0,-1-1 0,1 1 0,0 1 0,22 39 0,-8-12 0,-11-22 0,1-1 0,0 0 0,0 0 0,1-1 0,0 0 0,-1 0 0,2 0 0,-1-1 0,0 0 0,1 0 0,0-1 0,-1 1 0,1-2 0,0 1 0,1-1 0,-1 0 0,9 0 0,-5-1 0,0-1 0,0-1 0,0 0 0,-1 0 0,1-1 0,0-1 0,-1 0 0,1-1 0,-1 0 0,19-10 0,-14 5 0,-1 0 0,1-1 0,-1-1 0,-1 0 0,0-1 0,0 0 0,-2-1 0,1-1 0,-1 0 0,-1-1 0,0 0 0,-1-1 0,-1 0 0,0 0 0,6-18 0,-13 30 0,-1 1 0,1 0 0,-1 0 0,0-1 0,0 1 0,0 0 0,0-1 0,0 1 0,-1 0 0,1 0 0,-1-1 0,0 1 0,0 0 0,0 0 0,0 0 0,0 0 0,-3-3 0,3 4 0,1 1 0,-1 0 0,0 0 0,0 0 0,0-1 0,0 1 0,0 0 0,0 0 0,0 1 0,-1-1 0,1 0 0,0 0 0,0 1 0,-1-1 0,1 1 0,0-1 0,-1 1 0,1-1 0,-1 1 0,1 0 0,0 0 0,-1 0 0,1 0 0,-1 0 0,1 0 0,0 0 0,-1 0 0,1 1 0,0-1 0,-1 1 0,1-1 0,0 1 0,-1-1 0,1 1 0,0 0 0,0 0 0,-1-1 0,0 3 0,0-2 0,1 0 0,-1 0 0,1 1 0,-1-1 0,1 1 0,-1-1 0,1 1 0,0 0 0,0-1 0,0 1 0,0 0 0,0 0 0,0 0 0,0 0 0,1 0 0,-1 0 0,0 0 0,1 0 0,0 0 0,-1 0 0,1 4 0,1-1 0,-1 0 0,1 0 0,0-1 0,0 1 0,0 0 0,1-1 0,-1 1 0,1-1 0,4 7 0,4 5 0,0 0 0,1-1 0,24 26 0,31 16 0,-54-48 0,1 1 0,-2 0 0,1 1 0,-2 0 0,1 1 0,-1 0 0,10 16 0,-19-27 0,0 1 0,0 0 0,0 0 0,-1 0 0,1 0 0,0 0 0,-1-1 0,1 1 0,-1 1 0,1-1 0,-1 0 0,0 0 0,0 0 0,0 0 0,0 0 0,0 0 0,0 0 0,-1 0 0,1 0 0,-1 0 0,1 0 0,-1 0 0,1 0 0,-1 0 0,0 0 0,0-1 0,0 1 0,0 0 0,0 0 0,-1-1 0,1 1 0,0-1 0,-1 1 0,1-1 0,-1 0 0,1 0 0,-3 2 0,-3 1 0,0 0 0,0 0 0,0-1 0,0 0 0,0-1 0,-1 0 0,1 0 0,-13 1 0,-2-3-273,0 0 0,0-2 0,0 0 0,-40-12 0,-20-8-6553</inkml:trace>
  <inkml:trace contextRef="#ctx0" brushRef="#br0" timeOffset="6831.74">11923 502 24575,'8'0'0,"16"0"0,2 0-8191</inkml:trace>
  <inkml:trace contextRef="#ctx0" brushRef="#br0" timeOffset="8762.94">603 2700 24575,'0'-169'0,"0"642"0,0-754 0,-1 330 0,-1-25 0,2 1 0,4 39 0,-4-63 0,0-1 0,0 0 0,0 1 0,0-1 0,0 0 0,0 1 0,0-1 0,0 0 0,0 1 0,0-1 0,1 0 0,-1 1 0,0-1 0,0 0 0,0 1 0,0-1 0,0 0 0,1 0 0,-1 1 0,0-1 0,0 0 0,1 0 0,-1 1 0,0-1 0,0 0 0,1 0 0,-1 0 0,0 1 0,0-1 0,1 0 0,-1 0 0,0 0 0,1 0 0,-1 0 0,0 0 0,1 0 0,-1 0 0,0 0 0,0 0 0,1 0 0,-1 0 0,1 0 0,14-12 0,9-23 0,-13 17-119,30-56 372,-39 70-353,0 0 0,-1 0 0,1-1 0,-1 1 0,0-1 0,0 1 0,0-1 0,0 1 0,-1-1 1,0 1-1,1-1 0,-2 0 0,1 1 0,-2-9 0,-9-10-6726</inkml:trace>
  <inkml:trace contextRef="#ctx0" brushRef="#br0" timeOffset="11003.47">603 2648 24575,'0'-9'0,"1"-1"0,-1 1 0,-1 0 0,0 0 0,0 0 0,-1 0 0,0 0 0,0 0 0,0 0 0,-1 1 0,-1-1 0,1 1 0,-1 0 0,-1 0 0,1 0 0,-1 1 0,-1-1 0,1 1 0,-1 1 0,0-1 0,-9-6 0,7 6 0,0 0 0,-1 1 0,0 0 0,0 0 0,-1 1 0,1 1 0,-1 0 0,0 0 0,0 1 0,0 1 0,-17-3 0,20 5 0,0 0 0,1 0 0,-1 1 0,0 0 0,0 0 0,0 1 0,0 0 0,0 0 0,1 1 0,-1 0 0,1 0 0,0 1 0,0 0 0,0 0 0,0 0 0,1 1 0,-1 0 0,-5 7 0,-4 6 0,1 2 0,0 0 0,1 1 0,1 0 0,1 1 0,1 0 0,-9 27 0,7-13 0,1 0 0,2 1 0,-9 75 0,17-100 0,0 0 0,0 0 0,2 0 0,-1 0 0,1 0 0,1 0 0,0 0 0,1 0 0,0-1 0,0 1 0,1-1 0,9 18 0,-9-22 0,0-1 0,1 1 0,-1-1 0,1-1 0,1 1 0,-1-1 0,1 0 0,-1 0 0,2 0 0,-1-1 0,0 0 0,1 0 0,-1-1 0,1 0 0,0 0 0,0-1 0,0 0 0,0 0 0,1-1 0,8 1 0,-2-2 0,1 0 0,0 0 0,-1-2 0,1 0 0,-1-1 0,1 0 0,-1-1 0,0-1 0,0 0 0,-1-1 0,1-1 0,-1-1 0,0 0 0,-1 0 0,20-19 0,-21 18 0,-1-1 0,0 0 0,-1-1 0,0 0 0,0-1 0,-1 0 0,-1-1 0,0 0 0,0 0 0,-1 0 0,-1-1 0,0 0 0,-1 0 0,0 0 0,-1-1 0,3-25 0,-10 13 0,4 27 0,0 0 0,0 0 0,0-1 0,-1 1 0,1 0 0,0 0 0,0 0 0,-1 0 0,1-1 0,0 1 0,0 0 0,-1 0 0,1 0 0,0 0 0,-1 0 0,1 0 0,0 0 0,0 0 0,-1 0 0,1 0 0,0 0 0,-1 0 0,1 0 0,0 0 0,0 0 0,-1 1 0,1-1 0,0 0 0,0 0 0,-1 0 0,1 0 0,0 1 0,0-1 0,-1 0 0,1 0 0,0 0 0,0 1 0,0-1 0,-1 0 0,-2 4 0,1 0 0,-1-1 0,0 1 0,1 0 0,0 0 0,0 1 0,0-1 0,-1 5 0,1-2 0,0 0 0,0 0 0,1 0 0,0 0 0,0 0 0,0 1 0,1-1 0,0 0 0,1 0 0,-1 1 0,1-1 0,1 0 0,-1 0 0,1 0 0,5 12 0,-4-11 0,1-1 0,0 0 0,1-1 0,0 1 0,0-1 0,0 0 0,0 0 0,1-1 0,0 1 0,0-1 0,1-1 0,-1 1 0,13 5 0,-8-6 0,-1 0 0,0-1 0,1 0 0,-1-1 0,1 0 0,0-1 0,0 0 0,-1-1 0,1 0 0,0-1 0,0 0 0,0-1 0,-1 0 0,1-1 0,-1-1 0,0 1 0,0-2 0,0 0 0,0 0 0,-1 0 0,1-2 0,-1 1 0,10-11 0,-9 9 0,0-1 0,-1 0 0,0 0 0,0-1 0,-1 0 0,0-1 0,-1 0 0,0-1 0,-1 1 0,0-1 0,-1-1 0,0 1 0,0-1 0,-1 0 0,-1 0 0,0 0 0,-1-1 0,0 1 0,-1-1 0,0-14 0,-1 25 0,0 0 0,0 0 0,-1-1 0,1 1 0,-1 0 0,0 0 0,1 0 0,-1 0 0,-1 0 0,1 0 0,0 0 0,-1 0 0,1 1 0,-1-1 0,0 0 0,0 1 0,0-1 0,0 1 0,0 0 0,0 0 0,0 0 0,-1 0 0,1 0 0,-1 1 0,1-1 0,-1 1 0,0 0 0,0-1 0,1 1 0,-1 1 0,0-1 0,0 0 0,0 1 0,0 0 0,0-1 0,0 1 0,-4 1 0,3-1 0,0 1 0,0 0 0,0 0 0,0 0 0,0 0 0,0 1 0,1 0 0,-1-1 0,1 1 0,-1 1 0,1-1 0,0 1 0,-1-1 0,1 1 0,0 0 0,1 0 0,-1 1 0,0-1 0,1 0 0,0 1 0,0 0 0,0 0 0,0-1 0,0 1 0,1 1 0,-1-1 0,0 5 0,1-4 0,1-1 0,-1 0 0,1 0 0,0 1 0,0-1 0,0 0 0,1 1 0,0-1 0,-1 0 0,1 0 0,1 0 0,-1 0 0,0 0 0,1 0 0,0 0 0,0 0 0,0 0 0,0-1 0,1 0 0,-1 1 0,1-1 0,0 0 0,-1 0 0,1 0 0,1-1 0,-1 1 0,0-1 0,1 0 0,-1 0 0,1 0 0,3 1 0,11 5 0,-1-1 0,2-1 0,-1-1 0,0-1 0,22 2 0,39 2 0,-1-4 0,83-8 0,-161 4 0,1 0 0,0 0 0,0 0 0,-1 0 0,1 0 0,0 0 0,0 0 0,-1 0 0,1 0 0,0 0 0,-1 1 0,1-1 0,0 0 0,0 0 0,-1 1 0,1-1 0,-1 1 0,1-1 0,0 0 0,-1 1 0,1 0 0,-1-1 0,1 1 0,-1-1 0,1 1 0,-1 0 0,1-1 0,-1 1 0,0 0 0,1-1 0,-1 1 0,0 0 0,1 0 0,-1-1 0,0 1 0,0 0 0,0 0 0,0-1 0,0 1 0,0 0 0,0 0 0,0 1 0,-8 41 0,3-24 0,4-15 0,0 0 0,1 0 0,-1 0 0,1 0 0,0 0 0,0 0 0,0-1 0,1 1 0,-1 0 0,1 0 0,0 0 0,0 0 0,0 0 0,0-1 0,1 1 0,0-1 0,-1 1 0,1-1 0,3 4 0,-1-3 0,0 0 0,0 0 0,0-1 0,1 0 0,-1 0 0,1 0 0,0-1 0,-1 1 0,1-1 0,0 0 0,0-1 0,10 2 0,4 0 0,0 0 0,0-2 0,0 0 0,0-2 0,0 0 0,0-1 0,0-2 0,0 0 0,19-7 0,-16 4 0,-1-2 0,0 0 0,-1-1 0,0-2 0,0 0 0,-1-1 0,23-21 0,-33 25 0,0 0 0,-1-1 0,0 0 0,0-1 0,10-20 0,-15 27 0,-1-1 0,-1 1 0,1-1 0,0 0 0,-1 1 0,0-1 0,0 0 0,0-6 0,-1 8 0,0 1 0,0 0 0,0 0 0,0 0 0,-1 0 0,1 0 0,-1 0 0,1 0 0,-1 0 0,0 0 0,0 0 0,0 0 0,0 0 0,0 0 0,0 1 0,0-1 0,0 0 0,-1 1 0,-1-3 0,1 3 0,1 0 0,0-1 0,-1 1 0,1 0 0,-1 0 0,1 1 0,-1-1 0,0 0 0,1 0 0,-1 1 0,0-1 0,1 1 0,-1 0 0,0 0 0,0-1 0,0 1 0,1 0 0,-1 0 0,0 1 0,0-1 0,1 0 0,-3 1 0,1 1 0,-1 0 0,1-1 0,0 1 0,0 0 0,0 0 0,0 1 0,0-1 0,0 1 0,1 0 0,-5 5 0,4-4 0,-1 1 0,1 0 0,0 0 0,0 1 0,0-1 0,0 1 0,1 0 0,0-1 0,0 1 0,1 0 0,-1 0 0,1 1 0,1-1 0,-1 7 0,1-9 0,1 0 0,-1 0 0,1-1 0,0 1 0,0 0 0,1-1 0,-1 1 0,1-1 0,0 1 0,-1-1 0,1 0 0,0 0 0,1 0 0,-1 0 0,1 0 0,3 4 0,0-3 0,-1-1 0,0 1 0,1-1 0,-1 0 0,1-1 0,0 1 0,0-1 0,11 2 0,2-1 0,1-1 0,-1-1 0,1-1 0,37-6 0,9-6-1365,-10-3-5461</inkml:trace>
  <inkml:trace contextRef="#ctx0" brushRef="#br0" timeOffset="12457.61">2867 2700 24575,'30'-12'0,"-2"1"0,-27 11 0,0 0 0,-1 0 0,1 0 0,0 0 0,0 0 0,0 0 0,0 0 0,0 0 0,0 1 0,-1-1 0,1 0 0,0 1 0,0-1 0,0 0 0,-1 1 0,1-1 0,0 1 0,0 0 0,-1-1 0,1 1 0,0 0 0,-1-1 0,1 1 0,-1 0 0,1 0 0,-1-1 0,1 1 0,0 1 0,2 7 0,0-1 0,0 1 0,0 0 0,-1 0 0,0 1 0,-1-1 0,0 0 0,0 13 0,-4 80 0,2-92 0,-4 40 0,-2 48 0,7-92 0,0 1 0,1-1 0,0 0 0,-1 1 0,2-1 0,-1 0 0,1 0 0,0 0 0,0 0 0,0 0 0,7 10 0,-8-14 0,0 0 0,1 0 0,-1-1 0,1 1 0,-1-1 0,1 1 0,0-1 0,0 0 0,-1 0 0,1 0 0,0 0 0,0 0 0,0 0 0,0 0 0,0-1 0,0 1 0,0-1 0,0 0 0,0 1 0,0-1 0,0 0 0,0 0 0,1-1 0,-1 1 0,0 0 0,0-1 0,0 1 0,0-1 0,0 0 0,0 0 0,-1 0 0,1 0 0,0 0 0,0 0 0,0 0 0,-1-1 0,3-1 0,8-7 0,-1-1 0,0 0 0,19-24 0,-28 32 0,26-36 0,29-53 0,18-25 0,-73 114 0,-1 1 0,1 0 0,0-1 0,0 1 0,-1 0 0,1 0 0,1 1 0,-1-1 0,0 0 0,0 1 0,0-1 0,1 1 0,-1 0 0,4-1 0,-5 2 0,0 0 0,0 1 0,1-1 0,-1 0 0,0 1 0,0 0 0,0-1 0,0 1 0,0-1 0,0 1 0,0 0 0,-1 0 0,1 0 0,0 0 0,0 0 0,0 0 0,-1 0 0,1 0 0,0 0 0,-1 0 0,1 0 0,-1 0 0,0 0 0,1 1 0,-1-1 0,0 0 0,1 0 0,-1 1 0,0-1 0,0 0 0,0 0 0,0 2 0,8 65 0,-7-47 0,2 0 0,0-1 0,1 1 0,8 25 0,-10-41 0,0 0 0,0 0 0,0 0 0,1 0 0,0 0 0,0-1 0,0 1 0,0-1 0,0 0 0,1 0 0,0 0 0,0-1 0,0 0 0,0 1 0,1-1 0,-1-1 0,1 1 0,-1-1 0,1 0 0,9 3 0,-8-4 0,0 0 0,0-1 0,-1 1 0,1-1 0,0-1 0,0 1 0,0-1 0,-1 0 0,1-1 0,-1 1 0,1-1 0,-1 0 0,1-1 0,-1 1 0,0-1 0,0-1 0,0 1 0,0-1 0,-1 1 0,1-1 0,-1-1 0,0 1 0,0-1 0,3-5 0,11-15 0,-1 0 0,-1-2 0,19-42 0,-26 50 0,0 1 0,-2 7 0,-1-1 0,-1 0 0,0 0 0,0 0 0,-1-1 0,-1 1 0,3-16 0,-6 28 0,0 0 0,0 1 0,0-1 0,0 0 0,0 0 0,0 0 0,0 0 0,0 0 0,0 1 0,0-1 0,0 0 0,0 0 0,0 0 0,0 0 0,0 1 0,0-1 0,0 0 0,-1 0 0,1 0 0,0 0 0,0 0 0,0 0 0,0 0 0,0 1 0,0-1 0,0 0 0,-1 0 0,1 0 0,0 0 0,0 0 0,0 0 0,0 0 0,0 0 0,-1 0 0,1 0 0,0 0 0,0 0 0,0 0 0,0 0 0,-1 0 0,1 0 0,0 0 0,0 0 0,0 0 0,0 0 0,0 0 0,-1 0 0,1 0 0,0 0 0,0 0 0,0 0 0,0-1 0,0 1 0,0 0 0,-1 0 0,1 0 0,0 0 0,0 0 0,0 0 0,0-1 0,0 1 0,0 0 0,0 0 0,0 0 0,0 0 0,0 0 0,0-1 0,-1 1 0,-8 13 0,6-7 0,0 0 0,1-1 0,0 1 0,0 0 0,0 1 0,0-1 0,1 0 0,0 1 0,0-1 0,1 0 0,0 1 0,0-1 0,0 1 0,0-1 0,1 1 0,2 8 0,0-7 0,-1-1 0,1 1 0,1-1 0,-1 0 0,1 0 0,0-1 0,1 1 0,-1-1 0,1 0 0,1 0 0,-1-1 0,1 1 0,6 4 0,8 4 0,1 0 0,-1-2 0,2 0 0,0-2 0,0-1 0,0-1 0,1 0 0,0-2 0,0-1 0,29 2 0,-9-4 0,0-2 0,0-2 0,0-2 0,74-16 0,-95 14 0,-2-1 0,1-1 0,0-1 0,-1-1 0,-1 0 0,33-23 0,-44 27 0,-1-1 0,1 1 0,-1-2 0,-1 1 0,1-1 0,-1 0 0,0 0 0,-1-1 0,1 0 0,-1 0 0,-1-1 0,1 1 0,-2-1 0,1 0 0,-1 0 0,0 0 0,0-1 0,1-17 0,-3 24 0,-1-1 0,0 0 0,0 1 0,-1-1 0,1 0 0,-1 1 0,0-1 0,0 1 0,0-1 0,0 1 0,0 0 0,-1-1 0,1 1 0,-1 0 0,0 0 0,0 0 0,0 0 0,0 0 0,0 1 0,-1-1 0,1 1 0,-1-1 0,0 1 0,1 0 0,-1 0 0,0 0 0,0 1 0,0-1 0,0 1 0,-7-2 0,1 0 0,0 0 0,0 1 0,-1 0 0,1 1 0,-1 1 0,1-1 0,-1 1 0,1 1 0,-16 3 0,16-3 0,0 2 0,0-1 0,0 1 0,0 1 0,0 0 0,1 0 0,-1 1 0,1 0 0,0 1 0,1-1 0,-1 2 0,1-1 0,0 1 0,0 0 0,1 1 0,0 0 0,0 0 0,1 0 0,0 1 0,0 0 0,1 0 0,0 0 0,0 1 0,1-1 0,0 1 0,1 0 0,-3 17 0,5-21 0,0 0 0,1 0 0,-1 0 0,1 0 0,0-1 0,1 1 0,-1 0 0,1 0 0,0-1 0,0 0 0,1 1 0,-1-1 0,1 0 0,0 0 0,1 0 0,-1-1 0,1 1 0,-1-1 0,1 0 0,0 0 0,1 0 0,4 3 0,6 3 0,0 0 0,0-1 0,1-1 0,0 0 0,28 8 0,2-3 0,0-2 0,1-2 0,-1-2 0,2-3 0,-1-2 0,70-6 0,-100 2 0,0-1 0,-1-1 0,0 0 0,0-1 0,0-1 0,0-1 0,-1 0 0,23-15 0,-30 17 0,-1-1 0,0 1 0,0-1 0,0-1 0,0 0 0,-1 0 0,0 0 0,0-1 0,-1 0 0,0 0 0,0 0 0,-1-1 0,0 0 0,0 0 0,-1 0 0,0 0 0,2-12 0,-4 17 0,-1 0 0,1 1 0,-1-1 0,0 0 0,0 0 0,0 0 0,0 0 0,-1 0 0,1 1 0,-1-1 0,0 0 0,0 0 0,0 1 0,-1-1 0,1 1 0,-1-1 0,0 1 0,0 0 0,0 0 0,0-1 0,0 2 0,-1-1 0,1 0 0,-1 0 0,0 1 0,1-1 0,-1 1 0,0 0 0,0 0 0,-1 0 0,1 1 0,0-1 0,-6-1 0,4 2 0,1 0 0,-1 0 0,1 0 0,-1 0 0,1 1 0,-1 0 0,0 0 0,1 0 0,-1 1 0,1 0 0,-1 0 0,1 0 0,-1 0 0,1 1 0,0 0 0,-1 0 0,1 0 0,0 0 0,0 1 0,0 0 0,1 0 0,-1 0 0,1 0 0,-1 1 0,-4 6 0,5-6 0,0 1 0,0-1 0,0 1 0,1 0 0,0 0 0,0 0 0,0 0 0,0 0 0,1 1 0,0-1 0,0 1 0,0-1 0,0 1 0,1-1 0,0 1 0,0-1 0,1 11 0,1-8 0,0-1 0,1 0 0,-1 0 0,1-1 0,0 1 0,1-1 0,0 1 0,0-1 0,0-1 0,0 1 0,11 10 0,-1-3 0,2 0 0,0-1 0,0-1 0,0 0 0,2-2 0,-1 0 0,1-1 0,30 9 0,-21-10 0,0-1 0,0-2 0,0-1 0,1-1 0,-1-2 0,1-1 0,-1-1 0,0-2 0,0 0 0,0-3 0,27-9 0,-39 11 0,1-1 0,-1-1 0,-1-1 0,1 0 0,-1-1 0,0-1 0,-1 0 0,0-1 0,-1-1 0,0 0 0,0-1 0,-2 0 0,1-1 0,-1 0 0,-1-1 0,0 0 0,-1 0 0,-1-1 0,10-29 0,-8 13 0,-2 1 0,-1-1 0,-1-1 0,-1 1 0,-2-1 0,-2-35 0,0 60 0,-2-1 0,1 1 0,-1 0 0,0-1 0,-3-7 0,5 16 0,0-1 0,0 0 0,-1 0 0,1 0 0,0 0 0,0 1 0,-1-1 0,1 0 0,0 0 0,-1 1 0,1-1 0,-1 0 0,1 1 0,-1-1 0,1 0 0,-1 1 0,1-1 0,-1 1 0,1-1 0,-1 1 0,0-1 0,1 1 0,-1-1 0,0 1 0,1 0 0,-1-1 0,0 1 0,0 0 0,1 0 0,-1 0 0,0 0 0,0-1 0,0 1 0,1 0 0,-1 0 0,0 1 0,0-1 0,1 0 0,-1 0 0,0 0 0,0 0 0,1 1 0,-1-1 0,0 0 0,1 1 0,-1-1 0,0 1 0,1-1 0,-1 1 0,0-1 0,1 1 0,-1-1 0,1 1 0,-1 0 0,1-1 0,-1 1 0,1 0 0,-1 0 0,1-1 0,0 1 0,-1 1 0,-7 12 0,0 1 0,1 0 0,1 0 0,0 0 0,1 1 0,1 0 0,-4 24 0,2-3 0,1 1 0,1 47 0,4-59 20,1 0 0,1-1 0,1 1 0,2-1 0,11 41 0,-12-54-134,0 1 0,1-1-1,0 0 1,1 0 0,0-1 0,1 0-1,0 0 1,0 0 0,1-1 0,1 0-1,-1-1 1,17 13 0,12 2-6712</inkml:trace>
  <inkml:trace contextRef="#ctx0" brushRef="#br0" timeOffset="13576.73">5396 2988 24575,'80'0'0,"-1"-3"0,1-5 0,154-36 0,-220 41 0,-1 0 0,0-1 0,0-1 0,0 0 0,-1-1 0,1-1 0,-1 0 0,0 0 0,-1-2 0,16-14 0,-24 49 0,-4-16 0,1 1 0,1 0 0,-1-1 0,2 1 0,-1-1 0,1 0 0,6 20 0,-5-25 0,1-1 0,-1 1 0,1 0 0,0-1 0,0 0 0,0 0 0,0 0 0,1-1 0,-1 1 0,1-1 0,0 0 0,0-1 0,0 1 0,0-1 0,0 0 0,1-1 0,-1 1 0,1-1 0,-1 0 0,1-1 0,-1 1 0,1-1 0,8-1 0,6-1 0,0-1 0,0-1 0,0-1 0,38-14 0,-54 17 0,0 0 0,1 0 0,-1 1 0,1 0 0,0 0 0,0 0 0,-1 1 0,1-1 0,0 1 0,0 0 0,7 2 0,-6 0 0,0 1 0,-1-1 0,1 1 0,-1 1 0,0-1 0,0 1 0,0 0 0,7 8 0,-5-6 0,1 0 0,-1-1 0,1 0 0,0 0 0,1-1 0,-1 0 0,1-1 0,-1 0 0,1 0 0,0-1 0,0 0 0,0-1 0,0 0 0,0 0 0,0-1 0,16-2 0,-13 0 0,0 0 0,0-1 0,-1 0 0,1-1 0,-1 0 0,0-1 0,0-1 0,0 0 0,-1 0 0,1-1 0,-2 0 0,11-11 0,-5 3 0,-4 5 0,-1-1 0,1 2 0,15-10 0,-22 16 0,0 1 0,1-1 0,-1 1 0,1 1 0,-1-1 0,1 1 0,0 0 0,0 0 0,-1 0 0,1 1 0,0-1 0,0 1 0,6 1 0,29 7 0,49 15 0,28 6 0,-72-22 0,49 1 0,-76-8 0,0-1 0,0 0 0,0-1 0,0-1 0,29-9 0,-43 10 0,1 0 0,-1 1 0,0-1 0,0-1 0,0 1 0,0-1 0,0 1 0,0-1 0,-1-1 0,1 1 0,-1 0 0,0-1 0,0 0 0,0 0 0,0 0 0,0 0 0,-1 0 0,0-1 0,3-7 0,-3 6 0,-1-1 0,0 1 0,0 0 0,0-1 0,-1 1 0,0-1 0,0 1 0,0-1 0,-1 1 0,0-1 0,0 1 0,-1 0 0,-3-12 0,3 11 0,-1-1 0,0 1 0,0 0 0,-1 0 0,0 0 0,0 0 0,-1 1 0,1 0 0,-1 0 0,0 0 0,-1 0 0,1 1 0,-1 0 0,0 0 0,0 1 0,-1 0 0,1 0 0,-1 0 0,0 1 0,0 0 0,0 1 0,0 0 0,0 0 0,-14-2 0,15 5 0,0 0 0,0 1 0,1-1 0,-1 1 0,1 1 0,-1-1 0,1 1 0,0 0 0,0 0 0,0 0 0,0 1 0,0 0 0,1 0 0,-1 0 0,1 1 0,0 0 0,0-1 0,-4 9 0,2-3 0,-1 0 0,2 0 0,-1 1 0,1 0 0,1 0 0,0 0 0,0 0 0,-3 23 0,6-30 0,0 1 0,1 0 0,-1-1 0,1 1 0,0 0 0,0-1 0,1 1 0,-1 0 0,1-1 0,0 1 0,0 0 0,1-1 0,-1 1 0,1-1 0,0 0 0,0 0 0,0 0 0,1 0 0,-1 0 0,1 0 0,0-1 0,0 1 0,0-1 0,0 0 0,0 0 0,1 0 0,0 0 0,-1-1 0,1 0 0,0 1 0,0-2 0,0 1 0,0 0 0,0-1 0,0 0 0,1 0 0,-1 0 0,6 0 0,-3 0 0,0-1 0,0 0 0,0 0 0,0 0 0,1-1 0,-1 0 0,0-1 0,0 0 0,-1 0 0,1 0 0,0-1 0,-1 0 0,1-1 0,-1 1 0,0-1 0,0-1 0,0 1 0,-1-1 0,1 0 0,-1 0 0,0-1 0,-1 0 0,6-8 0,-8 11 0,1-1 0,-1 0 0,0 1 0,-1-1 0,1 0 0,-1 0 0,0 0 0,1-1 0,-2 1 0,1 0 0,0 0 0,-1-6 0,0 10 0,0 0 0,0 0 0,0 0 0,0 0 0,0 0 0,0 0 0,-1 0 0,1 0 0,0-1 0,0 1 0,0 0 0,0 0 0,0 0 0,-1 0 0,1 0 0,0 0 0,0 0 0,0 0 0,0 0 0,-1 0 0,1 0 0,0 0 0,0 0 0,0 0 0,0 0 0,0 0 0,-1 1 0,1-1 0,0 0 0,0 0 0,0 0 0,0 0 0,0 0 0,-1 0 0,1 0 0,0 0 0,0 1 0,0-1 0,0 0 0,0 0 0,0 0 0,0 0 0,0 0 0,0 1 0,0-1 0,-1 0 0,1 0 0,0 0 0,0 0 0,0 1 0,0-1 0,0 0 0,0 0 0,0 0 0,0 0 0,0 1 0,0-1 0,0 0 0,0 0 0,0 0 0,1 0 0,-1 0 0,0 1 0,0-1 0,0 0 0,-6 20 0,1 0 0,1 0 0,1 1 0,0-1 0,1 1 0,2 28 0,-2-3 0,-8 680 0,7-196 0,3-528 0,0 39 0,-11 72 0,9-102 0,0 0 0,-1 0 0,0 0 0,-1-1 0,0 1 0,0-1 0,-1 0 0,0-1 0,-1 1 0,0-1 0,-9 12 0,13-19 0,0 1 0,0-1 0,-1 0 0,1 0 0,0 1 0,-1-2 0,0 1 0,1 0 0,-1 0 0,0-1 0,0 0 0,0 0 0,0 0 0,0 0 0,0 0 0,0 0 0,0-1 0,0 0 0,0 0 0,0 0 0,0 0 0,0 0 0,-1 0 0,1-1 0,0 0 0,0 0 0,0 0 0,0 0 0,1 0 0,-1 0 0,0-1 0,0 0 0,-2-2 0,-4-3 0,1-1 0,0 0 0,0 0 0,1 0 0,0-1 0,1-1 0,-1 1 0,-7-18 0,-2-9 0,1-1 0,2-1 0,2 0 0,1-1 0,1 0 0,2 0 0,-3-55 0,6 13 0,3 0 0,15-134 0,-4 139-455,3 2 0,37-125 0,-24 119-6371</inkml:trace>
  <inkml:trace contextRef="#ctx0" brushRef="#br0" timeOffset="13700.84">6143 2281 24575,'-5'0'0</inkml:trace>
  <inkml:trace contextRef="#ctx0" brushRef="#br0" timeOffset="14326.74">8358 2255 24575,'0'9'0,"0"16"0,0 22 0,0 16 0,-4 24 0,-1 20 0,-13 18 0,-2 1 0,1-3 0,5-13 0,4-26-8191</inkml:trace>
  <inkml:trace contextRef="#ctx0" brushRef="#br0" timeOffset="14981.92">8069 3014 24575,'74'-2'0,"-1"-3"0,87-18 0,-118 14 0,0-2 0,0-2 0,-1-2 0,-1-1 0,50-30 0,-76 38 0,0-2 0,-1 0 0,0 0 0,0-1 0,-1-1 0,-1 0 0,0-1 0,16-23 0,-22 28 0,0 0 0,-1-1 0,0 0 0,0 0 0,-1-1 0,0 1 0,-1-1 0,0 1 0,0-1 0,0 0 0,-1 0 0,-1 0 0,0 0 0,0 0 0,-1 1 0,-2-16 0,3 22 0,0 0 0,-1 0 0,1 1 0,-1-1 0,1 0 0,-1 0 0,0 1 0,0-1 0,0 1 0,0-1 0,0 1 0,-1-1 0,1 1 0,-1 0 0,0-1 0,1 1 0,-1 0 0,0 0 0,0 1 0,0-1 0,0 0 0,-1 1 0,1-1 0,0 1 0,0 0 0,-1 0 0,1 0 0,-1 0 0,1 0 0,-1 1 0,1-1 0,-1 1 0,0 0 0,1-1 0,-5 2 0,2 0 0,0 0 0,-1 1 0,1 0 0,0 0 0,1 0 0,-1 1 0,0-1 0,1 1 0,-1 1 0,1-1 0,0 1 0,0 0 0,0 0 0,0 0 0,1 0 0,-1 1 0,-2 4 0,-6 14 0,1 0 0,1 0 0,0 1 0,2 1 0,1 0 0,0 0 0,2 0 0,-3 27 0,-7 209 0,14-246 0,1 0 0,0 0 0,2 0 0,-1-1 0,5 20 0,-5-30 0,1 0 0,-1 0 0,1 0 0,0 0 0,0 0 0,0 0 0,1-1 0,-1 1 0,1-1 0,0 0 0,-1 1 0,1-2 0,1 1 0,-1 0 0,0-1 0,1 1 0,-1-1 0,1 0 0,-1 0 0,1-1 0,8 3 0,-5-2 0,0 0 0,0-1 0,0 0 0,1-1 0,-1 0 0,0 0 0,1 0 0,-1-1 0,0 0 0,0-1 0,0 0 0,1 0 0,-2-1 0,1 0 0,13-7 0,3-5 0,-1 0 0,-1-2 0,21-20 0,-34 29 0,-7 7 0,0 0 0,0-1 0,0 1 0,0 0 0,0 0 0,1 0 0,-1 0 0,0 0 0,0 0 0,1 1 0,-1-1 0,0 0 0,1 1 0,-1-1 0,1 1 0,-1-1 0,0 1 0,1 0 0,-1 0 0,1-1 0,-1 1 0,1 0 0,-1 1 0,1-1 0,-1 0 0,3 1 0,-3 1 0,1 0 0,0 0 0,0 1 0,0-1 0,-1 1 0,0-1 0,1 1 0,-1 0 0,0 0 0,0-1 0,1 5 0,6 14 0,-3-11 0,0 1 0,1-1 0,0 0 0,1 0 0,0-1 0,0 0 0,1-1 0,0 1 0,1-2 0,0 1 0,0-1 0,0-1 0,1 0 0,-1 0 0,1-1 0,1 0 0,-1-1 0,1 0 0,-1-1 0,1 0 0,16 1 0,-6-1 0,0-1 0,0-2 0,0 0 0,0-1 0,-1-2 0,1 0 0,0-1 0,-1-2 0,0 0 0,30-13 0,-40 13 0,0 0 0,0 0 0,0-1 0,-1-1 0,0 0 0,0 0 0,-1-1 0,0 0 0,0 0 0,-1-1 0,7-12 0,-11 18 0,-1 0 0,1 0 0,-1-1 0,0 0 0,0 1 0,-1-1 0,1 0 0,-1 0 0,0 0 0,0 0 0,0 0 0,-1 0 0,0 0 0,0 0 0,0 0 0,0-1 0,-1 1 0,1 0 0,-1 0 0,-1 0 0,1 1 0,-1-1 0,1 0 0,-1 0 0,0 1 0,-1-1 0,1 1 0,-1 0 0,-4-6 0,5 7 0,-1 1 0,1-1 0,-1 1 0,1 0 0,-1 0 0,0 0 0,0 0 0,1 1 0,-1-1 0,-1 1 0,1 0 0,0-1 0,0 2 0,0-1 0,0 0 0,-1 1 0,1-1 0,0 1 0,-1 0 0,1 0 0,0 1 0,0-1 0,-1 1 0,1 0 0,0-1 0,0 2 0,0-1 0,0 0 0,0 1 0,0-1 0,0 1 0,0 0 0,1 0 0,-1 0 0,-4 5 0,4-5 0,0 1 0,1 0 0,-1 0 0,0 0 0,1 0 0,0 1 0,0-1 0,0 1 0,0-1 0,0 1 0,1 0 0,-1 0 0,1 0 0,0 0 0,0 0 0,0 0 0,1 0 0,-1 0 0,1 0 0,0 0 0,0 0 0,0 0 0,1 1 0,-1-1 0,1 0 0,0 0 0,0 0 0,0 0 0,0-1 0,4 7 0,0-2 0,1-1 0,0 0 0,0 0 0,1 0 0,0-1 0,0 0 0,0-1 0,1 0 0,0 0 0,0 0 0,0-1 0,0-1 0,1 1 0,-1-1 0,14 2 0,2 0 0,-1-1 0,1-1 0,0-1 0,39-2 0,-6-10-1365,-13-5-5461</inkml:trace>
  <inkml:trace contextRef="#ctx0" brushRef="#br0" timeOffset="16102.17">10358 2752 24575,'-8'1'0,"1"0"0,0 1 0,0-1 0,0 1 0,0 1 0,1-1 0,-1 1 0,0 1 0,1-1 0,0 1 0,0 0 0,0 1 0,0 0 0,1 0 0,-1 0 0,1 1 0,0-1 0,1 1 0,-5 7 0,-1 3 0,0 0 0,1 1 0,0 0 0,2 0 0,0 1 0,-8 30 0,12-39 0,1 1 0,0 0 0,1 0 0,0 0 0,1 0 0,0 0 0,0 0 0,1 0 0,0 0 0,2 12 0,-1-16 0,0-1 0,0 1 0,0 0 0,1-1 0,-1 0 0,1 1 0,0-1 0,1 0 0,-1-1 0,1 1 0,0-1 0,0 1 0,0-1 0,1-1 0,-1 1 0,1-1 0,0 1 0,5 1 0,7 3 0,1-1 0,0 0 0,0-2 0,1 0 0,-1-2 0,1 0 0,0-1 0,0-1 0,28-2 0,-17-2 0,0-1 0,0-1 0,0-2 0,-1-1 0,35-15 0,-41 12 0,0 0 0,0-2 0,-1-1 0,-1-1 0,0-1 0,-1-1 0,25-26 0,-35 32 0,0 0 0,-1-1 0,0 0 0,-1-1 0,0 0 0,-1-1 0,0 1 0,-1-1 0,0-1 0,-1 1 0,-1-1 0,0 0 0,-1 0 0,3-23 0,-6 32 0,0-1 0,0 1 0,-1 0 0,1-1 0,-1 1 0,0 0 0,-1 0 0,1 0 0,-1 0 0,0 0 0,-1 0 0,1 0 0,-1 1 0,0-1 0,0 1 0,-1 0 0,0 0 0,0 0 0,0 1 0,0-1 0,0 1 0,-1 0 0,1 0 0,-1 1 0,0 0 0,-1 0 0,1 0 0,0 0 0,-1 1 0,1 0 0,-1 0 0,-7-1 0,7 2 0,-1 0 0,1 0 0,0 0 0,0 1 0,0 0 0,-1 1 0,1-1 0,0 1 0,0 1 0,0-1 0,0 1 0,0 0 0,0 0 0,1 1 0,-1 0 0,1 0 0,-1 1 0,1-1 0,0 1 0,0 0 0,0 1 0,1-1 0,0 1 0,-1 0 0,1 1 0,1-1 0,-1 1 0,1-1 0,0 1 0,-4 10 0,5-12 0,1 1 0,-1 0 0,1-1 0,0 1 0,0 0 0,0 0 0,1 0 0,-1 0 0,1 0 0,0 0 0,0 0 0,1 0 0,-1 0 0,1 0 0,0 0 0,1 0 0,2 8 0,-1-8 0,0 0 0,0 1 0,1-1 0,-1 0 0,1-1 0,1 1 0,-1-1 0,0 0 0,1 0 0,0 0 0,0-1 0,6 4 0,9 3 0,1-1 0,-1-2 0,1 0 0,0-1 0,1-1 0,29 2 0,122 5 0,-152-12 0,-1-1 0,0-1 0,1-1 0,-1-1 0,0 0 0,28-12 0,-42 13 0,-1 0 0,0 0 0,0 0 0,0-1 0,0 0 0,0 0 0,4-5 0,-8 8 0,-1 1 0,1-1 0,0 0 0,-1 1 0,1-1 0,0 0 0,-1 0 0,1 1 0,-1-1 0,1 0 0,-1 0 0,0 0 0,1 0 0,-1 0 0,0 0 0,1 0 0,-1 0 0,0 0 0,0 0 0,0 0 0,0 0 0,0 0 0,0 0 0,0 0 0,0 0 0,0 0 0,0 0 0,-1 0 0,1 0 0,0 0 0,-1 0 0,1 0 0,-1 1 0,1-1 0,0 0 0,-1 0 0,0 0 0,1 1 0,-1-1 0,0 0 0,1 0 0,-1 1 0,0-1 0,1 1 0,-1-1 0,0 1 0,0-1 0,0 1 0,0-1 0,-1 0 0,0 0 0,0 0 0,-1 0 0,1 0 0,0 0 0,-1 1 0,1-1 0,-1 1 0,1-1 0,-1 1 0,1 0 0,-1 0 0,1 0 0,-1 0 0,1 1 0,0-1 0,-1 1 0,1-1 0,-1 1 0,1 0 0,0 0 0,-1 0 0,1 1 0,0-1 0,0 0 0,0 1 0,0 0 0,0-1 0,0 1 0,0 0 0,1 0 0,-1 0 0,1 0 0,-1 0 0,-1 5 0,1-3 0,0 0 0,0 0 0,0 0 0,1 0 0,-1 1 0,1-1 0,0 0 0,1 1 0,-1-1 0,1 1 0,-1-1 0,1 1 0,0-1 0,1 1 0,-1-1 0,1 1 0,0-1 0,0 0 0,0 1 0,2 4 0,1-3 0,0-1 0,0 0 0,0 0 0,0 0 0,1 0 0,0-1 0,0 0 0,0 0 0,0 0 0,1-1 0,-1 0 0,1 0 0,0 0 0,0-1 0,0 0 0,0 0 0,0-1 0,11 2 0,1 0 0,1-2 0,-1 0 0,0-1 0,0 0 0,25-6 0,-33 4 0,0 0 0,0-1 0,0-1 0,-1 0 0,1 0 0,-1-1 0,0 0 0,0-1 0,-1 0 0,0-1 0,12-11 0,-9 6 0,-1-1 0,0 0 0,0 0 0,-1-1 0,-1-1 0,10-22 0,-14 35 0,-4 15 0,-3 24 0,3-33 0,-2 14 0,1 0 0,0 0 0,2 0 0,0 0 0,6 34 0,-5-44 0,0 0 0,0-1 0,1 1 0,0-1 0,1 0 0,-1 0 0,1 0 0,0 0 0,1-1 0,0 0 0,0 0 0,0 0 0,0 0 0,1-1 0,12 9 0,-2-4 12,1-1 0,0-1 0,0 0 0,1-1 0,0-1 0,0-1 0,0-1 0,1-1 0,31 2 0,-37-4-111,0-1 0,-1 0 0,1-1 0,0-1 0,-1 0 0,1-1 0,-1 0 0,0-1 0,1 0 0,-2-1 0,1-1 0,0 0 0,-1-1 0,20-15 0,4-18-6727</inkml:trace>
  <inkml:trace contextRef="#ctx0" brushRef="#br0" timeOffset="16209.74">11779 2543 24575,'-4'0'0,"6"9"0,4 3-8191</inkml:trace>
  <inkml:trace contextRef="#ctx0" brushRef="#br0" timeOffset="16476.59">12236 2648 24575,'0'-5'0,"0"-9"0,0-13 0,4-5 0,2-6 0,-1 7 0,-1 18 0,-9 30 0,-4 29 0,-13 24 0,-2 19 0,2 11 0,6-1 0,5-10 0,4-11 0,12-18 0,13-20 0,4-16-8191</inkml:trace>
  <inkml:trace contextRef="#ctx0" brushRef="#br0" timeOffset="17716.59">11875 2936 24575,'145'1'0,"192"-5"0,-271-1 0,-1-3 0,0-3 0,64-20 0,-109 25 0,-1-1 0,27-13 0,-42 18 0,0 0 0,0-1 0,0 1 0,0-1 0,-1 0 0,1 0 0,-1 0 0,0-1 0,1 1 0,-1-1 0,-1 0 0,1 0 0,0 0 0,-1 0 0,0 0 0,3-8 0,-4 11 0,-1 0 0,0 0 0,1-1 0,-1 1 0,0 0 0,0-1 0,0 1 0,0 0 0,0-1 0,0 1 0,0 0 0,0-1 0,0 1 0,0 0 0,-1-1 0,1 1 0,0 0 0,-1 0 0,1-1 0,-1 1 0,0 0 0,1 0 0,-1 0 0,0 0 0,0 0 0,1 0 0,-1 0 0,0 0 0,0 0 0,0 0 0,0 1 0,0-1 0,0 0 0,0 1 0,0-1 0,-1 0 0,1 1 0,0 0 0,0-1 0,0 1 0,-1 0 0,1 0 0,0-1 0,0 1 0,-1 0 0,1 0 0,0 1 0,-2-1 0,-4 0 0,0 1 0,0-1 0,0 2 0,0-1 0,1 1 0,-1 0 0,-8 4 0,8-2 0,-1 0 0,1 1 0,0 0 0,0 1 0,1 0 0,-1 0 0,1 1 0,0-1 0,1 1 0,0 1 0,0-1 0,0 1 0,-4 11 0,7-15 0,0 0 0,0 1 0,1-1 0,-1 0 0,1 1 0,0-1 0,1 1 0,-1-1 0,1 1 0,0 0 0,0-1 0,0 1 0,0 0 0,1-1 0,0 1 0,0-1 0,0 1 0,0-1 0,1 1 0,-1-1 0,1 0 0,0 0 0,0 0 0,0 0 0,1 0 0,0-1 0,5 7 0,-1-3 0,0 0 0,1-1 0,-1-1 0,1 1 0,0-1 0,1 0 0,-1-1 0,1 0 0,0-1 0,0 0 0,0 0 0,0-1 0,0-1 0,0 1 0,1-2 0,-1 1 0,1-1 0,-1-1 0,0 0 0,1 0 0,11-4 0,-12 2 0,1 0 0,0 0 0,-1-1 0,0 0 0,0-1 0,0 0 0,-1-1 0,1 0 0,-1 0 0,0-1 0,-1 0 0,1-1 0,-2 0 0,1 0 0,-1 0 0,0-1 0,0 0 0,-1 0 0,7-17 0,-7 13 0,-1-1 0,0 0 0,-1 0 0,-1 0 0,2-20 0,-4 30 0,1 0 0,-1-1 0,0 1 0,0 0 0,-1 0 0,1 0 0,-1 0 0,0 0 0,0 0 0,0 0 0,0 0 0,0 0 0,-1 1 0,0-1 0,0 1 0,0-1 0,0 1 0,0-1 0,-1 1 0,1 0 0,-1 0 0,-5-5 0,6 7 0,1 1 0,0-1 0,-1 0 0,1 0 0,-1 1 0,1-1 0,-1 1 0,1-1 0,-1 1 0,0 0 0,1-1 0,-1 1 0,0 0 0,1 0 0,-1 0 0,1 1 0,-1-1 0,0 0 0,1 1 0,-1-1 0,1 1 0,-1-1 0,-2 2 0,2 0 0,-1 0 0,0 1 0,1-1 0,0 1 0,-1-1 0,1 1 0,0 0 0,0 0 0,0 0 0,1 0 0,-3 4 0,1 0 0,0 1 0,1-1 0,-1 1 0,1-1 0,1 1 0,-1 0 0,1 0 0,1 0 0,-1 0 0,2 11 0,0-13 0,1 0 0,0 0 0,0 0 0,1 0 0,0 0 0,0 0 0,0-1 0,0 0 0,1 1 0,0-1 0,0-1 0,0 1 0,0-1 0,1 1 0,0-1 0,-1-1 0,2 1 0,-1-1 0,0 0 0,0 0 0,1-1 0,9 4 0,8 1 0,0 0 0,0-1 0,1-2 0,29 2 0,-27-5 0,1-1 0,-1-2 0,48-9 0,-67 10 0,-6 1 0,0 0 0,0 0 0,0 0 0,0 0 0,0 0 0,0 0 0,0 0 0,0 1 0,0-1 0,0 0 0,-1 1 0,1-1 0,0 1 0,0-1 0,0 1 0,-1 0 0,1-1 0,0 1 0,-1 0 0,1-1 0,0 1 0,-1 0 0,1 0 0,-1 0 0,1 0 0,-1-1 0,1 2 0,12 34 0,-2-6 0,-6-23 0,1 0 0,-1-1 0,2 0 0,-1 0 0,0 0 0,1 0 0,0-1 0,0-1 0,1 1 0,-1-1 0,1-1 0,-1 1 0,1-1 0,0-1 0,9 2 0,-2-1 0,-1 0 0,0-1 0,1-1 0,-1 0 0,0-2 0,1 1 0,27-7 0,-34 5 0,-1-1 0,1 0 0,-1-1 0,0 1 0,0-1 0,-1-1 0,1 0 0,-1 0 0,0 0 0,0-1 0,0 0 0,-1 0 0,1 0 0,7-14 0,-8 12 0,0-1 0,0-1 0,-1 1 0,0-1 0,0 0 0,-1 0 0,0 0 0,-1 0 0,0-1 0,-1 1 0,1-16 0,-2 22 0,0 1 0,-1-1 0,1 0 0,-1 0 0,0 0 0,0 1 0,-1-1 0,1 1 0,-1-1 0,1 1 0,-1-1 0,0 1 0,0 0 0,0 0 0,-1 0 0,1 0 0,-4-3 0,5 5 0,0 1 0,0-1 0,0 0 0,0 0 0,-1 0 0,1 1 0,0-1 0,-1 1 0,1-1 0,0 1 0,-1 0 0,1-1 0,-1 1 0,1 0 0,0 0 0,-1 0 0,1 0 0,-1 0 0,1 0 0,0 1 0,-1-1 0,1 1 0,0-1 0,-1 1 0,1-1 0,0 1 0,-1 0 0,1-1 0,0 1 0,0 0 0,0 0 0,0 0 0,0 0 0,0 0 0,0 0 0,0 0 0,0 1 0,0-1 0,0 0 0,1 1 0,-1-1 0,1 0 0,-1 1 0,1-1 0,-1 2 0,-2 2 0,1-1 0,0 1 0,0-1 0,1 1 0,-1 0 0,1 0 0,0 0 0,0 0 0,0 0 0,1 0 0,0 0 0,0 0 0,0 0 0,0 0 0,1 1 0,0-1 0,0 0 0,0-1 0,0 1 0,1 0 0,-1 0 0,1 0 0,5 7 0,-2-5 0,0 0 0,1-1 0,0 1 0,0-1 0,0-1 0,1 1 0,0-1 0,0-1 0,0 1 0,0-1 0,1-1 0,-1 1 0,12 2 0,26 7 0,1-2 0,0-2 0,50 3 0,143-7 0,-214-5 0,0-2 0,-1 0 0,1-2 0,-1-1 0,32-11 0,-51 14 0,0 1 0,0-2 0,0 1 0,0 0 0,-1-1 0,1 0 0,-1 0 0,1-1 0,-1 1 0,0-1 0,0 0 0,0 0 0,-1-1 0,1 1 0,-1-1 0,0 0 0,0 0 0,-1 0 0,1 0 0,-1 0 0,0-1 0,0 1 0,-1-1 0,1 1 0,-1-1 0,0 0 0,-1 0 0,1 0 0,-1 1 0,0-1 0,-1-6 0,0 5 0,0-1 0,-1 1 0,0 0 0,0 0 0,0 0 0,-1 0 0,0 1 0,0-1 0,0 1 0,-1-1 0,0 1 0,0 1 0,0-1 0,-1 0 0,0 1 0,0 0 0,0 1 0,-10-8 0,11 9 0,-1 0 0,0 1 0,1-1 0,-1 1 0,0 0 0,0 1 0,0-1 0,0 1 0,-1 0 0,1 0 0,0 1 0,0 0 0,0 0 0,-1 0 0,1 1 0,0-1 0,0 1 0,0 1 0,0-1 0,0 1 0,0 0 0,0 0 0,0 1 0,1-1 0,-5 4 0,1 1 0,0-1 0,0 1 0,1 1 0,0 0 0,0 0 0,1 0 0,0 1 0,0 0 0,1 0 0,0 0 0,1 1 0,-7 18 0,10-24 0,-1 1 0,1 0 0,0 0 0,0 0 0,1-1 0,-1 1 0,1 0 0,0 0 0,0 0 0,1 0 0,-1 0 0,1 0 0,0 0 0,0-1 0,1 1 0,-1 0 0,1-1 0,0 1 0,0-1 0,0 0 0,1 0 0,-1 0 0,1 0 0,0 0 0,0 0 0,0-1 0,0 1 0,1-1 0,-1 0 0,6 3 0,-4-2 0,0-1 0,0 1 0,1-1 0,-1-1 0,1 1 0,0-1 0,0 0 0,0 0 0,0-1 0,0 0 0,0 0 0,0 0 0,0-1 0,0 0 0,0 0 0,0-1 0,1 0 0,-1 0 0,0 0 0,-1-1 0,1 0 0,0-1 0,0 1 0,-1-1 0,1 0 0,-1 0 0,0-1 0,0 0 0,0 0 0,0 0 0,-1-1 0,7-7 0,4-7 0,0-1 0,-1-1 0,-1-1 0,-1 0 0,-1 0 0,18-49 0,-22 55 0,-2 18 0,-2 29 0,1-2 0,-1-19 0,0 0 0,2 0 0,-1 0 0,1-1 0,0 0 0,0 0 0,1-1 0,0 0 0,1 0 0,0 0 0,0-1 0,13 11 0,-15-14 0,0 0 0,1 0 0,-1-1 0,1 0 0,0 0 0,0 0 0,0-1 0,0 0 0,0 0 0,1-1 0,-1 0 0,0 0 0,1 0 0,-1-1 0,1 0 0,-1-1 0,1 1 0,-1-1 0,0 0 0,9-4 0,-12 4-85,0 0 0,0-1-1,0 0 1,0 0 0,0 0-1,-1 0 1,1 0 0,-1 0-1,1-1 1,-1 0 0,0 1-1,1-1 1,-1 0 0,-1 0-1,4-6 1,6-20-6741</inkml:trace>
  <inkml:trace contextRef="#ctx0" brushRef="#br0" timeOffset="17841.97">14187 2491 24575,'-24'-14'0,"-29"-3"0,-14 0 0,13 3 0,16 4-8191</inkml:trace>
  <inkml:trace contextRef="#ctx0" brushRef="#br0" timeOffset="18313.41">14982 2177 24575,'-1'-8'0,"-1"-1"0,0 1 0,-1 0 0,1 1 0,-1-1 0,-1 0 0,0 1 0,1 0 0,-2 0 0,-7-10 0,-8-16 0,6 4 0,1 0 0,2 0 0,0-1 0,-11-52 0,19 68 0,0 0 0,1 0 0,1 0 0,0 0 0,1 0 0,0-1 0,1 1 0,0 0 0,1 0 0,1 0 0,0 0 0,9-25 0,-9 33 0,0 0 0,1 0 0,0 0 0,0 1 0,0-1 0,0 1 0,1 0 0,-1 0 0,1 1 0,0 0 0,1 0 0,-1 0 0,1 0 0,-1 1 0,1 0 0,0 0 0,0 1 0,0 0 0,0 0 0,1 1 0,-1-1 0,0 1 0,10 0 0,-5 1 0,0 1 0,0-1 0,-1 2 0,1-1 0,0 2 0,-1-1 0,1 2 0,-1 0 0,0 0 0,0 1 0,0 0 0,-1 0 0,10 9 0,-3 0 0,-2 0 0,0 1 0,0 1 0,-1 0 0,-1 1 0,-1 1 0,0 0 0,-1 0 0,-1 1 0,0 1 0,-1-1 0,-1 2 0,8 40 0,-6-16 0,-2 0 0,-2 0 0,-2 1 0,-2-1 0,-6 75 0,-8-24 0,-42 165 0,-3 13 0,49-173-1365,8-16-5461</inkml:trace>
  <inkml:trace contextRef="#ctx0" brushRef="#br0" timeOffset="18529">15392 3380 24575,'0'9'0,"4"21"0,1 9 0,4 8 0,9 4 0,1-2 0,-2 4 0,-13-7 0,-7-16 0,-3-17 0,8-20 0,4-9-8191</inkml:trace>
  <inkml:trace contextRef="#ctx0" brushRef="#br0" timeOffset="19095.91">16451 1470 24575,'-8'0'0,"14"0"0,26 0 0,36 0 0,39 0 0,27 5 0,2 1 0,-13 8 0,-29 12 0,-29 0-8191</inkml:trace>
  <inkml:trace contextRef="#ctx0" brushRef="#br0" timeOffset="19221.29">16692 1837 24575,'-8'0'0,"-3"9"0,9 2 0,25 1 0,37-3 0,38-3 0,26-11 0,4-4 0,-19-2-8191</inkml:trace>
  <inkml:trace contextRef="#ctx0" brushRef="#br0" timeOffset="19453.04">17174 1052 24575,'12'4'0,"21"16"0,29 25 0,37 33 0,26 29 0,4 28 0,-20 22 0,-28 7 0,-29 1 0,-22-13 0,-29-15 0,-23-17 0,-19-21 0,-12-26 0,3-26-8191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3:19:55.82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24575,'0'8'0,"0"3"-8191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3:19:57.590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10960 3193 24575,'4'0'0</inkml:trace>
  <inkml:trace contextRef="#ctx0" brushRef="#br0" timeOffset="448.06">10795 2229 24575,'0'0'-8191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4:21:54.70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4:22:19.58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406 517 24575,'-1'12'0,"1"14"0,1 18 0,-1 21 0,-1 24 0,1 21 0,1 25 0,-1 8 0,-1-3 0,1-16 0,1-23 0,-1-23 0,-1-37 0,1-35 0,1-18-8191</inkml:trace>
  <inkml:trace contextRef="#ctx0" brushRef="#br0" timeOffset="1">48 1055 24575,'-2'0'0,"1"0"0,0 0 0,-1-1 0,1 1 0,0-2 0,1 2 0,-2-1 0,1 1 0,0-1 0,0 0 0,0 1 0,0-2 0,0 1 0,0 0 0,0 0 0,0 1 0,0-1 0,0-1 0,1 1 0,-1 0 0,0 0 0,1-1 0,-1-2 0,-11-38 0,11 39 0,-1-15 0,-1 1 0,0-1 0,2 1 0,0-1 0,1 1 0,0-2 0,1 2 0,1 0 0,0 0 0,1-1 0,5-18 0,-1 13 0,-1 1 0,3 2 0,-1-1 0,1 0 0,2 1 0,0 0 0,23-29 0,-12 21 0,3 1 0,-1 1 0,3 0 0,-1 3 0,1 2 0,1 2 0,1 0 0,1 1 0,49-19 0,-50 26 0,-1 2 0,1 1 0,0 0 0,1 5 0,45-4 0,-63 9 0,-1-1 0,-1 0 0,2 2 0,-1-1 0,-1 2 0,1-1 0,19 12 0,-24-11 0,1 1 0,-2 0 0,2 0 0,-1 1 0,-1 0 0,1-1 0,-1 2 0,-1 1 0,1-2 0,0 1 0,-1 0 0,0 1 0,3 8 0,-2-2 0,0 4 0,0-2 0,-2 0 0,0 0 0,0 0 0,-1-1 0,-1 4 0,0-2 0,-1-1 0,0 1 0,-1-1 0,-1 1 0,-1-1 0,-6 32 0,-1-6 0,-3-1 0,-1-2 0,-1 0 0,-29 57 0,5-24-682,-68 97-1,41-78-6143</inkml:trace>
  <inkml:trace contextRef="#ctx0" brushRef="#br0" timeOffset="2">983 1226 24575,'1'-2'0,"0"1"0,0 0 0,0-2 0,0 2 0,0 0 0,0 0 0,0 0 0,-1-2 0,0 2 0,1-2 0,-1 1 0,1 1 0,-1-2 0,0 2 0,1-1 0,-1 0 0,0 0 0,0-3 0,0 1 0,1-4 0,0-3 0,0 2 0,-1-2 0,-1 2 0,0-2 0,0 3 0,0-3 0,-1 2 0,1-1 0,-2 2 0,-4-14 0,6 18 0,-1 1 0,1 0 0,0-1 0,-1 2 0,0-1 0,0-1 0,0 2 0,-1 0 0,1-1 0,0-1 0,0 4 0,-1-2 0,1-1 0,-1 1 0,0 1 0,0-2 0,1 2 0,-1 0 0,0 0 0,0-1 0,-1 2 0,2-1 0,-1 1 0,0 0 0,-1-1 0,1 1 0,1 1 0,-1-1 0,0 0 0,-1 1 0,1 1 0,-5 1 0,-1 1 0,1 1 0,0-1 0,0 1 0,0 1 0,1 0 0,-1 0 0,2 1 0,-2-1 0,2 3 0,0-2 0,0 2 0,0 0 0,1-1 0,0 2 0,-5 11 0,-3 7 0,1 3 0,1-2 0,-14 60 0,19-68 0,2 2 0,0 2 0,1-2 0,0-1 0,2 3 0,1 40 0,0-59 0,1 0 0,-1 0 0,1 0 0,0-1 0,1 1 0,-1 0 0,1-2 0,0 2 0,0 0 0,0 1 0,0-4 0,0 2 0,1 1 0,0-2 0,1 1 0,-1 0 0,0-2 0,1 2 0,-1-2 0,2 1 0,-2-1 0,1 1 0,0 0 0,1-2 0,-1-1 0,0 2 0,1-1 0,-1 1 0,1-2 0,0 0 0,-1 0 0,7 1 0,-3-1 0,2-1 0,-2-1 0,2-1 0,-2 1 0,0-1 0,2-1 0,-2-1 0,1 2 0,-1-2 0,1-1 0,-2 1 0,2-1 0,-2 0 0,1-1 0,-2-2 0,2 2 0,10-14 0,0-3 0,1-3 0,-2 3 0,-1-4 0,24-47 0,-38 67 0,28-58 0,-29 59 0,2-1 0,-2 3 0,1-3 0,0 1 0,-1 0 0,0 1 0,0-1 0,-1-1 0,1-7 0,-1 14 0,0-1 0,0 1 0,0 0 0,0-1 0,0 1 0,0 0 0,0 0 0,0-1 0,0 1 0,-1 0 0,1-2 0,0 2 0,0 0 0,0 0 0,0-1 0,0 1 0,0 0 0,-1 0 0,1 0 0,0 0 0,0 0 0,0 0 0,-1-1 0,1 1 0,0 0 0,0 0 0,-1 0 0,1 0 0,0-1 0,0 1 0,-1 0 0,1 0 0,0 0 0,-1 0 0,1 0 0,0 0 0,0 0 0,-1 0 0,1 0 0,0 0 0,-1 0 0,1 0 0,0 0 0,-1 0 0,1 0 0,0 0 0,0 0 0,-1 0 0,1 1 0,-14 10 0,5 1 0,0 2 0,2-2 0,-1 1 0,1 2 0,-8 20 0,11-27 0,0 3 0,1-2 0,1 2 0,-1-1 0,1 1 0,0 0 0,0-1 0,1 1 0,0 13 0,1-21 0,0-1 0,1 1 0,-1-1 0,0 1 0,1-1 0,-1 0 0,1 1 0,0-2 0,0 2 0,-1-1 0,1 1 0,0-1 0,1-1 0,-1 2 0,0-1 0,0-1 0,0 2 0,0-2 0,1 0 0,0 0 0,-1 2 0,1-2 0,0 0 0,0 1 0,0-1 0,-2 0 0,2 0 0,0-1 0,0 2 0,0-1 0,1-1 0,-1 0 0,0 1 0,-1-1 0,1 0 0,0 0 0,3 0 0,1-1 0,0 0 0,1-1 0,-1 1 0,0-1 0,1-1 0,-2 1 0,2-2 0,-2 2 0,1-2 0,7-6 0,-3 1 0,-1 0 0,-1-1 0,2-1 0,-2 0 0,0 0 0,12-25 0,34-84 0,-26 55 0,-15 34 0,14-42 0,-25 77 0,1 18 0,-2-7 0,1 0 0,0-1 0,1 0 0,8 28 0,-3-28 0,0 1 0,1 0 0,0-3 0,14 18 0,-14-21 0,-2 0 0,1 2 0,-1-1 0,0 1 0,0 0 0,-2 1 0,7 15 0,-11-24 0,0-1 0,-1 0 0,1 0 0,-1-1 0,0 2 0,1-2 0,-1 0 0,0 2 0,0-1 0,0-1 0,0 2 0,0-1 0,0-1 0,-1 2 0,1-2 0,-1 0 0,1 2 0,-1-2 0,1 1 0,-1 0 0,1 0 0,-2 3 0,0-3 0,-1 0 0,1 0 0,0 1 0,-1-1 0,1 1 0,0-1 0,-1-1 0,0 2 0,0-2 0,0 0 0,-3 2 0,-9 2 0,-1-1 0,0-1 0,-26 2 0,35-5 0,-17 2-195,-1-1 0,1 1 0,-1-4 0,2-1 0,-2 0 0,-23-9 0,8-5-6631</inkml:trace>
  <inkml:trace contextRef="#ctx0" brushRef="#br0" timeOffset="3">1500 932 24575,'-1'-11'0,"1"-19"0,1-6 0,5-6 0,10 7 0,1 20 0,-1 28 0,3 32 0,-2 25 0,-4 24 0,-4 9 0,-4 10 0,-2 1 0,-5-9 0,-3-16 0,4-20 0,1-26-8191</inkml:trace>
  <inkml:trace contextRef="#ctx0" brushRef="#br0" timeOffset="4">1599 1178 24575,'31'-3'0,"-1"-2"0,0-1 0,0 0 0,37-19 0,-22 11 0,0-2 0,75-40 0,-105 49 0,-1-1 0,1-2 0,-2-1 0,1 1 0,-1-2 0,0-1 0,-1 0 0,18-25 0,-28 35 0,0 1 0,-1-1 0,1 0 0,-1 0 0,-1 2 0,2-3 0,-1 2 0,0-2 0,0 0 0,-1 2 0,1-1 0,0 0 0,-1-1 0,1-4 0,-2 6 0,1 1 0,0 0 0,-1 0 0,1-2 0,-1 2 0,0 0 0,1-2 0,-1 2 0,0 0 0,0 0 0,0-1 0,1 1 0,-1 0 0,0 0 0,0-1 0,0 2 0,0-1 0,-1 0 0,1 0 0,0 1 0,0-2 0,-1 1 0,1 1 0,0-1 0,-1 1 0,2 0 0,-2-1 0,1 1 0,-2 0 0,-6-1 0,1-1 0,0 2 0,-1 0 0,1 0 0,-1 2 0,1-1 0,0 1 0,0 1 0,-1-1 0,2 1 0,-1 0 0,0 2 0,-14 9 0,7-3 0,1 0 0,0 1 0,1 2 0,0-2 0,0 3 0,-11 17 0,15-19 0,0 1 0,2 0 0,-2 1 0,3 0 0,-1 0 0,0 1 0,3 0 0,-2 1 0,2 0 0,-4 26 0,7-35 0,0 1 0,1 0 0,-1-1 0,2 0 0,-1 1 0,1-1 0,0 0 0,0 1 0,1-2 0,0 3 0,-1-4 0,2 3 0,0-2 0,0 2 0,1-2 0,-2-1 0,3 2 0,-1-1 0,0-1 0,0 2 0,1-2 0,1-1 0,7 8 0,2 0 12,0-2 0,0-2 0,1 1 0,0-1 0,0-3 0,0 1 0,1 0 0,0-1 0,20 0 0,-8-1-309,1-3 0,-1 1 0,0-5 0,49-6 0,-24-4-6529</inkml:trace>
  <inkml:trace contextRef="#ctx0" brushRef="#br0" timeOffset="5">2793 761 24575,'3'-19'0,"-3"17"0,1 1 0,-1 1 0,0-1 0,1 1 0,-1-1 0,0-1 0,0 1 0,0 0 0,0 1 0,0-1 0,0 0 0,0-1 0,0 1 0,0 0 0,0 0 0,0-1 0,0 1 0,0 0 0,0 0 0,0 1 0,0-1 0,-1-1 0,1 2 0,0-1 0,-1 0 0,1 1 0,-1-1 0,1-1 0,-1 2 0,0-1 0,1 0 0,-1 1 0,0-1 0,1-1 0,-1 2 0,0-1 0,0 1 0,1 0 0,-1-1 0,0 1 0,0-1 0,0 1 0,0 0 0,1 0 0,-1 0 0,1-1 0,-1 1 0,-2 0 0,-13-2 0,0 1 0,-1 0 0,1 2 0,-1 0 0,1 2 0,0 0 0,0 2 0,0 0 0,0 0 0,-28 17 0,40-20 0,0 1 0,0 0 0,0-1 0,0 1 0,1 0 0,0 1 0,-1 0 0,0-1 0,1 1 0,1 0 0,-5 7 0,6-9 0,1-1 0,-1 1 0,0 0 0,1 1 0,-1-1 0,1 1 0,-1-1 0,1 0 0,0 1 0,0-2 0,0 2 0,0-1 0,0 0 0,0 1 0,1-1 0,-1 1 0,1-1 0,-1 1 0,1-3 0,0 2 0,0 1 0,0-1 0,0 1 0,0-2 0,0 1 0,0 1 0,0-2 0,1 1 0,-2-2 0,4 4 0,4 6 0,0-1 0,1-1 0,0-1 0,0 1 0,18 9 0,59 27 0,-79-40 0,365 141 0,-304-121 0,-35-14 0,0 5 0,0-1 0,-1 1 0,43 33 0,-72-48 0,0 3 0,0-1 0,0 1 0,-1 0 0,0 0 0,1-1 0,-1 2 0,0-3 0,0 3 0,0 0 0,-1-1 0,4 7 0,-5-9 0,0 1 0,1 0 0,-1-1 0,0 2 0,0-2 0,0 1 0,0 0 0,0 0 0,0-2 0,0 1 0,0 2 0,-1-2 0,1 1 0,-1 0 0,1 0 0,-1-1 0,1 1 0,-1-1 0,0 1 0,0 0 0,0 0 0,-4 4 0,0-1 0,1 1 0,-2-2 0,0 1 0,1 0 0,-1 0 0,-1-3 0,2 2 0,-2-1 0,-9 4 0,-31 9-195,0-3 0,0-1 0,-1-4 0,-1-2 0,2-2 0,-76-8 0,59-6-6631</inkml:trace>
  <inkml:trace contextRef="#ctx0" brushRef="#br0" timeOffset="6">3211 1226 24575,'7'0'0,"-1"-2"0,1 0 0,0 1 0,0-2 0,-1 2 0,1-3 0,-1 1 0,0-1 0,1 0 0,-2-1 0,9-6 0,6-7 0,30-35 0,-42 43 0,-1 2 0,0-3 0,0 1 0,-1-3 0,0 4 0,0-2 0,-1-3 0,-1 3 0,1-1 0,-1-2 0,0 2 0,-2 0 0,1-2 0,-1 1 0,0 0 0,-1-1 0,-1 1 0,1 0 0,-2-2 0,0 3 0,0-2 0,-1 1 0,0-1 0,0 2 0,-1 0 0,-7-18 0,9 25 0,0 2 0,0-1 0,-1-1 0,0 0 0,0 1 0,0 1 0,0-1 0,-1 0 0,1 1 0,0-1 0,-1 0 0,-6-3 0,8 6 0,1 1 0,-1-2 0,0 2 0,0-1 0,-1 1 0,1 0 0,0-1 0,0 1 0,0 0 0,0 0 0,-1 0 0,1 0 0,0 0 0,0 0 0,0 0 0,0 1 0,0-1 0,-2 1 0,1 1 0,-1-1 0,1 1 0,-1 0 0,2 0 0,-1-1 0,0 2 0,0-1 0,0 1 0,0-1 0,-3 7 0,-6 13 0,1 2 0,0 2 0,2-1 0,0 1 0,2 1 0,-6 40 0,-11 73-63,-15 265 1,25 151-507,12-512 542,1 82 27,4 303 0,-4-417 0,1-1 0,0 0 0,1 0 0,5 18 0,-7-28 0,0-1 0,0 0 0,0 0 0,0 0 0,0 1 0,0-1 0,0 0 0,0 1 0,0-1 0,0 0 0,0 2 0,0-2 0,0 0 0,0 1 0,0-1 0,0 0 0,0 0 0,1 1 0,-1-1 0,0 0 0,0 0 0,1 1 0,-1-1 0,0 0 0,0 0 0,1 0 0,-1 2 0,0-2 0,1 0 0,-1 0 0,0 0 0,1 0 0,-1 0 0,0 0 0,1 0 0,-1 0 0,1 0 0,-1 0 0,0 0 0,1 0 0,-1 0 0,0 0 0,1 0 0,-1 0 0,0 0 0,1 0 0,-1 0 0,0 0 0,1-2 0,-1 2 0,0 0 0,1 0 0,-1 0 0,0-1 0,0 1 0,1 0 0,-1 0 0,0-1 0,0 1 0,0 0 0,1 0 0,-1-1 0,0 1 0,0 0 0,0-2 0,0 2 0,1-1 0,4-15 0,1-1 0,-1 1 0,0-1 0,-1 0 0,-1-2 0,0 2 0,0-23 0,3-8 0,30-253 21,39-261-121,-57 465 84,3 2-1,4-1 0,56-146 0,-75 223 17,2 1 0,-1-1 0,3 2 0,-1 0 0,0 1 0,2-1 0,0 1 0,0 1 0,15-13 0,-24 27 2,1-3 0,-1 3 0,1-2 0,0 1 0,0-1 0,0 2 0,1 0 0,-1 0 0,0 0-1,0 1 1,0-2 0,0 1 0,0 1 0,1 0 0,-1 0 0,0 0 0,0 0 0,1 0-1,-1 0 1,0 1 0,0 1 0,0-2 0,0 1 0,0 0 0,0 0 0,0 2 0,0-2 0,0 1-1,-1 1 1,1-1 0,0 1 0,-1-2 0,0 1 0,0 2 0,4 3 0,-3 0 34,-1-4 0,1 3 1,0-1-1,0 0 0,-1 1 0,0 1 1,0-1-1,-1 0 0,0 0 1,0 1-1,0-2 0,0 1 1,0 2-1,-1-3 0,0 2 0,0 0 1,-1-2-1,1 1 0,-1 2 1,0-3-1,-2 10 0,0-7-28,-1 1 0,0-1 0,-1 1 0,1-2 0,-1 2 0,0-2 0,0-1 0,-1 2 0,0-2 0,1 1 0,-2-1 0,1-1 0,-1 0 0,-12 9 0,1-3-305,-3-3 0,1 2 0,-1-1 0,-24 4 0,-6-2-6529</inkml:trace>
  <inkml:trace contextRef="#ctx0" brushRef="#br0" timeOffset="7">3709 1103 24575,'4'5'0,"0"-2"0,0 2 0,0-1 0,1-3 0,0 3 0,-1-2 0,1 2 0,0-2 0,-1 0 0,2 0 0,-1-1 0,0 1 0,0-2 0,7 1 0,-3-1 0,-1 0 0,1 0 0,0-1 0,-1 1 0,1-2 0,-1 0 0,15-7 0,-14 3 0,0 1 0,0-1 0,0-1 0,-1 1 0,0-3 0,-1 2 0,1-2 0,-1 0 0,0 0 0,-1-1 0,1 0 0,8-18 0,-12 22 0,0-2 0,0 2 0,0-3 0,0 2 0,-1 0 0,0-1 0,0 1 0,-2-2 0,2 1 0,-1 0 0,-1 1 0,1 0 0,-1-2 0,-1 0 0,1 2 0,-1-1 0,0 0 0,0 0 0,-1 0 0,-3-10 0,4 17 0,1-2 0,-1 1 0,0 0 0,0 0 0,0-1 0,0 2 0,0-1 0,0 1 0,1-1 0,-2 1 0,1 0 0,0 0 0,-1-2 0,1 2 0,-1 0 0,1 0 0,-1-1 0,0 2 0,1-1 0,0 0 0,-1 1 0,1-1 0,-1 1 0,0-2 0,0 2 0,0 0 0,0-1 0,1 1 0,0 0 0,-1 1 0,0-1 0,0 0 0,0 0 0,1 2 0,-1-2 0,0 1 0,-2 1 0,-2 2 0,1 0 0,1-1 0,-2 1 0,1 1 0,1 0 0,0 0 0,-1 0 0,1 1 0,1 0 0,-6 7 0,-1 7 0,0 1 0,2 0 0,-1 0 0,2 0 0,0 2 0,2-1 0,-1 1 0,2 1 0,-1 22 0,4-35 0,0 1 0,1-1 0,1-2 0,0 2 0,0 1 0,0-1 0,1 0 0,0-2 0,7 18 0,-6-19 0,-1-1 0,2 1 0,0-2 0,0 0 0,-1 1 0,2-2 0,0 1 0,-1 0 0,1-1 0,1 0 0,-1 1 0,0-1 0,1-2 0,7 7 0,1-4-114,-1-1 1,1 0-1,0-1 0,0 0 0,1-1 1,-1-2-1,1 0 0,-1-1 0,0 0 1,1-1-1,23-5 0,25-10-6712</inkml:trace>
  <inkml:trace contextRef="#ctx0" brushRef="#br0" timeOffset="8">4365 957 24575,'0'-3'0,"0"1"0,0-1 0,0 2 0,0-1 0,-1-1 0,1 1 0,0-1 0,-1 1 0,0-1 0,1 1 0,-1 1 0,0-2 0,0 1 0,0 0 0,1 0 0,-1 0 0,0-1 0,-1 2 0,1-2 0,0 2 0,-1 0 0,1 0 0,-1-1 0,0 1 0,0-1 0,1 1 0,0-1 0,-1 2 0,0-1 0,0 0 0,0 0 0,0 1 0,-2-2 0,0 1 0,-1 1 0,1 0 0,0 0 0,-1 0 0,1 1 0,-1 1 0,2-1 0,-2 0 0,1 0 0,0 2 0,0-2 0,0 1 0,-7 6 0,-2 4 0,0 0 0,1 1 0,1 1 0,0 0 0,0 1 0,1-1 0,1 2 0,0 2 0,1-1 0,0 0 0,2 0 0,-1 2 0,1-1 0,-5 27 0,10-41 0,0 1 0,0-1 0,0 1 0,0-2 0,1 2 0,0 0 0,0 0 0,0 0 0,0-1 0,1-1 0,0 2 0,-1 0 0,1-1 0,1 1 0,-1-2 0,0 2 0,1-1 0,0 0 0,0-1 0,-1 2 0,1-1 0,1-2 0,-1 2 0,1 0 0,-1 0 0,1-2 0,-1 2 0,1-2 0,1-1 0,-1 3 0,0-2 0,0 0 0,0 0 0,7 3 0,-2-2 0,0-1 0,1-1 0,-1 2 0,1-2 0,-1 0 0,2-1 0,-2 0 0,1-1 0,-1 0 0,1-1 0,0 0 0,-1 1 0,14-8 0,-5-1 0,-1 2 0,0-3 0,0 0 0,-1-2 0,0 0 0,16-19 0,72-100 0,-102 130 0,0 2 0,-1-1 0,0 1 0,0-1 0,1 1 0,-1 0 0,0 0 0,1-2 0,-1 2 0,0 0 0,1 0 0,-1-1 0,0 1 0,1 0 0,-1 0 0,1 0 0,-1-1 0,0 1 0,1 0 0,-1 0 0,1 0 0,-1 0 0,1 0 0,-1 0 0,0 0 0,1 0 0,-1 0 0,1 0 0,-1 0 0,0 0 0,0 0 0,0 1 0,1-1 0,-1 0 0,0 0 0,1 0 0,-1 1 0,1-1 0,12 19 0,-4-3 0,2-4 0,0-1 0,1 0 0,-1-1 0,1 0 0,1-3 0,0 2 0,0-3 0,1 1 0,-1-1 0,26 7 0,-2-3 0,1-4 0,72 3 0,-99-9 0,0 0 0,0 0 0,0-1 0,0-1 0,20-8 0,-27 10 0,0-1 0,-1-2 0,1 1 0,-1-1 0,1 1 0,-1-1 0,0 0 0,0 0 0,0 1 0,0-2 0,0 0 0,-1 1 0,1-1 0,-1 0 0,1 1 0,-1-2 0,0 0 0,0 1 0,1-7 0,-1 4 0,0 1 0,0-2 0,0 1 0,-1 0 0,0-2 0,-1 3 0,1-3 0,-1 3 0,0-3 0,-1 2 0,0 0 0,0-1 0,0 0 0,-4-11 0,3 16 0,0-2 0,1 0 0,-1 1 0,-1 0 0,1 0 0,-1 0 0,0 0 0,1 1 0,-1 0 0,0-1 0,-1 1 0,1 0 0,0 0 0,-1 0 0,1 1 0,-1 0 0,0 1 0,1-1 0,-1 0 0,-1 0 0,1 1 0,-7 0 0,4-1 0,0 2 0,0 0 0,-1 0 0,1 2 0,0-1 0,0 0 0,0 1 0,0 1 0,0-1 0,0 1 0,1-1 0,-1 3 0,0-1 0,2 1 0,-11 7 0,12-8 0,0 1 0,1-3 0,-1 3 0,0 0 0,0 0 0,1-1 0,1 1 0,-1 1 0,0-1 0,0-1 0,1 3 0,-1-1 0,2-1 0,0 1 0,-1 0 0,1 0 0,-1-1 0,2 2 0,-1 0 0,1-1 0,-1 0 0,2 11 0,0-13 0,0 1 0,0-3 0,0 2 0,0 1 0,1-2 0,-1 1 0,0-2 0,1 2 0,0 0 0,0 0 0,0-1 0,1 0 0,-1-1 0,0 1 0,1 0 0,-1 0 0,1-1 0,0 1 0,0-1 0,0-1 0,0 1 0,0-1 0,0 0 0,1 0 0,-2 0 0,2 1 0,-1-1 0,6 0 0,-5 0 0,1-1 0,0 0 0,-1 2 0,1-4 0,0 2 0,-1 0 0,1-1 0,-1 0 0,1 0 0,-1-1 0,0 0 0,1 0 0,-2 0 0,2 0 0,-1-1 0,0 0 0,-1 0 0,1 0 0,6-8 0,0-4 0,0 1 0,-9 14 0,0 2 0,0-2 0,-1 1 0,1 0 0,-1-1 0,1 1 0,-1 0 0,1 1 0,-1-2 0,1 1 0,-1 0 0,1 0 0,-1 1 0,0-1 0,0 0 0,1 0 0,-1-1 0,0 0 0,0 4 0,1 0 0,-1-1 0,1 1 0,0 0 0,0-2 0,0 2 0,0-2 0,1 2 0,-1 0 0,1-2 0,0 1 0,0-1 0,0 2 0,-1-2 0,1 1 0,1-1 0,-1 1 0,1-1 0,-1-1 0,1 0 0,-1 2 0,1-2 0,0 0 0,-1 1 0,1-1 0,0 0 0,0 0 0,0 0 0,0-1 0,0 0 0,0 0 0,-1 2 0,1-4 0,0 2 0,0 0 0,4-2 0,1 1 0,0-2 0,0 0 0,-1-1 0,1 2 0,-2-2 0,2-1 0,-1 0 0,0 0 0,0 0 0,-2-2 0,2 1 0,7-10 0,-4 0 0,1 0 0,-2-1 0,0-1 0,-1 0 0,-1 0 0,0-1 0,0-1 0,-2 1 0,0-1 0,3-28 0,2-24 0,2-111 0,-11 167 0,4-101 0,-9-145 0,1 238 0,-2 18 0,4 8 0,0 1 0,0-2 0,0 1 0,0 2 0,0-1 0,0-1 0,0 2 0,0-2 0,1 1 0,-1 3 0,-10 59 0,2 0 0,-2 80 0,5 139 0,6-284 0,7 260 0,-4-229 0,0-3 0,1 1 0,2 1 0,1-2 0,0 0 0,17 45 0,-20-65-341,1 2 0,0 0-1,12 16 1,14 7-6485</inkml:trace>
  <inkml:trace contextRef="#ctx0" brushRef="#br0" timeOffset="9">4624 543 24575,'-1'3'0,"1"12"0,4 1 0,1-1-8191</inkml:trace>
  <inkml:trace contextRef="#ctx0" brushRef="#br0" timeOffset="10">5579 860 24575,'0'1'0,"0"0"0,1-1 0,0 1 0,-1-1 0,1 1 0,-1-1 0,1 2 0,0-2 0,-1 1 0,1-1 0,0 1 0,0-1 0,-1 0 0,1 0 0,0 1 0,-1-1 0,1 0 0,-1 0 0,1 0 0,0 0 0,0 0 0,0 0 0,1 0 0,1 2 0,79 7 0,142-4 0,-129-5 0,-40 2 0,-24 0 0,0-2 0,0-1 0,0-3 0,50-11 0,-78 14 0,0 0 0,0 0 0,0-1 0,0 1 0,-1 0 0,1 0 0,-1-2 0,1 1 0,0 1 0,-1-1 0,-1 0 0,2-1 0,-1 1 0,0-2 0,0 2 0,3-4 0,-5 3 0,1 1 0,-1-1 0,0 1 0,0-1 0,1 1 0,-1 0 0,0-1 0,0 2 0,0-2 0,0 2 0,0-1 0,-1-1 0,1 1 0,0-1 0,0 1 0,-1 1 0,1-2 0,-1 1 0,0 1 0,0-2 0,0 1 0,0 0 0,0 0 0,-1 1 0,-1-3 0,0-1 0,0-1 0,-2 1 0,1 1 0,0-1 0,0 1 0,-1 0 0,0 0 0,1 2 0,-9-7 0,13 9 0,0 0 0,0 0 0,-1-1 0,1 1 0,0 0 0,-1 0 0,1 0 0,0 0 0,0 0 0,-1 0 0,1 0 0,0 0 0,-1 0 0,1 0 0,0 0 0,-1 0 0,1 0 0,0 0 0,0 0 0,-1 0 0,1 0 0,0 0 0,-1 1 0,1-1 0,0 0 0,0 0 0,-1 0 0,1 0 0,0 1 0,0-1 0,0 0 0,-1 0 0,1 2 0,0 11 0,10 25 0,-7-28 0,4 11 0,-2 0 0,0 0 0,-1 1 0,-1 0 0,0 1 0,-2 31 0,-1-40 0,-1 0 0,1 0 0,-2 0 0,-1-1 0,1 1 0,-2-1 0,0-1 0,1 2 0,-2-2 0,-1 0 0,-10 22 0,-1-9-170,-1 2-1,-2-2 0,-1-2 1,1 1-1,-2-4 0,-1 1 1,-40 27-1,-6-2-6655</inkml:trace>
  <inkml:trace contextRef="#ctx0" brushRef="#br0" timeOffset="11">7090 713 24575,'-2'-6'0,"0"0"0,0 2 0,0-2 0,-1 0 0,0 1 0,0 0 0,0 0 0,0 0 0,0 2 0,-1-2 0,0 1 0,1-1 0,-2 2 0,1 0 0,-1-1 0,2 1 0,-2 0 0,-9-4 0,10 6 0,1 1 0,0-2 0,-1 1 0,0 0 0,0 1 0,1-1 0,-1 1 0,0 0 0,0 1 0,0-1 0,0 1 0,1-1 0,-1 1 0,0 1 0,1-1 0,-1 0 0,0 2 0,1-2 0,0 1 0,0 1 0,-1 0 0,1 0 0,0-1 0,1 1 0,-6 7 0,-1 4 0,-1 2 0,2 0 0,0 0 0,1 3 0,0-2 0,1 0 0,0 2 0,-5 28 0,-1 16 0,-5 81 0,4 65 0,13-189 0,1 0 0,1 0 0,0-2 0,1 2 0,0-2 0,1 2 0,1-2 0,10 29 0,-13-41 0,0-1 0,1 0 0,-1 0 0,0 1 0,1-2 0,0 1 0,1 0 0,-1-2 0,0 2 0,1-2 0,0 0 0,0 1 0,-1 0 0,2-1 0,-1 0 0,1-1 0,-1 1 0,0-2 0,1 1 0,-1 0 0,1 0 0,0-1 0,-1-1 0,1 2 0,1-2 0,-1 0 0,-1 0 0,1 0 0,0-2 0,-1 1 0,1 0 0,0 0 0,6-4 0,4-1 0,-1-3 0,0 0 0,0 1 0,-1-3 0,1 1 0,-1-1 0,-1-1 0,0-1 0,11-15 0,-3 1 0,-2-1 0,0 0 0,-2-3 0,0 0 0,-2-1 0,22-65 0,-21 43 0,-1 0 0,-3 0 0,11-92 0,-18 92 0,-6 39 0,-2 18 0,-3 21 0,-4 40 0,3 0 0,2 1 0,1 111 0,4-163-151,1 1-1,1-1 0,0 1 0,1-1 1,0-1-1,0 3 0,2-3 1,3 15-1,1-8-6674</inkml:trace>
  <inkml:trace contextRef="#ctx0" brushRef="#br0" timeOffset="12">7090 1153 24575,'-5'3'0,"12"0"0,16 6 0,-4-8 0,1-1 0,-1 0 0,1-2 0,-2-1 0,2-2 0,36-12 0,-9-3 0,70-39 0,-99 48 0,0 2 0,0-4 0,-1 2 0,-2-2 0,2-2 0,-2 0 0,0 0 0,16-21 0,-31 34 0,1 1 0,0 0 0,0 0 0,0 0 0,0-1 0,0 1 0,-1-1 0,1 0 0,0 1 0,-1 0 0,1 0 0,-1-1 0,0 1 0,1-1 0,-1 1 0,0-2 0,0 2 0,0 0 0,0-2 0,0 2 0,0-2 0,0 3 0,0-1 0,-1-1 0,1 1 0,0-1 0,-1 0 0,1 1 0,-1-1 0,0 1 0,1-1 0,-1 1 0,-2-3 0,2 4 0,0-1 0,1-1 0,-1 2 0,-1-1 0,1 1 0,0-1 0,-1 1 0,1-1 0,0 1 0,-1 0 0,1-2 0,-1 2 0,1 0 0,0 0 0,0 0 0,0 0 0,-1 0 0,1 2 0,-1-2 0,1 0 0,0 1 0,-1-1 0,1 1 0,0-1 0,-1 1 0,2 1 0,-1-2 0,0 1 0,0-1 0,0 1 0,0 0 0,-1 2 0,-1-1 0,0 2 0,0-2 0,2 2 0,-2-2 0,1 2 0,0 0 0,0 0 0,0-1 0,0 1 0,1 0 0,0-1 0,-1 2 0,1-1 0,0 0 0,0 0 0,1 0 0,-1 1 0,1 0 0,0-3 0,0 3 0,0 0 0,0 0 0,0-2 0,2 8 0,-1-6 0,1 0 0,0-1 0,-1 1 0,1 1 0,0-2 0,1 1 0,0 0 0,0-1 0,-1-1 0,1 1 0,0 1 0,1-1 0,-1-1 0,0 0 0,1 0 0,0 0 0,0 1 0,8 2 0,31 8 0,-36-12 0,-1 0 0,1-1 0,0 3 0,0-3 0,-1 3 0,7 3 0,-11-5 0,-1-1 0,0 0 0,-1 2 0,1-3 0,0 1 0,1 0 0,-2 1 0,1 0 0,0-1 0,0 1 0,0 0 0,-1 0 0,1-1 0,0 2 0,-1-1 0,0-2 0,1 3 0,-1-1 0,0-1 0,0 4 0,-4 42 0,1-29 0,2-7 0,1-1 0,-1 1 0,1 0 0,1 0 0,0 0 0,0 0 0,1 1 0,0-3 0,4 17 0,-5-22 0,0-2 0,1 2 0,-1-3 0,0 3 0,1-2 0,0 1 0,-1-1 0,1 1 0,0-1 0,-1 1 0,1-2 0,0 1 0,1 0 0,-1 0 0,0-1 0,1 0 0,-2 2 0,2-2 0,-1 0 0,1 1 0,-1-2 0,1 1 0,0 0 0,-1-1 0,0 0 0,1 0 0,0 0 0,0 0 0,-1 0 0,0 0 0,1-1 0,-1 1 0,1-1 0,0-1 0,-1 1 0,0 0 0,4-3 0,3-1 0,0 0 0,-1-2 0,1 0 0,-1 1 0,1-3 0,-2 2 0,1-2 0,-2-1 0,1 2 0,0-2 0,-1 0 0,9-21 0,1-4 0,-1-1 0,18-64 0,-22 56 0,0 0 0,-3-1 0,-1 0 0,-2 0 0,-1-1 0,-2-47 0,-7 33 0,0 43 0,-1 13 0,4 5 0,1 0 0,-1 1 0,1-1 0,0 0 0,0 2 0,0-2 0,0 1 0,0 0 0,1 0 0,-1 0 0,0 0 0,-1 1 0,-7 26 0,3-1 0,-1-1 0,2 1 0,-6 57 0,8-29 0,3 93 0,1-112 24,1 0 0,3-2 0,0 0 0,11 42 0,-13-67-102,-1 1 0,2-1 0,-1 1-1,2-3 1,-2 2 0,2-1 0,1 1 0,-2-2 0,2 1-1,0-2 1,0 2 0,1-2 0,-1 1 0,2-2 0,-1 1-1,0-2 1,1 1 0,10 5 0,23 5-6748</inkml:trace>
  <inkml:trace contextRef="#ctx0" brushRef="#br0" timeOffset="13">8383 1178 24575,'7'0'0,"12"0"0,20-9 0,20-11 0,20-9 0,11-2 0,3-6 0,-4 2 0,-10-5 0,-19-4 0,-20 5-8191</inkml:trace>
  <inkml:trace contextRef="#ctx0" brushRef="#br0" timeOffset="14">8722 640 24575,'6'3'0,"3"7"0,-1 15 0,6 13 0,0 18 0,-3 20 0,-2 19 0,-6 7 0,-5 6 0,-1-7 0,-1-15 0,1-20-8191</inkml:trace>
  <inkml:trace contextRef="#ctx0" brushRef="#br0" timeOffset="15">9418 591 24575,'1'1'0,"1"-1"0,-1 1 0,0 0 0,1-1 0,-1 1 0,1 1 0,-1-1 0,1 0 0,-1 0 0,0 1 0,1-1 0,-1 0 0,0 0 0,0 1 0,0-1 0,-1 1 0,1-1 0,0 2 0,0-2 0,-1 2 0,1-1 0,0-1 0,-1 2 0,1-2 0,-1 0 0,0 2 0,1-1 0,-1 3 0,7 63 0,-7-65 0,-1 43 0,-1-2 0,-2 1 0,-1 0 0,-2-2 0,-2 1 0,-12 44 0,9-53 0,12-35 0,0 1 0,0-1 0,0 0 0,0 0 0,-1 0 0,1 0 0,0 1 0,0-1 0,0 0 0,-1 0 0,1 0 0,0 0 0,0 0 0,0 0 0,-1 0 0,1 0 0,0 0 0,0 0 0,0 0 0,-1 0 0,1 0 0,0 0 0,0 0 0,-1 0 0,1 0 0,0 0 0,0 0 0,0 0 0,-1 0 0,1 0 0,0 0 0,0 0 0,0 0 0,-1-1 0,1 1 0,0 0 0,0 0 0,0 0 0,0 0 0,-1 0 0,1-1 0,0 1 0,0 0 0,0 0 0,0 0 0,0-2 0,0 2 0,-1 0 0,1 0 0,0 0 0,0-1 0,0 1 0,0 0 0,0 0 0,0 0 0,0-1 0,0 1 0,0 0 0,0 0 0,0-1 0,0 1 0,0 0 0,0 0 0,0 0 0,1-2 0,-3-14 0,0 2 0,2-2 0,0 0 0,1-20 0,1-3 0,0-111 0,-1 27 0,16-140 0,-17 260 0,0 0 0,1 0 0,-1-1 0,1 0 0,0 0 0,0 1 0,-1 0 0,1 0 0,0-1 0,4-5 0,-4 9 0,-1 0 0,0 0 0,1-1 0,-1 1 0,1 0 0,-1 0 0,1-1 0,-1 1 0,0 0 0,1 0 0,-1 0 0,1 0 0,-1 0 0,1 0 0,-1 0 0,1 0 0,-1 0 0,1 0 0,-1 0 0,0 0 0,0 0 0,1 0 0,-1 0 0,1 0 0,-1 0 0,1 1 0,-1-1 0,1 0 0,-1 0 0,0 1 0,1-1 0,-1 0 0,0 0 0,1 0 0,-1 0 0,1 2 0,-1-1 0,6 6 0,-2 2 0,0-1 0,1 1 0,-1 0 0,5 16 0,59 210-1,-4-5 68,-50-192-425,0-1 0,2-1 1,34 61-1,-26-60-6468</inkml:trace>
  <inkml:trace contextRef="#ctx0" brushRef="#br0" timeOffset="16">9398 1055 24575,'25'-3'0,"-1"0"0,0-2 0,1-1 0,-1-2 0,0 0 0,-1-3 0,1 1 0,-2-4 0,1 1 0,-2-2 0,0-1 0,0-1 0,-1-2 0,24-28 0,-29 26 0,-1-1 0,-1-1 0,-1-1 0,0-1 0,-1 1 0,-1-1 0,-1-1 0,-1-1 0,9-48 0,-11 46 0,-3-2 0,1-1 0,-2 2 0,0-2 0,-2 1 0,-2 0 0,0-1 0,-7-41 0,7 64 0,0 0 0,-1 1 0,1-1 0,-6-13 0,8 22 0,0-1 0,-1 0 0,1 1 0,0-2 0,-1 2 0,1-1 0,0 0 0,-1 1 0,1-1 0,0 1 0,-1 0 0,1 0 0,-1-1 0,1 1 0,-1-2 0,0 2 0,1 0 0,-1-1 0,1 1 0,-1 0 0,0-1 0,1 1 0,-1 0 0,1 0 0,-1 0 0,1-1 0,0 1 0,-1 0 0,0 0 0,0 0 0,1 0 0,-1 0 0,0 0 0,1 0 0,-1 1 0,0-1 0,1 0 0,-1 0 0,0 0 0,1 1 0,-1-1 0,1 0 0,-1 1 0,0-1 0,1 2 0,-1-2 0,-1 3 0,-1 1 0,0 0 0,1 1 0,0-1 0,-1-1 0,-1 10 0,-6 18 0,1 0 0,1 2 0,1-1 0,1 0 0,2 2 0,-1 40 0,2 1 0,10 129 0,-4-162 0,2-2 0,1 1 0,1-1 0,3 1 0,0-3 0,1 0 0,20 47 0,-24-69 0,1-2 0,0 3 0,0-2 0,2-1 0,0-1 0,-1 2 0,3-3 0,-1 1 0,0-1 0,1-2 0,1 1 0,-1-2 0,1 1 0,0-2 0,1-1 0,-1-1 0,1 2 0,23 4 0,-31-12 0,0 2 0,1-2 0,-2 2 0,2-2 0,0 0 0,-1 0 0,0-2 0,0 1 0,1 0 0,-1 1 0,0-3 0,0 1 0,0-2 0,0 2 0,0-2 0,-1 0 0,8-4 0,-7 0 0,1 2 0,-1-2 0,0 0 0,0 1 0,-1-2 0,1 1 0,-1-2 0,-1 3 0,0-3 0,0 0 0,0 0 0,2-12 0,3-12 0,-3-1 0,1 1 0,-4-1 0,1-1 0,-1-63 0,-6 32 0,-1 0 0,-14-73 0,4 74 0,14 65 0,0 0 0,0-1 0,0 2 0,-1 0 0,1-1 0,0 0 0,0 1 0,-1-1 0,1 0 0,-1-1 0,1 2 0,-1-1 0,1 0 0,-1 1 0,1-1 0,-1 1 0,1-2 0,-1 2 0,0-1 0,1 1 0,-1-1 0,0 1 0,0 0 0,1-1 0,-1 1 0,0 0 0,0-2 0,1 2 0,0 0 0,-1 0 0,0 0 0,-1 0 0,0 2 0,1-1 0,0 0 0,-1 0 0,1 1 0,0-1 0,0 1 0,0 0 0,0-1 0,0 1 0,1-1 0,-1 1 0,0-1 0,1 1 0,-1 0 0,0 4 0,-7 21 0,2 1 0,1 0 0,0 2 0,0 50 0,3 121 0,3-190 0,-1 6-72,0 24 139,2-1 0,6 43 0,-7-72-173,1-3-1,0 3 0,1-2 0,-2 1 1,3-2-1,-1 2 0,1-1 0,0 1 1,0-3-1,1 2 0,0-1 0,-1-1 1,12 13-1,15 6-6719</inkml:trace>
  <inkml:trace contextRef="#ctx0" brushRef="#br0" timeOffset="17">10074 1201 24575,'-11'0'0,"5"0"0,15-11 0,24-15 0,21 0 0,9-7 0,2 6 0,-10-5 0,-15 8-8191</inkml:trace>
  <inkml:trace contextRef="#ctx0" brushRef="#br0" timeOffset="18">10889 957 24575,'7'0'0,"16"-4"0,9-1 0,19-13 0,9-2 0,16-12 0,1 1 0,-7 4 0,-14 4 0,-16-2 0,-17 2-8191</inkml:trace>
  <inkml:trace contextRef="#ctx0" brushRef="#br0" timeOffset="19">11109 492 24575,'0'14'0,"0"14"0,0 22 0,0 13 0,0 12 0,3 9 0,2 3 0,5-4 0,3-7 0,12-15 0,1-21-8191</inkml:trace>
  <inkml:trace contextRef="#ctx0" brushRef="#br0" timeOffset="20">11706 469 24575,'9'16'0,"7"21"0,52 176 0,8 23 0,-61-196 0,2 0 0,1-2 0,37 59 0,-51-89 0,0-2 0,2 0 0,-2 1 0,1-2 0,1 1 0,-1-1 0,12 9 0,-15-13 0,0 0 0,0 0 0,1-1 0,-1 2 0,-1-1 0,1-1 0,0 0 0,1 1 0,-1-1 0,0 0 0,0 0 0,0 0 0,0-1 0,0 1 0,0 0 0,0-1 0,0 1 0,1-2 0,-1 1 0,-1 0 0,1 0 0,0 0 0,0-1 0,0 1 0,-1-1 0,1 0 0,0 2 0,-1-2 0,3-4 0,5-9 0,-1 0 0,0-2 0,-1 1 0,0-1 0,-2 1 0,1-1 0,5-34 0,8-31 35,-4-3-1,12-165 1,-14-176-1059,-12 372 579,0-111-6381</inkml:trace>
  <inkml:trace contextRef="#ctx0" brushRef="#br0" timeOffset="21">7587 2545 24575,'13'0'0,"1"-2"0,-1 0 0,0-2 0,-1 2 0,21-10 0,18-7 0,132-39 0,115-29-740,138-34-2221,142-32 1448,131-20-1578,2992-656-3985,-3258 736 7073,-137 25 2,-135 23 421,-165 45-242,-1-1 0,1-2 0,-1 2 0,0 0 0,0-2 0,0 1 0,0-1 0,6-5 0,-15 6-53,-2 2 1,1-1-1,0 1 1,-1 0 0,1 0-1,0 1 1,0-1-1,-6 3 1,-136 24 2389,-88 21-1886,-104 27-199,-131 40 1289,-149 50-1712,-138 42-1697,-2448 751-4330,2736-799 5787,216-63 750,205-73-342,41-17-16,11-2 125,27-8 694,53-13-1,161-45-489,98-27-70,1663-382 3405,-1640 392-4241,-309 63 418,-52 11-15,-10 2-90,-24 2-491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0:47:40.05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7T10:47:40.05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406 517 24575,'-1'12'0,"1"14"0,1 18 0,-1 21 0,-1 24 0,1 21 0,1 25 0,-1 8 0,-1-3 0,1-16 0,1-23 0,-1-23 0,-1-37 0,1-35 0,1-18-8191</inkml:trace>
  <inkml:trace contextRef="#ctx0" brushRef="#br0" timeOffset="1">48 1055 24575,'-2'0'0,"1"0"0,0 0 0,-1-1 0,1 1 0,0-2 0,1 2 0,-2-1 0,1 1 0,0-1 0,0 0 0,0 1 0,0-2 0,0 1 0,0 0 0,0 0 0,0 1 0,0-1 0,0-1 0,1 1 0,-1 0 0,0 0 0,1-1 0,-1-2 0,-11-38 0,11 39 0,-1-15 0,-1 1 0,0-1 0,2 1 0,0-1 0,1 1 0,0-2 0,1 2 0,1 0 0,0 0 0,1-1 0,5-18 0,-1 13 0,-1 1 0,3 2 0,-1-1 0,1 0 0,2 1 0,0 0 0,23-29 0,-12 21 0,3 1 0,-1 1 0,3 0 0,-1 3 0,1 2 0,1 2 0,1 0 0,1 1 0,49-19 0,-50 26 0,-1 2 0,1 1 0,0 0 0,1 5 0,45-4 0,-63 9 0,-1-1 0,-1 0 0,2 2 0,-1-1 0,-1 2 0,1-1 0,19 12 0,-24-11 0,1 1 0,-2 0 0,2 0 0,-1 1 0,-1 0 0,1-1 0,-1 2 0,-1 1 0,1-2 0,0 1 0,-1 0 0,0 1 0,3 8 0,-2-2 0,0 4 0,0-2 0,-2 0 0,0 0 0,0 0 0,-1-1 0,-1 4 0,0-2 0,-1-1 0,0 1 0,-1-1 0,-1 1 0,-1-1 0,-6 32 0,-1-6 0,-3-1 0,-1-2 0,-1 0 0,-29 57 0,5-24-682,-68 97-1,41-78-6143</inkml:trace>
  <inkml:trace contextRef="#ctx0" brushRef="#br0" timeOffset="2">983 1226 24575,'1'-2'0,"0"1"0,0 0 0,0-2 0,0 2 0,0 0 0,0 0 0,0 0 0,-1-2 0,0 2 0,1-2 0,-1 1 0,1 1 0,-1-2 0,0 2 0,1-1 0,-1 0 0,0 0 0,0-3 0,0 1 0,1-4 0,0-3 0,0 2 0,-1-2 0,-1 2 0,0-2 0,0 3 0,0-3 0,-1 2 0,1-1 0,-2 2 0,-4-14 0,6 18 0,-1 1 0,1 0 0,0-1 0,-1 2 0,0-1 0,0-1 0,0 2 0,-1 0 0,1-1 0,0-1 0,0 4 0,-1-2 0,1-1 0,-1 1 0,0 1 0,0-2 0,1 2 0,-1 0 0,0 0 0,0-1 0,-1 2 0,2-1 0,-1 1 0,0 0 0,-1-1 0,1 1 0,1 1 0,-1-1 0,0 0 0,-1 1 0,1 1 0,-5 1 0,-1 1 0,1 1 0,0-1 0,0 1 0,0 1 0,1 0 0,-1 0 0,2 1 0,-2-1 0,2 3 0,0-2 0,0 2 0,0 0 0,1-1 0,0 2 0,-5 11 0,-3 7 0,1 3 0,1-2 0,-14 60 0,19-68 0,2 2 0,0 2 0,1-2 0,0-1 0,2 3 0,1 40 0,0-59 0,1 0 0,-1 0 0,1 0 0,0-1 0,1 1 0,-1 0 0,1-2 0,0 2 0,0 0 0,0 1 0,0-4 0,0 2 0,1 1 0,0-2 0,1 1 0,-1 0 0,0-2 0,1 2 0,-1-2 0,2 1 0,-2-1 0,1 1 0,0 0 0,1-2 0,-1-1 0,0 2 0,1-1 0,-1 1 0,1-2 0,0 0 0,-1 0 0,7 1 0,-3-1 0,2-1 0,-2-1 0,2-1 0,-2 1 0,0-1 0,2-1 0,-2-1 0,1 2 0,-1-2 0,1-1 0,-2 1 0,2-1 0,-2 0 0,1-1 0,-2-2 0,2 2 0,10-14 0,0-3 0,1-3 0,-2 3 0,-1-4 0,24-47 0,-38 67 0,28-58 0,-29 59 0,2-1 0,-2 3 0,1-3 0,0 1 0,-1 0 0,0 1 0,0-1 0,-1-1 0,1-7 0,-1 14 0,0-1 0,0 1 0,0 0 0,0-1 0,0 1 0,0 0 0,0 0 0,0-1 0,0 1 0,-1 0 0,1-2 0,0 2 0,0 0 0,0 0 0,0-1 0,0 1 0,0 0 0,-1 0 0,1 0 0,0 0 0,0 0 0,0 0 0,-1-1 0,1 1 0,0 0 0,0 0 0,-1 0 0,1 0 0,0-1 0,0 1 0,-1 0 0,1 0 0,0 0 0,-1 0 0,1 0 0,0 0 0,0 0 0,-1 0 0,1 0 0,0 0 0,-1 0 0,1 0 0,0 0 0,-1 0 0,1 0 0,0 0 0,0 0 0,-1 0 0,1 1 0,-14 10 0,5 1 0,0 2 0,2-2 0,-1 1 0,1 2 0,-8 20 0,11-27 0,0 3 0,1-2 0,1 2 0,-1-1 0,1 1 0,0 0 0,0-1 0,1 1 0,0 13 0,1-21 0,0-1 0,1 1 0,-1-1 0,0 1 0,1-1 0,-1 0 0,1 1 0,0-2 0,0 2 0,-1-1 0,1 1 0,0-1 0,1-1 0,-1 2 0,0-1 0,0-1 0,0 2 0,0-2 0,1 0 0,0 0 0,-1 2 0,1-2 0,0 0 0,0 1 0,0-1 0,-2 0 0,2 0 0,0-1 0,0 2 0,0-1 0,1-1 0,-1 0 0,0 1 0,-1-1 0,1 0 0,0 0 0,3 0 0,1-1 0,0 0 0,1-1 0,-1 1 0,0-1 0,1-1 0,-2 1 0,2-2 0,-2 2 0,1-2 0,7-6 0,-3 1 0,-1 0 0,-1-1 0,2-1 0,-2 0 0,0 0 0,12-25 0,34-84 0,-26 55 0,-15 34 0,14-42 0,-25 77 0,1 18 0,-2-7 0,1 0 0,0-1 0,1 0 0,8 28 0,-3-28 0,0 1 0,1 0 0,0-3 0,14 18 0,-14-21 0,-2 0 0,1 2 0,-1-1 0,0 1 0,0 0 0,-2 1 0,7 15 0,-11-24 0,0-1 0,-1 0 0,1 0 0,-1-1 0,0 2 0,1-2 0,-1 0 0,0 2 0,0-1 0,0-1 0,0 2 0,0-1 0,0-1 0,-1 2 0,1-2 0,-1 0 0,1 2 0,-1-2 0,1 1 0,-1 0 0,1 0 0,-2 3 0,0-3 0,-1 0 0,1 0 0,0 1 0,-1-1 0,1 1 0,0-1 0,-1-1 0,0 2 0,0-2 0,0 0 0,-3 2 0,-9 2 0,-1-1 0,0-1 0,-26 2 0,35-5 0,-17 2-195,-1-1 0,1 1 0,-1-4 0,2-1 0,-2 0 0,-23-9 0,8-5-6631</inkml:trace>
  <inkml:trace contextRef="#ctx0" brushRef="#br0" timeOffset="3">1500 932 24575,'-1'-11'0,"1"-19"0,1-6 0,5-6 0,10 7 0,1 20 0,-1 28 0,3 32 0,-2 25 0,-4 24 0,-4 9 0,-4 10 0,-2 1 0,-5-9 0,-3-16 0,4-20 0,1-26-8191</inkml:trace>
  <inkml:trace contextRef="#ctx0" brushRef="#br0" timeOffset="4">1599 1178 24575,'31'-3'0,"-1"-2"0,0-1 0,0 0 0,37-19 0,-22 11 0,0-2 0,75-40 0,-105 49 0,-1-1 0,1-2 0,-2-1 0,1 1 0,-1-2 0,0-1 0,-1 0 0,18-25 0,-28 35 0,0 1 0,-1-1 0,1 0 0,-1 0 0,-1 2 0,2-3 0,-1 2 0,0-2 0,0 0 0,-1 2 0,1-1 0,0 0 0,-1-1 0,1-4 0,-2 6 0,1 1 0,0 0 0,-1 0 0,1-2 0,-1 2 0,0 0 0,1-2 0,-1 2 0,0 0 0,0 0 0,0-1 0,1 1 0,-1 0 0,0 0 0,0-1 0,0 2 0,0-1 0,-1 0 0,1 0 0,0 1 0,0-2 0,-1 1 0,1 1 0,0-1 0,-1 1 0,2 0 0,-2-1 0,1 1 0,-2 0 0,-6-1 0,1-1 0,0 2 0,-1 0 0,1 0 0,-1 2 0,1-1 0,0 1 0,0 1 0,-1-1 0,2 1 0,-1 0 0,0 2 0,-14 9 0,7-3 0,1 0 0,0 1 0,1 2 0,0-2 0,0 3 0,-11 17 0,15-19 0,0 1 0,2 0 0,-2 1 0,3 0 0,-1 0 0,0 1 0,3 0 0,-2 1 0,2 0 0,-4 26 0,7-35 0,0 1 0,1 0 0,-1-1 0,2 0 0,-1 1 0,1-1 0,0 0 0,0 1 0,1-2 0,0 3 0,-1-4 0,2 3 0,0-2 0,0 2 0,1-2 0,-2-1 0,3 2 0,-1-1 0,0-1 0,0 2 0,1-2 0,1-1 0,7 8 0,2 0 12,0-2 0,0-2 0,1 1 0,0-1 0,0-3 0,0 1 0,1 0 0,0-1 0,20 0 0,-8-1-309,1-3 0,-1 1 0,0-5 0,49-6 0,-24-4-6529</inkml:trace>
  <inkml:trace contextRef="#ctx0" brushRef="#br0" timeOffset="5">2793 761 24575,'3'-19'0,"-3"17"0,1 1 0,-1 1 0,0-1 0,1 1 0,-1-1 0,0-1 0,0 1 0,0 0 0,0 1 0,0-1 0,0 0 0,0-1 0,0 1 0,0 0 0,0 0 0,0-1 0,0 1 0,0 0 0,0 0 0,0 1 0,0-1 0,-1-1 0,1 2 0,0-1 0,-1 0 0,1 1 0,-1-1 0,1-1 0,-1 2 0,0-1 0,1 0 0,-1 1 0,0-1 0,1-1 0,-1 2 0,0-1 0,0 1 0,1 0 0,-1-1 0,0 1 0,0-1 0,0 1 0,0 0 0,1 0 0,-1 0 0,1-1 0,-1 1 0,-2 0 0,-13-2 0,0 1 0,-1 0 0,1 2 0,-1 0 0,1 2 0,0 0 0,0 2 0,0 0 0,0 0 0,-28 17 0,40-20 0,0 1 0,0 0 0,0-1 0,0 1 0,1 0 0,0 1 0,-1 0 0,0-1 0,1 1 0,1 0 0,-5 7 0,6-9 0,1-1 0,-1 1 0,0 0 0,1 1 0,-1-1 0,1 1 0,-1-1 0,1 0 0,0 1 0,0-2 0,0 2 0,0-1 0,0 0 0,0 1 0,1-1 0,-1 1 0,1-1 0,-1 1 0,1-3 0,0 2 0,0 1 0,0-1 0,0 1 0,0-2 0,0 1 0,0 1 0,0-2 0,1 1 0,-2-2 0,4 4 0,4 6 0,0-1 0,1-1 0,0-1 0,0 1 0,18 9 0,59 27 0,-79-40 0,365 141 0,-304-121 0,-35-14 0,0 5 0,0-1 0,-1 1 0,43 33 0,-72-48 0,0 3 0,0-1 0,0 1 0,-1 0 0,0 0 0,1-1 0,-1 2 0,0-3 0,0 3 0,0 0 0,-1-1 0,4 7 0,-5-9 0,0 1 0,1 0 0,-1-1 0,0 2 0,0-2 0,0 1 0,0 0 0,0 0 0,0-2 0,0 1 0,0 2 0,-1-2 0,1 1 0,-1 0 0,1 0 0,-1-1 0,1 1 0,-1-1 0,0 1 0,0 0 0,0 0 0,-4 4 0,0-1 0,1 1 0,-2-2 0,0 1 0,1 0 0,-1 0 0,-1-3 0,2 2 0,-2-1 0,-9 4 0,-31 9-195,0-3 0,0-1 0,-1-4 0,-1-2 0,2-2 0,-76-8 0,59-6-6631</inkml:trace>
  <inkml:trace contextRef="#ctx0" brushRef="#br0" timeOffset="6">3211 1226 24575,'7'0'0,"-1"-2"0,1 0 0,0 1 0,0-2 0,-1 2 0,1-3 0,-1 1 0,0-1 0,1 0 0,-2-1 0,9-6 0,6-7 0,30-35 0,-42 43 0,-1 2 0,0-3 0,0 1 0,-1-3 0,0 4 0,0-2 0,-1-3 0,-1 3 0,1-1 0,-1-2 0,0 2 0,-2 0 0,1-2 0,-1 1 0,0 0 0,-1-1 0,-1 1 0,1 0 0,-2-2 0,0 3 0,0-2 0,-1 1 0,0-1 0,0 2 0,-1 0 0,-7-18 0,9 25 0,0 2 0,0-1 0,-1-1 0,0 0 0,0 1 0,0 1 0,0-1 0,-1 0 0,1 1 0,0-1 0,-1 0 0,-6-3 0,8 6 0,1 1 0,-1-2 0,0 2 0,0-1 0,-1 1 0,1 0 0,0-1 0,0 1 0,0 0 0,0 0 0,-1 0 0,1 0 0,0 0 0,0 0 0,0 0 0,0 1 0,0-1 0,-2 1 0,1 1 0,-1-1 0,1 1 0,-1 0 0,2 0 0,-1-1 0,0 2 0,0-1 0,0 1 0,0-1 0,-3 7 0,-6 13 0,1 2 0,0 2 0,2-1 0,0 1 0,2 1 0,-6 40 0,-11 73-63,-15 265 1,25 151-507,12-512 542,1 82 27,4 303 0,-4-417 0,1-1 0,0 0 0,1 0 0,5 18 0,-7-28 0,0-1 0,0 0 0,0 0 0,0 0 0,0 1 0,0-1 0,0 0 0,0 1 0,0-1 0,0 0 0,0 2 0,0-2 0,0 0 0,0 1 0,0-1 0,0 0 0,0 0 0,1 1 0,-1-1 0,0 0 0,0 0 0,1 1 0,-1-1 0,0 0 0,0 0 0,1 0 0,-1 2 0,0-2 0,1 0 0,-1 0 0,0 0 0,1 0 0,-1 0 0,0 0 0,1 0 0,-1 0 0,1 0 0,-1 0 0,0 0 0,1 0 0,-1 0 0,0 0 0,1 0 0,-1 0 0,0 0 0,1 0 0,-1 0 0,0 0 0,1-2 0,-1 2 0,0 0 0,1 0 0,-1 0 0,0-1 0,0 1 0,1 0 0,-1 0 0,0-1 0,0 1 0,0 0 0,1 0 0,-1-1 0,0 1 0,0 0 0,0-2 0,0 2 0,1-1 0,4-15 0,1-1 0,-1 1 0,0-1 0,-1 0 0,-1-2 0,0 2 0,0-23 0,3-8 0,30-253 21,39-261-121,-57 465 84,3 2-1,4-1 0,56-146 0,-75 223 17,2 1 0,-1-1 0,3 2 0,-1 0 0,0 1 0,2-1 0,0 1 0,0 1 0,15-13 0,-24 27 2,1-3 0,-1 3 0,1-2 0,0 1 0,0-1 0,0 2 0,1 0 0,-1 0 0,0 0-1,0 1 1,0-2 0,0 1 0,0 1 0,1 0 0,-1 0 0,0 0 0,0 0 0,1 0-1,-1 0 1,0 1 0,0 1 0,0-2 0,0 1 0,0 0 0,0 0 0,0 2 0,0-2 0,0 1-1,-1 1 1,1-1 0,0 1 0,-1-2 0,0 1 0,0 2 0,4 3 0,-3 0 34,-1-4 0,1 3 1,0-1-1,0 0 0,-1 1 0,0 1 1,0-1-1,-1 0 0,0 0 1,0 1-1,0-2 0,0 1 1,0 2-1,-1-3 0,0 2 0,0 0 1,-1-2-1,1 1 0,-1 2 1,0-3-1,-2 10 0,0-7-28,-1 1 0,0-1 0,-1 1 0,1-2 0,-1 2 0,0-2 0,0-1 0,-1 2 0,0-2 0,1 1 0,-2-1 0,1-1 0,-1 0 0,-12 9 0,1-3-305,-3-3 0,1 2 0,-1-1 0,-24 4 0,-6-2-6529</inkml:trace>
  <inkml:trace contextRef="#ctx0" brushRef="#br0" timeOffset="7">3709 1103 24575,'4'5'0,"0"-2"0,0 2 0,0-1 0,1-3 0,0 3 0,-1-2 0,1 2 0,0-2 0,-1 0 0,2 0 0,-1-1 0,0 1 0,0-2 0,7 1 0,-3-1 0,-1 0 0,1 0 0,0-1 0,-1 1 0,1-2 0,-1 0 0,15-7 0,-14 3 0,0 1 0,0-1 0,0-1 0,-1 1 0,0-3 0,-1 2 0,1-2 0,-1 0 0,0 0 0,-1-1 0,1 0 0,8-18 0,-12 22 0,0-2 0,0 2 0,0-3 0,0 2 0,-1 0 0,0-1 0,0 1 0,-2-2 0,2 1 0,-1 0 0,-1 1 0,1 0 0,-1-2 0,-1 0 0,1 2 0,-1-1 0,0 0 0,0 0 0,-1 0 0,-3-10 0,4 17 0,1-2 0,-1 1 0,0 0 0,0 0 0,0-1 0,0 2 0,0-1 0,0 1 0,1-1 0,-2 1 0,1 0 0,0 0 0,-1-2 0,1 2 0,-1 0 0,1 0 0,-1-1 0,0 2 0,1-1 0,0 0 0,-1 1 0,1-1 0,-1 1 0,0-2 0,0 2 0,0 0 0,0-1 0,1 1 0,0 0 0,-1 1 0,0-1 0,0 0 0,0 0 0,1 2 0,-1-2 0,0 1 0,-2 1 0,-2 2 0,1 0 0,1-1 0,-2 1 0,1 1 0,1 0 0,0 0 0,-1 0 0,1 1 0,1 0 0,-6 7 0,-1 7 0,0 1 0,2 0 0,-1 0 0,2 0 0,0 2 0,2-1 0,-1 1 0,2 1 0,-1 22 0,4-35 0,0 1 0,1-1 0,1-2 0,0 2 0,0 1 0,0-1 0,1 0 0,0-2 0,7 18 0,-6-19 0,-1-1 0,2 1 0,0-2 0,0 0 0,-1 1 0,2-2 0,0 1 0,-1 0 0,1-1 0,1 0 0,-1 1 0,0-1 0,1-2 0,7 7 0,1-4-114,-1-1 1,1 0-1,0-1 0,0 0 0,1-1 1,-1-2-1,1 0 0,-1-1 0,0 0 1,1-1-1,23-5 0,25-10-6712</inkml:trace>
  <inkml:trace contextRef="#ctx0" brushRef="#br0" timeOffset="8">4365 957 24575,'0'-3'0,"0"1"0,0-1 0,0 2 0,0-1 0,-1-1 0,1 1 0,0-1 0,-1 1 0,0-1 0,1 1 0,-1 1 0,0-2 0,0 1 0,0 0 0,1 0 0,-1 0 0,0-1 0,-1 2 0,1-2 0,0 2 0,-1 0 0,1 0 0,-1-1 0,0 1 0,0-1 0,1 1 0,0-1 0,-1 2 0,0-1 0,0 0 0,0 0 0,0 1 0,-2-2 0,0 1 0,-1 1 0,1 0 0,0 0 0,-1 0 0,1 1 0,-1 1 0,2-1 0,-2 0 0,1 0 0,0 2 0,0-2 0,0 1 0,-7 6 0,-2 4 0,0 0 0,1 1 0,1 1 0,0 0 0,0 1 0,1-1 0,1 2 0,0 2 0,1-1 0,0 0 0,2 0 0,-1 2 0,1-1 0,-5 27 0,10-41 0,0 1 0,0-1 0,0 1 0,0-2 0,1 2 0,0 0 0,0 0 0,0 0 0,0-1 0,1-1 0,0 2 0,-1 0 0,1-1 0,1 1 0,-1-2 0,0 2 0,1-1 0,0 0 0,0-1 0,-1 2 0,1-1 0,1-2 0,-1 2 0,1 0 0,-1 0 0,1-2 0,-1 2 0,1-2 0,1-1 0,-1 3 0,0-2 0,0 0 0,0 0 0,7 3 0,-2-2 0,0-1 0,1-1 0,-1 2 0,1-2 0,-1 0 0,2-1 0,-2 0 0,1-1 0,-1 0 0,1-1 0,0 0 0,-1 1 0,14-8 0,-5-1 0,-1 2 0,0-3 0,0 0 0,-1-2 0,0 0 0,16-19 0,72-100 0,-102 130 0,0 2 0,-1-1 0,0 1 0,0-1 0,1 1 0,-1 0 0,0 0 0,1-2 0,-1 2 0,0 0 0,1 0 0,-1-1 0,0 1 0,1 0 0,-1 0 0,1 0 0,-1-1 0,0 1 0,1 0 0,-1 0 0,1 0 0,-1 0 0,1 0 0,-1 0 0,0 0 0,1 0 0,-1 0 0,1 0 0,-1 0 0,0 0 0,0 0 0,0 1 0,1-1 0,-1 0 0,0 0 0,1 0 0,-1 1 0,1-1 0,12 19 0,-4-3 0,2-4 0,0-1 0,1 0 0,-1-1 0,1 0 0,1-3 0,0 2 0,0-3 0,1 1 0,-1-1 0,26 7 0,-2-3 0,1-4 0,72 3 0,-99-9 0,0 0 0,0 0 0,0-1 0,0-1 0,20-8 0,-27 10 0,0-1 0,-1-2 0,1 1 0,-1-1 0,1 1 0,-1-1 0,0 0 0,0 0 0,0 1 0,0-2 0,0 0 0,-1 1 0,1-1 0,-1 0 0,1 1 0,-1-2 0,0 0 0,0 1 0,1-7 0,-1 4 0,0 1 0,0-2 0,0 1 0,-1 0 0,0-2 0,-1 3 0,1-3 0,-1 3 0,0-3 0,-1 2 0,0 0 0,0-1 0,0 0 0,-4-11 0,3 16 0,0-2 0,1 0 0,-1 1 0,-1 0 0,1 0 0,-1 0 0,0 0 0,1 1 0,-1 0 0,0-1 0,-1 1 0,1 0 0,0 0 0,-1 0 0,1 1 0,-1 0 0,0 1 0,1-1 0,-1 0 0,-1 0 0,1 1 0,-7 0 0,4-1 0,0 2 0,0 0 0,-1 0 0,1 2 0,0-1 0,0 0 0,0 1 0,0 1 0,0-1 0,0 1 0,1-1 0,-1 3 0,0-1 0,2 1 0,-11 7 0,12-8 0,0 1 0,1-3 0,-1 3 0,0 0 0,0 0 0,1-1 0,1 1 0,-1 1 0,0-1 0,0-1 0,1 3 0,-1-1 0,2-1 0,0 1 0,-1 0 0,1 0 0,-1-1 0,2 2 0,-1 0 0,1-1 0,-1 0 0,2 11 0,0-13 0,0 1 0,0-3 0,0 2 0,0 1 0,1-2 0,-1 1 0,0-2 0,1 2 0,0 0 0,0 0 0,0-1 0,1 0 0,-1-1 0,0 1 0,1 0 0,-1 0 0,1-1 0,0 1 0,0-1 0,0-1 0,0 1 0,0-1 0,0 0 0,1 0 0,-2 0 0,2 1 0,-1-1 0,6 0 0,-5 0 0,1-1 0,0 0 0,-1 2 0,1-4 0,0 2 0,-1 0 0,1-1 0,-1 0 0,1 0 0,-1-1 0,0 0 0,1 0 0,-2 0 0,2 0 0,-1-1 0,0 0 0,-1 0 0,1 0 0,6-8 0,0-4 0,0 1 0,-9 14 0,0 2 0,0-2 0,-1 1 0,1 0 0,-1-1 0,1 1 0,-1 0 0,1 1 0,-1-2 0,1 1 0,-1 0 0,1 0 0,-1 1 0,0-1 0,0 0 0,1 0 0,-1-1 0,0 0 0,0 4 0,1 0 0,-1-1 0,1 1 0,0 0 0,0-2 0,0 2 0,0-2 0,1 2 0,-1 0 0,1-2 0,0 1 0,0-1 0,0 2 0,-1-2 0,1 1 0,1-1 0,-1 1 0,1-1 0,-1-1 0,1 0 0,-1 2 0,1-2 0,0 0 0,-1 1 0,1-1 0,0 0 0,0 0 0,0 0 0,0-1 0,0 0 0,0 0 0,-1 2 0,1-4 0,0 2 0,0 0 0,4-2 0,1 1 0,0-2 0,0 0 0,-1-1 0,1 2 0,-2-2 0,2-1 0,-1 0 0,0 0 0,0 0 0,-2-2 0,2 1 0,7-10 0,-4 0 0,1 0 0,-2-1 0,0-1 0,-1 0 0,-1 0 0,0-1 0,0-1 0,-2 1 0,0-1 0,3-28 0,2-24 0,2-111 0,-11 167 0,4-101 0,-9-145 0,1 238 0,-2 18 0,4 8 0,0 1 0,0-2 0,0 1 0,0 2 0,0-1 0,0-1 0,0 2 0,0-2 0,1 1 0,-1 3 0,-10 59 0,2 0 0,-2 80 0,5 139 0,6-284 0,7 260 0,-4-229 0,0-3 0,1 1 0,2 1 0,1-2 0,0 0 0,17 45 0,-20-65-341,1 2 0,0 0-1,12 16 1,14 7-6485</inkml:trace>
  <inkml:trace contextRef="#ctx0" brushRef="#br0" timeOffset="9">4624 543 24575,'-1'3'0,"1"12"0,4 1 0,1-1-8191</inkml:trace>
  <inkml:trace contextRef="#ctx0" brushRef="#br0" timeOffset="10">5579 860 24575,'0'1'0,"0"0"0,1-1 0,0 1 0,-1-1 0,1 1 0,-1-1 0,1 2 0,0-2 0,-1 1 0,1-1 0,0 1 0,0-1 0,-1 0 0,1 0 0,0 1 0,-1-1 0,1 0 0,-1 0 0,1 0 0,0 0 0,0 0 0,0 0 0,1 0 0,1 2 0,79 7 0,142-4 0,-129-5 0,-40 2 0,-24 0 0,0-2 0,0-1 0,0-3 0,50-11 0,-78 14 0,0 0 0,0 0 0,0-1 0,0 1 0,-1 0 0,1 0 0,-1-2 0,1 1 0,0 1 0,-1-1 0,-1 0 0,2-1 0,-1 1 0,0-2 0,0 2 0,3-4 0,-5 3 0,1 1 0,-1-1 0,0 1 0,0-1 0,1 1 0,-1 0 0,0-1 0,0 2 0,0-2 0,0 2 0,0-1 0,-1-1 0,1 1 0,0-1 0,0 1 0,-1 1 0,1-2 0,-1 1 0,0 1 0,0-2 0,0 1 0,0 0 0,0 0 0,-1 1 0,-1-3 0,0-1 0,0-1 0,-2 1 0,1 1 0,0-1 0,0 1 0,-1 0 0,0 0 0,1 2 0,-9-7 0,13 9 0,0 0 0,0 0 0,-1-1 0,1 1 0,0 0 0,-1 0 0,1 0 0,0 0 0,0 0 0,-1 0 0,1 0 0,0 0 0,-1 0 0,1 0 0,0 0 0,-1 0 0,1 0 0,0 0 0,0 0 0,-1 0 0,1 0 0,0 0 0,-1 1 0,1-1 0,0 0 0,0 0 0,-1 0 0,1 0 0,0 1 0,0-1 0,0 0 0,-1 0 0,1 2 0,0 11 0,10 25 0,-7-28 0,4 11 0,-2 0 0,0 0 0,-1 1 0,-1 0 0,0 1 0,-2 31 0,-1-40 0,-1 0 0,1 0 0,-2 0 0,-1-1 0,1 1 0,-2-1 0,0-1 0,1 2 0,-2-2 0,-1 0 0,-10 22 0,-1-9-170,-1 2-1,-2-2 0,-1-2 1,1 1-1,-2-4 0,-1 1 1,-40 27-1,-6-2-6655</inkml:trace>
  <inkml:trace contextRef="#ctx0" brushRef="#br0" timeOffset="11">7090 713 24575,'-2'-6'0,"0"0"0,0 2 0,0-2 0,-1 0 0,0 1 0,0 0 0,0 0 0,0 0 0,0 2 0,-1-2 0,0 1 0,1-1 0,-2 2 0,1 0 0,-1-1 0,2 1 0,-2 0 0,-9-4 0,10 6 0,1 1 0,0-2 0,-1 1 0,0 0 0,0 1 0,1-1 0,-1 1 0,0 0 0,0 1 0,0-1 0,0 1 0,1-1 0,-1 1 0,0 1 0,1-1 0,-1 0 0,0 2 0,1-2 0,0 1 0,0 1 0,-1 0 0,1 0 0,0-1 0,1 1 0,-6 7 0,-1 4 0,-1 2 0,2 0 0,0 0 0,1 3 0,0-2 0,1 0 0,0 2 0,-5 28 0,-1 16 0,-5 81 0,4 65 0,13-189 0,1 0 0,1 0 0,0-2 0,1 2 0,0-2 0,1 2 0,1-2 0,10 29 0,-13-41 0,0-1 0,1 0 0,-1 0 0,0 1 0,1-2 0,0 1 0,1 0 0,-1-2 0,0 2 0,1-2 0,0 0 0,0 1 0,-1 0 0,2-1 0,-1 0 0,1-1 0,-1 1 0,0-2 0,1 1 0,-1 0 0,1 0 0,0-1 0,-1-1 0,1 2 0,1-2 0,-1 0 0,-1 0 0,1 0 0,0-2 0,-1 1 0,1 0 0,0 0 0,6-4 0,4-1 0,-1-3 0,0 0 0,0 1 0,-1-3 0,1 1 0,-1-1 0,-1-1 0,0-1 0,11-15 0,-3 1 0,-2-1 0,0 0 0,-2-3 0,0 0 0,-2-1 0,22-65 0,-21 43 0,-1 0 0,-3 0 0,11-92 0,-18 92 0,-6 39 0,-2 18 0,-3 21 0,-4 40 0,3 0 0,2 1 0,1 111 0,4-163-151,1 1-1,1-1 0,0 1 0,1-1 1,0-1-1,0 3 0,2-3 1,3 15-1,1-8-6674</inkml:trace>
  <inkml:trace contextRef="#ctx0" brushRef="#br0" timeOffset="12">7090 1153 24575,'-5'3'0,"12"0"0,16 6 0,-4-8 0,1-1 0,-1 0 0,1-2 0,-2-1 0,2-2 0,36-12 0,-9-3 0,70-39 0,-99 48 0,0 2 0,0-4 0,-1 2 0,-2-2 0,2-2 0,-2 0 0,0 0 0,16-21 0,-31 34 0,1 1 0,0 0 0,0 0 0,0 0 0,0-1 0,0 1 0,-1-1 0,1 0 0,0 1 0,-1 0 0,1 0 0,-1-1 0,0 1 0,1-1 0,-1 1 0,0-2 0,0 2 0,0 0 0,0-2 0,0 2 0,0-2 0,0 3 0,0-1 0,-1-1 0,1 1 0,0-1 0,-1 0 0,1 1 0,-1-1 0,0 1 0,1-1 0,-1 1 0,-2-3 0,2 4 0,0-1 0,1-1 0,-1 2 0,-1-1 0,1 1 0,0-1 0,-1 1 0,1-1 0,0 1 0,-1 0 0,1-2 0,-1 2 0,1 0 0,0 0 0,0 0 0,0 0 0,-1 0 0,1 2 0,-1-2 0,1 0 0,0 1 0,-1-1 0,1 1 0,0-1 0,-1 1 0,2 1 0,-1-2 0,0 1 0,0-1 0,0 1 0,0 0 0,-1 2 0,-1-1 0,0 2 0,0-2 0,2 2 0,-2-2 0,1 2 0,0 0 0,0 0 0,0-1 0,0 1 0,1 0 0,0-1 0,-1 2 0,1-1 0,0 0 0,0 0 0,1 0 0,-1 1 0,1 0 0,0-3 0,0 3 0,0 0 0,0 0 0,0-2 0,2 8 0,-1-6 0,1 0 0,0-1 0,-1 1 0,1 1 0,0-2 0,1 1 0,0 0 0,0-1 0,-1-1 0,1 1 0,0 1 0,1-1 0,-1-1 0,0 0 0,1 0 0,0 0 0,0 1 0,8 2 0,31 8 0,-36-12 0,-1 0 0,1-1 0,0 3 0,0-3 0,-1 3 0,7 3 0,-11-5 0,-1-1 0,0 0 0,-1 2 0,1-3 0,0 1 0,1 0 0,-2 1 0,1 0 0,0-1 0,0 1 0,0 0 0,-1 0 0,1-1 0,0 2 0,-1-1 0,0-2 0,1 3 0,-1-1 0,0-1 0,0 4 0,-4 42 0,1-29 0,2-7 0,1-1 0,-1 1 0,1 0 0,1 0 0,0 0 0,0 0 0,1 1 0,0-3 0,4 17 0,-5-22 0,0-2 0,1 2 0,-1-3 0,0 3 0,1-2 0,0 1 0,-1-1 0,1 1 0,0-1 0,-1 1 0,1-2 0,0 1 0,1 0 0,-1 0 0,0-1 0,1 0 0,-2 2 0,2-2 0,-1 0 0,1 1 0,-1-2 0,1 1 0,0 0 0,-1-1 0,0 0 0,1 0 0,0 0 0,0 0 0,-1 0 0,0 0 0,1-1 0,-1 1 0,1-1 0,0-1 0,-1 1 0,0 0 0,4-3 0,3-1 0,0 0 0,-1-2 0,1 0 0,-1 1 0,1-3 0,-2 2 0,1-2 0,-2-1 0,1 2 0,0-2 0,-1 0 0,9-21 0,1-4 0,-1-1 0,18-64 0,-22 56 0,0 0 0,-3-1 0,-1 0 0,-2 0 0,-1-1 0,-2-47 0,-7 33 0,0 43 0,-1 13 0,4 5 0,1 0 0,-1 1 0,1-1 0,0 0 0,0 2 0,0-2 0,0 1 0,0 0 0,1 0 0,-1 0 0,0 0 0,-1 1 0,-7 26 0,3-1 0,-1-1 0,2 1 0,-6 57 0,8-29 0,3 93 0,1-112 24,1 0 0,3-2 0,0 0 0,11 42 0,-13-67-102,-1 1 0,2-1 0,-1 1-1,2-3 1,-2 2 0,2-1 0,1 1 0,-2-2 0,2 1-1,0-2 1,0 2 0,1-2 0,-1 1 0,2-2 0,-1 1-1,0-2 1,1 1 0,10 5 0,23 5-6748</inkml:trace>
  <inkml:trace contextRef="#ctx0" brushRef="#br0" timeOffset="13">8383 1178 24575,'7'0'0,"12"0"0,20-9 0,20-11 0,20-9 0,11-2 0,3-6 0,-4 2 0,-10-5 0,-19-4 0,-20 5-8191</inkml:trace>
  <inkml:trace contextRef="#ctx0" brushRef="#br0" timeOffset="14">8722 640 24575,'6'3'0,"3"7"0,-1 15 0,6 13 0,0 18 0,-3 20 0,-2 19 0,-6 7 0,-5 6 0,-1-7 0,-1-15 0,1-20-8191</inkml:trace>
  <inkml:trace contextRef="#ctx0" brushRef="#br0" timeOffset="15">9418 591 24575,'1'1'0,"1"-1"0,-1 1 0,0 0 0,1-1 0,-1 1 0,1 1 0,-1-1 0,1 0 0,-1 0 0,0 1 0,1-1 0,-1 0 0,0 0 0,0 1 0,0-1 0,-1 1 0,1-1 0,0 2 0,0-2 0,-1 2 0,1-1 0,0-1 0,-1 2 0,1-2 0,-1 0 0,0 2 0,1-1 0,-1 3 0,7 63 0,-7-65 0,-1 43 0,-1-2 0,-2 1 0,-1 0 0,-2-2 0,-2 1 0,-12 44 0,9-53 0,12-35 0,0 1 0,0-1 0,0 0 0,0 0 0,-1 0 0,1 0 0,0 1 0,0-1 0,0 0 0,-1 0 0,1 0 0,0 0 0,0 0 0,0 0 0,-1 0 0,1 0 0,0 0 0,0 0 0,0 0 0,-1 0 0,1 0 0,0 0 0,0 0 0,-1 0 0,1 0 0,0 0 0,0 0 0,0 0 0,-1 0 0,1 0 0,0 0 0,0 0 0,0 0 0,-1-1 0,1 1 0,0 0 0,0 0 0,0 0 0,0 0 0,-1 0 0,1-1 0,0 1 0,0 0 0,0 0 0,0 0 0,0-2 0,0 2 0,-1 0 0,1 0 0,0 0 0,0-1 0,0 1 0,0 0 0,0 0 0,0 0 0,0-1 0,0 1 0,0 0 0,0 0 0,0-1 0,0 1 0,0 0 0,0 0 0,0 0 0,1-2 0,-3-14 0,0 2 0,2-2 0,0 0 0,1-20 0,1-3 0,0-111 0,-1 27 0,16-140 0,-17 260 0,0 0 0,1 0 0,-1-1 0,1 0 0,0 0 0,0 1 0,-1 0 0,1 0 0,0-1 0,4-5 0,-4 9 0,-1 0 0,0 0 0,1-1 0,-1 1 0,1 0 0,-1 0 0,1-1 0,-1 1 0,0 0 0,1 0 0,-1 0 0,1 0 0,-1 0 0,1 0 0,-1 0 0,1 0 0,-1 0 0,1 0 0,-1 0 0,0 0 0,0 0 0,1 0 0,-1 0 0,1 0 0,-1 0 0,1 1 0,-1-1 0,1 0 0,-1 0 0,0 1 0,1-1 0,-1 0 0,0 0 0,1 0 0,-1 0 0,1 2 0,-1-1 0,6 6 0,-2 2 0,0-1 0,1 1 0,-1 0 0,5 16 0,59 210-1,-4-5 68,-50-192-425,0-1 0,2-1 1,34 61-1,-26-60-6468</inkml:trace>
  <inkml:trace contextRef="#ctx0" brushRef="#br0" timeOffset="16">9398 1055 24575,'25'-3'0,"-1"0"0,0-2 0,1-1 0,-1-2 0,0 0 0,-1-3 0,1 1 0,-2-4 0,1 1 0,-2-2 0,0-1 0,0-1 0,-1-2 0,24-28 0,-29 26 0,-1-1 0,-1-1 0,-1-1 0,0-1 0,-1 1 0,-1-1 0,-1-1 0,-1-1 0,9-48 0,-11 46 0,-3-2 0,1-1 0,-2 2 0,0-2 0,-2 1 0,-2 0 0,0-1 0,-7-41 0,7 64 0,0 0 0,-1 1 0,1-1 0,-6-13 0,8 22 0,0-1 0,-1 0 0,1 1 0,0-2 0,-1 2 0,1-1 0,0 0 0,-1 1 0,1-1 0,0 1 0,-1 0 0,1 0 0,-1-1 0,1 1 0,-1-2 0,0 2 0,1 0 0,-1-1 0,1 1 0,-1 0 0,0-1 0,1 1 0,-1 0 0,1 0 0,-1 0 0,1-1 0,0 1 0,-1 0 0,0 0 0,0 0 0,1 0 0,-1 0 0,0 0 0,1 0 0,-1 1 0,0-1 0,1 0 0,-1 0 0,0 0 0,1 1 0,-1-1 0,1 0 0,-1 1 0,0-1 0,1 2 0,-1-2 0,-1 3 0,-1 1 0,0 0 0,1 1 0,0-1 0,-1-1 0,-1 10 0,-6 18 0,1 0 0,1 2 0,1-1 0,1 0 0,2 2 0,-1 40 0,2 1 0,10 129 0,-4-162 0,2-2 0,1 1 0,1-1 0,3 1 0,0-3 0,1 0 0,20 47 0,-24-69 0,1-2 0,0 3 0,0-2 0,2-1 0,0-1 0,-1 2 0,3-3 0,-1 1 0,0-1 0,1-2 0,1 1 0,-1-2 0,1 1 0,0-2 0,1-1 0,-1-1 0,1 2 0,23 4 0,-31-12 0,0 2 0,1-2 0,-2 2 0,2-2 0,0 0 0,-1 0 0,0-2 0,0 1 0,1 0 0,-1 1 0,0-3 0,0 1 0,0-2 0,0 2 0,0-2 0,-1 0 0,8-4 0,-7 0 0,1 2 0,-1-2 0,0 0 0,0 1 0,-1-2 0,1 1 0,-1-2 0,-1 3 0,0-3 0,0 0 0,0 0 0,2-12 0,3-12 0,-3-1 0,1 1 0,-4-1 0,1-1 0,-1-63 0,-6 32 0,-1 0 0,-14-73 0,4 74 0,14 65 0,0 0 0,0-1 0,0 2 0,-1 0 0,1-1 0,0 0 0,0 1 0,-1-1 0,1 0 0,-1-1 0,1 2 0,-1-1 0,1 0 0,-1 1 0,1-1 0,-1 1 0,1-2 0,-1 2 0,0-1 0,1 1 0,-1-1 0,0 1 0,0 0 0,1-1 0,-1 1 0,0 0 0,0-2 0,1 2 0,0 0 0,-1 0 0,0 0 0,-1 0 0,0 2 0,1-1 0,0 0 0,-1 0 0,1 1 0,0-1 0,0 1 0,0 0 0,0-1 0,0 1 0,1-1 0,-1 1 0,0-1 0,1 1 0,-1 0 0,0 4 0,-7 21 0,2 1 0,1 0 0,0 2 0,0 50 0,3 121 0,3-190 0,-1 6-72,0 24 139,2-1 0,6 43 0,-7-72-173,1-3-1,0 3 0,1-2 0,-2 1 1,3-2-1,-1 2 0,1-1 0,0 1 1,0-3-1,1 2 0,0-1 0,-1-1 1,12 13-1,15 6-6719</inkml:trace>
  <inkml:trace contextRef="#ctx0" brushRef="#br0" timeOffset="17">10074 1201 24575,'-11'0'0,"5"0"0,15-11 0,24-15 0,21 0 0,9-7 0,2 6 0,-10-5 0,-15 8-8191</inkml:trace>
  <inkml:trace contextRef="#ctx0" brushRef="#br0" timeOffset="18">10889 957 24575,'7'0'0,"16"-4"0,9-1 0,19-13 0,9-2 0,16-12 0,1 1 0,-7 4 0,-14 4 0,-16-2 0,-17 2-8191</inkml:trace>
  <inkml:trace contextRef="#ctx0" brushRef="#br0" timeOffset="19">11109 492 24575,'0'14'0,"0"14"0,0 22 0,0 13 0,0 12 0,3 9 0,2 3 0,5-4 0,3-7 0,12-15 0,1-21-8191</inkml:trace>
  <inkml:trace contextRef="#ctx0" brushRef="#br0" timeOffset="20">11706 469 24575,'9'16'0,"7"21"0,52 176 0,8 23 0,-61-196 0,2 0 0,1-2 0,37 59 0,-51-89 0,0-2 0,2 0 0,-2 1 0,1-2 0,1 1 0,-1-1 0,12 9 0,-15-13 0,0 0 0,0 0 0,1-1 0,-1 2 0,-1-1 0,1-1 0,0 0 0,1 1 0,-1-1 0,0 0 0,0 0 0,0 0 0,0-1 0,0 1 0,0 0 0,0-1 0,0 1 0,1-2 0,-1 1 0,-1 0 0,1 0 0,0 0 0,0-1 0,0 1 0,-1-1 0,1 0 0,0 2 0,-1-2 0,3-4 0,5-9 0,-1 0 0,0-2 0,-1 1 0,0-1 0,-2 1 0,1-1 0,5-34 0,8-31 35,-4-3-1,12-165 1,-14-176-1059,-12 372 579,0-111-6381</inkml:trace>
  <inkml:trace contextRef="#ctx0" brushRef="#br0" timeOffset="21">7587 2545 24575,'13'0'0,"1"-2"0,-1 0 0,0-2 0,-1 2 0,21-10 0,18-7 0,132-39 0,115-29-740,138-34-2221,142-32 1448,131-20-1578,2992-656-3985,-3258 736 7073,-137 25 2,-135 23 421,-165 45-242,-1-1 0,1-2 0,-1 2 0,0 0 0,0-2 0,0 1 0,0-1 0,6-5 0,-15 6-53,-2 2 1,1-1-1,0 1 1,-1 0 0,1 0-1,0 1 1,0-1-1,-6 3 1,-136 24 2389,-88 21-1886,-104 27-199,-131 40 1289,-149 50-1712,-138 42-1697,-2448 751-4330,2736-799 5787,216-63 750,205-73-342,41-17-16,11-2 125,27-8 694,53-13-1,161-45-489,98-27-70,1663-382 3405,-1640 392-4241,-309 63 418,-52 11-15,-10 2-90,-24 2-491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8T06:06:12.28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8T06:06:12.28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8T06:07:04.60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8T06:08:06.58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DR. NISHTHA JAIN" id="{39A3A822-1051-4EC0-9FAC-7A468EAB575C}" userId="116f6aa4af3aa8b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FBF9E-22BE-4A2B-AAE3-4783F1F1A663}" name="Table1" displayName="Table1" ref="G2:J23" totalsRowCount="1" headerRowDxfId="138" dataDxfId="136" headerRowBorderDxfId="137" tableBorderDxfId="135" headerRowCellStyle="Normal 2">
  <autoFilter ref="G2:J22" xr:uid="{11EFBF9E-22BE-4A2B-AAE3-4783F1F1A663}"/>
  <sortState xmlns:xlrd2="http://schemas.microsoft.com/office/spreadsheetml/2017/richdata2" ref="G6:J22">
    <sortCondition ref="H2:H22"/>
  </sortState>
  <tableColumns count="4">
    <tableColumn id="1" xr3:uid="{E29CF269-F31E-4D59-8C48-EEAD20EE21B4}" name="Items" totalsRowLabel="TOTAL" dataDxfId="134" totalsRowDxfId="133" dataCellStyle="Normal 2"/>
    <tableColumn id="2" xr3:uid="{ABFEAB7D-A5BE-40A6-9E15-73F96A1C06BC}" name="Prices" totalsRowFunction="sum" dataDxfId="132" totalsRowDxfId="131"/>
    <tableColumn id="3" xr3:uid="{A7627D7A-2B8F-4F11-88FD-95115D881FE4}" name="Dates" dataDxfId="130" totalsRowDxfId="129"/>
    <tableColumn id="4" xr3:uid="{B3DFCEE8-C4DC-4239-A525-A09050944C1D}" name="Regions" dataDxfId="128" totalsRowDxfId="127" dataCellStyle="Normal 2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7BB0F-C47D-4BC2-9CD0-C9E7268A2404}" name="Table2" displayName="Table2" ref="B39:E60" totalsRowCount="1" headerRowDxfId="126" dataDxfId="124" headerRowBorderDxfId="125" tableBorderDxfId="123" headerRowCellStyle="Normal 2">
  <autoFilter ref="B39:E59" xr:uid="{1557BB0F-C47D-4BC2-9CD0-C9E7268A2404}"/>
  <tableColumns count="4">
    <tableColumn id="1" xr3:uid="{2AFDCA8A-B029-444E-9250-365C019E30F6}" name="Items" totalsRowLabel="Total" dataDxfId="122" totalsRowDxfId="121" dataCellStyle="Normal 2"/>
    <tableColumn id="2" xr3:uid="{D1155343-72A1-4CAB-BC21-AD8252247E19}" name="Prices" totalsRowFunction="sum" dataDxfId="120" totalsRowDxfId="119"/>
    <tableColumn id="3" xr3:uid="{2B41A9C2-DF08-4770-BD88-C4D54DB16DE1}" name="Dates" dataDxfId="118" totalsRowDxfId="117"/>
    <tableColumn id="4" xr3:uid="{B6121D8E-3830-42C2-ABD9-65D10E85FB37}" name="Regions" dataDxfId="116" totalsRowDxfId="115" dataCellStyle="Normal 2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6B5EA9-4700-406F-9033-C12F0F348CD3}" name="Table5" displayName="Table5" ref="A2:E38" headerRowDxfId="107" dataDxfId="106" headerRowBorderDxfId="113" tableBorderDxfId="114" headerRowCellStyle="Normal 4">
  <autoFilter ref="A2:E38" xr:uid="{CD6B5EA9-4700-406F-9033-C12F0F348CD3}"/>
  <sortState xmlns:xlrd2="http://schemas.microsoft.com/office/spreadsheetml/2017/richdata2" ref="A3:E38">
    <sortCondition ref="A2:A38"/>
  </sortState>
  <tableColumns count="5">
    <tableColumn id="1" xr3:uid="{6FB4D3AF-2348-43F2-AF27-39AA75B10C0D}" name="Date" totalsRowLabel="Total" dataDxfId="112" totalsRowDxfId="100" dataCellStyle="Normal 4"/>
    <tableColumn id="2" xr3:uid="{46333522-3526-470E-86EB-D045C4892E7E}" name="Months" dataDxfId="111" totalsRowDxfId="101" dataCellStyle="Normal 4"/>
    <tableColumn id="3" xr3:uid="{490B0874-40A9-4F0C-A90F-489B11C3172D}" name="Items" dataDxfId="110" totalsRowDxfId="102" dataCellStyle="Normal 4"/>
    <tableColumn id="4" xr3:uid="{DBC0BAD9-817A-4DC8-B58B-4A3F5731D310}" name="Cost Price" dataDxfId="109" totalsRowDxfId="103" dataCellStyle="Normal 4"/>
    <tableColumn id="5" xr3:uid="{A791A349-2C02-463A-AB9A-694790C10B55}" name="Cost Price2" totalsRowFunction="sum" dataDxfId="108" totalsRowDxfId="104" dataCellStyle="Normal 4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" dT="2026-08-07T14:27:43.43" personId="{39A3A822-1051-4EC0-9FAC-7A468EAB575C}" id="{A4FE2F15-1CBB-4B12-B801-8AF6B03F1615}">
    <text>Please checck the value</text>
  </threadedComment>
  <threadedComment ref="C5" dT="2026-08-07T14:27:43.43" personId="{39A3A822-1051-4EC0-9FAC-7A468EAB575C}" id="{9ECCF742-20E3-4C1F-B589-F76BB00C03A6}">
    <text>Please checck the value</text>
  </threadedComment>
  <threadedComment ref="K5" dT="2026-08-07T14:27:43.43" personId="{39A3A822-1051-4EC0-9FAC-7A468EAB575C}" id="{5F1C008E-F25C-4A3E-ADFD-DD3E5F051863}">
    <text>Please checck the value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B74F-E2A0-4F9F-87C6-071423942B7D}">
  <dimension ref="A2:T48"/>
  <sheetViews>
    <sheetView workbookViewId="0">
      <selection activeCell="U9" sqref="U9"/>
    </sheetView>
  </sheetViews>
  <sheetFormatPr defaultRowHeight="14.4" x14ac:dyDescent="0.3"/>
  <cols>
    <col min="4" max="4" width="10.33203125" bestFit="1" customWidth="1"/>
  </cols>
  <sheetData>
    <row r="2" spans="1:20" x14ac:dyDescent="0.3"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1:20" x14ac:dyDescent="0.3">
      <c r="H3" t="s">
        <v>14</v>
      </c>
      <c r="J3">
        <v>1</v>
      </c>
      <c r="L3">
        <v>1</v>
      </c>
    </row>
    <row r="4" spans="1:20" x14ac:dyDescent="0.3">
      <c r="F4" t="s">
        <v>1</v>
      </c>
      <c r="H4" t="s">
        <v>15</v>
      </c>
      <c r="J4">
        <v>2</v>
      </c>
      <c r="L4">
        <v>1</v>
      </c>
    </row>
    <row r="5" spans="1:20" x14ac:dyDescent="0.3">
      <c r="F5" t="s">
        <v>2</v>
      </c>
      <c r="H5" t="s">
        <v>16</v>
      </c>
      <c r="J5">
        <v>3</v>
      </c>
      <c r="L5">
        <v>1</v>
      </c>
    </row>
    <row r="6" spans="1:20" x14ac:dyDescent="0.3">
      <c r="F6" t="s">
        <v>3</v>
      </c>
      <c r="H6" t="s">
        <v>17</v>
      </c>
      <c r="J6">
        <v>4</v>
      </c>
      <c r="L6">
        <v>1</v>
      </c>
    </row>
    <row r="7" spans="1:20" x14ac:dyDescent="0.3">
      <c r="F7" t="s">
        <v>4</v>
      </c>
      <c r="H7" t="s">
        <v>18</v>
      </c>
      <c r="J7">
        <v>5</v>
      </c>
      <c r="L7">
        <v>1</v>
      </c>
    </row>
    <row r="8" spans="1:20" x14ac:dyDescent="0.3">
      <c r="B8">
        <v>1551</v>
      </c>
      <c r="F8" t="s">
        <v>5</v>
      </c>
      <c r="H8" t="s">
        <v>19</v>
      </c>
      <c r="J8">
        <v>6</v>
      </c>
      <c r="L8">
        <v>1</v>
      </c>
    </row>
    <row r="9" spans="1:20" ht="21" x14ac:dyDescent="0.4">
      <c r="B9" t="s">
        <v>21</v>
      </c>
      <c r="F9" t="s">
        <v>6</v>
      </c>
      <c r="J9">
        <v>7</v>
      </c>
      <c r="L9">
        <v>1</v>
      </c>
      <c r="S9" s="4" t="s">
        <v>0</v>
      </c>
      <c r="T9" t="s">
        <v>47</v>
      </c>
    </row>
    <row r="10" spans="1:20" x14ac:dyDescent="0.3">
      <c r="A10" s="2">
        <v>4</v>
      </c>
      <c r="B10">
        <v>3</v>
      </c>
      <c r="F10" t="s">
        <v>7</v>
      </c>
      <c r="J10">
        <v>8</v>
      </c>
      <c r="L10">
        <v>1</v>
      </c>
    </row>
    <row r="11" spans="1:20" x14ac:dyDescent="0.3">
      <c r="A11" s="2">
        <v>9</v>
      </c>
      <c r="B11">
        <v>6</v>
      </c>
      <c r="F11" t="s">
        <v>8</v>
      </c>
      <c r="I11" t="s">
        <v>20</v>
      </c>
      <c r="J11">
        <v>9</v>
      </c>
      <c r="L11">
        <v>1</v>
      </c>
    </row>
    <row r="12" spans="1:20" x14ac:dyDescent="0.3">
      <c r="A12" s="2">
        <v>16</v>
      </c>
      <c r="B12">
        <v>9</v>
      </c>
      <c r="D12" s="1">
        <v>45850</v>
      </c>
      <c r="F12" t="s">
        <v>9</v>
      </c>
      <c r="I12">
        <v>10</v>
      </c>
      <c r="J12">
        <v>10</v>
      </c>
      <c r="L12">
        <v>1</v>
      </c>
    </row>
    <row r="13" spans="1:20" x14ac:dyDescent="0.3">
      <c r="A13" s="2">
        <v>25</v>
      </c>
      <c r="B13">
        <v>12</v>
      </c>
      <c r="D13" s="1">
        <v>45850</v>
      </c>
      <c r="F13" t="s">
        <v>10</v>
      </c>
      <c r="I13">
        <v>20</v>
      </c>
      <c r="J13">
        <v>11</v>
      </c>
      <c r="L13">
        <v>1</v>
      </c>
    </row>
    <row r="14" spans="1:20" x14ac:dyDescent="0.3">
      <c r="A14" s="2">
        <v>36</v>
      </c>
      <c r="B14">
        <v>15</v>
      </c>
      <c r="D14" s="1">
        <v>45850</v>
      </c>
      <c r="F14" t="s">
        <v>11</v>
      </c>
      <c r="I14">
        <v>30</v>
      </c>
      <c r="J14">
        <v>12</v>
      </c>
      <c r="L14">
        <v>1</v>
      </c>
    </row>
    <row r="15" spans="1:20" x14ac:dyDescent="0.3">
      <c r="A15" s="2">
        <v>49</v>
      </c>
      <c r="B15">
        <v>18</v>
      </c>
      <c r="D15" s="1">
        <v>45850</v>
      </c>
      <c r="F15" t="s">
        <v>12</v>
      </c>
      <c r="I15">
        <v>40</v>
      </c>
      <c r="J15">
        <v>13</v>
      </c>
      <c r="L15">
        <v>1</v>
      </c>
      <c r="O15" t="s">
        <v>33</v>
      </c>
      <c r="P15">
        <v>5</v>
      </c>
    </row>
    <row r="16" spans="1:20" x14ac:dyDescent="0.3">
      <c r="A16" s="2">
        <v>54.6666666666667</v>
      </c>
      <c r="B16">
        <v>21</v>
      </c>
      <c r="D16" s="1">
        <v>45850</v>
      </c>
      <c r="I16">
        <v>50</v>
      </c>
      <c r="J16">
        <v>14</v>
      </c>
      <c r="L16">
        <v>1</v>
      </c>
      <c r="O16" t="s">
        <v>35</v>
      </c>
      <c r="P16">
        <v>10</v>
      </c>
    </row>
    <row r="17" spans="1:16" x14ac:dyDescent="0.3">
      <c r="A17" s="2">
        <v>63.6666666666667</v>
      </c>
      <c r="B17">
        <v>24</v>
      </c>
      <c r="D17" s="1">
        <v>45850</v>
      </c>
      <c r="I17">
        <v>60</v>
      </c>
      <c r="J17">
        <v>15</v>
      </c>
      <c r="L17">
        <v>1</v>
      </c>
      <c r="O17" t="s">
        <v>36</v>
      </c>
      <c r="P17">
        <v>15</v>
      </c>
    </row>
    <row r="18" spans="1:16" x14ac:dyDescent="0.3">
      <c r="A18" s="2">
        <v>72.6666666666667</v>
      </c>
      <c r="B18">
        <v>27</v>
      </c>
      <c r="D18" s="1">
        <v>45850</v>
      </c>
      <c r="I18">
        <v>70</v>
      </c>
      <c r="J18">
        <v>16</v>
      </c>
      <c r="L18">
        <v>1</v>
      </c>
      <c r="O18" t="s">
        <v>37</v>
      </c>
      <c r="P18">
        <v>20</v>
      </c>
    </row>
    <row r="19" spans="1:16" x14ac:dyDescent="0.3">
      <c r="A19" s="2">
        <v>81.6666666666667</v>
      </c>
      <c r="B19">
        <v>30</v>
      </c>
      <c r="D19" s="1">
        <v>45850</v>
      </c>
      <c r="I19">
        <v>80</v>
      </c>
      <c r="J19">
        <v>17</v>
      </c>
      <c r="L19">
        <v>1</v>
      </c>
      <c r="O19" t="s">
        <v>38</v>
      </c>
      <c r="P19">
        <v>25</v>
      </c>
    </row>
    <row r="20" spans="1:16" x14ac:dyDescent="0.3">
      <c r="A20" s="2">
        <v>90.6666666666667</v>
      </c>
      <c r="B20">
        <v>33</v>
      </c>
      <c r="D20" s="1">
        <v>45850</v>
      </c>
      <c r="I20">
        <v>90</v>
      </c>
      <c r="J20">
        <v>18</v>
      </c>
      <c r="L20">
        <v>1</v>
      </c>
      <c r="O20" t="s">
        <v>39</v>
      </c>
      <c r="P20">
        <v>30</v>
      </c>
    </row>
    <row r="21" spans="1:16" x14ac:dyDescent="0.3">
      <c r="A21" s="2">
        <v>99.6666666666667</v>
      </c>
      <c r="B21">
        <v>36</v>
      </c>
      <c r="D21" s="1">
        <v>45850</v>
      </c>
      <c r="I21">
        <v>100</v>
      </c>
      <c r="J21">
        <v>19</v>
      </c>
      <c r="L21">
        <v>1</v>
      </c>
      <c r="O21" t="s">
        <v>40</v>
      </c>
      <c r="P21">
        <v>35</v>
      </c>
    </row>
    <row r="22" spans="1:16" x14ac:dyDescent="0.3">
      <c r="A22" s="2">
        <v>108.666666666667</v>
      </c>
      <c r="B22">
        <v>39</v>
      </c>
      <c r="D22" s="1">
        <v>45850</v>
      </c>
      <c r="I22">
        <v>110</v>
      </c>
      <c r="J22">
        <v>20</v>
      </c>
      <c r="L22">
        <v>1</v>
      </c>
      <c r="O22" t="s">
        <v>41</v>
      </c>
      <c r="P22">
        <v>40</v>
      </c>
    </row>
    <row r="23" spans="1:16" x14ac:dyDescent="0.3">
      <c r="A23" s="2">
        <v>117.666666666667</v>
      </c>
      <c r="B23">
        <v>42</v>
      </c>
      <c r="D23" s="1">
        <v>45850</v>
      </c>
      <c r="I23">
        <v>120</v>
      </c>
      <c r="J23">
        <v>21</v>
      </c>
      <c r="L23">
        <v>1</v>
      </c>
      <c r="O23" t="s">
        <v>42</v>
      </c>
      <c r="P23">
        <v>45</v>
      </c>
    </row>
    <row r="24" spans="1:16" x14ac:dyDescent="0.3">
      <c r="A24" s="2">
        <v>126.666666666667</v>
      </c>
      <c r="B24">
        <v>45</v>
      </c>
      <c r="D24" s="1">
        <v>45850</v>
      </c>
      <c r="I24">
        <v>130</v>
      </c>
      <c r="J24">
        <v>22</v>
      </c>
      <c r="L24">
        <v>1</v>
      </c>
      <c r="O24" t="s">
        <v>43</v>
      </c>
      <c r="P24">
        <v>50</v>
      </c>
    </row>
    <row r="25" spans="1:16" x14ac:dyDescent="0.3">
      <c r="A25" s="2"/>
      <c r="B25">
        <v>48</v>
      </c>
      <c r="I25">
        <v>140</v>
      </c>
      <c r="J25">
        <v>23</v>
      </c>
      <c r="L25">
        <v>1</v>
      </c>
      <c r="O25" t="s">
        <v>44</v>
      </c>
      <c r="P25">
        <v>55</v>
      </c>
    </row>
    <row r="26" spans="1:16" x14ac:dyDescent="0.3">
      <c r="A26" s="2"/>
      <c r="B26">
        <v>51</v>
      </c>
      <c r="I26">
        <v>150</v>
      </c>
      <c r="J26">
        <v>24</v>
      </c>
      <c r="L26">
        <v>1</v>
      </c>
      <c r="O26" t="s">
        <v>45</v>
      </c>
      <c r="P26">
        <v>60</v>
      </c>
    </row>
    <row r="27" spans="1:16" x14ac:dyDescent="0.3">
      <c r="A27" s="2"/>
      <c r="B27">
        <v>54</v>
      </c>
      <c r="J27">
        <v>25</v>
      </c>
      <c r="L27">
        <v>1</v>
      </c>
      <c r="O27" t="s">
        <v>46</v>
      </c>
      <c r="P27">
        <v>65</v>
      </c>
    </row>
    <row r="28" spans="1:16" x14ac:dyDescent="0.3">
      <c r="O28" t="s">
        <v>34</v>
      </c>
      <c r="P28">
        <v>70</v>
      </c>
    </row>
    <row r="29" spans="1:16" x14ac:dyDescent="0.3">
      <c r="C29" t="s">
        <v>22</v>
      </c>
      <c r="D29" t="s">
        <v>23</v>
      </c>
      <c r="E29" t="s">
        <v>24</v>
      </c>
      <c r="F29" t="s">
        <v>25</v>
      </c>
      <c r="G29" t="s">
        <v>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P29">
        <v>75</v>
      </c>
    </row>
    <row r="32" spans="1:16" x14ac:dyDescent="0.3"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</v>
      </c>
    </row>
    <row r="33" spans="2:9" x14ac:dyDescent="0.3">
      <c r="B33">
        <v>8</v>
      </c>
      <c r="C33">
        <v>7</v>
      </c>
      <c r="D33">
        <v>6</v>
      </c>
      <c r="E33">
        <v>5</v>
      </c>
      <c r="F33">
        <v>4</v>
      </c>
      <c r="G33">
        <v>3</v>
      </c>
      <c r="H33">
        <v>2</v>
      </c>
      <c r="I33">
        <v>1</v>
      </c>
    </row>
    <row r="38" spans="2:9" x14ac:dyDescent="0.3">
      <c r="E38" t="s">
        <v>49</v>
      </c>
    </row>
    <row r="44" spans="2:9" x14ac:dyDescent="0.3">
      <c r="B44" t="s">
        <v>47</v>
      </c>
    </row>
    <row r="46" spans="2:9" x14ac:dyDescent="0.3">
      <c r="B46" t="s">
        <v>48</v>
      </c>
      <c r="F46" t="s">
        <v>47</v>
      </c>
    </row>
    <row r="48" spans="2:9" x14ac:dyDescent="0.3">
      <c r="F48" t="s">
        <v>48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EFC8-CA7C-49A1-8CD7-7FC6724377D5}">
  <dimension ref="B2:O49"/>
  <sheetViews>
    <sheetView zoomScale="90" zoomScaleNormal="90" workbookViewId="0">
      <selection activeCell="D5" sqref="D5"/>
    </sheetView>
  </sheetViews>
  <sheetFormatPr defaultRowHeight="14.4" x14ac:dyDescent="0.3"/>
  <cols>
    <col min="2" max="2" width="17.6640625" bestFit="1" customWidth="1"/>
    <col min="3" max="3" width="13.77734375" bestFit="1" customWidth="1"/>
    <col min="4" max="4" width="17.6640625" bestFit="1" customWidth="1"/>
    <col min="5" max="5" width="15.44140625" bestFit="1" customWidth="1"/>
    <col min="6" max="6" width="12.44140625" bestFit="1" customWidth="1"/>
    <col min="7" max="7" width="15.109375" bestFit="1" customWidth="1"/>
    <col min="8" max="8" width="14.5546875" bestFit="1" customWidth="1"/>
    <col min="9" max="10" width="12.44140625" bestFit="1" customWidth="1"/>
    <col min="11" max="12" width="14.5546875" bestFit="1" customWidth="1"/>
    <col min="13" max="13" width="55.44140625" customWidth="1"/>
    <col min="14" max="14" width="12.44140625" bestFit="1" customWidth="1"/>
  </cols>
  <sheetData>
    <row r="2" spans="2:15" ht="18" x14ac:dyDescent="0.35">
      <c r="B2" s="10" t="s">
        <v>13</v>
      </c>
      <c r="C2" s="8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</row>
    <row r="3" spans="2:15" ht="18" x14ac:dyDescent="0.35">
      <c r="B3" s="10" t="s">
        <v>14</v>
      </c>
      <c r="C3" s="3"/>
      <c r="D3" s="9">
        <v>1</v>
      </c>
      <c r="E3" s="3"/>
      <c r="F3" s="5"/>
      <c r="G3" s="3"/>
      <c r="H3" s="3"/>
    </row>
    <row r="4" spans="2:15" ht="18" x14ac:dyDescent="0.35">
      <c r="B4" s="10" t="s">
        <v>15</v>
      </c>
      <c r="C4" s="3"/>
      <c r="D4" s="9">
        <v>2</v>
      </c>
      <c r="E4" s="3"/>
      <c r="F4" s="5"/>
      <c r="G4" s="3"/>
      <c r="H4" s="3"/>
    </row>
    <row r="5" spans="2:15" ht="25.2" x14ac:dyDescent="0.5">
      <c r="B5" s="10" t="s">
        <v>16</v>
      </c>
      <c r="C5" s="3"/>
      <c r="D5" s="9">
        <v>3</v>
      </c>
      <c r="E5" s="3"/>
      <c r="F5" s="5"/>
      <c r="G5" s="3"/>
      <c r="H5" s="3"/>
      <c r="K5" s="6">
        <v>100</v>
      </c>
    </row>
    <row r="6" spans="2:15" ht="25.2" x14ac:dyDescent="0.5">
      <c r="B6" s="10" t="s">
        <v>17</v>
      </c>
      <c r="C6" s="3"/>
      <c r="D6" s="9">
        <v>4</v>
      </c>
      <c r="E6" s="3"/>
      <c r="F6" s="5"/>
      <c r="G6" s="3"/>
      <c r="H6" s="3"/>
      <c r="K6" s="6">
        <v>200</v>
      </c>
    </row>
    <row r="7" spans="2:15" s="14" customFormat="1" ht="214.8" x14ac:dyDescent="0.3">
      <c r="B7" s="15" t="s">
        <v>18</v>
      </c>
      <c r="C7" s="16"/>
      <c r="D7" s="9">
        <v>5</v>
      </c>
      <c r="E7" s="16"/>
      <c r="F7" s="17"/>
      <c r="G7" s="16"/>
      <c r="H7" s="16"/>
      <c r="K7" s="18">
        <v>300</v>
      </c>
      <c r="M7" s="19" t="s">
        <v>55</v>
      </c>
    </row>
    <row r="8" spans="2:15" ht="18" x14ac:dyDescent="0.35">
      <c r="B8" s="10" t="s">
        <v>19</v>
      </c>
      <c r="C8" s="3"/>
      <c r="D8" s="9">
        <v>6</v>
      </c>
      <c r="E8" s="3"/>
      <c r="F8" s="5"/>
      <c r="G8" s="3"/>
      <c r="H8" s="3"/>
    </row>
    <row r="9" spans="2:15" ht="15" thickBot="1" x14ac:dyDescent="0.35"/>
    <row r="10" spans="2:15" ht="29.4" thickTop="1" thickBot="1" x14ac:dyDescent="0.35">
      <c r="H10" s="599" t="s">
        <v>54</v>
      </c>
      <c r="I10" s="599"/>
      <c r="J10" s="599"/>
      <c r="K10" s="599"/>
      <c r="L10" s="599"/>
    </row>
    <row r="11" spans="2:15" ht="16.8" thickTop="1" thickBot="1" x14ac:dyDescent="0.35">
      <c r="H11" s="20" t="s">
        <v>52</v>
      </c>
      <c r="I11" s="20" t="s">
        <v>47</v>
      </c>
      <c r="J11" s="20" t="s">
        <v>47</v>
      </c>
      <c r="K11" s="20" t="s">
        <v>47</v>
      </c>
      <c r="L11" s="20" t="s">
        <v>47</v>
      </c>
      <c r="M11" s="11"/>
      <c r="N11" s="11"/>
      <c r="O11" s="11"/>
    </row>
    <row r="12" spans="2:15" ht="16.8" thickTop="1" thickBot="1" x14ac:dyDescent="0.35">
      <c r="H12" s="20" t="s">
        <v>52</v>
      </c>
      <c r="I12" s="20" t="s">
        <v>50</v>
      </c>
      <c r="J12" s="20" t="s">
        <v>47</v>
      </c>
      <c r="K12" s="20" t="s">
        <v>47</v>
      </c>
      <c r="L12" s="20" t="s">
        <v>47</v>
      </c>
      <c r="M12" s="11"/>
      <c r="N12" s="11"/>
      <c r="O12" s="11"/>
    </row>
    <row r="13" spans="2:15" ht="16.8" thickTop="1" thickBot="1" x14ac:dyDescent="0.35">
      <c r="H13" s="20" t="s">
        <v>52</v>
      </c>
      <c r="I13" s="20" t="s">
        <v>47</v>
      </c>
      <c r="J13" s="20" t="s">
        <v>47</v>
      </c>
      <c r="K13" s="20" t="s">
        <v>47</v>
      </c>
      <c r="L13" s="20" t="s">
        <v>47</v>
      </c>
      <c r="M13" s="11"/>
      <c r="N13" s="11"/>
      <c r="O13" s="11"/>
    </row>
    <row r="14" spans="2:15" ht="16.8" thickTop="1" thickBot="1" x14ac:dyDescent="0.35">
      <c r="H14" s="20" t="s">
        <v>52</v>
      </c>
      <c r="I14" s="20" t="s">
        <v>47</v>
      </c>
      <c r="J14" s="20" t="s">
        <v>51</v>
      </c>
      <c r="K14" s="20" t="s">
        <v>47</v>
      </c>
      <c r="L14" s="20" t="s">
        <v>47</v>
      </c>
      <c r="M14" s="11"/>
      <c r="N14" s="11"/>
      <c r="O14" s="11"/>
    </row>
    <row r="15" spans="2:15" ht="16.8" thickTop="1" thickBot="1" x14ac:dyDescent="0.35">
      <c r="H15" s="20" t="s">
        <v>52</v>
      </c>
      <c r="I15" s="20" t="s">
        <v>47</v>
      </c>
      <c r="J15" s="20" t="s">
        <v>47</v>
      </c>
      <c r="K15" s="20" t="s">
        <v>47</v>
      </c>
      <c r="L15" s="20" t="s">
        <v>47</v>
      </c>
      <c r="M15" s="11"/>
      <c r="N15" s="11"/>
      <c r="O15" s="11"/>
    </row>
    <row r="16" spans="2:15" ht="16.8" thickTop="1" thickBot="1" x14ac:dyDescent="0.35">
      <c r="H16" s="20" t="s">
        <v>52</v>
      </c>
      <c r="I16" s="20" t="s">
        <v>50</v>
      </c>
      <c r="J16" s="20" t="s">
        <v>50</v>
      </c>
      <c r="K16" s="20" t="s">
        <v>47</v>
      </c>
      <c r="L16" s="20" t="s">
        <v>47</v>
      </c>
      <c r="M16" s="11"/>
      <c r="N16" s="11"/>
      <c r="O16" s="11"/>
    </row>
    <row r="17" spans="5:15" ht="16.8" thickTop="1" thickBot="1" x14ac:dyDescent="0.35">
      <c r="H17" s="20" t="s">
        <v>52</v>
      </c>
      <c r="I17" s="20" t="s">
        <v>50</v>
      </c>
      <c r="J17" s="20" t="s">
        <v>50</v>
      </c>
      <c r="K17" s="20" t="s">
        <v>47</v>
      </c>
      <c r="L17" s="20" t="s">
        <v>52</v>
      </c>
      <c r="M17" s="11"/>
      <c r="N17" s="11"/>
      <c r="O17" s="11"/>
    </row>
    <row r="18" spans="5:15" ht="16.8" thickTop="1" thickBot="1" x14ac:dyDescent="0.35">
      <c r="H18" s="20" t="s">
        <v>47</v>
      </c>
      <c r="I18" s="20" t="s">
        <v>50</v>
      </c>
      <c r="J18" s="20" t="s">
        <v>50</v>
      </c>
      <c r="K18" s="20" t="s">
        <v>47</v>
      </c>
      <c r="L18" s="20" t="s">
        <v>47</v>
      </c>
      <c r="M18" s="11"/>
      <c r="N18" s="11"/>
      <c r="O18" s="11"/>
    </row>
    <row r="19" spans="5:15" ht="16.8" thickTop="1" thickBot="1" x14ac:dyDescent="0.35">
      <c r="H19" s="20" t="s">
        <v>47</v>
      </c>
      <c r="I19" s="20" t="s">
        <v>47</v>
      </c>
      <c r="J19" s="20" t="s">
        <v>47</v>
      </c>
      <c r="K19" s="20" t="s">
        <v>47</v>
      </c>
      <c r="L19" s="20" t="s">
        <v>47</v>
      </c>
      <c r="M19" s="11"/>
      <c r="N19" s="11"/>
      <c r="O19" s="11"/>
    </row>
    <row r="20" spans="5:15" ht="16.8" thickTop="1" thickBot="1" x14ac:dyDescent="0.35">
      <c r="H20" s="20" t="s">
        <v>47</v>
      </c>
      <c r="I20" s="20" t="s">
        <v>47</v>
      </c>
      <c r="J20" s="20" t="s">
        <v>47</v>
      </c>
      <c r="K20" s="20" t="s">
        <v>47</v>
      </c>
      <c r="L20" s="20" t="s">
        <v>47</v>
      </c>
      <c r="M20" s="11"/>
      <c r="N20" s="11"/>
      <c r="O20" s="11"/>
    </row>
    <row r="21" spans="5:15" ht="16.8" thickTop="1" thickBot="1" x14ac:dyDescent="0.35">
      <c r="H21" s="20" t="s">
        <v>47</v>
      </c>
      <c r="I21" s="20" t="s">
        <v>53</v>
      </c>
      <c r="J21" s="20" t="s">
        <v>47</v>
      </c>
      <c r="K21" s="20" t="s">
        <v>52</v>
      </c>
      <c r="L21" s="20" t="s">
        <v>51</v>
      </c>
      <c r="M21" s="11"/>
      <c r="N21" s="11"/>
      <c r="O21" s="11"/>
    </row>
    <row r="22" spans="5:15" ht="16.8" thickTop="1" thickBot="1" x14ac:dyDescent="0.35">
      <c r="H22" s="20" t="s">
        <v>47</v>
      </c>
      <c r="I22" s="20" t="s">
        <v>47</v>
      </c>
      <c r="J22" s="20" t="s">
        <v>47</v>
      </c>
      <c r="K22" s="20" t="s">
        <v>47</v>
      </c>
      <c r="L22" s="20" t="s">
        <v>51</v>
      </c>
      <c r="M22" s="11"/>
      <c r="N22" s="11"/>
      <c r="O22" s="11"/>
    </row>
    <row r="23" spans="5:15" ht="16.8" thickTop="1" thickBot="1" x14ac:dyDescent="0.35">
      <c r="H23" s="20" t="s">
        <v>47</v>
      </c>
      <c r="I23" s="20" t="s">
        <v>47</v>
      </c>
      <c r="J23" s="20" t="s">
        <v>47</v>
      </c>
      <c r="K23" s="20" t="s">
        <v>47</v>
      </c>
      <c r="L23" s="20" t="s">
        <v>51</v>
      </c>
      <c r="M23" s="11"/>
      <c r="N23" s="11"/>
      <c r="O23" s="11"/>
    </row>
    <row r="24" spans="5:15" ht="16.2" thickTop="1" x14ac:dyDescent="0.3">
      <c r="H24" s="11"/>
      <c r="I24" s="11"/>
      <c r="J24" s="11"/>
      <c r="K24" s="11"/>
      <c r="L24" s="11"/>
      <c r="M24" s="11"/>
      <c r="N24" s="11"/>
      <c r="O24" s="11"/>
    </row>
    <row r="25" spans="5:15" ht="15.6" x14ac:dyDescent="0.3">
      <c r="H25" s="11"/>
      <c r="I25" s="11"/>
      <c r="J25" s="11"/>
      <c r="K25" s="11"/>
      <c r="L25" s="11"/>
      <c r="M25" s="11"/>
      <c r="N25" s="11"/>
      <c r="O25" s="11"/>
    </row>
    <row r="26" spans="5:15" ht="15.6" x14ac:dyDescent="0.3">
      <c r="H26" s="11"/>
      <c r="I26" s="11"/>
      <c r="J26" s="11"/>
      <c r="K26" s="11"/>
      <c r="L26" s="11"/>
      <c r="M26" s="11"/>
      <c r="N26" s="11"/>
      <c r="O26" s="11"/>
    </row>
    <row r="27" spans="5:15" ht="15.6" x14ac:dyDescent="0.3">
      <c r="H27" s="11"/>
      <c r="I27" s="11"/>
      <c r="J27" s="11"/>
      <c r="K27" s="11"/>
      <c r="L27" s="11"/>
      <c r="M27" s="11"/>
      <c r="N27" s="11"/>
      <c r="O27" s="11"/>
    </row>
    <row r="28" spans="5:15" ht="15.6" x14ac:dyDescent="0.3">
      <c r="E28" s="12" t="s">
        <v>50</v>
      </c>
      <c r="F28" s="12" t="s">
        <v>50</v>
      </c>
      <c r="H28" s="11"/>
      <c r="I28" s="11"/>
      <c r="J28" s="11"/>
      <c r="K28" s="11"/>
      <c r="L28" s="11"/>
      <c r="M28" s="11"/>
      <c r="N28" s="11"/>
      <c r="O28" s="11"/>
    </row>
    <row r="29" spans="5:15" ht="15.6" x14ac:dyDescent="0.3">
      <c r="E29" s="12" t="s">
        <v>50</v>
      </c>
      <c r="F29" s="12" t="s">
        <v>50</v>
      </c>
      <c r="G29" s="12" t="s">
        <v>50</v>
      </c>
    </row>
    <row r="30" spans="5:15" ht="15.6" x14ac:dyDescent="0.3">
      <c r="E30" s="12" t="s">
        <v>47</v>
      </c>
      <c r="F30" s="12" t="s">
        <v>50</v>
      </c>
      <c r="G30" s="12" t="s">
        <v>50</v>
      </c>
      <c r="H30" s="12" t="s">
        <v>50</v>
      </c>
    </row>
    <row r="31" spans="5:15" ht="15.6" x14ac:dyDescent="0.3">
      <c r="E31" s="12" t="s">
        <v>47</v>
      </c>
      <c r="F31" s="12" t="s">
        <v>47</v>
      </c>
      <c r="G31" s="12" t="s">
        <v>50</v>
      </c>
      <c r="H31" s="12" t="s">
        <v>50</v>
      </c>
      <c r="I31" s="12" t="s">
        <v>50</v>
      </c>
    </row>
    <row r="32" spans="5:15" ht="15.6" x14ac:dyDescent="0.3">
      <c r="E32" s="12" t="s">
        <v>53</v>
      </c>
      <c r="F32" s="12" t="s">
        <v>47</v>
      </c>
      <c r="G32" s="12" t="s">
        <v>47</v>
      </c>
      <c r="H32" s="12" t="s">
        <v>50</v>
      </c>
      <c r="I32" s="12" t="s">
        <v>50</v>
      </c>
      <c r="J32" s="12" t="s">
        <v>50</v>
      </c>
    </row>
    <row r="33" spans="2:14" ht="15.6" x14ac:dyDescent="0.3">
      <c r="F33" s="12" t="s">
        <v>53</v>
      </c>
      <c r="G33" s="12" t="s">
        <v>47</v>
      </c>
      <c r="H33" s="12" t="s">
        <v>47</v>
      </c>
      <c r="I33" s="12" t="s">
        <v>50</v>
      </c>
      <c r="J33" s="12" t="s">
        <v>50</v>
      </c>
      <c r="K33" s="12" t="s">
        <v>50</v>
      </c>
    </row>
    <row r="34" spans="2:14" ht="15.6" x14ac:dyDescent="0.3">
      <c r="G34" s="12" t="s">
        <v>53</v>
      </c>
      <c r="H34" s="12" t="s">
        <v>47</v>
      </c>
      <c r="I34" s="12" t="s">
        <v>47</v>
      </c>
      <c r="J34" s="12" t="s">
        <v>50</v>
      </c>
      <c r="K34" s="12" t="s">
        <v>50</v>
      </c>
      <c r="L34" s="12" t="s">
        <v>50</v>
      </c>
    </row>
    <row r="35" spans="2:14" ht="15.6" x14ac:dyDescent="0.3">
      <c r="H35" s="12" t="s">
        <v>53</v>
      </c>
      <c r="I35" s="12" t="s">
        <v>47</v>
      </c>
      <c r="J35" s="12" t="s">
        <v>47</v>
      </c>
      <c r="K35" s="12" t="s">
        <v>50</v>
      </c>
      <c r="L35" s="12" t="s">
        <v>50</v>
      </c>
      <c r="M35" s="12" t="s">
        <v>50</v>
      </c>
    </row>
    <row r="36" spans="2:14" ht="15.6" x14ac:dyDescent="0.3">
      <c r="I36" s="12" t="s">
        <v>53</v>
      </c>
      <c r="J36" s="12" t="s">
        <v>47</v>
      </c>
      <c r="K36" s="12" t="s">
        <v>47</v>
      </c>
      <c r="L36" s="12" t="s">
        <v>50</v>
      </c>
      <c r="M36" s="12" t="s">
        <v>50</v>
      </c>
      <c r="N36" s="12" t="s">
        <v>50</v>
      </c>
    </row>
    <row r="37" spans="2:14" ht="15.6" x14ac:dyDescent="0.3">
      <c r="B37" s="12" t="s">
        <v>47</v>
      </c>
      <c r="J37" s="12" t="s">
        <v>53</v>
      </c>
      <c r="K37" s="12" t="s">
        <v>47</v>
      </c>
      <c r="L37" s="12" t="s">
        <v>47</v>
      </c>
      <c r="M37" s="12" t="s">
        <v>50</v>
      </c>
      <c r="N37" s="12" t="s">
        <v>50</v>
      </c>
    </row>
    <row r="38" spans="2:14" ht="15.6" x14ac:dyDescent="0.3">
      <c r="C38" s="12" t="s">
        <v>47</v>
      </c>
      <c r="K38" s="12" t="s">
        <v>53</v>
      </c>
      <c r="L38" s="12" t="s">
        <v>47</v>
      </c>
      <c r="M38" s="12" t="s">
        <v>47</v>
      </c>
      <c r="N38" s="12" t="s">
        <v>47</v>
      </c>
    </row>
    <row r="39" spans="2:14" ht="15.6" x14ac:dyDescent="0.3">
      <c r="D39" s="12" t="s">
        <v>47</v>
      </c>
      <c r="L39" s="12" t="s">
        <v>53</v>
      </c>
      <c r="M39" s="12" t="s">
        <v>47</v>
      </c>
      <c r="N39" s="12" t="s">
        <v>47</v>
      </c>
    </row>
    <row r="40" spans="2:14" ht="15.6" x14ac:dyDescent="0.3">
      <c r="E40" s="12" t="s">
        <v>47</v>
      </c>
      <c r="M40" s="12" t="s">
        <v>53</v>
      </c>
      <c r="N40" s="12" t="s">
        <v>47</v>
      </c>
    </row>
    <row r="41" spans="2:14" ht="15.6" x14ac:dyDescent="0.3">
      <c r="F41" s="12" t="s">
        <v>47</v>
      </c>
    </row>
    <row r="42" spans="2:14" ht="15.6" x14ac:dyDescent="0.3">
      <c r="G42" s="12" t="s">
        <v>47</v>
      </c>
    </row>
    <row r="43" spans="2:14" ht="16.2" thickBot="1" x14ac:dyDescent="0.35">
      <c r="H43" s="12" t="s">
        <v>47</v>
      </c>
    </row>
    <row r="44" spans="2:14" ht="19.2" thickTop="1" thickBot="1" x14ac:dyDescent="0.4">
      <c r="B44" s="21" t="s">
        <v>56</v>
      </c>
      <c r="I44" s="12" t="s">
        <v>47</v>
      </c>
    </row>
    <row r="45" spans="2:14" ht="16.8" thickTop="1" thickBot="1" x14ac:dyDescent="0.35">
      <c r="J45" s="12" t="s">
        <v>47</v>
      </c>
    </row>
    <row r="46" spans="2:14" ht="22.2" thickTop="1" thickBot="1" x14ac:dyDescent="0.45">
      <c r="C46" s="22">
        <v>1</v>
      </c>
    </row>
    <row r="47" spans="2:14" ht="22.2" thickTop="1" thickBot="1" x14ac:dyDescent="0.45">
      <c r="C47" s="22">
        <v>2</v>
      </c>
    </row>
    <row r="48" spans="2:14" ht="22.2" thickTop="1" thickBot="1" x14ac:dyDescent="0.45">
      <c r="C48" s="22">
        <v>3</v>
      </c>
    </row>
    <row r="49" ht="15" thickTop="1" x14ac:dyDescent="0.3"/>
  </sheetData>
  <mergeCells count="1">
    <mergeCell ref="H10:L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CD0D-4AF3-4256-8027-A5B26E089621}">
  <dimension ref="B1:N26"/>
  <sheetViews>
    <sheetView workbookViewId="0">
      <selection activeCell="J2" sqref="J2:J9"/>
    </sheetView>
  </sheetViews>
  <sheetFormatPr defaultRowHeight="18" x14ac:dyDescent="0.35"/>
  <cols>
    <col min="1" max="1" width="8.88671875" style="13"/>
    <col min="2" max="2" width="9.6640625" style="13" bestFit="1" customWidth="1"/>
    <col min="3" max="5" width="8.88671875" style="13"/>
    <col min="6" max="6" width="13.44140625" style="13" bestFit="1" customWidth="1"/>
    <col min="7" max="7" width="8.88671875" style="13"/>
    <col min="8" max="8" width="14.33203125" style="13" bestFit="1" customWidth="1"/>
    <col min="9" max="9" width="8.88671875" style="13"/>
    <col min="10" max="10" width="13.44140625" style="13" bestFit="1" customWidth="1"/>
    <col min="11" max="11" width="8.88671875" style="13"/>
    <col min="12" max="12" width="17.44140625" style="13" bestFit="1" customWidth="1"/>
    <col min="13" max="13" width="8.88671875" style="13"/>
    <col min="14" max="14" width="13.33203125" style="13" bestFit="1" customWidth="1"/>
    <col min="15" max="16384" width="8.88671875" style="13"/>
  </cols>
  <sheetData>
    <row r="1" spans="2:14" ht="19.2" thickTop="1" thickBot="1" x14ac:dyDescent="0.4">
      <c r="B1" s="26">
        <v>1</v>
      </c>
    </row>
    <row r="2" spans="2:14" ht="19.2" thickTop="1" thickBot="1" x14ac:dyDescent="0.4">
      <c r="B2" s="26">
        <v>2</v>
      </c>
      <c r="F2" s="23">
        <v>46204</v>
      </c>
      <c r="H2" s="25">
        <v>100</v>
      </c>
      <c r="J2" s="23">
        <v>45879</v>
      </c>
      <c r="L2" s="27">
        <v>0.52</v>
      </c>
    </row>
    <row r="3" spans="2:14" ht="19.2" thickTop="1" thickBot="1" x14ac:dyDescent="0.4">
      <c r="B3" s="26">
        <v>3</v>
      </c>
      <c r="D3" s="24" t="s">
        <v>22</v>
      </c>
      <c r="F3" s="23">
        <v>46205</v>
      </c>
      <c r="H3" s="25">
        <v>150</v>
      </c>
      <c r="J3" s="23">
        <v>45880</v>
      </c>
      <c r="L3" s="27">
        <v>0.3</v>
      </c>
      <c r="N3" s="29">
        <v>46204</v>
      </c>
    </row>
    <row r="4" spans="2:14" ht="19.2" thickTop="1" thickBot="1" x14ac:dyDescent="0.4">
      <c r="B4" s="26">
        <v>4</v>
      </c>
      <c r="D4" s="24" t="s">
        <v>23</v>
      </c>
      <c r="F4" s="23">
        <v>46206</v>
      </c>
      <c r="H4" s="25">
        <v>250</v>
      </c>
      <c r="J4" s="23">
        <v>45881</v>
      </c>
      <c r="L4" s="27">
        <v>0.5</v>
      </c>
      <c r="N4" s="29">
        <v>46205</v>
      </c>
    </row>
    <row r="5" spans="2:14" ht="19.2" thickTop="1" thickBot="1" x14ac:dyDescent="0.4">
      <c r="B5" s="26">
        <v>5</v>
      </c>
      <c r="D5" s="24" t="s">
        <v>24</v>
      </c>
      <c r="F5" s="23">
        <v>46207</v>
      </c>
      <c r="H5" s="25">
        <v>300</v>
      </c>
      <c r="J5" s="23">
        <v>45882</v>
      </c>
      <c r="L5" s="27">
        <v>0.9</v>
      </c>
      <c r="N5" s="29">
        <v>46206</v>
      </c>
    </row>
    <row r="6" spans="2:14" ht="19.2" thickTop="1" thickBot="1" x14ac:dyDescent="0.4">
      <c r="B6" s="26">
        <v>6</v>
      </c>
      <c r="D6" s="24" t="s">
        <v>25</v>
      </c>
      <c r="F6" s="23">
        <v>46208</v>
      </c>
      <c r="H6" s="25">
        <v>400</v>
      </c>
      <c r="J6" s="23">
        <v>45883</v>
      </c>
      <c r="L6" s="27">
        <v>0.85</v>
      </c>
      <c r="N6" s="29">
        <v>46207</v>
      </c>
    </row>
    <row r="7" spans="2:14" ht="19.2" thickTop="1" thickBot="1" x14ac:dyDescent="0.4">
      <c r="B7" s="26">
        <v>7</v>
      </c>
      <c r="D7" s="24" t="s">
        <v>5</v>
      </c>
      <c r="F7" s="23">
        <v>46209</v>
      </c>
      <c r="H7" s="25">
        <v>500</v>
      </c>
      <c r="J7" s="23">
        <v>45884</v>
      </c>
      <c r="L7" s="21"/>
      <c r="N7" s="29">
        <v>46208</v>
      </c>
    </row>
    <row r="8" spans="2:14" ht="19.2" thickTop="1" thickBot="1" x14ac:dyDescent="0.4">
      <c r="B8" s="26">
        <v>8</v>
      </c>
      <c r="D8" s="24" t="s">
        <v>26</v>
      </c>
      <c r="F8" s="23">
        <v>46210</v>
      </c>
      <c r="H8" s="25">
        <v>600</v>
      </c>
      <c r="J8" s="23">
        <v>45885</v>
      </c>
      <c r="N8" s="29">
        <v>46209</v>
      </c>
    </row>
    <row r="9" spans="2:14" ht="19.2" thickTop="1" thickBot="1" x14ac:dyDescent="0.4">
      <c r="B9" s="26">
        <v>9</v>
      </c>
      <c r="D9" s="24" t="s">
        <v>27</v>
      </c>
      <c r="F9" s="23">
        <v>46211</v>
      </c>
      <c r="H9" s="25">
        <v>650</v>
      </c>
      <c r="J9" s="23">
        <v>45886</v>
      </c>
      <c r="L9" s="28">
        <v>45879</v>
      </c>
      <c r="N9" s="29">
        <v>46210</v>
      </c>
    </row>
    <row r="10" spans="2:14" ht="19.2" thickTop="1" thickBot="1" x14ac:dyDescent="0.4">
      <c r="B10" s="26">
        <v>10</v>
      </c>
      <c r="D10" s="24" t="s">
        <v>28</v>
      </c>
      <c r="F10" s="23">
        <v>46212</v>
      </c>
      <c r="H10" s="25">
        <v>700</v>
      </c>
      <c r="J10" s="23">
        <v>45887</v>
      </c>
      <c r="L10" s="28">
        <v>45880</v>
      </c>
      <c r="N10" s="29">
        <v>46211</v>
      </c>
    </row>
    <row r="11" spans="2:14" ht="19.2" thickTop="1" thickBot="1" x14ac:dyDescent="0.4">
      <c r="B11" s="26">
        <v>11</v>
      </c>
      <c r="D11" s="24" t="s">
        <v>29</v>
      </c>
      <c r="F11" s="23">
        <v>46213</v>
      </c>
      <c r="H11" s="25">
        <v>850</v>
      </c>
      <c r="J11" s="23">
        <v>45888</v>
      </c>
      <c r="L11" s="28">
        <v>45881</v>
      </c>
      <c r="N11" s="29">
        <v>46212</v>
      </c>
    </row>
    <row r="12" spans="2:14" ht="19.2" thickTop="1" thickBot="1" x14ac:dyDescent="0.4">
      <c r="B12" s="26">
        <v>12</v>
      </c>
      <c r="D12" s="24" t="s">
        <v>30</v>
      </c>
      <c r="F12" s="23">
        <v>46214</v>
      </c>
      <c r="J12" s="23">
        <v>45889</v>
      </c>
      <c r="L12" s="28">
        <v>45882</v>
      </c>
      <c r="N12" s="29">
        <v>46213</v>
      </c>
    </row>
    <row r="13" spans="2:14" ht="19.2" thickTop="1" thickBot="1" x14ac:dyDescent="0.4">
      <c r="B13" s="26">
        <v>13</v>
      </c>
      <c r="D13" s="24" t="s">
        <v>31</v>
      </c>
      <c r="F13" s="23">
        <v>46215</v>
      </c>
      <c r="J13" s="23">
        <v>45890</v>
      </c>
      <c r="L13" s="28">
        <v>45883</v>
      </c>
      <c r="N13" s="29">
        <v>46214</v>
      </c>
    </row>
    <row r="14" spans="2:14" ht="19.2" thickTop="1" thickBot="1" x14ac:dyDescent="0.4">
      <c r="B14" s="26">
        <v>14</v>
      </c>
      <c r="D14" s="24" t="s">
        <v>32</v>
      </c>
      <c r="F14" s="23">
        <v>46216</v>
      </c>
      <c r="J14" s="23">
        <v>45891</v>
      </c>
      <c r="L14" s="28">
        <v>45884</v>
      </c>
      <c r="N14" s="29">
        <v>46215</v>
      </c>
    </row>
    <row r="15" spans="2:14" ht="19.2" thickTop="1" thickBot="1" x14ac:dyDescent="0.4">
      <c r="B15" s="26">
        <v>15</v>
      </c>
      <c r="F15" s="23">
        <v>46217</v>
      </c>
      <c r="J15" s="23">
        <v>45892</v>
      </c>
      <c r="L15" s="28">
        <v>45885</v>
      </c>
      <c r="N15" s="29">
        <v>46216</v>
      </c>
    </row>
    <row r="16" spans="2:14" ht="19.2" thickTop="1" thickBot="1" x14ac:dyDescent="0.4">
      <c r="B16" s="26">
        <v>16</v>
      </c>
      <c r="F16" s="23">
        <v>46218</v>
      </c>
      <c r="J16" s="23">
        <v>45893</v>
      </c>
      <c r="L16" s="28">
        <v>45886</v>
      </c>
      <c r="N16" s="29">
        <v>46217</v>
      </c>
    </row>
    <row r="17" spans="2:14" ht="19.2" thickTop="1" thickBot="1" x14ac:dyDescent="0.4">
      <c r="B17" s="26">
        <v>17</v>
      </c>
      <c r="F17" s="23">
        <v>46219</v>
      </c>
      <c r="J17" s="23">
        <v>45894</v>
      </c>
      <c r="L17" s="28">
        <v>45887</v>
      </c>
      <c r="N17" s="29">
        <v>46218</v>
      </c>
    </row>
    <row r="18" spans="2:14" ht="19.2" thickTop="1" thickBot="1" x14ac:dyDescent="0.4">
      <c r="B18" s="26">
        <v>18</v>
      </c>
      <c r="F18" s="23">
        <v>46220</v>
      </c>
      <c r="L18" s="28">
        <v>45888</v>
      </c>
      <c r="N18" s="29">
        <v>46219</v>
      </c>
    </row>
    <row r="19" spans="2:14" ht="19.2" thickTop="1" thickBot="1" x14ac:dyDescent="0.4">
      <c r="B19" s="26">
        <v>19</v>
      </c>
      <c r="L19" s="28">
        <v>45889</v>
      </c>
      <c r="N19" s="29">
        <v>46220</v>
      </c>
    </row>
    <row r="20" spans="2:14" ht="19.2" thickTop="1" thickBot="1" x14ac:dyDescent="0.4">
      <c r="B20" s="26">
        <v>20</v>
      </c>
      <c r="L20" s="28">
        <v>45890</v>
      </c>
    </row>
    <row r="21" spans="2:14" ht="19.2" thickTop="1" thickBot="1" x14ac:dyDescent="0.4">
      <c r="B21" s="26">
        <v>21</v>
      </c>
      <c r="L21" s="28">
        <v>45891</v>
      </c>
    </row>
    <row r="22" spans="2:14" ht="19.2" thickTop="1" thickBot="1" x14ac:dyDescent="0.4">
      <c r="B22" s="26">
        <v>22</v>
      </c>
      <c r="L22" s="28">
        <v>45892</v>
      </c>
    </row>
    <row r="23" spans="2:14" ht="19.2" thickTop="1" thickBot="1" x14ac:dyDescent="0.4">
      <c r="B23" s="26">
        <v>23</v>
      </c>
      <c r="L23" s="28">
        <v>45893</v>
      </c>
    </row>
    <row r="24" spans="2:14" ht="19.2" thickTop="1" thickBot="1" x14ac:dyDescent="0.4">
      <c r="B24" s="26">
        <v>24</v>
      </c>
      <c r="L24" s="28">
        <v>45894</v>
      </c>
    </row>
    <row r="25" spans="2:14" ht="19.2" thickTop="1" thickBot="1" x14ac:dyDescent="0.4">
      <c r="B25" s="26">
        <v>25</v>
      </c>
    </row>
    <row r="26" spans="2:14" ht="18.600000000000001" thickTop="1" x14ac:dyDescent="0.3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065C-1704-49EC-AFA9-BD82C34DFB74}">
  <dimension ref="B1:I14"/>
  <sheetViews>
    <sheetView workbookViewId="0">
      <selection activeCell="F2" sqref="F2:F7"/>
    </sheetView>
  </sheetViews>
  <sheetFormatPr defaultRowHeight="18" x14ac:dyDescent="0.3"/>
  <cols>
    <col min="1" max="1" width="8.88671875" style="30"/>
    <col min="2" max="2" width="15.5546875" style="30" bestFit="1" customWidth="1"/>
    <col min="3" max="4" width="8.88671875" style="30"/>
    <col min="5" max="5" width="12.44140625" style="30" customWidth="1"/>
    <col min="6" max="6" width="8.88671875" style="30"/>
    <col min="7" max="7" width="11.77734375" style="30" customWidth="1"/>
    <col min="8" max="8" width="13.44140625" style="30" customWidth="1"/>
    <col min="9" max="9" width="12.44140625" style="30" customWidth="1"/>
    <col min="10" max="16384" width="8.88671875" style="30"/>
  </cols>
  <sheetData>
    <row r="1" spans="2:9" ht="22.2" thickTop="1" thickBot="1" x14ac:dyDescent="0.45">
      <c r="B1" s="36">
        <v>45886</v>
      </c>
      <c r="C1" s="600" t="s">
        <v>64</v>
      </c>
    </row>
    <row r="2" spans="2:9" ht="19.2" customHeight="1" thickTop="1" thickBot="1" x14ac:dyDescent="0.45">
      <c r="B2" s="36">
        <v>45885</v>
      </c>
      <c r="C2" s="600"/>
      <c r="D2" s="31">
        <v>850</v>
      </c>
      <c r="E2" s="600" t="s">
        <v>64</v>
      </c>
      <c r="F2" s="33">
        <v>0.3</v>
      </c>
      <c r="G2" s="600" t="s">
        <v>63</v>
      </c>
      <c r="H2" s="32" t="s">
        <v>57</v>
      </c>
      <c r="I2" s="600" t="s">
        <v>63</v>
      </c>
    </row>
    <row r="3" spans="2:9" ht="22.2" thickTop="1" thickBot="1" x14ac:dyDescent="0.45">
      <c r="B3" s="36">
        <v>45884</v>
      </c>
      <c r="C3" s="600"/>
      <c r="D3" s="31">
        <v>700</v>
      </c>
      <c r="E3" s="600"/>
      <c r="F3" s="33">
        <v>0.5</v>
      </c>
      <c r="G3" s="600"/>
      <c r="H3" s="32" t="s">
        <v>59</v>
      </c>
      <c r="I3" s="600"/>
    </row>
    <row r="4" spans="2:9" ht="22.2" thickTop="1" thickBot="1" x14ac:dyDescent="0.45">
      <c r="B4" s="36">
        <v>45883</v>
      </c>
      <c r="C4" s="600"/>
      <c r="D4" s="31">
        <v>650</v>
      </c>
      <c r="E4" s="600"/>
      <c r="F4" s="33">
        <v>0.52</v>
      </c>
      <c r="G4" s="600"/>
      <c r="H4" s="32" t="s">
        <v>60</v>
      </c>
      <c r="I4" s="600"/>
    </row>
    <row r="5" spans="2:9" ht="22.2" thickTop="1" thickBot="1" x14ac:dyDescent="0.45">
      <c r="B5" s="36">
        <v>45882</v>
      </c>
      <c r="C5" s="600"/>
      <c r="D5" s="31">
        <v>600</v>
      </c>
      <c r="E5" s="600"/>
      <c r="F5" s="33">
        <v>0.85</v>
      </c>
      <c r="G5" s="600"/>
      <c r="H5" s="32" t="s">
        <v>62</v>
      </c>
      <c r="I5" s="600"/>
    </row>
    <row r="6" spans="2:9" ht="22.2" thickTop="1" thickBot="1" x14ac:dyDescent="0.45">
      <c r="B6" s="36">
        <v>45881</v>
      </c>
      <c r="C6" s="600"/>
      <c r="D6" s="31">
        <v>500</v>
      </c>
      <c r="E6" s="600"/>
      <c r="F6" s="33">
        <v>0.9</v>
      </c>
      <c r="G6" s="600"/>
      <c r="H6" s="32" t="s">
        <v>58</v>
      </c>
      <c r="I6" s="600"/>
    </row>
    <row r="7" spans="2:9" ht="22.2" thickTop="1" thickBot="1" x14ac:dyDescent="0.45">
      <c r="B7" s="36">
        <v>45880</v>
      </c>
      <c r="C7" s="600"/>
      <c r="D7" s="31">
        <v>400</v>
      </c>
      <c r="E7" s="600"/>
      <c r="F7" s="34"/>
      <c r="G7" s="600"/>
      <c r="H7" s="32" t="s">
        <v>61</v>
      </c>
      <c r="I7" s="600"/>
    </row>
    <row r="8" spans="2:9" ht="22.2" thickTop="1" thickBot="1" x14ac:dyDescent="0.45">
      <c r="B8" s="36">
        <v>45879</v>
      </c>
      <c r="C8" s="600"/>
      <c r="D8" s="31">
        <v>300</v>
      </c>
      <c r="E8" s="600"/>
    </row>
    <row r="9" spans="2:9" ht="22.2" thickTop="1" thickBot="1" x14ac:dyDescent="0.45">
      <c r="B9" s="36">
        <v>45878</v>
      </c>
      <c r="C9" s="600"/>
      <c r="D9" s="31">
        <v>250</v>
      </c>
      <c r="E9" s="600"/>
    </row>
    <row r="10" spans="2:9" ht="22.2" thickTop="1" thickBot="1" x14ac:dyDescent="0.45">
      <c r="B10" s="36">
        <v>45877</v>
      </c>
      <c r="C10" s="600"/>
      <c r="D10" s="31">
        <v>150</v>
      </c>
      <c r="E10" s="600"/>
    </row>
    <row r="11" spans="2:9" ht="19.2" thickTop="1" thickBot="1" x14ac:dyDescent="0.35">
      <c r="B11" s="35"/>
      <c r="D11" s="31">
        <v>100</v>
      </c>
      <c r="E11" s="600"/>
    </row>
    <row r="12" spans="2:9" ht="19.2" thickTop="1" thickBot="1" x14ac:dyDescent="0.35">
      <c r="B12" s="35"/>
    </row>
    <row r="13" spans="2:9" ht="19.2" thickTop="1" thickBot="1" x14ac:dyDescent="0.35">
      <c r="B13" s="35"/>
    </row>
    <row r="14" spans="2:9" ht="18.600000000000001" thickTop="1" x14ac:dyDescent="0.3"/>
  </sheetData>
  <sortState xmlns:xlrd2="http://schemas.microsoft.com/office/spreadsheetml/2017/richdata2" ref="B1:B8">
    <sortCondition descending="1" ref="B1:B8"/>
  </sortState>
  <mergeCells count="4">
    <mergeCell ref="I2:I7"/>
    <mergeCell ref="G2:G7"/>
    <mergeCell ref="E2:E11"/>
    <mergeCell ref="C1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1300-7851-4D32-BD28-254005FAC635}">
  <dimension ref="B2:I38"/>
  <sheetViews>
    <sheetView topLeftCell="B1" zoomScale="120" zoomScaleNormal="120" workbookViewId="0">
      <selection activeCell="B2" sqref="B2:E22"/>
    </sheetView>
  </sheetViews>
  <sheetFormatPr defaultRowHeight="13.8" x14ac:dyDescent="0.3"/>
  <cols>
    <col min="1" max="1" width="8.88671875" style="46"/>
    <col min="2" max="2" width="27.109375" style="46" customWidth="1"/>
    <col min="3" max="3" width="18.44140625" style="46" customWidth="1"/>
    <col min="4" max="4" width="19.21875" style="46" customWidth="1"/>
    <col min="5" max="5" width="12.33203125" style="46" customWidth="1"/>
    <col min="6" max="6" width="8.88671875" style="46"/>
    <col min="7" max="7" width="55.21875" style="46" bestFit="1" customWidth="1"/>
    <col min="8" max="8" width="37.6640625" style="46" customWidth="1"/>
    <col min="9" max="9" width="3.6640625" style="46" bestFit="1" customWidth="1"/>
    <col min="10" max="16384" width="8.88671875" style="46"/>
  </cols>
  <sheetData>
    <row r="2" spans="2:9" x14ac:dyDescent="0.3">
      <c r="B2" s="43" t="s">
        <v>65</v>
      </c>
      <c r="C2" s="43" t="s">
        <v>66</v>
      </c>
      <c r="D2" s="43" t="s">
        <v>67</v>
      </c>
      <c r="E2" s="43" t="s">
        <v>68</v>
      </c>
      <c r="F2" s="44"/>
      <c r="G2" s="45" t="s">
        <v>69</v>
      </c>
      <c r="H2" s="44"/>
      <c r="I2" s="44"/>
    </row>
    <row r="3" spans="2:9" x14ac:dyDescent="0.3">
      <c r="B3" s="47" t="s">
        <v>70</v>
      </c>
      <c r="C3" s="48">
        <v>5000</v>
      </c>
      <c r="D3" s="49">
        <v>45299</v>
      </c>
      <c r="E3" s="47" t="s">
        <v>71</v>
      </c>
      <c r="F3" s="44"/>
      <c r="G3" s="44"/>
      <c r="H3" s="44"/>
      <c r="I3" s="44"/>
    </row>
    <row r="4" spans="2:9" ht="19.2" customHeight="1" x14ac:dyDescent="0.3">
      <c r="B4" s="47" t="s">
        <v>72</v>
      </c>
      <c r="C4" s="48">
        <v>6000</v>
      </c>
      <c r="D4" s="49">
        <v>45297</v>
      </c>
      <c r="E4" s="47" t="s">
        <v>73</v>
      </c>
      <c r="F4" s="44"/>
      <c r="G4" s="50">
        <f>SUM(C3,C4,C5,C6,C7,C8,C9)</f>
        <v>55000</v>
      </c>
      <c r="H4" s="601" t="s">
        <v>74</v>
      </c>
      <c r="I4" s="51"/>
    </row>
    <row r="5" spans="2:9" x14ac:dyDescent="0.3">
      <c r="B5" s="47" t="s">
        <v>75</v>
      </c>
      <c r="C5" s="48">
        <v>7000</v>
      </c>
      <c r="D5" s="49">
        <v>45308</v>
      </c>
      <c r="E5" s="47" t="s">
        <v>73</v>
      </c>
      <c r="F5" s="44"/>
      <c r="G5" s="52">
        <f>SUM(C3:C9)</f>
        <v>55000</v>
      </c>
      <c r="H5" s="602"/>
      <c r="I5" s="51"/>
    </row>
    <row r="6" spans="2:9" x14ac:dyDescent="0.3">
      <c r="B6" s="47" t="s">
        <v>76</v>
      </c>
      <c r="C6" s="48">
        <v>8000</v>
      </c>
      <c r="D6" s="49">
        <v>45301</v>
      </c>
      <c r="E6" s="47" t="s">
        <v>73</v>
      </c>
      <c r="F6" s="44"/>
      <c r="G6" s="53"/>
      <c r="H6" s="54"/>
      <c r="I6" s="51"/>
    </row>
    <row r="7" spans="2:9" x14ac:dyDescent="0.3">
      <c r="B7" s="47" t="s">
        <v>77</v>
      </c>
      <c r="C7" s="48">
        <v>9000</v>
      </c>
      <c r="D7" s="49">
        <v>45297</v>
      </c>
      <c r="E7" s="47" t="s">
        <v>78</v>
      </c>
      <c r="F7" s="44"/>
      <c r="G7" s="50">
        <f>SUM(C3:C22)</f>
        <v>444000</v>
      </c>
      <c r="H7" s="55" t="s">
        <v>79</v>
      </c>
      <c r="I7" s="51"/>
    </row>
    <row r="8" spans="2:9" x14ac:dyDescent="0.3">
      <c r="B8" s="47" t="s">
        <v>80</v>
      </c>
      <c r="C8" s="48">
        <v>10000</v>
      </c>
      <c r="D8" s="49">
        <v>45292</v>
      </c>
      <c r="E8" s="47" t="s">
        <v>81</v>
      </c>
      <c r="F8" s="44"/>
      <c r="G8" s="44"/>
      <c r="H8" s="44"/>
      <c r="I8" s="44"/>
    </row>
    <row r="9" spans="2:9" x14ac:dyDescent="0.3">
      <c r="B9" s="47" t="s">
        <v>75</v>
      </c>
      <c r="C9" s="48">
        <v>10000</v>
      </c>
      <c r="D9" s="49">
        <v>45313</v>
      </c>
      <c r="E9" s="47" t="s">
        <v>71</v>
      </c>
      <c r="F9" s="44"/>
      <c r="G9" s="56">
        <f>PRODUCT(C3:C9)</f>
        <v>1.512E+27</v>
      </c>
      <c r="H9" s="55" t="s">
        <v>82</v>
      </c>
      <c r="I9" s="44"/>
    </row>
    <row r="10" spans="2:9" x14ac:dyDescent="0.3">
      <c r="B10" s="47" t="s">
        <v>83</v>
      </c>
      <c r="C10" s="57">
        <v>15000</v>
      </c>
      <c r="D10" s="49">
        <v>45294</v>
      </c>
      <c r="E10" s="47" t="s">
        <v>81</v>
      </c>
      <c r="F10" s="44"/>
      <c r="G10" s="58"/>
      <c r="H10" s="59"/>
      <c r="I10" s="44"/>
    </row>
    <row r="11" spans="2:9" x14ac:dyDescent="0.3">
      <c r="B11" s="47" t="s">
        <v>84</v>
      </c>
      <c r="C11" s="57">
        <v>18000</v>
      </c>
      <c r="D11" s="49">
        <v>45310</v>
      </c>
      <c r="E11" s="47" t="s">
        <v>81</v>
      </c>
      <c r="F11" s="44"/>
      <c r="G11" s="60"/>
      <c r="H11" s="44"/>
      <c r="I11" s="44"/>
    </row>
    <row r="12" spans="2:9" x14ac:dyDescent="0.3">
      <c r="B12" s="47" t="s">
        <v>85</v>
      </c>
      <c r="C12" s="57">
        <v>25000</v>
      </c>
      <c r="D12" s="49">
        <v>45311</v>
      </c>
      <c r="E12" s="47" t="s">
        <v>78</v>
      </c>
      <c r="F12" s="44"/>
      <c r="G12" s="44"/>
      <c r="H12" s="44"/>
      <c r="I12" s="44"/>
    </row>
    <row r="13" spans="2:9" x14ac:dyDescent="0.3">
      <c r="B13" s="47" t="s">
        <v>86</v>
      </c>
      <c r="C13" s="57">
        <v>25000</v>
      </c>
      <c r="D13" s="49">
        <v>45301</v>
      </c>
      <c r="E13" s="47" t="s">
        <v>81</v>
      </c>
      <c r="F13" s="44"/>
      <c r="G13" s="79" t="str">
        <f>IMSUB(C9,C3)</f>
        <v>5000</v>
      </c>
      <c r="H13" s="55" t="s">
        <v>87</v>
      </c>
      <c r="I13" s="44"/>
    </row>
    <row r="14" spans="2:9" x14ac:dyDescent="0.3">
      <c r="B14" s="47" t="s">
        <v>88</v>
      </c>
      <c r="C14" s="57">
        <v>30000</v>
      </c>
      <c r="D14" s="49">
        <v>45306</v>
      </c>
      <c r="E14" s="47" t="s">
        <v>71</v>
      </c>
      <c r="F14" s="44"/>
      <c r="G14" s="61">
        <f>C9-C3</f>
        <v>5000</v>
      </c>
      <c r="H14" s="55" t="s">
        <v>87</v>
      </c>
      <c r="I14" s="44"/>
    </row>
    <row r="15" spans="2:9" x14ac:dyDescent="0.3">
      <c r="B15" s="47" t="s">
        <v>89</v>
      </c>
      <c r="C15" s="57">
        <v>30000</v>
      </c>
      <c r="D15" s="49">
        <v>45304</v>
      </c>
      <c r="E15" s="47" t="s">
        <v>71</v>
      </c>
      <c r="F15" s="44"/>
      <c r="G15" s="44"/>
      <c r="H15" s="44"/>
      <c r="I15" s="44"/>
    </row>
    <row r="16" spans="2:9" x14ac:dyDescent="0.3">
      <c r="B16" s="47" t="s">
        <v>90</v>
      </c>
      <c r="C16" s="57">
        <v>35000</v>
      </c>
      <c r="D16" s="49">
        <v>45304</v>
      </c>
      <c r="E16" s="47" t="s">
        <v>71</v>
      </c>
      <c r="F16" s="44"/>
      <c r="H16" s="59"/>
      <c r="I16" s="44"/>
    </row>
    <row r="17" spans="2:9" ht="14.4" thickBot="1" x14ac:dyDescent="0.35">
      <c r="B17" s="47" t="s">
        <v>91</v>
      </c>
      <c r="C17" s="62">
        <v>36000</v>
      </c>
      <c r="D17" s="49">
        <v>45302</v>
      </c>
      <c r="E17" s="47" t="s">
        <v>78</v>
      </c>
      <c r="F17" s="44"/>
      <c r="G17" s="80">
        <f>AVERAGE(C3:C22)</f>
        <v>24666.666666666668</v>
      </c>
      <c r="H17" s="55" t="s">
        <v>92</v>
      </c>
      <c r="I17" s="44"/>
    </row>
    <row r="18" spans="2:9" ht="14.4" thickBot="1" x14ac:dyDescent="0.35">
      <c r="B18" s="63" t="s">
        <v>93</v>
      </c>
      <c r="C18" s="64"/>
      <c r="D18" s="65">
        <v>45303</v>
      </c>
      <c r="E18" s="47" t="s">
        <v>78</v>
      </c>
      <c r="F18" s="44"/>
      <c r="G18" s="55"/>
      <c r="H18" s="59"/>
      <c r="I18" s="44"/>
    </row>
    <row r="19" spans="2:9" x14ac:dyDescent="0.3">
      <c r="B19" s="47" t="s">
        <v>70</v>
      </c>
      <c r="C19" s="66">
        <v>45000</v>
      </c>
      <c r="D19" s="49">
        <v>45298</v>
      </c>
      <c r="E19" s="47" t="s">
        <v>73</v>
      </c>
      <c r="F19" s="44"/>
      <c r="G19" s="50">
        <f>MIN(C3:C22)</f>
        <v>5000</v>
      </c>
      <c r="H19" s="55" t="s">
        <v>94</v>
      </c>
      <c r="I19" s="44"/>
    </row>
    <row r="20" spans="2:9" ht="14.4" thickBot="1" x14ac:dyDescent="0.35">
      <c r="B20" s="47" t="s">
        <v>77</v>
      </c>
      <c r="C20" s="62">
        <v>50000</v>
      </c>
      <c r="D20" s="67">
        <v>45313</v>
      </c>
      <c r="E20" s="68" t="s">
        <v>81</v>
      </c>
      <c r="F20" s="44"/>
      <c r="G20" s="50">
        <f>MAX(C3:C22)</f>
        <v>80000</v>
      </c>
      <c r="H20" s="55" t="s">
        <v>95</v>
      </c>
      <c r="I20" s="44"/>
    </row>
    <row r="21" spans="2:9" ht="14.4" thickBot="1" x14ac:dyDescent="0.35">
      <c r="B21" s="63" t="s">
        <v>84</v>
      </c>
      <c r="C21" s="69" t="s">
        <v>96</v>
      </c>
      <c r="D21" s="70">
        <v>45295</v>
      </c>
      <c r="E21" s="71" t="s">
        <v>78</v>
      </c>
      <c r="F21" s="44"/>
      <c r="G21" s="55">
        <f>COUNT(C3:C22)</f>
        <v>18</v>
      </c>
      <c r="H21" s="55" t="s">
        <v>97</v>
      </c>
      <c r="I21" s="44"/>
    </row>
    <row r="22" spans="2:9" x14ac:dyDescent="0.3">
      <c r="B22" s="47" t="s">
        <v>86</v>
      </c>
      <c r="C22" s="66">
        <v>80000</v>
      </c>
      <c r="D22" s="72">
        <v>45296</v>
      </c>
      <c r="E22" s="71" t="s">
        <v>78</v>
      </c>
      <c r="F22" s="44"/>
      <c r="G22" s="55">
        <f>COUNTA(C3:C22)</f>
        <v>19</v>
      </c>
      <c r="H22" s="55" t="s">
        <v>98</v>
      </c>
      <c r="I22" s="44"/>
    </row>
    <row r="23" spans="2:9" ht="30" customHeight="1" x14ac:dyDescent="0.3">
      <c r="B23" s="73" t="s">
        <v>99</v>
      </c>
      <c r="C23" s="81">
        <f>SUM(C3:C22)</f>
        <v>444000</v>
      </c>
      <c r="D23" s="44"/>
      <c r="E23" s="44"/>
      <c r="F23" s="44"/>
      <c r="G23" s="55">
        <f>COUNTBLANK(C3:C22)</f>
        <v>1</v>
      </c>
      <c r="H23" s="55" t="s">
        <v>100</v>
      </c>
      <c r="I23" s="74"/>
    </row>
    <row r="24" spans="2:9" ht="26.4" x14ac:dyDescent="0.3">
      <c r="B24" s="44"/>
      <c r="C24" s="44"/>
      <c r="D24" s="75" t="s">
        <v>131</v>
      </c>
      <c r="E24" s="44"/>
      <c r="F24" s="44"/>
      <c r="G24" s="74"/>
      <c r="H24" s="53"/>
      <c r="I24" s="74"/>
    </row>
    <row r="25" spans="2:9" ht="26.4" x14ac:dyDescent="0.3">
      <c r="B25" s="57">
        <v>5000</v>
      </c>
      <c r="C25" s="58">
        <f>5000+6000+7000+8000+9000</f>
        <v>35000</v>
      </c>
      <c r="D25" s="76" t="s">
        <v>124</v>
      </c>
      <c r="E25" s="603" t="s">
        <v>126</v>
      </c>
    </row>
    <row r="26" spans="2:9" ht="26.4" x14ac:dyDescent="0.3">
      <c r="B26" s="57">
        <v>10000</v>
      </c>
      <c r="C26" s="77">
        <f>B25+B26+B27+B28+B29</f>
        <v>45000</v>
      </c>
      <c r="D26" s="76" t="s">
        <v>125</v>
      </c>
      <c r="E26" s="604"/>
    </row>
    <row r="27" spans="2:9" ht="21" customHeight="1" x14ac:dyDescent="0.3">
      <c r="B27" s="57">
        <v>7000</v>
      </c>
      <c r="C27" s="77">
        <f>B26-B27</f>
        <v>3000</v>
      </c>
      <c r="D27" s="76" t="s">
        <v>127</v>
      </c>
      <c r="E27" s="604"/>
      <c r="G27" s="52"/>
    </row>
    <row r="28" spans="2:9" ht="21" customHeight="1" x14ac:dyDescent="0.3">
      <c r="B28" s="57">
        <v>8000</v>
      </c>
      <c r="C28" s="58">
        <f>B26/B25</f>
        <v>2</v>
      </c>
      <c r="D28" s="76" t="s">
        <v>128</v>
      </c>
      <c r="E28" s="604"/>
    </row>
    <row r="29" spans="2:9" x14ac:dyDescent="0.3">
      <c r="B29" s="57">
        <v>15000</v>
      </c>
      <c r="C29" s="58">
        <f>B25*B26</f>
        <v>50000000</v>
      </c>
      <c r="D29" s="76" t="s">
        <v>129</v>
      </c>
      <c r="E29" s="604"/>
      <c r="G29" s="52"/>
    </row>
    <row r="30" spans="2:9" x14ac:dyDescent="0.3">
      <c r="B30" s="78"/>
      <c r="C30" s="77">
        <f>B25*B26*B28</f>
        <v>400000000000</v>
      </c>
      <c r="D30" s="76" t="s">
        <v>130</v>
      </c>
      <c r="E30" s="605"/>
    </row>
    <row r="33" spans="7:7" x14ac:dyDescent="0.3">
      <c r="G33" s="52"/>
    </row>
    <row r="38" spans="7:7" x14ac:dyDescent="0.3">
      <c r="G38" s="52"/>
    </row>
  </sheetData>
  <mergeCells count="2">
    <mergeCell ref="H4:H5"/>
    <mergeCell ref="E25:E30"/>
  </mergeCells>
  <pageMargins left="0.7" right="0.7" top="0.75" bottom="0.75" header="0.3" footer="0.3"/>
  <ignoredErrors>
    <ignoredError sqref="G9 G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F212-F5C1-4687-BDD6-555F015070A4}">
  <dimension ref="B2:J23"/>
  <sheetViews>
    <sheetView workbookViewId="0">
      <selection activeCell="B2" sqref="B2:E22"/>
    </sheetView>
  </sheetViews>
  <sheetFormatPr defaultColWidth="21.77734375" defaultRowHeight="15.6" x14ac:dyDescent="0.3"/>
  <cols>
    <col min="1" max="1" width="10.6640625" style="107" customWidth="1"/>
    <col min="2" max="4" width="21.77734375" style="107"/>
    <col min="5" max="5" width="14.88671875" style="107" customWidth="1"/>
    <col min="6" max="6" width="13.21875" style="107" customWidth="1"/>
    <col min="7" max="9" width="21.77734375" style="107"/>
    <col min="10" max="10" width="16.109375" style="107" customWidth="1"/>
    <col min="11" max="16384" width="21.77734375" style="107"/>
  </cols>
  <sheetData>
    <row r="2" spans="2:10" s="13" customFormat="1" ht="18" x14ac:dyDescent="0.35">
      <c r="B2" s="171" t="s">
        <v>65</v>
      </c>
      <c r="C2" s="171" t="s">
        <v>66</v>
      </c>
      <c r="D2" s="171" t="s">
        <v>67</v>
      </c>
      <c r="E2" s="171" t="s">
        <v>68</v>
      </c>
      <c r="G2" s="172" t="s">
        <v>65</v>
      </c>
      <c r="H2" s="173" t="s">
        <v>66</v>
      </c>
      <c r="I2" s="173" t="s">
        <v>67</v>
      </c>
      <c r="J2" s="173" t="s">
        <v>68</v>
      </c>
    </row>
    <row r="3" spans="2:10" x14ac:dyDescent="0.3">
      <c r="B3" s="156" t="s">
        <v>70</v>
      </c>
      <c r="C3" s="157">
        <v>5000</v>
      </c>
      <c r="D3" s="158">
        <v>46030</v>
      </c>
      <c r="E3" s="156" t="s">
        <v>71</v>
      </c>
      <c r="G3" s="174" t="s">
        <v>72</v>
      </c>
      <c r="H3" s="175">
        <v>6000</v>
      </c>
      <c r="I3" s="176">
        <v>46028</v>
      </c>
      <c r="J3" s="177" t="s">
        <v>73</v>
      </c>
    </row>
    <row r="4" spans="2:10" ht="16.2" thickBot="1" x14ac:dyDescent="0.35">
      <c r="B4" s="156" t="s">
        <v>72</v>
      </c>
      <c r="C4" s="157">
        <v>6000</v>
      </c>
      <c r="D4" s="158">
        <v>46028</v>
      </c>
      <c r="E4" s="156" t="s">
        <v>73</v>
      </c>
      <c r="G4" s="174" t="s">
        <v>75</v>
      </c>
      <c r="H4" s="175">
        <v>7000</v>
      </c>
      <c r="I4" s="176">
        <v>46039</v>
      </c>
      <c r="J4" s="177" t="s">
        <v>73</v>
      </c>
    </row>
    <row r="5" spans="2:10" ht="16.2" thickBot="1" x14ac:dyDescent="0.35">
      <c r="B5" s="156" t="s">
        <v>75</v>
      </c>
      <c r="C5" s="157">
        <v>7000</v>
      </c>
      <c r="D5" s="158">
        <v>46039</v>
      </c>
      <c r="E5" s="156" t="s">
        <v>73</v>
      </c>
      <c r="G5" s="174" t="s">
        <v>76</v>
      </c>
      <c r="H5" s="175">
        <v>8000</v>
      </c>
      <c r="I5" s="176">
        <v>46032</v>
      </c>
      <c r="J5" s="177" t="s">
        <v>73</v>
      </c>
    </row>
    <row r="6" spans="2:10" ht="16.2" thickBot="1" x14ac:dyDescent="0.35">
      <c r="B6" s="156" t="s">
        <v>76</v>
      </c>
      <c r="C6" s="157">
        <v>8000</v>
      </c>
      <c r="D6" s="158">
        <v>46032</v>
      </c>
      <c r="E6" s="156" t="s">
        <v>73</v>
      </c>
      <c r="G6" s="174" t="s">
        <v>83</v>
      </c>
      <c r="H6" s="175">
        <v>15000</v>
      </c>
      <c r="I6" s="176">
        <v>46025</v>
      </c>
      <c r="J6" s="177" t="s">
        <v>81</v>
      </c>
    </row>
    <row r="7" spans="2:10" ht="16.2" thickBot="1" x14ac:dyDescent="0.35">
      <c r="B7" s="156" t="s">
        <v>77</v>
      </c>
      <c r="C7" s="157">
        <v>9000</v>
      </c>
      <c r="D7" s="158">
        <v>46028</v>
      </c>
      <c r="E7" s="156" t="s">
        <v>78</v>
      </c>
      <c r="G7" s="174" t="s">
        <v>77</v>
      </c>
      <c r="H7" s="175">
        <v>9000</v>
      </c>
      <c r="I7" s="176">
        <v>46028</v>
      </c>
      <c r="J7" s="177" t="s">
        <v>78</v>
      </c>
    </row>
    <row r="8" spans="2:10" ht="16.2" thickBot="1" x14ac:dyDescent="0.35">
      <c r="B8" s="156" t="s">
        <v>80</v>
      </c>
      <c r="C8" s="157">
        <v>10000</v>
      </c>
      <c r="D8" s="158">
        <v>46023</v>
      </c>
      <c r="E8" s="156" t="s">
        <v>81</v>
      </c>
      <c r="G8" s="174" t="s">
        <v>80</v>
      </c>
      <c r="H8" s="175">
        <v>10000</v>
      </c>
      <c r="I8" s="176">
        <v>46023</v>
      </c>
      <c r="J8" s="177" t="s">
        <v>81</v>
      </c>
    </row>
    <row r="9" spans="2:10" ht="16.2" thickBot="1" x14ac:dyDescent="0.35">
      <c r="B9" s="156" t="s">
        <v>75</v>
      </c>
      <c r="C9" s="157">
        <v>10000</v>
      </c>
      <c r="D9" s="158">
        <v>46044</v>
      </c>
      <c r="E9" s="156" t="s">
        <v>71</v>
      </c>
      <c r="G9" s="174" t="s">
        <v>70</v>
      </c>
      <c r="H9" s="175">
        <v>5000</v>
      </c>
      <c r="I9" s="176">
        <v>46030</v>
      </c>
      <c r="J9" s="177" t="s">
        <v>71</v>
      </c>
    </row>
    <row r="10" spans="2:10" ht="16.2" thickBot="1" x14ac:dyDescent="0.35">
      <c r="B10" s="156" t="s">
        <v>83</v>
      </c>
      <c r="C10" s="159">
        <v>15000</v>
      </c>
      <c r="D10" s="158">
        <v>46025</v>
      </c>
      <c r="E10" s="156" t="s">
        <v>81</v>
      </c>
      <c r="G10" s="174" t="s">
        <v>84</v>
      </c>
      <c r="H10" s="175">
        <v>18000</v>
      </c>
      <c r="I10" s="176">
        <v>46041</v>
      </c>
      <c r="J10" s="177" t="s">
        <v>81</v>
      </c>
    </row>
    <row r="11" spans="2:10" ht="16.2" thickBot="1" x14ac:dyDescent="0.35">
      <c r="B11" s="156" t="s">
        <v>84</v>
      </c>
      <c r="C11" s="159">
        <v>18000</v>
      </c>
      <c r="D11" s="158">
        <v>46041</v>
      </c>
      <c r="E11" s="156" t="s">
        <v>81</v>
      </c>
      <c r="G11" s="174" t="s">
        <v>85</v>
      </c>
      <c r="H11" s="175">
        <v>25000</v>
      </c>
      <c r="I11" s="176">
        <v>46042</v>
      </c>
      <c r="J11" s="177" t="s">
        <v>78</v>
      </c>
    </row>
    <row r="12" spans="2:10" ht="16.2" thickBot="1" x14ac:dyDescent="0.35">
      <c r="B12" s="156" t="s">
        <v>85</v>
      </c>
      <c r="C12" s="159">
        <v>25000</v>
      </c>
      <c r="D12" s="158">
        <v>46042</v>
      </c>
      <c r="E12" s="156" t="s">
        <v>78</v>
      </c>
      <c r="G12" s="174" t="s">
        <v>86</v>
      </c>
      <c r="H12" s="175">
        <v>25000</v>
      </c>
      <c r="I12" s="176">
        <v>46032</v>
      </c>
      <c r="J12" s="177" t="s">
        <v>81</v>
      </c>
    </row>
    <row r="13" spans="2:10" ht="16.2" thickBot="1" x14ac:dyDescent="0.35">
      <c r="B13" s="156" t="s">
        <v>86</v>
      </c>
      <c r="C13" s="159">
        <v>25000</v>
      </c>
      <c r="D13" s="158">
        <v>46032</v>
      </c>
      <c r="E13" s="156" t="s">
        <v>81</v>
      </c>
      <c r="G13" s="174" t="s">
        <v>88</v>
      </c>
      <c r="H13" s="175">
        <v>30000</v>
      </c>
      <c r="I13" s="176">
        <v>46037</v>
      </c>
      <c r="J13" s="177" t="s">
        <v>71</v>
      </c>
    </row>
    <row r="14" spans="2:10" ht="16.2" thickBot="1" x14ac:dyDescent="0.35">
      <c r="B14" s="156" t="s">
        <v>88</v>
      </c>
      <c r="C14" s="159">
        <v>30000</v>
      </c>
      <c r="D14" s="158">
        <v>46037</v>
      </c>
      <c r="E14" s="156" t="s">
        <v>71</v>
      </c>
      <c r="G14" s="174" t="s">
        <v>75</v>
      </c>
      <c r="H14" s="175">
        <v>10000</v>
      </c>
      <c r="I14" s="176">
        <v>46044</v>
      </c>
      <c r="J14" s="177" t="s">
        <v>71</v>
      </c>
    </row>
    <row r="15" spans="2:10" ht="16.2" thickBot="1" x14ac:dyDescent="0.35">
      <c r="B15" s="156" t="s">
        <v>89</v>
      </c>
      <c r="C15" s="159">
        <v>30000</v>
      </c>
      <c r="D15" s="158">
        <v>46035</v>
      </c>
      <c r="E15" s="156" t="s">
        <v>71</v>
      </c>
      <c r="G15" s="174" t="s">
        <v>89</v>
      </c>
      <c r="H15" s="175">
        <v>30000</v>
      </c>
      <c r="I15" s="176">
        <v>46035</v>
      </c>
      <c r="J15" s="177" t="s">
        <v>71</v>
      </c>
    </row>
    <row r="16" spans="2:10" ht="16.2" thickBot="1" x14ac:dyDescent="0.35">
      <c r="B16" s="156" t="s">
        <v>90</v>
      </c>
      <c r="C16" s="159">
        <v>35000</v>
      </c>
      <c r="D16" s="158">
        <v>46035</v>
      </c>
      <c r="E16" s="156" t="s">
        <v>71</v>
      </c>
      <c r="G16" s="174" t="s">
        <v>90</v>
      </c>
      <c r="H16" s="175">
        <v>35000</v>
      </c>
      <c r="I16" s="176">
        <v>46035</v>
      </c>
      <c r="J16" s="177" t="s">
        <v>71</v>
      </c>
    </row>
    <row r="17" spans="2:10" ht="16.2" thickBot="1" x14ac:dyDescent="0.35">
      <c r="B17" s="156" t="s">
        <v>91</v>
      </c>
      <c r="C17" s="160">
        <v>36000</v>
      </c>
      <c r="D17" s="158">
        <v>46033</v>
      </c>
      <c r="E17" s="156" t="s">
        <v>78</v>
      </c>
      <c r="G17" s="174" t="s">
        <v>91</v>
      </c>
      <c r="H17" s="178">
        <v>36000</v>
      </c>
      <c r="I17" s="176">
        <v>46033</v>
      </c>
      <c r="J17" s="177" t="s">
        <v>78</v>
      </c>
    </row>
    <row r="18" spans="2:10" ht="16.2" thickBot="1" x14ac:dyDescent="0.35">
      <c r="B18" s="161" t="s">
        <v>93</v>
      </c>
      <c r="C18" s="162"/>
      <c r="D18" s="163">
        <v>46034</v>
      </c>
      <c r="E18" s="156" t="s">
        <v>78</v>
      </c>
      <c r="G18" s="179"/>
      <c r="H18" s="180"/>
      <c r="I18" s="181"/>
      <c r="J18" s="177" t="s">
        <v>71</v>
      </c>
    </row>
    <row r="19" spans="2:10" x14ac:dyDescent="0.3">
      <c r="B19" s="156" t="s">
        <v>70</v>
      </c>
      <c r="C19" s="164">
        <v>45000</v>
      </c>
      <c r="D19" s="158">
        <v>46029</v>
      </c>
      <c r="E19" s="156" t="s">
        <v>73</v>
      </c>
      <c r="G19" s="174" t="s">
        <v>70</v>
      </c>
      <c r="H19" s="182">
        <v>45000</v>
      </c>
      <c r="I19" s="176">
        <v>46029</v>
      </c>
      <c r="J19" s="177" t="s">
        <v>73</v>
      </c>
    </row>
    <row r="20" spans="2:10" x14ac:dyDescent="0.3">
      <c r="B20" s="156" t="s">
        <v>77</v>
      </c>
      <c r="C20" s="160">
        <v>50000</v>
      </c>
      <c r="D20" s="165">
        <v>46044</v>
      </c>
      <c r="E20" s="166" t="s">
        <v>81</v>
      </c>
      <c r="G20" s="174" t="s">
        <v>77</v>
      </c>
      <c r="H20" s="178">
        <v>50000</v>
      </c>
      <c r="I20" s="183">
        <v>46044</v>
      </c>
      <c r="J20" s="184" t="s">
        <v>81</v>
      </c>
    </row>
    <row r="21" spans="2:10" ht="16.2" thickBot="1" x14ac:dyDescent="0.35">
      <c r="B21" s="161" t="s">
        <v>84</v>
      </c>
      <c r="C21" s="167" t="s">
        <v>96</v>
      </c>
      <c r="D21" s="168">
        <v>46026</v>
      </c>
      <c r="E21" s="169" t="s">
        <v>78</v>
      </c>
      <c r="G21" s="179" t="s">
        <v>84</v>
      </c>
      <c r="H21" s="185" t="s">
        <v>96</v>
      </c>
      <c r="I21" s="186">
        <v>46026</v>
      </c>
      <c r="J21" s="187" t="s">
        <v>78</v>
      </c>
    </row>
    <row r="22" spans="2:10" x14ac:dyDescent="0.3">
      <c r="B22" s="156" t="s">
        <v>86</v>
      </c>
      <c r="C22" s="164">
        <v>80000</v>
      </c>
      <c r="D22" s="170">
        <v>46027</v>
      </c>
      <c r="E22" s="169" t="s">
        <v>78</v>
      </c>
      <c r="G22" s="174" t="s">
        <v>86</v>
      </c>
      <c r="H22" s="182">
        <v>80000</v>
      </c>
      <c r="I22" s="188">
        <v>46027</v>
      </c>
      <c r="J22" s="187" t="s">
        <v>78</v>
      </c>
    </row>
    <row r="23" spans="2:10" x14ac:dyDescent="0.3">
      <c r="G23" s="189" t="s">
        <v>265</v>
      </c>
      <c r="H23" s="190">
        <f>SUBTOTAL(109,Table1[Prices])</f>
        <v>444000</v>
      </c>
      <c r="I23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A4D7-BCE6-4D30-BAD4-A17D2E4B9BBC}">
  <dimension ref="B2:L26"/>
  <sheetViews>
    <sheetView zoomScaleNormal="100" workbookViewId="0">
      <selection activeCell="B24" sqref="B24"/>
    </sheetView>
  </sheetViews>
  <sheetFormatPr defaultColWidth="15.5546875" defaultRowHeight="14.4" x14ac:dyDescent="0.3"/>
  <cols>
    <col min="1" max="1" width="9.33203125" customWidth="1"/>
    <col min="3" max="3" width="16.88671875" customWidth="1"/>
    <col min="7" max="7" width="13.77734375" customWidth="1"/>
    <col min="8" max="8" width="13.33203125" customWidth="1"/>
    <col min="9" max="9" width="14.44140625" customWidth="1"/>
    <col min="10" max="10" width="12.88671875" customWidth="1"/>
    <col min="11" max="11" width="13.21875" customWidth="1"/>
    <col min="12" max="12" width="12.6640625" customWidth="1"/>
  </cols>
  <sheetData>
    <row r="2" spans="2:12" ht="31.2" x14ac:dyDescent="0.3">
      <c r="B2" s="37" t="s">
        <v>101</v>
      </c>
      <c r="C2" s="37" t="s">
        <v>102</v>
      </c>
      <c r="D2" s="37" t="s">
        <v>103</v>
      </c>
      <c r="E2" s="37" t="s">
        <v>104</v>
      </c>
      <c r="F2" s="37" t="s">
        <v>105</v>
      </c>
      <c r="G2" s="37" t="s">
        <v>106</v>
      </c>
      <c r="H2" s="37" t="s">
        <v>107</v>
      </c>
      <c r="I2" s="37" t="s">
        <v>108</v>
      </c>
      <c r="J2" s="37" t="s">
        <v>109</v>
      </c>
      <c r="K2" s="88" t="s">
        <v>168</v>
      </c>
      <c r="L2" s="37" t="s">
        <v>109</v>
      </c>
    </row>
    <row r="3" spans="2:12" ht="15.6" x14ac:dyDescent="0.3">
      <c r="B3" s="38">
        <v>1</v>
      </c>
      <c r="C3" s="38" t="s">
        <v>110</v>
      </c>
      <c r="D3" s="39">
        <v>10</v>
      </c>
      <c r="E3" s="39">
        <v>100</v>
      </c>
      <c r="F3" s="39">
        <v>90</v>
      </c>
      <c r="G3" s="39">
        <f>SUM(D3:F3)</f>
        <v>200</v>
      </c>
      <c r="H3" s="39">
        <v>300</v>
      </c>
      <c r="I3" s="87">
        <f>G3/H3</f>
        <v>0.66666666666666663</v>
      </c>
      <c r="J3" s="40">
        <f>G3/H3*K3</f>
        <v>66.666666666666657</v>
      </c>
      <c r="K3" s="89">
        <v>100</v>
      </c>
      <c r="L3" s="40">
        <f>G3/H3*$E$18</f>
        <v>66.666666666666657</v>
      </c>
    </row>
    <row r="4" spans="2:12" ht="15.6" x14ac:dyDescent="0.3">
      <c r="B4" s="38">
        <v>2</v>
      </c>
      <c r="C4" s="38" t="s">
        <v>111</v>
      </c>
      <c r="D4" s="39">
        <v>20</v>
      </c>
      <c r="E4" s="39">
        <v>90</v>
      </c>
      <c r="F4" s="39">
        <v>70</v>
      </c>
      <c r="G4" s="39">
        <f t="shared" ref="G4:G16" si="0">SUM(D4:F4)</f>
        <v>180</v>
      </c>
      <c r="H4" s="39">
        <v>300</v>
      </c>
      <c r="I4" s="87">
        <f t="shared" ref="I4:I16" si="1">G4/H4</f>
        <v>0.6</v>
      </c>
      <c r="J4" s="40">
        <f t="shared" ref="J4:J16" si="2">G4/H4*K4</f>
        <v>60</v>
      </c>
      <c r="K4" s="89">
        <v>100</v>
      </c>
      <c r="L4" s="40">
        <f t="shared" ref="L4:L16" si="3">G4/H4*$E$18</f>
        <v>60</v>
      </c>
    </row>
    <row r="5" spans="2:12" ht="15.6" x14ac:dyDescent="0.3">
      <c r="B5" s="38">
        <v>3</v>
      </c>
      <c r="C5" s="38" t="s">
        <v>112</v>
      </c>
      <c r="D5" s="39">
        <v>30</v>
      </c>
      <c r="E5" s="39">
        <v>80</v>
      </c>
      <c r="F5" s="39">
        <v>50</v>
      </c>
      <c r="G5" s="39">
        <f t="shared" si="0"/>
        <v>160</v>
      </c>
      <c r="H5" s="39">
        <v>300</v>
      </c>
      <c r="I5" s="87">
        <f t="shared" si="1"/>
        <v>0.53333333333333333</v>
      </c>
      <c r="J5" s="40">
        <f t="shared" si="2"/>
        <v>53.333333333333336</v>
      </c>
      <c r="K5" s="89">
        <v>100</v>
      </c>
      <c r="L5" s="40">
        <f t="shared" si="3"/>
        <v>53.333333333333336</v>
      </c>
    </row>
    <row r="6" spans="2:12" ht="15.6" x14ac:dyDescent="0.3">
      <c r="B6" s="38">
        <v>4</v>
      </c>
      <c r="C6" s="38" t="s">
        <v>113</v>
      </c>
      <c r="D6" s="39">
        <v>40</v>
      </c>
      <c r="E6" s="39">
        <v>70</v>
      </c>
      <c r="F6" s="39">
        <v>20</v>
      </c>
      <c r="G6" s="39">
        <f t="shared" si="0"/>
        <v>130</v>
      </c>
      <c r="H6" s="39">
        <v>300</v>
      </c>
      <c r="I6" s="87">
        <f t="shared" si="1"/>
        <v>0.43333333333333335</v>
      </c>
      <c r="J6" s="40">
        <f t="shared" si="2"/>
        <v>43.333333333333336</v>
      </c>
      <c r="K6" s="89">
        <v>100</v>
      </c>
      <c r="L6" s="40">
        <f t="shared" si="3"/>
        <v>43.333333333333336</v>
      </c>
    </row>
    <row r="7" spans="2:12" ht="15.6" x14ac:dyDescent="0.3">
      <c r="B7" s="38">
        <v>5</v>
      </c>
      <c r="C7" s="38" t="s">
        <v>114</v>
      </c>
      <c r="D7" s="39">
        <v>50</v>
      </c>
      <c r="E7" s="39">
        <v>60</v>
      </c>
      <c r="F7" s="39">
        <v>40</v>
      </c>
      <c r="G7" s="39">
        <f t="shared" si="0"/>
        <v>150</v>
      </c>
      <c r="H7" s="39">
        <v>300</v>
      </c>
      <c r="I7" s="87">
        <f t="shared" si="1"/>
        <v>0.5</v>
      </c>
      <c r="J7" s="40">
        <f t="shared" si="2"/>
        <v>50</v>
      </c>
      <c r="K7" s="89">
        <v>100</v>
      </c>
      <c r="L7" s="40">
        <f t="shared" si="3"/>
        <v>50</v>
      </c>
    </row>
    <row r="8" spans="2:12" ht="15.6" x14ac:dyDescent="0.3">
      <c r="B8" s="38">
        <v>6</v>
      </c>
      <c r="C8" s="38" t="s">
        <v>115</v>
      </c>
      <c r="D8" s="39">
        <v>60</v>
      </c>
      <c r="E8" s="39">
        <v>50</v>
      </c>
      <c r="F8" s="39">
        <v>80</v>
      </c>
      <c r="G8" s="39">
        <f t="shared" si="0"/>
        <v>190</v>
      </c>
      <c r="H8" s="39">
        <v>300</v>
      </c>
      <c r="I8" s="87">
        <f t="shared" si="1"/>
        <v>0.6333333333333333</v>
      </c>
      <c r="J8" s="40">
        <f t="shared" si="2"/>
        <v>63.333333333333329</v>
      </c>
      <c r="K8" s="89">
        <v>100</v>
      </c>
      <c r="L8" s="40">
        <f t="shared" si="3"/>
        <v>63.333333333333329</v>
      </c>
    </row>
    <row r="9" spans="2:12" ht="15.6" x14ac:dyDescent="0.3">
      <c r="B9" s="38">
        <v>7</v>
      </c>
      <c r="C9" s="38" t="s">
        <v>116</v>
      </c>
      <c r="D9" s="39">
        <v>70</v>
      </c>
      <c r="E9" s="39">
        <v>40</v>
      </c>
      <c r="F9" s="39">
        <v>100</v>
      </c>
      <c r="G9" s="39">
        <f t="shared" si="0"/>
        <v>210</v>
      </c>
      <c r="H9" s="39">
        <v>300</v>
      </c>
      <c r="I9" s="87">
        <f t="shared" si="1"/>
        <v>0.7</v>
      </c>
      <c r="J9" s="40">
        <f t="shared" si="2"/>
        <v>70</v>
      </c>
      <c r="K9" s="89">
        <v>100</v>
      </c>
      <c r="L9" s="40">
        <f t="shared" si="3"/>
        <v>70</v>
      </c>
    </row>
    <row r="10" spans="2:12" ht="15.6" x14ac:dyDescent="0.3">
      <c r="B10" s="38">
        <v>8</v>
      </c>
      <c r="C10" s="38" t="s">
        <v>117</v>
      </c>
      <c r="D10" s="39">
        <v>80</v>
      </c>
      <c r="E10" s="39">
        <v>80</v>
      </c>
      <c r="F10" s="39">
        <v>75</v>
      </c>
      <c r="G10" s="39">
        <f t="shared" si="0"/>
        <v>235</v>
      </c>
      <c r="H10" s="39">
        <v>300</v>
      </c>
      <c r="I10" s="87">
        <f t="shared" si="1"/>
        <v>0.78333333333333333</v>
      </c>
      <c r="J10" s="40">
        <f t="shared" si="2"/>
        <v>78.333333333333329</v>
      </c>
      <c r="K10" s="89">
        <v>100</v>
      </c>
      <c r="L10" s="40">
        <f t="shared" si="3"/>
        <v>78.333333333333329</v>
      </c>
    </row>
    <row r="11" spans="2:12" ht="15.6" x14ac:dyDescent="0.3">
      <c r="B11" s="38">
        <v>9</v>
      </c>
      <c r="C11" s="38" t="s">
        <v>119</v>
      </c>
      <c r="D11" s="39">
        <v>90</v>
      </c>
      <c r="E11" s="39">
        <v>90</v>
      </c>
      <c r="F11" s="39">
        <v>35</v>
      </c>
      <c r="G11" s="39">
        <f t="shared" si="0"/>
        <v>215</v>
      </c>
      <c r="H11" s="39">
        <v>300</v>
      </c>
      <c r="I11" s="87">
        <f t="shared" si="1"/>
        <v>0.71666666666666667</v>
      </c>
      <c r="J11" s="40">
        <f t="shared" si="2"/>
        <v>71.666666666666671</v>
      </c>
      <c r="K11" s="89">
        <v>100</v>
      </c>
      <c r="L11" s="40">
        <f t="shared" si="3"/>
        <v>71.666666666666671</v>
      </c>
    </row>
    <row r="12" spans="2:12" ht="15.6" x14ac:dyDescent="0.3">
      <c r="B12" s="38">
        <v>10</v>
      </c>
      <c r="C12" s="38" t="s">
        <v>118</v>
      </c>
      <c r="D12" s="39">
        <v>100</v>
      </c>
      <c r="E12" s="39">
        <v>20</v>
      </c>
      <c r="F12" s="39">
        <v>90</v>
      </c>
      <c r="G12" s="39">
        <f t="shared" si="0"/>
        <v>210</v>
      </c>
      <c r="H12" s="39">
        <v>300</v>
      </c>
      <c r="I12" s="87">
        <f t="shared" si="1"/>
        <v>0.7</v>
      </c>
      <c r="J12" s="40">
        <f t="shared" si="2"/>
        <v>70</v>
      </c>
      <c r="K12" s="89">
        <v>100</v>
      </c>
      <c r="L12" s="40">
        <f t="shared" si="3"/>
        <v>70</v>
      </c>
    </row>
    <row r="13" spans="2:12" ht="15.6" x14ac:dyDescent="0.3">
      <c r="B13" s="38">
        <v>11</v>
      </c>
      <c r="C13" s="38" t="s">
        <v>120</v>
      </c>
      <c r="D13" s="39">
        <v>67</v>
      </c>
      <c r="E13" s="39">
        <v>30</v>
      </c>
      <c r="F13" s="39">
        <v>25</v>
      </c>
      <c r="G13" s="39">
        <f t="shared" si="0"/>
        <v>122</v>
      </c>
      <c r="H13" s="39">
        <v>300</v>
      </c>
      <c r="I13" s="87">
        <f t="shared" si="1"/>
        <v>0.40666666666666668</v>
      </c>
      <c r="J13" s="40">
        <f t="shared" si="2"/>
        <v>40.666666666666664</v>
      </c>
      <c r="K13" s="89">
        <v>100</v>
      </c>
      <c r="L13" s="40">
        <f t="shared" si="3"/>
        <v>40.666666666666664</v>
      </c>
    </row>
    <row r="14" spans="2:12" ht="15.6" x14ac:dyDescent="0.3">
      <c r="B14" s="38">
        <v>12</v>
      </c>
      <c r="C14" s="38" t="s">
        <v>121</v>
      </c>
      <c r="D14" s="39">
        <v>80</v>
      </c>
      <c r="E14" s="39">
        <v>50</v>
      </c>
      <c r="F14" s="39">
        <v>85</v>
      </c>
      <c r="G14" s="39">
        <f t="shared" si="0"/>
        <v>215</v>
      </c>
      <c r="H14" s="39">
        <v>300</v>
      </c>
      <c r="I14" s="87">
        <f t="shared" si="1"/>
        <v>0.71666666666666667</v>
      </c>
      <c r="J14" s="40">
        <f t="shared" si="2"/>
        <v>71.666666666666671</v>
      </c>
      <c r="K14" s="89">
        <v>100</v>
      </c>
      <c r="L14" s="40">
        <f t="shared" si="3"/>
        <v>71.666666666666671</v>
      </c>
    </row>
    <row r="15" spans="2:12" ht="15.6" x14ac:dyDescent="0.3">
      <c r="B15" s="38">
        <v>13</v>
      </c>
      <c r="C15" s="38" t="s">
        <v>122</v>
      </c>
      <c r="D15" s="39">
        <v>90</v>
      </c>
      <c r="E15" s="39">
        <v>100</v>
      </c>
      <c r="F15" s="39">
        <v>50</v>
      </c>
      <c r="G15" s="39">
        <f t="shared" si="0"/>
        <v>240</v>
      </c>
      <c r="H15" s="39">
        <v>300</v>
      </c>
      <c r="I15" s="87">
        <f t="shared" si="1"/>
        <v>0.8</v>
      </c>
      <c r="J15" s="40">
        <f t="shared" si="2"/>
        <v>80</v>
      </c>
      <c r="K15" s="89">
        <v>100</v>
      </c>
      <c r="L15" s="40">
        <f t="shared" si="3"/>
        <v>80</v>
      </c>
    </row>
    <row r="16" spans="2:12" ht="15.6" x14ac:dyDescent="0.3">
      <c r="B16" s="38">
        <v>14</v>
      </c>
      <c r="C16" s="38" t="s">
        <v>123</v>
      </c>
      <c r="D16" s="39">
        <v>40</v>
      </c>
      <c r="E16" s="39">
        <v>70</v>
      </c>
      <c r="F16" s="39">
        <v>60</v>
      </c>
      <c r="G16" s="39">
        <f t="shared" si="0"/>
        <v>170</v>
      </c>
      <c r="H16" s="39">
        <v>300</v>
      </c>
      <c r="I16" s="87">
        <f t="shared" si="1"/>
        <v>0.56666666666666665</v>
      </c>
      <c r="J16" s="40">
        <f t="shared" si="2"/>
        <v>56.666666666666664</v>
      </c>
      <c r="K16" s="89">
        <v>100</v>
      </c>
      <c r="L16" s="40">
        <f t="shared" si="3"/>
        <v>56.666666666666664</v>
      </c>
    </row>
    <row r="17" spans="2:10" ht="15" thickBot="1" x14ac:dyDescent="0.35">
      <c r="B17" s="41"/>
      <c r="C17" s="41"/>
      <c r="D17" s="41"/>
      <c r="E17" s="41"/>
      <c r="F17" s="41"/>
      <c r="G17" s="41"/>
      <c r="H17" s="41"/>
      <c r="I17" s="86"/>
      <c r="J17" s="41"/>
    </row>
    <row r="18" spans="2:10" ht="21.6" thickBot="1" x14ac:dyDescent="0.35">
      <c r="B18" s="41"/>
      <c r="C18" s="41"/>
      <c r="D18" s="42" t="s">
        <v>169</v>
      </c>
      <c r="E18" s="42">
        <v>100</v>
      </c>
      <c r="F18" s="41"/>
      <c r="G18" s="41"/>
      <c r="H18" s="41"/>
      <c r="I18" s="41"/>
      <c r="J18" s="41"/>
    </row>
    <row r="22" spans="2:10" ht="18" thickBot="1" x14ac:dyDescent="0.35">
      <c r="D22" s="194" t="s">
        <v>106</v>
      </c>
      <c r="E22" s="194" t="s">
        <v>107</v>
      </c>
      <c r="F22" s="194" t="s">
        <v>109</v>
      </c>
      <c r="G22" s="194" t="s">
        <v>109</v>
      </c>
    </row>
    <row r="23" spans="2:10" ht="21.6" thickBot="1" x14ac:dyDescent="0.35">
      <c r="D23" s="195">
        <v>122</v>
      </c>
      <c r="E23" s="195">
        <v>300</v>
      </c>
      <c r="F23" s="196">
        <f>D23/E23</f>
        <v>0.40666666666666668</v>
      </c>
      <c r="G23" s="197">
        <f>D23/E23*$J$23</f>
        <v>40.666666666666664</v>
      </c>
      <c r="I23" s="42" t="s">
        <v>169</v>
      </c>
      <c r="J23" s="42">
        <v>100</v>
      </c>
    </row>
    <row r="24" spans="2:10" ht="17.399999999999999" x14ac:dyDescent="0.3">
      <c r="D24" s="195">
        <v>215</v>
      </c>
      <c r="E24" s="195">
        <v>300</v>
      </c>
      <c r="F24" s="196">
        <f t="shared" ref="F24:F26" si="4">D24/E24</f>
        <v>0.71666666666666667</v>
      </c>
      <c r="G24" s="197">
        <f t="shared" ref="G24:G26" si="5">D24/E24*$J$23</f>
        <v>71.666666666666671</v>
      </c>
    </row>
    <row r="25" spans="2:10" ht="17.399999999999999" x14ac:dyDescent="0.3">
      <c r="D25" s="195">
        <v>240</v>
      </c>
      <c r="E25" s="195">
        <v>300</v>
      </c>
      <c r="F25" s="196">
        <f t="shared" si="4"/>
        <v>0.8</v>
      </c>
      <c r="G25" s="197">
        <f t="shared" si="5"/>
        <v>80</v>
      </c>
    </row>
    <row r="26" spans="2:10" ht="17.399999999999999" x14ac:dyDescent="0.3">
      <c r="D26" s="195">
        <v>170</v>
      </c>
      <c r="E26" s="195">
        <v>300</v>
      </c>
      <c r="F26" s="196">
        <f t="shared" si="4"/>
        <v>0.56666666666666665</v>
      </c>
      <c r="G26" s="197">
        <f t="shared" si="5"/>
        <v>56.666666666666664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D0F9-B210-4D13-A12A-FDEC613406F7}">
  <dimension ref="B1:I45"/>
  <sheetViews>
    <sheetView topLeftCell="A25" zoomScale="90" zoomScaleNormal="90" workbookViewId="0">
      <selection activeCell="C46" sqref="C46"/>
    </sheetView>
  </sheetViews>
  <sheetFormatPr defaultColWidth="11.109375" defaultRowHeight="18" x14ac:dyDescent="0.3"/>
  <cols>
    <col min="1" max="1" width="11.109375" style="96"/>
    <col min="2" max="2" width="26.44140625" style="96" customWidth="1"/>
    <col min="3" max="3" width="27.5546875" style="96" customWidth="1"/>
    <col min="4" max="4" width="25.44140625" style="96" customWidth="1"/>
    <col min="5" max="5" width="23.88671875" style="96" customWidth="1"/>
    <col min="6" max="6" width="23.109375" style="96" customWidth="1"/>
    <col min="7" max="7" width="21.109375" style="96" customWidth="1"/>
    <col min="8" max="8" width="29.21875" style="96" bestFit="1" customWidth="1"/>
    <col min="9" max="16384" width="11.109375" style="96"/>
  </cols>
  <sheetData>
    <row r="1" spans="2:9" x14ac:dyDescent="0.3">
      <c r="B1" s="92" t="s">
        <v>132</v>
      </c>
      <c r="C1" s="92" t="s">
        <v>133</v>
      </c>
      <c r="D1" s="92" t="s">
        <v>134</v>
      </c>
      <c r="E1" s="92" t="s">
        <v>135</v>
      </c>
      <c r="F1" s="92" t="s">
        <v>136</v>
      </c>
      <c r="G1" s="92" t="s">
        <v>137</v>
      </c>
      <c r="H1" s="92" t="s">
        <v>138</v>
      </c>
      <c r="I1" s="91"/>
    </row>
    <row r="2" spans="2:9" x14ac:dyDescent="0.3">
      <c r="B2" s="90" t="s">
        <v>139</v>
      </c>
      <c r="C2" s="90" t="str">
        <f>UPPER(B2)</f>
        <v>ANANYA SHROFF</v>
      </c>
      <c r="D2" s="90" t="str">
        <f>LOWER(B2)</f>
        <v>ananya shroff</v>
      </c>
      <c r="E2" s="90" t="str">
        <f>PROPER(C2)</f>
        <v>Ananya Shroff</v>
      </c>
      <c r="F2" s="90" t="str">
        <f>LEFT(B2, 4)</f>
        <v>Anan</v>
      </c>
      <c r="G2" s="90" t="str">
        <f>RIGHT(B2, 3)</f>
        <v>off</v>
      </c>
      <c r="H2" s="90" t="str">
        <f>MID(B2, 3, 4)</f>
        <v>anya</v>
      </c>
      <c r="I2" s="91"/>
    </row>
    <row r="3" spans="2:9" x14ac:dyDescent="0.3">
      <c r="B3" s="90" t="s">
        <v>140</v>
      </c>
      <c r="C3" s="90" t="str">
        <f t="shared" ref="C3:C10" si="0">UPPER(B3)</f>
        <v>AROHI SHARMA</v>
      </c>
      <c r="D3" s="90" t="str">
        <f t="shared" ref="D3:D10" si="1">LOWER(B3)</f>
        <v>arohi sharma</v>
      </c>
      <c r="E3" s="90" t="str">
        <f t="shared" ref="E3:E10" si="2">PROPER(C3)</f>
        <v>Arohi Sharma</v>
      </c>
      <c r="F3" s="90" t="str">
        <f>LEFT(B3, 5)</f>
        <v>Arohi</v>
      </c>
      <c r="G3" s="90" t="str">
        <f>RIGHT(B3, 4)</f>
        <v>arma</v>
      </c>
      <c r="H3" s="90" t="str">
        <f>MID(B3, 2, 6)</f>
        <v>rohi S</v>
      </c>
      <c r="I3" s="91"/>
    </row>
    <row r="4" spans="2:9" ht="52.2" x14ac:dyDescent="0.3">
      <c r="B4" s="90" t="s">
        <v>141</v>
      </c>
      <c r="C4" s="90" t="str">
        <f t="shared" si="0"/>
        <v>MOHANDAS KARAMCHAND GANDHI</v>
      </c>
      <c r="D4" s="90" t="str">
        <f t="shared" si="1"/>
        <v>mohandas karamchand gandhi</v>
      </c>
      <c r="E4" s="90" t="str">
        <f t="shared" si="2"/>
        <v>Mohandas Karamchand Gandhi</v>
      </c>
      <c r="F4" s="90" t="str">
        <f t="shared" ref="F4:F10" si="3">LEFT(B4, 5)</f>
        <v>Mohan</v>
      </c>
      <c r="G4" s="90" t="str">
        <f t="shared" ref="G4:G10" si="4">RIGHT(B4, 4)</f>
        <v>ndhi</v>
      </c>
      <c r="H4" s="90" t="str">
        <f t="shared" ref="H4:H10" si="5">MID(B4, 2, 6)</f>
        <v>ohanda</v>
      </c>
      <c r="I4" s="91"/>
    </row>
    <row r="5" spans="2:9" x14ac:dyDescent="0.3">
      <c r="B5" s="90" t="s">
        <v>142</v>
      </c>
      <c r="C5" s="90" t="str">
        <f t="shared" si="0"/>
        <v>MILIND KUMAR KALRA</v>
      </c>
      <c r="D5" s="90" t="str">
        <f t="shared" si="1"/>
        <v>milind kumar kalra</v>
      </c>
      <c r="E5" s="90" t="str">
        <f t="shared" si="2"/>
        <v>Milind Kumar Kalra</v>
      </c>
      <c r="F5" s="90" t="str">
        <f t="shared" si="3"/>
        <v>Milin</v>
      </c>
      <c r="G5" s="90" t="str">
        <f t="shared" si="4"/>
        <v>alra</v>
      </c>
      <c r="H5" s="90" t="str">
        <f t="shared" si="5"/>
        <v xml:space="preserve">ilind </v>
      </c>
      <c r="I5" s="91"/>
    </row>
    <row r="6" spans="2:9" x14ac:dyDescent="0.3">
      <c r="B6" s="90" t="s">
        <v>143</v>
      </c>
      <c r="C6" s="90" t="str">
        <f t="shared" si="0"/>
        <v>ANSHU POONAWALA</v>
      </c>
      <c r="D6" s="90" t="str">
        <f t="shared" si="1"/>
        <v>anshu poonawala</v>
      </c>
      <c r="E6" s="90" t="str">
        <f t="shared" si="2"/>
        <v>Anshu Poonawala</v>
      </c>
      <c r="F6" s="90" t="str">
        <f t="shared" si="3"/>
        <v>Anshu</v>
      </c>
      <c r="G6" s="90" t="str">
        <f t="shared" si="4"/>
        <v>wala</v>
      </c>
      <c r="H6" s="90" t="str">
        <f t="shared" si="5"/>
        <v>nshu P</v>
      </c>
      <c r="I6" s="91"/>
    </row>
    <row r="7" spans="2:9" x14ac:dyDescent="0.3">
      <c r="B7" s="90" t="s">
        <v>144</v>
      </c>
      <c r="C7" s="90" t="str">
        <f t="shared" si="0"/>
        <v>RAHUL SINGH SHARMA</v>
      </c>
      <c r="D7" s="90" t="str">
        <f t="shared" si="1"/>
        <v>rahul singh sharma</v>
      </c>
      <c r="E7" s="90" t="str">
        <f t="shared" si="2"/>
        <v>Rahul Singh Sharma</v>
      </c>
      <c r="F7" s="90" t="str">
        <f t="shared" si="3"/>
        <v>Rahul</v>
      </c>
      <c r="G7" s="90" t="str">
        <f t="shared" si="4"/>
        <v>arma</v>
      </c>
      <c r="H7" s="90" t="str">
        <f t="shared" si="5"/>
        <v>ahul S</v>
      </c>
      <c r="I7" s="91"/>
    </row>
    <row r="8" spans="2:9" x14ac:dyDescent="0.3">
      <c r="B8" s="90" t="s">
        <v>145</v>
      </c>
      <c r="C8" s="90" t="str">
        <f t="shared" si="0"/>
        <v>NEIL ARMSTRONG</v>
      </c>
      <c r="D8" s="90" t="str">
        <f t="shared" si="1"/>
        <v>neil armstrong</v>
      </c>
      <c r="E8" s="90" t="str">
        <f t="shared" si="2"/>
        <v>Neil Armstrong</v>
      </c>
      <c r="F8" s="90" t="str">
        <f t="shared" si="3"/>
        <v xml:space="preserve">Neil </v>
      </c>
      <c r="G8" s="90" t="str">
        <f t="shared" si="4"/>
        <v>rong</v>
      </c>
      <c r="H8" s="90" t="str">
        <f t="shared" si="5"/>
        <v>eil Ar</v>
      </c>
      <c r="I8" s="91"/>
    </row>
    <row r="9" spans="2:9" x14ac:dyDescent="0.3">
      <c r="B9" s="90" t="s">
        <v>146</v>
      </c>
      <c r="C9" s="90" t="str">
        <f t="shared" si="0"/>
        <v>AVNISH AGRAWAL</v>
      </c>
      <c r="D9" s="90" t="str">
        <f t="shared" si="1"/>
        <v>avnish agrawal</v>
      </c>
      <c r="E9" s="90" t="str">
        <f t="shared" si="2"/>
        <v>Avnish Agrawal</v>
      </c>
      <c r="F9" s="90" t="str">
        <f t="shared" si="3"/>
        <v>Avnis</v>
      </c>
      <c r="G9" s="90" t="str">
        <f t="shared" si="4"/>
        <v>awal</v>
      </c>
      <c r="H9" s="90" t="str">
        <f t="shared" si="5"/>
        <v xml:space="preserve">vnish </v>
      </c>
      <c r="I9" s="91"/>
    </row>
    <row r="10" spans="2:9" x14ac:dyDescent="0.3">
      <c r="B10" s="90" t="s">
        <v>147</v>
      </c>
      <c r="C10" s="90" t="str">
        <f t="shared" si="0"/>
        <v>SHASHANK KHAN</v>
      </c>
      <c r="D10" s="90" t="str">
        <f t="shared" si="1"/>
        <v>shashank khan</v>
      </c>
      <c r="E10" s="90" t="str">
        <f t="shared" si="2"/>
        <v>Shashank Khan</v>
      </c>
      <c r="F10" s="90" t="str">
        <f t="shared" si="3"/>
        <v>Shash</v>
      </c>
      <c r="G10" s="90" t="str">
        <f t="shared" si="4"/>
        <v>Khan</v>
      </c>
      <c r="H10" s="90" t="str">
        <f t="shared" si="5"/>
        <v>hashan</v>
      </c>
      <c r="I10" s="91"/>
    </row>
    <row r="11" spans="2:9" x14ac:dyDescent="0.3">
      <c r="B11" s="91"/>
      <c r="C11" s="91"/>
      <c r="D11" s="91"/>
      <c r="E11" s="91"/>
      <c r="F11" s="91"/>
      <c r="G11" s="91"/>
      <c r="H11" s="91"/>
      <c r="I11" s="91"/>
    </row>
    <row r="12" spans="2:9" x14ac:dyDescent="0.3">
      <c r="B12" s="91"/>
      <c r="C12" s="91"/>
      <c r="D12" s="91"/>
      <c r="E12" s="91"/>
      <c r="F12" s="91"/>
      <c r="G12" s="91"/>
      <c r="H12" s="91"/>
      <c r="I12" s="91"/>
    </row>
    <row r="13" spans="2:9" ht="18.600000000000001" thickBot="1" x14ac:dyDescent="0.35">
      <c r="B13" s="91"/>
      <c r="C13" s="91"/>
      <c r="D13" s="91"/>
      <c r="E13" s="91"/>
      <c r="F13" s="93"/>
      <c r="G13" s="91"/>
      <c r="H13" s="91"/>
      <c r="I13" s="91"/>
    </row>
    <row r="14" spans="2:9" ht="18.600000000000001" thickTop="1" x14ac:dyDescent="0.3">
      <c r="B14" s="92" t="s">
        <v>132</v>
      </c>
      <c r="C14" s="82" t="s">
        <v>148</v>
      </c>
      <c r="D14" s="82" t="s">
        <v>149</v>
      </c>
      <c r="E14" s="82" t="s">
        <v>148</v>
      </c>
      <c r="F14" s="82" t="s">
        <v>150</v>
      </c>
      <c r="G14" s="84" t="s">
        <v>151</v>
      </c>
      <c r="H14" s="91"/>
      <c r="I14" s="91"/>
    </row>
    <row r="15" spans="2:9" x14ac:dyDescent="0.3">
      <c r="B15" s="90" t="s">
        <v>152</v>
      </c>
      <c r="C15" s="83">
        <f>LEN(B15)</f>
        <v>17</v>
      </c>
      <c r="D15" s="83" t="str">
        <f>TRIM(B15)</f>
        <v>Ananya Pandey</v>
      </c>
      <c r="E15" s="83">
        <f>LEN(D15)</f>
        <v>13</v>
      </c>
      <c r="F15" s="83">
        <f>FIND("an", D15, 1)</f>
        <v>3</v>
      </c>
      <c r="G15" s="83">
        <f>SEARCH("an", D15)</f>
        <v>1</v>
      </c>
      <c r="H15" s="91"/>
      <c r="I15" s="91"/>
    </row>
    <row r="16" spans="2:9" x14ac:dyDescent="0.3">
      <c r="B16" s="90" t="s">
        <v>153</v>
      </c>
      <c r="C16" s="83">
        <f t="shared" ref="C16:C23" si="6">LEN(B16)</f>
        <v>19</v>
      </c>
      <c r="D16" s="83" t="str">
        <f t="shared" ref="D16:D23" si="7">TRIM(B16)</f>
        <v>Arohi Sharma</v>
      </c>
      <c r="E16" s="83">
        <f t="shared" ref="E16:E23" si="8">LEN(D16)</f>
        <v>12</v>
      </c>
      <c r="F16" s="83">
        <f>FIND("ar", D16, 1)</f>
        <v>9</v>
      </c>
      <c r="G16" s="83">
        <f>SEARCH("ar", D16)</f>
        <v>1</v>
      </c>
      <c r="H16" s="91"/>
      <c r="I16" s="91"/>
    </row>
    <row r="17" spans="2:9" ht="34.799999999999997" x14ac:dyDescent="0.3">
      <c r="B17" s="90" t="s">
        <v>154</v>
      </c>
      <c r="C17" s="83">
        <f t="shared" si="6"/>
        <v>33</v>
      </c>
      <c r="D17" s="83" t="str">
        <f t="shared" si="7"/>
        <v>Mohandas Karamchand G andhi</v>
      </c>
      <c r="E17" s="83">
        <f t="shared" si="8"/>
        <v>27</v>
      </c>
      <c r="F17" s="83" t="e">
        <f>FIND("An", D17, 3)</f>
        <v>#VALUE!</v>
      </c>
      <c r="G17" s="83">
        <f>SEARCH("An", D17)</f>
        <v>4</v>
      </c>
      <c r="H17" s="91"/>
      <c r="I17" s="91"/>
    </row>
    <row r="18" spans="2:9" x14ac:dyDescent="0.3">
      <c r="B18" s="90" t="s">
        <v>155</v>
      </c>
      <c r="C18" s="83">
        <f t="shared" si="6"/>
        <v>27</v>
      </c>
      <c r="D18" s="83" t="str">
        <f t="shared" si="7"/>
        <v>Milind Kalra</v>
      </c>
      <c r="E18" s="83">
        <f t="shared" si="8"/>
        <v>12</v>
      </c>
      <c r="F18" s="85"/>
      <c r="G18" s="85"/>
      <c r="H18" s="606" t="s">
        <v>215</v>
      </c>
      <c r="I18" s="91"/>
    </row>
    <row r="19" spans="2:9" x14ac:dyDescent="0.3">
      <c r="B19" s="90" t="s">
        <v>156</v>
      </c>
      <c r="C19" s="83">
        <f t="shared" si="6"/>
        <v>30</v>
      </c>
      <c r="D19" s="83" t="str">
        <f t="shared" si="7"/>
        <v>Anshu Poonawala</v>
      </c>
      <c r="E19" s="83">
        <f t="shared" si="8"/>
        <v>15</v>
      </c>
      <c r="F19" s="85"/>
      <c r="G19" s="85"/>
      <c r="H19" s="606"/>
      <c r="I19" s="91"/>
    </row>
    <row r="20" spans="2:9" x14ac:dyDescent="0.3">
      <c r="B20" s="90" t="s">
        <v>157</v>
      </c>
      <c r="C20" s="83">
        <f t="shared" si="6"/>
        <v>24</v>
      </c>
      <c r="D20" s="83" t="str">
        <f t="shared" si="7"/>
        <v>Rahul Singh Sharma</v>
      </c>
      <c r="E20" s="83">
        <f t="shared" si="8"/>
        <v>18</v>
      </c>
      <c r="F20" s="85"/>
      <c r="G20" s="85"/>
      <c r="H20" s="606"/>
      <c r="I20" s="91"/>
    </row>
    <row r="21" spans="2:9" x14ac:dyDescent="0.3">
      <c r="B21" s="90" t="s">
        <v>158</v>
      </c>
      <c r="C21" s="83">
        <f t="shared" si="6"/>
        <v>18</v>
      </c>
      <c r="D21" s="83" t="str">
        <f t="shared" si="7"/>
        <v>Neil Armstrong</v>
      </c>
      <c r="E21" s="83">
        <f t="shared" si="8"/>
        <v>14</v>
      </c>
      <c r="F21" s="85"/>
      <c r="G21" s="85"/>
      <c r="H21" s="606"/>
      <c r="I21" s="91"/>
    </row>
    <row r="22" spans="2:9" x14ac:dyDescent="0.3">
      <c r="B22" s="90" t="s">
        <v>146</v>
      </c>
      <c r="C22" s="83">
        <f t="shared" si="6"/>
        <v>14</v>
      </c>
      <c r="D22" s="83" t="str">
        <f t="shared" si="7"/>
        <v>Avnish Agrawal</v>
      </c>
      <c r="E22" s="83">
        <f t="shared" si="8"/>
        <v>14</v>
      </c>
      <c r="F22" s="85"/>
      <c r="G22" s="85"/>
      <c r="H22" s="606"/>
      <c r="I22" s="91"/>
    </row>
    <row r="23" spans="2:9" x14ac:dyDescent="0.3">
      <c r="B23" s="90" t="s">
        <v>159</v>
      </c>
      <c r="C23" s="83">
        <f t="shared" si="6"/>
        <v>18</v>
      </c>
      <c r="D23" s="83" t="str">
        <f t="shared" si="7"/>
        <v>Shashank Khan</v>
      </c>
      <c r="E23" s="83">
        <f t="shared" si="8"/>
        <v>13</v>
      </c>
      <c r="F23" s="85"/>
      <c r="G23" s="85"/>
      <c r="H23" s="606"/>
      <c r="I23" s="91"/>
    </row>
    <row r="24" spans="2:9" x14ac:dyDescent="0.3">
      <c r="B24" s="91"/>
      <c r="C24" s="91"/>
      <c r="D24" s="91"/>
      <c r="E24" s="91"/>
      <c r="F24" s="91"/>
      <c r="G24" s="91"/>
      <c r="H24" s="91"/>
      <c r="I24" s="91"/>
    </row>
    <row r="25" spans="2:9" x14ac:dyDescent="0.3">
      <c r="B25" s="90"/>
      <c r="C25" s="91"/>
      <c r="D25" s="91"/>
      <c r="E25" s="91"/>
      <c r="F25" s="91"/>
      <c r="G25" s="91"/>
      <c r="H25" s="91"/>
      <c r="I25" s="91"/>
    </row>
    <row r="26" spans="2:9" x14ac:dyDescent="0.3">
      <c r="B26" s="91"/>
      <c r="C26" s="92" t="s">
        <v>132</v>
      </c>
      <c r="D26" s="92" t="s">
        <v>160</v>
      </c>
      <c r="E26" s="92" t="s">
        <v>161</v>
      </c>
      <c r="F26" s="91"/>
      <c r="G26" s="91"/>
      <c r="H26" s="91"/>
      <c r="I26" s="91"/>
    </row>
    <row r="27" spans="2:9" x14ac:dyDescent="0.3">
      <c r="B27" s="91"/>
      <c r="C27" s="90" t="s">
        <v>162</v>
      </c>
      <c r="D27" s="90" t="str">
        <f>SUBSTITUTE(C27, "an", "tu")</f>
        <v>Antuya Ptudey</v>
      </c>
      <c r="E27" s="90" t="str">
        <f>REPLACE(C27, 1, 3, "tul")</f>
        <v>tulnya Pandey</v>
      </c>
      <c r="F27" s="91"/>
      <c r="G27" s="91"/>
      <c r="H27" s="91"/>
      <c r="I27" s="91"/>
    </row>
    <row r="28" spans="2:9" x14ac:dyDescent="0.3">
      <c r="B28" s="91"/>
      <c r="C28" s="90" t="s">
        <v>140</v>
      </c>
      <c r="D28" s="90" t="str">
        <f>SUBSTITUTE(C28, "Ar", "LT")</f>
        <v>LTohi Sharma</v>
      </c>
      <c r="E28" s="90" t="str">
        <f>REPLACE(C28, 6, 4, "LTUS")</f>
        <v>ArohiLTUSrma</v>
      </c>
      <c r="F28" s="91"/>
      <c r="G28" s="91"/>
      <c r="H28" s="91"/>
      <c r="I28" s="91"/>
    </row>
    <row r="29" spans="2:9" ht="34.799999999999997" x14ac:dyDescent="0.3">
      <c r="B29" s="91"/>
      <c r="C29" s="90" t="s">
        <v>141</v>
      </c>
      <c r="D29" s="90" t="str">
        <f>SUBSTITUTE(C29, "nd", "tul")</f>
        <v>Mohatulas Karamchatul Gatulhi</v>
      </c>
      <c r="E29" s="90" t="str">
        <f>REPLACE(C29, 17, 3, "ul")</f>
        <v>Mohandas Karamchul Gandhi</v>
      </c>
      <c r="F29" s="91"/>
      <c r="G29" s="91"/>
      <c r="H29" s="91"/>
      <c r="I29" s="91"/>
    </row>
    <row r="30" spans="2:9" ht="18" customHeight="1" x14ac:dyDescent="0.3">
      <c r="B30" s="91"/>
      <c r="C30" s="90" t="s">
        <v>142</v>
      </c>
      <c r="D30" s="94"/>
      <c r="E30" s="206"/>
      <c r="F30" s="607" t="s">
        <v>215</v>
      </c>
      <c r="G30" s="91"/>
      <c r="H30" s="91"/>
      <c r="I30" s="91"/>
    </row>
    <row r="31" spans="2:9" ht="18" customHeight="1" x14ac:dyDescent="0.3">
      <c r="B31" s="91"/>
      <c r="C31" s="90" t="s">
        <v>143</v>
      </c>
      <c r="D31" s="94"/>
      <c r="E31" s="206"/>
      <c r="F31" s="607"/>
      <c r="G31" s="91"/>
      <c r="H31" s="91"/>
      <c r="I31" s="91"/>
    </row>
    <row r="32" spans="2:9" ht="18" customHeight="1" x14ac:dyDescent="0.3">
      <c r="B32" s="91"/>
      <c r="C32" s="90" t="s">
        <v>144</v>
      </c>
      <c r="D32" s="94"/>
      <c r="E32" s="206"/>
      <c r="F32" s="607"/>
      <c r="G32" s="91"/>
      <c r="H32" s="91"/>
      <c r="I32" s="91"/>
    </row>
    <row r="33" spans="2:9" ht="18" customHeight="1" x14ac:dyDescent="0.3">
      <c r="B33" s="91"/>
      <c r="C33" s="90" t="s">
        <v>145</v>
      </c>
      <c r="D33" s="94"/>
      <c r="E33" s="206"/>
      <c r="F33" s="607"/>
      <c r="G33" s="91"/>
      <c r="H33" s="91"/>
      <c r="I33" s="91"/>
    </row>
    <row r="34" spans="2:9" ht="18" customHeight="1" x14ac:dyDescent="0.3">
      <c r="B34" s="91"/>
      <c r="C34" s="90" t="s">
        <v>146</v>
      </c>
      <c r="D34" s="94"/>
      <c r="E34" s="206"/>
      <c r="F34" s="607"/>
      <c r="G34" s="91"/>
      <c r="H34" s="91"/>
      <c r="I34" s="91"/>
    </row>
    <row r="35" spans="2:9" ht="18" customHeight="1" x14ac:dyDescent="0.3">
      <c r="B35" s="91"/>
      <c r="C35" s="90" t="s">
        <v>147</v>
      </c>
      <c r="D35" s="94"/>
      <c r="E35" s="206"/>
      <c r="F35" s="607"/>
      <c r="G35" s="91"/>
      <c r="H35" s="91"/>
      <c r="I35" s="91"/>
    </row>
    <row r="36" spans="2:9" ht="34.799999999999997" x14ac:dyDescent="0.3">
      <c r="B36" s="91"/>
      <c r="C36" s="95" t="s">
        <v>163</v>
      </c>
      <c r="D36" s="94"/>
      <c r="E36" s="206"/>
      <c r="F36" s="607"/>
      <c r="G36" s="91"/>
      <c r="H36" s="91"/>
      <c r="I36" s="91"/>
    </row>
    <row r="37" spans="2:9" x14ac:dyDescent="0.3">
      <c r="B37" s="91"/>
      <c r="C37" s="91"/>
      <c r="D37" s="198"/>
      <c r="E37" s="91"/>
      <c r="F37" s="91"/>
      <c r="G37" s="91"/>
      <c r="H37" s="91"/>
      <c r="I37" s="91"/>
    </row>
    <row r="38" spans="2:9" ht="39.6" customHeight="1" x14ac:dyDescent="0.3">
      <c r="B38" s="91"/>
      <c r="C38" s="91"/>
      <c r="D38" s="91"/>
      <c r="E38" s="205" t="s">
        <v>33</v>
      </c>
      <c r="F38" s="205" t="s">
        <v>35</v>
      </c>
      <c r="G38" s="201" t="s">
        <v>268</v>
      </c>
      <c r="H38" s="201" t="s">
        <v>269</v>
      </c>
      <c r="I38" s="91"/>
    </row>
    <row r="39" spans="2:9" ht="19.2" x14ac:dyDescent="0.3">
      <c r="B39" s="91"/>
      <c r="C39" s="91"/>
      <c r="D39" s="91"/>
      <c r="E39" s="202" t="s">
        <v>164</v>
      </c>
      <c r="F39" s="202" t="s">
        <v>165</v>
      </c>
      <c r="G39" s="202" t="str">
        <f>CONCATENATE(E39, " ", F39)</f>
        <v>abc xyz</v>
      </c>
      <c r="H39" s="202" t="str">
        <f>_xlfn.CONCAT(E39, " &amp; ", F39)</f>
        <v>abc &amp; xyz</v>
      </c>
      <c r="I39" s="91"/>
    </row>
    <row r="40" spans="2:9" ht="19.2" x14ac:dyDescent="0.3">
      <c r="B40" s="91"/>
      <c r="C40" s="91"/>
      <c r="D40" s="91"/>
      <c r="E40" s="202" t="s">
        <v>166</v>
      </c>
      <c r="F40" s="202" t="s">
        <v>167</v>
      </c>
      <c r="G40" s="202" t="str">
        <f t="shared" ref="G40:G42" si="9">CONCATENATE(E40, " ", F40)</f>
        <v>def uvw</v>
      </c>
      <c r="H40" s="202" t="str">
        <f>_xlfn.CONCAT(E40, " * ", F40)</f>
        <v>def * uvw</v>
      </c>
      <c r="I40" s="91"/>
    </row>
    <row r="41" spans="2:9" ht="19.2" x14ac:dyDescent="0.3">
      <c r="B41" s="91"/>
      <c r="C41" s="91"/>
      <c r="D41" s="91"/>
      <c r="E41" s="203">
        <v>123</v>
      </c>
      <c r="F41" s="203">
        <v>456</v>
      </c>
      <c r="G41" s="202" t="str">
        <f t="shared" si="9"/>
        <v>123 456</v>
      </c>
      <c r="H41" s="202" t="str">
        <f t="shared" ref="H41:H42" si="10">_xlfn.CONCAT(E41, " &amp; ", F41)</f>
        <v>123 &amp; 456</v>
      </c>
      <c r="I41" s="91"/>
    </row>
    <row r="42" spans="2:9" ht="19.2" x14ac:dyDescent="0.3">
      <c r="B42" s="91"/>
      <c r="C42" s="91"/>
      <c r="D42" s="91"/>
      <c r="E42" s="202">
        <v>567</v>
      </c>
      <c r="F42" s="202">
        <v>789</v>
      </c>
      <c r="G42" s="202" t="str">
        <f t="shared" si="9"/>
        <v>567 789</v>
      </c>
      <c r="H42" s="202" t="str">
        <f t="shared" si="10"/>
        <v>567 &amp; 789</v>
      </c>
      <c r="I42" s="91"/>
    </row>
    <row r="43" spans="2:9" ht="19.2" x14ac:dyDescent="0.3">
      <c r="B43" s="91"/>
      <c r="C43" s="91"/>
      <c r="D43" s="91"/>
      <c r="E43" s="202">
        <v>567</v>
      </c>
      <c r="F43" s="202" t="s">
        <v>165</v>
      </c>
      <c r="G43" s="204" t="str">
        <f>CONCATENATE(E43, " ", F43)</f>
        <v>567 xyz</v>
      </c>
      <c r="H43" s="204" t="str">
        <f>_xlfn.CONCAT(E43, " # ", F43)</f>
        <v>567 # xyz</v>
      </c>
      <c r="I43" s="91"/>
    </row>
    <row r="44" spans="2:9" x14ac:dyDescent="0.3">
      <c r="B44" s="91"/>
      <c r="C44" s="91"/>
      <c r="D44" s="91"/>
      <c r="E44" s="91"/>
      <c r="F44" s="91"/>
      <c r="G44" s="200"/>
      <c r="H44" s="200"/>
      <c r="I44" s="91"/>
    </row>
    <row r="45" spans="2:9" x14ac:dyDescent="0.3">
      <c r="G45" s="199"/>
      <c r="H45" s="199"/>
    </row>
  </sheetData>
  <mergeCells count="2">
    <mergeCell ref="H18:H23"/>
    <mergeCell ref="F30:F36"/>
  </mergeCells>
  <pageMargins left="0.7" right="0.7" top="0.75" bottom="0.75" header="0.3" footer="0.3"/>
  <ignoredErrors>
    <ignoredError sqref="D15:D23 H40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A643-E41D-4F96-91B2-C8E3FC04E98D}">
  <dimension ref="B1:M77"/>
  <sheetViews>
    <sheetView topLeftCell="A67" zoomScale="90" zoomScaleNormal="90" workbookViewId="0">
      <selection activeCell="E61" sqref="E61"/>
    </sheetView>
  </sheetViews>
  <sheetFormatPr defaultColWidth="17.33203125" defaultRowHeight="15.6" x14ac:dyDescent="0.3"/>
  <cols>
    <col min="1" max="1" width="13.77734375" style="145" customWidth="1"/>
    <col min="2" max="2" width="20.21875" style="145" customWidth="1"/>
    <col min="3" max="3" width="30.33203125" style="145" customWidth="1"/>
    <col min="4" max="8" width="17.33203125" style="145"/>
    <col min="9" max="9" width="20" style="145" customWidth="1"/>
    <col min="10" max="10" width="19.6640625" style="145" customWidth="1"/>
    <col min="11" max="16384" width="17.33203125" style="145"/>
  </cols>
  <sheetData>
    <row r="1" spans="2:13" x14ac:dyDescent="0.3">
      <c r="C1" s="100"/>
      <c r="D1" s="100"/>
      <c r="E1" s="100"/>
      <c r="F1" s="100"/>
      <c r="G1" s="100"/>
      <c r="H1" s="100"/>
      <c r="I1" s="100"/>
      <c r="J1" s="100"/>
    </row>
    <row r="2" spans="2:13" ht="16.2" x14ac:dyDescent="0.3">
      <c r="B2" s="100"/>
      <c r="C2" s="100"/>
      <c r="D2" s="100"/>
      <c r="E2" s="99"/>
      <c r="F2" s="99"/>
      <c r="G2" s="99"/>
      <c r="H2" s="99"/>
      <c r="I2" s="100"/>
      <c r="J2" s="100"/>
      <c r="K2" s="100"/>
      <c r="L2" s="100"/>
      <c r="M2" s="100"/>
    </row>
    <row r="3" spans="2:13" ht="18" x14ac:dyDescent="0.3">
      <c r="B3" s="108" t="s">
        <v>170</v>
      </c>
      <c r="C3" s="191">
        <v>2025</v>
      </c>
      <c r="D3" s="191" t="s">
        <v>173</v>
      </c>
      <c r="E3" s="111"/>
      <c r="F3" s="112"/>
      <c r="G3" s="113"/>
      <c r="H3" s="100"/>
      <c r="I3" s="100"/>
      <c r="J3" s="100"/>
      <c r="K3" s="100"/>
      <c r="L3" s="100"/>
      <c r="M3" s="100"/>
    </row>
    <row r="4" spans="2:13" ht="18" x14ac:dyDescent="0.3">
      <c r="B4" s="109" t="s">
        <v>171</v>
      </c>
      <c r="C4" s="191">
        <v>8</v>
      </c>
      <c r="D4" s="191" t="s">
        <v>46</v>
      </c>
      <c r="E4" s="114" t="s">
        <v>175</v>
      </c>
      <c r="F4" s="104" t="s">
        <v>176</v>
      </c>
      <c r="G4" s="115" t="s">
        <v>171</v>
      </c>
      <c r="H4" s="115" t="s">
        <v>172</v>
      </c>
      <c r="I4" s="115" t="s">
        <v>177</v>
      </c>
      <c r="J4" s="100"/>
      <c r="K4" s="100"/>
      <c r="L4" s="100"/>
      <c r="M4" s="100"/>
    </row>
    <row r="5" spans="2:13" ht="18" x14ac:dyDescent="0.3">
      <c r="B5" s="110" t="s">
        <v>172</v>
      </c>
      <c r="C5" s="191">
        <v>13</v>
      </c>
      <c r="D5" s="191" t="s">
        <v>37</v>
      </c>
      <c r="E5" s="116">
        <v>46228</v>
      </c>
      <c r="F5" s="117">
        <v>0.78402777777777777</v>
      </c>
      <c r="G5" s="118">
        <f ca="1">TODAY()</f>
        <v>46242</v>
      </c>
      <c r="H5" s="119">
        <f ca="1">NOW()</f>
        <v>46242.826374305558</v>
      </c>
      <c r="I5" s="118">
        <f>DATE(C3, C4, C5)</f>
        <v>45882</v>
      </c>
      <c r="J5" s="100"/>
      <c r="K5" s="100"/>
      <c r="L5" s="100"/>
      <c r="M5" s="100"/>
    </row>
    <row r="6" spans="2:13" x14ac:dyDescent="0.3">
      <c r="B6" s="110" t="s">
        <v>174</v>
      </c>
      <c r="C6" s="100"/>
      <c r="D6" s="100"/>
      <c r="E6" s="100"/>
      <c r="F6" s="100"/>
      <c r="G6" s="100"/>
      <c r="H6" s="100"/>
      <c r="I6" s="141"/>
      <c r="J6" s="100"/>
      <c r="K6" s="100"/>
      <c r="L6" s="100"/>
      <c r="M6" s="100"/>
    </row>
    <row r="7" spans="2:13" ht="16.2" x14ac:dyDescent="0.3">
      <c r="B7" s="110" t="s">
        <v>178</v>
      </c>
      <c r="C7" s="100"/>
      <c r="D7" s="100"/>
      <c r="E7" s="100"/>
      <c r="F7" s="100"/>
      <c r="G7" s="100"/>
      <c r="H7" s="97" t="s">
        <v>181</v>
      </c>
      <c r="I7" s="97">
        <f>DAY(I5)</f>
        <v>13</v>
      </c>
      <c r="J7" s="100"/>
      <c r="K7" s="100"/>
      <c r="L7" s="100"/>
      <c r="M7" s="100"/>
    </row>
    <row r="8" spans="2:13" ht="16.2" x14ac:dyDescent="0.3">
      <c r="B8" s="109" t="s">
        <v>179</v>
      </c>
      <c r="C8" s="100"/>
      <c r="D8" s="100"/>
      <c r="E8" s="100"/>
      <c r="F8" s="100"/>
      <c r="G8" s="100"/>
      <c r="H8" s="97" t="s">
        <v>183</v>
      </c>
      <c r="I8" s="97">
        <f>MONTH(I5)</f>
        <v>8</v>
      </c>
      <c r="J8" s="100"/>
      <c r="K8" s="100"/>
      <c r="L8" s="100"/>
      <c r="M8" s="100"/>
    </row>
    <row r="9" spans="2:13" ht="31.2" x14ac:dyDescent="0.3">
      <c r="B9" s="109" t="s">
        <v>180</v>
      </c>
      <c r="C9" s="100"/>
      <c r="D9" s="100"/>
      <c r="E9" s="100"/>
      <c r="F9" s="100"/>
      <c r="G9" s="100"/>
      <c r="H9" s="97" t="s">
        <v>185</v>
      </c>
      <c r="I9" s="97">
        <f>YEAR(I5)</f>
        <v>2025</v>
      </c>
      <c r="J9" s="100"/>
      <c r="K9" s="100"/>
      <c r="L9" s="100"/>
      <c r="M9" s="100"/>
    </row>
    <row r="10" spans="2:13" x14ac:dyDescent="0.3">
      <c r="B10" s="109" t="s">
        <v>182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spans="2:13" ht="32.4" x14ac:dyDescent="0.3">
      <c r="B11" s="109" t="s">
        <v>184</v>
      </c>
      <c r="C11" s="100"/>
      <c r="D11" s="100"/>
      <c r="E11" s="104" t="s">
        <v>188</v>
      </c>
      <c r="F11" s="104" t="s">
        <v>189</v>
      </c>
      <c r="G11" s="104" t="s">
        <v>190</v>
      </c>
      <c r="H11" s="105" t="s">
        <v>191</v>
      </c>
      <c r="I11" s="138" t="s">
        <v>266</v>
      </c>
      <c r="J11" s="100"/>
      <c r="K11" s="100"/>
      <c r="L11" s="100"/>
      <c r="M11" s="100"/>
    </row>
    <row r="12" spans="2:13" x14ac:dyDescent="0.3">
      <c r="B12" s="109" t="s">
        <v>186</v>
      </c>
      <c r="C12" s="100"/>
      <c r="D12" s="100"/>
      <c r="E12" s="120">
        <v>44927</v>
      </c>
      <c r="F12" s="120">
        <v>45240</v>
      </c>
      <c r="G12" s="121">
        <v>2</v>
      </c>
      <c r="H12" s="134">
        <v>2</v>
      </c>
      <c r="I12" s="132">
        <f>E12+H12</f>
        <v>44929</v>
      </c>
      <c r="J12" s="192">
        <f>E12+G12</f>
        <v>44929</v>
      </c>
      <c r="K12" s="100"/>
      <c r="L12" s="100"/>
      <c r="M12" s="100"/>
    </row>
    <row r="13" spans="2:13" ht="16.2" x14ac:dyDescent="0.3">
      <c r="B13" s="109" t="s">
        <v>187</v>
      </c>
      <c r="C13" s="98"/>
      <c r="D13" s="100"/>
      <c r="E13" s="120">
        <v>45507</v>
      </c>
      <c r="F13" s="120">
        <v>44908</v>
      </c>
      <c r="G13" s="101">
        <v>5</v>
      </c>
      <c r="H13" s="134">
        <v>5</v>
      </c>
      <c r="I13" s="132">
        <f>F13+H13</f>
        <v>44913</v>
      </c>
      <c r="J13" s="100"/>
      <c r="K13" s="100"/>
      <c r="L13" s="100"/>
      <c r="M13" s="100"/>
    </row>
    <row r="14" spans="2:13" ht="16.2" x14ac:dyDescent="0.3">
      <c r="B14" s="109" t="s">
        <v>192</v>
      </c>
      <c r="C14" s="111"/>
      <c r="D14" s="100"/>
      <c r="E14" s="120">
        <v>42257</v>
      </c>
      <c r="F14" s="120">
        <v>42298</v>
      </c>
      <c r="G14" s="104">
        <v>-5</v>
      </c>
      <c r="H14" s="105">
        <v>-5</v>
      </c>
      <c r="I14" s="132">
        <f>F14+H14</f>
        <v>42293</v>
      </c>
      <c r="J14" s="100"/>
      <c r="K14" s="100"/>
      <c r="L14" s="100"/>
      <c r="M14" s="100"/>
    </row>
    <row r="15" spans="2:13" ht="16.2" x14ac:dyDescent="0.3">
      <c r="B15" s="109" t="s">
        <v>193</v>
      </c>
      <c r="C15" s="99"/>
      <c r="D15" s="100"/>
      <c r="E15" s="120">
        <v>45782</v>
      </c>
      <c r="F15" s="120">
        <v>46757</v>
      </c>
      <c r="G15" s="104">
        <v>-12</v>
      </c>
      <c r="H15" s="105">
        <v>-12</v>
      </c>
      <c r="I15" s="132">
        <f>E15+H15</f>
        <v>45770</v>
      </c>
      <c r="J15" s="100"/>
      <c r="K15" s="100"/>
      <c r="L15" s="100"/>
      <c r="M15" s="100"/>
    </row>
    <row r="16" spans="2:13" x14ac:dyDescent="0.3">
      <c r="B16" s="109" t="s">
        <v>194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</row>
    <row r="17" spans="2:13" x14ac:dyDescent="0.3">
      <c r="B17" s="109" t="s">
        <v>195</v>
      </c>
      <c r="K17" s="100"/>
      <c r="L17" s="100"/>
      <c r="M17" s="100"/>
    </row>
    <row r="18" spans="2:13" x14ac:dyDescent="0.3">
      <c r="B18" s="109" t="s">
        <v>196</v>
      </c>
      <c r="K18" s="100"/>
      <c r="L18" s="100"/>
      <c r="M18" s="100"/>
    </row>
    <row r="19" spans="2:13" ht="16.2" thickBot="1" x14ac:dyDescent="0.35">
      <c r="B19" s="109" t="s">
        <v>197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2:13" ht="33" thickBot="1" x14ac:dyDescent="0.35">
      <c r="B20" s="100"/>
      <c r="C20" s="100"/>
      <c r="D20" s="100"/>
      <c r="E20" s="122" t="s">
        <v>193</v>
      </c>
      <c r="F20" s="123" t="s">
        <v>267</v>
      </c>
      <c r="G20" s="124" t="s">
        <v>199</v>
      </c>
      <c r="H20" s="125" t="s">
        <v>200</v>
      </c>
      <c r="I20" s="126"/>
      <c r="J20" s="100"/>
      <c r="K20" s="100"/>
      <c r="L20" s="100"/>
      <c r="M20" s="100"/>
    </row>
    <row r="21" spans="2:13" x14ac:dyDescent="0.3">
      <c r="B21" s="100"/>
      <c r="C21" s="111"/>
      <c r="D21" s="627" t="s">
        <v>201</v>
      </c>
      <c r="E21" s="118">
        <f>E12+H12</f>
        <v>44929</v>
      </c>
      <c r="F21" s="118">
        <f>EDATE(E21, G12)</f>
        <v>44988</v>
      </c>
      <c r="G21" s="102">
        <v>44988</v>
      </c>
      <c r="H21" s="127">
        <v>44988</v>
      </c>
      <c r="I21" s="630" t="s">
        <v>202</v>
      </c>
      <c r="J21" s="100"/>
      <c r="K21" s="100"/>
      <c r="L21" s="100"/>
      <c r="M21" s="100"/>
    </row>
    <row r="22" spans="2:13" x14ac:dyDescent="0.3">
      <c r="B22" s="100"/>
      <c r="C22" s="111"/>
      <c r="D22" s="628"/>
      <c r="E22" s="118">
        <f>E13+H13</f>
        <v>45512</v>
      </c>
      <c r="F22" s="118">
        <f t="shared" ref="F22:F24" si="0">EDATE(E22, G13)</f>
        <v>45665</v>
      </c>
      <c r="G22" s="102">
        <v>45665</v>
      </c>
      <c r="H22" s="127">
        <v>45665</v>
      </c>
      <c r="I22" s="631"/>
      <c r="J22" s="100"/>
      <c r="K22" s="100"/>
      <c r="L22" s="100"/>
      <c r="M22" s="100"/>
    </row>
    <row r="23" spans="2:13" x14ac:dyDescent="0.3">
      <c r="B23" s="100"/>
      <c r="C23" s="111"/>
      <c r="D23" s="628"/>
      <c r="E23" s="118">
        <f>E14+H14</f>
        <v>42252</v>
      </c>
      <c r="F23" s="118">
        <f t="shared" si="0"/>
        <v>42099</v>
      </c>
      <c r="G23" s="102">
        <v>42099</v>
      </c>
      <c r="H23" s="127">
        <v>42099</v>
      </c>
      <c r="I23" s="631"/>
      <c r="J23" s="100"/>
      <c r="K23" s="100"/>
      <c r="L23" s="100"/>
      <c r="M23" s="100"/>
    </row>
    <row r="24" spans="2:13" ht="16.2" thickBot="1" x14ac:dyDescent="0.35">
      <c r="B24" s="100"/>
      <c r="C24" s="111"/>
      <c r="D24" s="629"/>
      <c r="E24" s="118">
        <f>E15+H15</f>
        <v>45770</v>
      </c>
      <c r="F24" s="118">
        <f t="shared" si="0"/>
        <v>45405</v>
      </c>
      <c r="G24" s="102">
        <v>45405</v>
      </c>
      <c r="H24" s="127">
        <v>45405</v>
      </c>
      <c r="I24" s="632"/>
      <c r="J24" s="100"/>
      <c r="K24" s="100"/>
      <c r="L24" s="100"/>
      <c r="M24" s="100"/>
    </row>
    <row r="25" spans="2:13" x14ac:dyDescent="0.3">
      <c r="B25" s="100"/>
      <c r="C25" s="100"/>
      <c r="D25" s="100"/>
      <c r="E25" s="100"/>
      <c r="F25" s="100"/>
      <c r="G25" s="128"/>
      <c r="H25" s="100"/>
      <c r="I25" s="100"/>
      <c r="J25" s="100"/>
      <c r="K25" s="100"/>
      <c r="L25" s="100"/>
      <c r="M25" s="100"/>
    </row>
    <row r="26" spans="2:13" x14ac:dyDescent="0.3">
      <c r="B26" s="100"/>
      <c r="C26" s="615" t="s">
        <v>203</v>
      </c>
      <c r="D26" s="633" t="s">
        <v>204</v>
      </c>
      <c r="E26" s="102">
        <f>EOMONTH(G21, G12)</f>
        <v>45077</v>
      </c>
      <c r="F26" s="100"/>
      <c r="G26" s="100"/>
      <c r="H26" s="100"/>
      <c r="I26" s="100"/>
      <c r="J26" s="100"/>
      <c r="K26" s="100"/>
      <c r="L26" s="100"/>
      <c r="M26" s="100"/>
    </row>
    <row r="27" spans="2:13" x14ac:dyDescent="0.3">
      <c r="B27" s="100"/>
      <c r="C27" s="615"/>
      <c r="D27" s="634"/>
      <c r="E27" s="102">
        <f t="shared" ref="E27:E29" si="1">EOMONTH(G22, G13)</f>
        <v>45838</v>
      </c>
      <c r="F27" s="100"/>
      <c r="G27" s="118">
        <v>43836</v>
      </c>
      <c r="H27" s="100"/>
      <c r="I27" s="100"/>
      <c r="J27" s="100"/>
      <c r="K27" s="100"/>
      <c r="L27" s="100"/>
      <c r="M27" s="100"/>
    </row>
    <row r="28" spans="2:13" x14ac:dyDescent="0.3">
      <c r="B28" s="100"/>
      <c r="C28" s="615"/>
      <c r="D28" s="634"/>
      <c r="E28" s="102">
        <f t="shared" si="1"/>
        <v>41973</v>
      </c>
      <c r="F28" s="100"/>
      <c r="G28" s="100"/>
      <c r="H28" s="100"/>
      <c r="I28" s="100"/>
      <c r="J28" s="100"/>
      <c r="K28" s="100"/>
      <c r="L28" s="100"/>
      <c r="M28" s="100"/>
    </row>
    <row r="29" spans="2:13" x14ac:dyDescent="0.3">
      <c r="B29" s="100"/>
      <c r="C29" s="615"/>
      <c r="D29" s="635"/>
      <c r="E29" s="102">
        <f t="shared" si="1"/>
        <v>45046</v>
      </c>
      <c r="F29" s="100"/>
      <c r="G29" s="100"/>
      <c r="H29" s="100"/>
      <c r="I29" s="100"/>
      <c r="J29" s="100"/>
      <c r="K29" s="100"/>
      <c r="L29" s="100"/>
      <c r="M29" s="100"/>
    </row>
    <row r="30" spans="2:13" x14ac:dyDescent="0.3"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</row>
    <row r="31" spans="2:13" x14ac:dyDescent="0.3">
      <c r="B31" s="100"/>
      <c r="C31" s="615" t="s">
        <v>205</v>
      </c>
      <c r="D31" s="616" t="s">
        <v>187</v>
      </c>
      <c r="E31" s="129">
        <f>WEEKDAY(F31,2)</f>
        <v>5</v>
      </c>
      <c r="F31" s="102">
        <v>44988</v>
      </c>
      <c r="G31" s="127">
        <v>44988</v>
      </c>
      <c r="H31" s="100"/>
      <c r="I31" s="100"/>
      <c r="J31" s="100"/>
      <c r="K31" s="100"/>
      <c r="L31" s="100"/>
      <c r="M31" s="100"/>
    </row>
    <row r="32" spans="2:13" x14ac:dyDescent="0.3">
      <c r="B32" s="100"/>
      <c r="C32" s="615"/>
      <c r="D32" s="617"/>
      <c r="E32" s="129">
        <f t="shared" ref="E32:E34" si="2">WEEKDAY(F32,2)</f>
        <v>3</v>
      </c>
      <c r="F32" s="102">
        <v>45665</v>
      </c>
      <c r="G32" s="127">
        <v>45665</v>
      </c>
      <c r="H32" s="100"/>
      <c r="I32" s="100"/>
      <c r="J32" s="100"/>
      <c r="K32" s="100"/>
      <c r="L32" s="100"/>
      <c r="M32" s="100"/>
    </row>
    <row r="33" spans="2:13" x14ac:dyDescent="0.3">
      <c r="B33" s="100"/>
      <c r="C33" s="615"/>
      <c r="D33" s="617"/>
      <c r="E33" s="129">
        <f t="shared" si="2"/>
        <v>7</v>
      </c>
      <c r="F33" s="102">
        <v>42099</v>
      </c>
      <c r="G33" s="127">
        <v>42099</v>
      </c>
      <c r="H33" s="100"/>
      <c r="I33" s="100"/>
      <c r="J33" s="100"/>
      <c r="K33" s="100"/>
      <c r="L33" s="100"/>
      <c r="M33" s="100"/>
    </row>
    <row r="34" spans="2:13" x14ac:dyDescent="0.3">
      <c r="B34" s="100"/>
      <c r="C34" s="615"/>
      <c r="D34" s="618"/>
      <c r="E34" s="129">
        <f t="shared" si="2"/>
        <v>2</v>
      </c>
      <c r="F34" s="102">
        <v>45405</v>
      </c>
      <c r="G34" s="127">
        <v>45405</v>
      </c>
      <c r="H34" s="100"/>
      <c r="I34" s="100"/>
      <c r="J34" s="100"/>
      <c r="K34" s="100"/>
      <c r="L34" s="100"/>
      <c r="M34" s="100"/>
    </row>
    <row r="35" spans="2:13" x14ac:dyDescent="0.3"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</row>
    <row r="36" spans="2:13" x14ac:dyDescent="0.3">
      <c r="B36" s="100"/>
      <c r="C36" s="615" t="s">
        <v>206</v>
      </c>
      <c r="D36" s="616" t="s">
        <v>192</v>
      </c>
      <c r="E36" s="129">
        <f>WEEKNUM(F36,11)</f>
        <v>10</v>
      </c>
      <c r="F36" s="102">
        <v>44988</v>
      </c>
      <c r="G36" s="100"/>
      <c r="H36" s="100"/>
      <c r="I36" s="100"/>
      <c r="J36" s="100"/>
      <c r="K36" s="100"/>
      <c r="L36" s="100"/>
      <c r="M36" s="100"/>
    </row>
    <row r="37" spans="2:13" x14ac:dyDescent="0.3">
      <c r="B37" s="100"/>
      <c r="C37" s="615"/>
      <c r="D37" s="617"/>
      <c r="E37" s="129">
        <f t="shared" ref="E37:E39" si="3">WEEKNUM(F37,11)</f>
        <v>2</v>
      </c>
      <c r="F37" s="102">
        <v>45665</v>
      </c>
      <c r="G37" s="100"/>
      <c r="H37" s="100"/>
      <c r="I37" s="100"/>
      <c r="J37" s="100"/>
      <c r="K37" s="100"/>
      <c r="L37" s="100"/>
      <c r="M37" s="100"/>
    </row>
    <row r="38" spans="2:13" x14ac:dyDescent="0.3">
      <c r="B38" s="100"/>
      <c r="C38" s="615"/>
      <c r="D38" s="617"/>
      <c r="E38" s="129">
        <f t="shared" si="3"/>
        <v>14</v>
      </c>
      <c r="F38" s="102">
        <v>42099</v>
      </c>
      <c r="G38" s="100"/>
      <c r="H38" s="100"/>
      <c r="I38" s="100"/>
      <c r="J38" s="100"/>
      <c r="K38" s="100"/>
      <c r="L38" s="100"/>
      <c r="M38" s="100"/>
    </row>
    <row r="39" spans="2:13" x14ac:dyDescent="0.3">
      <c r="B39" s="100"/>
      <c r="C39" s="615"/>
      <c r="D39" s="618"/>
      <c r="E39" s="129">
        <f t="shared" si="3"/>
        <v>34</v>
      </c>
      <c r="F39" s="102">
        <v>45527</v>
      </c>
      <c r="G39" s="100"/>
      <c r="H39" s="100"/>
      <c r="I39" s="100"/>
      <c r="J39" s="100"/>
      <c r="K39" s="100"/>
      <c r="L39" s="100"/>
      <c r="M39" s="100"/>
    </row>
    <row r="40" spans="2:13" x14ac:dyDescent="0.3"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</row>
    <row r="41" spans="2:13" ht="32.4" x14ac:dyDescent="0.3">
      <c r="B41" s="100"/>
      <c r="C41" s="100"/>
      <c r="D41" s="141"/>
      <c r="E41" s="130" t="s">
        <v>207</v>
      </c>
      <c r="F41" s="130" t="s">
        <v>188</v>
      </c>
      <c r="G41" s="130" t="s">
        <v>189</v>
      </c>
      <c r="H41" s="130" t="s">
        <v>208</v>
      </c>
      <c r="I41" s="130" t="s">
        <v>209</v>
      </c>
      <c r="J41" s="100"/>
      <c r="K41" s="100"/>
      <c r="L41" s="100"/>
      <c r="M41" s="100"/>
    </row>
    <row r="42" spans="2:13" x14ac:dyDescent="0.3">
      <c r="B42" s="100"/>
      <c r="C42" s="100"/>
      <c r="D42" s="619" t="s">
        <v>191</v>
      </c>
      <c r="E42" s="131">
        <f>DATEDIF(F42, G42, "M")</f>
        <v>10</v>
      </c>
      <c r="F42" s="118">
        <v>44927</v>
      </c>
      <c r="G42" s="118">
        <v>45240</v>
      </c>
      <c r="H42" s="131">
        <f>DATEDIF(F42, G42, "D")</f>
        <v>313</v>
      </c>
      <c r="I42" s="131">
        <f>DATEDIF(F42, G42, "Y")</f>
        <v>0</v>
      </c>
      <c r="J42" s="100"/>
      <c r="K42" s="100"/>
      <c r="L42" s="100"/>
      <c r="M42" s="100"/>
    </row>
    <row r="43" spans="2:13" x14ac:dyDescent="0.3">
      <c r="B43" s="100"/>
      <c r="C43" s="100"/>
      <c r="D43" s="620"/>
      <c r="E43" s="131">
        <f t="shared" ref="E43:E45" si="4">DATEDIF(F43, G43, "M")</f>
        <v>28</v>
      </c>
      <c r="F43" s="118">
        <v>44776</v>
      </c>
      <c r="G43" s="118">
        <v>45639</v>
      </c>
      <c r="H43" s="131">
        <f t="shared" ref="H43:H45" si="5">DATEDIF(F43, G43, "D")</f>
        <v>863</v>
      </c>
      <c r="I43" s="131">
        <f t="shared" ref="I43:I45" si="6">DATEDIF(F43, G43, "Y")</f>
        <v>2</v>
      </c>
      <c r="J43" s="100"/>
      <c r="K43" s="100"/>
      <c r="L43" s="100"/>
      <c r="M43" s="100"/>
    </row>
    <row r="44" spans="2:13" x14ac:dyDescent="0.3">
      <c r="B44" s="100"/>
      <c r="C44" s="100"/>
      <c r="D44" s="620"/>
      <c r="E44" s="131">
        <f t="shared" si="4"/>
        <v>10</v>
      </c>
      <c r="F44" s="118">
        <v>42348</v>
      </c>
      <c r="G44" s="118">
        <v>42664</v>
      </c>
      <c r="H44" s="131">
        <f t="shared" si="5"/>
        <v>316</v>
      </c>
      <c r="I44" s="131">
        <f t="shared" si="6"/>
        <v>0</v>
      </c>
      <c r="J44" s="100"/>
      <c r="K44" s="100"/>
      <c r="L44" s="100"/>
      <c r="M44" s="100"/>
    </row>
    <row r="45" spans="2:13" x14ac:dyDescent="0.3">
      <c r="B45" s="100"/>
      <c r="C45" s="100"/>
      <c r="D45" s="621"/>
      <c r="E45" s="131">
        <f t="shared" si="4"/>
        <v>44</v>
      </c>
      <c r="F45" s="118">
        <v>45417</v>
      </c>
      <c r="G45" s="118">
        <v>46757</v>
      </c>
      <c r="H45" s="131">
        <f t="shared" si="5"/>
        <v>1340</v>
      </c>
      <c r="I45" s="131">
        <f t="shared" si="6"/>
        <v>3</v>
      </c>
      <c r="J45" s="100"/>
      <c r="K45" s="100"/>
      <c r="L45" s="100"/>
      <c r="M45" s="100"/>
    </row>
    <row r="46" spans="2:13" x14ac:dyDescent="0.3"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</row>
    <row r="47" spans="2:13" ht="16.2" x14ac:dyDescent="0.3">
      <c r="B47" s="100"/>
      <c r="C47" s="100"/>
      <c r="D47" s="133" t="s">
        <v>210</v>
      </c>
      <c r="E47" s="105" t="s">
        <v>211</v>
      </c>
      <c r="F47" s="193">
        <f ca="1">DATEDIF($D$48, $I$48, "Y" )</f>
        <v>34</v>
      </c>
      <c r="G47" s="622" t="s">
        <v>212</v>
      </c>
      <c r="H47" s="100"/>
      <c r="I47" s="100"/>
      <c r="J47" s="100"/>
      <c r="K47" s="100"/>
      <c r="L47" s="100"/>
      <c r="M47" s="100"/>
    </row>
    <row r="48" spans="2:13" ht="16.2" x14ac:dyDescent="0.3">
      <c r="B48" s="100"/>
      <c r="C48" s="100"/>
      <c r="D48" s="136">
        <v>33463</v>
      </c>
      <c r="E48" s="105" t="s">
        <v>198</v>
      </c>
      <c r="F48" s="193">
        <f ca="1">DATEDIF($D$48, $I$48, "M" )</f>
        <v>419</v>
      </c>
      <c r="G48" s="622"/>
      <c r="H48" s="135" t="s">
        <v>213</v>
      </c>
      <c r="I48" s="137">
        <f ca="1">TODAY()</f>
        <v>46242</v>
      </c>
      <c r="J48" s="100"/>
      <c r="K48" s="100"/>
      <c r="L48" s="100"/>
      <c r="M48" s="100"/>
    </row>
    <row r="49" spans="2:13" ht="16.2" x14ac:dyDescent="0.3">
      <c r="B49" s="100"/>
      <c r="C49" s="100"/>
      <c r="D49" s="100"/>
      <c r="E49" s="105" t="s">
        <v>193</v>
      </c>
      <c r="F49" s="193">
        <f ca="1">DATEDIF($D$48, $I$48, "D" )</f>
        <v>12779</v>
      </c>
      <c r="G49" s="622"/>
      <c r="H49" s="100"/>
      <c r="I49" s="100"/>
      <c r="J49" s="100"/>
      <c r="K49" s="100"/>
      <c r="L49" s="100"/>
      <c r="M49" s="100"/>
    </row>
    <row r="50" spans="2:13" x14ac:dyDescent="0.3"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</row>
    <row r="51" spans="2:13" x14ac:dyDescent="0.3"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</row>
    <row r="52" spans="2:13" x14ac:dyDescent="0.3">
      <c r="B52" s="623" t="s">
        <v>214</v>
      </c>
      <c r="C52" s="624"/>
      <c r="D52" s="624"/>
      <c r="E52" s="624"/>
      <c r="F52" s="624"/>
      <c r="G52" s="624"/>
      <c r="H52" s="624"/>
      <c r="I52" s="625" t="s">
        <v>215</v>
      </c>
      <c r="J52" s="100"/>
      <c r="K52" s="100"/>
      <c r="L52" s="100"/>
      <c r="M52" s="100"/>
    </row>
    <row r="53" spans="2:13" x14ac:dyDescent="0.3">
      <c r="B53" s="101" t="s">
        <v>188</v>
      </c>
      <c r="C53" s="102">
        <v>43832</v>
      </c>
      <c r="D53" s="102">
        <v>43832</v>
      </c>
      <c r="E53" s="102">
        <v>43832</v>
      </c>
      <c r="F53" s="102">
        <v>43832</v>
      </c>
      <c r="G53" s="102">
        <v>43832</v>
      </c>
      <c r="H53" s="103">
        <v>43832</v>
      </c>
      <c r="I53" s="625"/>
      <c r="J53" s="100"/>
      <c r="K53" s="100"/>
      <c r="L53" s="100"/>
      <c r="M53" s="100"/>
    </row>
    <row r="54" spans="2:13" x14ac:dyDescent="0.3">
      <c r="B54" s="101" t="s">
        <v>189</v>
      </c>
      <c r="C54" s="102">
        <v>44531</v>
      </c>
      <c r="D54" s="102">
        <v>44531</v>
      </c>
      <c r="E54" s="102">
        <v>44531</v>
      </c>
      <c r="F54" s="102">
        <v>44531</v>
      </c>
      <c r="G54" s="102">
        <v>44531</v>
      </c>
      <c r="H54" s="103">
        <v>44531</v>
      </c>
      <c r="I54" s="625"/>
      <c r="J54" s="100"/>
      <c r="K54" s="100"/>
      <c r="L54" s="100"/>
      <c r="M54" s="100"/>
    </row>
    <row r="55" spans="2:13" ht="16.2" x14ac:dyDescent="0.3">
      <c r="B55" s="101" t="s">
        <v>216</v>
      </c>
      <c r="C55" s="104" t="s">
        <v>173</v>
      </c>
      <c r="D55" s="104" t="s">
        <v>46</v>
      </c>
      <c r="E55" s="104" t="s">
        <v>37</v>
      </c>
      <c r="F55" s="104" t="s">
        <v>217</v>
      </c>
      <c r="G55" s="104" t="s">
        <v>218</v>
      </c>
      <c r="H55" s="105" t="s">
        <v>219</v>
      </c>
      <c r="I55" s="625"/>
      <c r="J55" s="100"/>
      <c r="K55" s="100"/>
      <c r="L55" s="100"/>
      <c r="M55" s="100"/>
    </row>
    <row r="56" spans="2:13" ht="16.2" x14ac:dyDescent="0.3">
      <c r="B56" s="104" t="s">
        <v>220</v>
      </c>
      <c r="C56" s="104">
        <f>DATEDIF(C53, C54, "Y")</f>
        <v>1</v>
      </c>
      <c r="D56" s="104">
        <f>DATEDIF(D53, D54, "M")</f>
        <v>22</v>
      </c>
      <c r="E56" s="104">
        <f>DATEDIF(E53, E54, "D")</f>
        <v>699</v>
      </c>
      <c r="F56" s="104">
        <f>DATEDIF(F53,  F54, "MD")</f>
        <v>29</v>
      </c>
      <c r="G56" s="104">
        <f>DATEDIF(G53,G54, "YM")</f>
        <v>10</v>
      </c>
      <c r="H56" s="105">
        <f>DATEDIF(H53, H54, "YD")</f>
        <v>334</v>
      </c>
      <c r="I56" s="625"/>
      <c r="J56" s="100"/>
      <c r="K56" s="100"/>
      <c r="L56" s="100"/>
      <c r="M56" s="100"/>
    </row>
    <row r="57" spans="2:13" x14ac:dyDescent="0.3"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</row>
    <row r="58" spans="2:13" ht="16.2" x14ac:dyDescent="0.3">
      <c r="B58" s="108" t="s">
        <v>173</v>
      </c>
      <c r="C58" s="108" t="s">
        <v>221</v>
      </c>
      <c r="D58" s="100"/>
      <c r="E58" s="100"/>
      <c r="F58" s="100"/>
      <c r="G58" s="100"/>
      <c r="H58" s="100"/>
      <c r="I58" s="100"/>
      <c r="J58" s="100"/>
      <c r="K58" s="100"/>
      <c r="L58" s="100"/>
      <c r="M58" s="100"/>
    </row>
    <row r="59" spans="2:13" ht="37.799999999999997" thickBot="1" x14ac:dyDescent="0.35">
      <c r="B59" s="108" t="s">
        <v>46</v>
      </c>
      <c r="C59" s="108" t="s">
        <v>222</v>
      </c>
      <c r="D59" s="100"/>
      <c r="E59" s="220" t="s">
        <v>188</v>
      </c>
      <c r="F59" s="221" t="s">
        <v>189</v>
      </c>
      <c r="G59" s="222" t="s">
        <v>223</v>
      </c>
      <c r="H59" s="223" t="s">
        <v>224</v>
      </c>
      <c r="I59" s="100"/>
      <c r="J59" s="100"/>
      <c r="K59" s="100"/>
      <c r="L59" s="100"/>
      <c r="M59" s="100"/>
    </row>
    <row r="60" spans="2:13" ht="20.399999999999999" thickBot="1" x14ac:dyDescent="0.35">
      <c r="B60" s="108" t="s">
        <v>37</v>
      </c>
      <c r="C60" s="108" t="s">
        <v>225</v>
      </c>
      <c r="D60" s="100"/>
      <c r="E60" s="216">
        <v>44927</v>
      </c>
      <c r="F60" s="217">
        <v>45291</v>
      </c>
      <c r="G60" s="218">
        <f>NETWORKDAYS(E60, F60)</f>
        <v>260</v>
      </c>
      <c r="H60" s="219">
        <f>NETWORKDAYS(E60, F60, D67:D69)</f>
        <v>257</v>
      </c>
      <c r="I60" s="608" t="s">
        <v>196</v>
      </c>
      <c r="J60" s="100"/>
      <c r="K60" s="100"/>
      <c r="L60" s="100"/>
      <c r="M60" s="100"/>
    </row>
    <row r="61" spans="2:13" ht="48.6" x14ac:dyDescent="0.3">
      <c r="B61" s="108" t="s">
        <v>217</v>
      </c>
      <c r="C61" s="108" t="s">
        <v>226</v>
      </c>
      <c r="D61" s="100"/>
      <c r="E61" s="216">
        <v>45292</v>
      </c>
      <c r="F61" s="217">
        <v>45657</v>
      </c>
      <c r="G61" s="218">
        <f>NETWORKDAYS(E61, F61)</f>
        <v>262</v>
      </c>
      <c r="H61" s="219">
        <f>NETWORKDAYS(E61,F61,D70:D72)</f>
        <v>259</v>
      </c>
      <c r="I61" s="609"/>
      <c r="J61" s="106" t="s">
        <v>227</v>
      </c>
      <c r="K61" s="100"/>
      <c r="L61" s="100"/>
      <c r="M61" s="100"/>
    </row>
    <row r="62" spans="2:13" ht="48.6" x14ac:dyDescent="0.3">
      <c r="B62" s="108" t="s">
        <v>218</v>
      </c>
      <c r="C62" s="108" t="s">
        <v>228</v>
      </c>
      <c r="D62" s="100"/>
      <c r="E62" s="210">
        <v>42005</v>
      </c>
      <c r="F62" s="211">
        <v>42369</v>
      </c>
      <c r="G62" s="212">
        <f>NETWORKDAYS.INTL(E62, F62,1)</f>
        <v>261</v>
      </c>
      <c r="H62" s="213">
        <f>NETWORKDAYS.INTL(E62, F62, 1, G67:G69)</f>
        <v>259</v>
      </c>
      <c r="I62" s="610" t="s">
        <v>197</v>
      </c>
      <c r="J62" s="106">
        <f>NETWORKDAYS.INTL(E63, F63,11)</f>
        <v>313</v>
      </c>
      <c r="K62" s="100"/>
      <c r="L62" s="100"/>
      <c r="M62" s="100"/>
    </row>
    <row r="63" spans="2:13" ht="32.4" x14ac:dyDescent="0.3">
      <c r="B63" s="108" t="s">
        <v>219</v>
      </c>
      <c r="C63" s="108" t="s">
        <v>229</v>
      </c>
      <c r="D63" s="100"/>
      <c r="E63" s="214">
        <v>45658</v>
      </c>
      <c r="F63" s="215">
        <v>46022</v>
      </c>
      <c r="G63" s="212">
        <f>NETWORKDAYS.INTL(E63, F63,1)</f>
        <v>261</v>
      </c>
      <c r="H63" s="213">
        <f>NETWORKDAYS.INTL(E63, F63, 1, G70:G72)</f>
        <v>258</v>
      </c>
      <c r="I63" s="611"/>
      <c r="J63" s="100"/>
      <c r="K63" s="100"/>
      <c r="L63" s="100"/>
      <c r="M63" s="100"/>
    </row>
    <row r="64" spans="2:13" x14ac:dyDescent="0.3"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</row>
    <row r="65" spans="2:13" x14ac:dyDescent="0.3"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 spans="2:13" ht="16.2" x14ac:dyDescent="0.3">
      <c r="B66" s="138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 spans="2:13" ht="31.2" x14ac:dyDescent="0.3">
      <c r="B67" s="207"/>
      <c r="C67" s="626" t="s">
        <v>270</v>
      </c>
      <c r="D67" s="208">
        <v>44952</v>
      </c>
      <c r="E67" s="142" t="s">
        <v>230</v>
      </c>
      <c r="F67" s="612" t="s">
        <v>231</v>
      </c>
      <c r="G67" s="143">
        <v>42052</v>
      </c>
      <c r="H67" s="144" t="s">
        <v>232</v>
      </c>
      <c r="I67" s="614" t="s">
        <v>233</v>
      </c>
      <c r="J67" s="100"/>
      <c r="K67" s="100"/>
      <c r="L67" s="100"/>
      <c r="M67" s="100"/>
    </row>
    <row r="68" spans="2:13" ht="31.2" x14ac:dyDescent="0.3">
      <c r="B68" s="207"/>
      <c r="C68" s="626"/>
      <c r="D68" s="209">
        <v>45153</v>
      </c>
      <c r="E68" s="101" t="s">
        <v>234</v>
      </c>
      <c r="F68" s="613"/>
      <c r="G68" s="139">
        <v>42189</v>
      </c>
      <c r="H68" s="140" t="s">
        <v>234</v>
      </c>
      <c r="I68" s="614"/>
      <c r="J68" s="100"/>
      <c r="K68" s="100"/>
      <c r="L68" s="100"/>
      <c r="M68" s="100"/>
    </row>
    <row r="69" spans="2:13" ht="16.2" x14ac:dyDescent="0.3">
      <c r="B69" s="207"/>
      <c r="C69" s="626"/>
      <c r="D69" s="208">
        <v>45201</v>
      </c>
      <c r="E69" s="142" t="s">
        <v>235</v>
      </c>
      <c r="F69" s="613"/>
      <c r="G69" s="143">
        <v>42248</v>
      </c>
      <c r="H69" s="144" t="s">
        <v>236</v>
      </c>
      <c r="I69" s="614"/>
      <c r="J69" s="100"/>
      <c r="K69" s="100"/>
      <c r="L69" s="100"/>
      <c r="M69" s="100"/>
    </row>
    <row r="70" spans="2:13" ht="31.2" x14ac:dyDescent="0.3">
      <c r="B70" s="100"/>
      <c r="C70" s="626"/>
      <c r="D70" s="208">
        <v>45317</v>
      </c>
      <c r="E70" s="142" t="s">
        <v>230</v>
      </c>
      <c r="F70" s="613"/>
      <c r="G70" s="143">
        <v>45705</v>
      </c>
      <c r="H70" s="144" t="s">
        <v>232</v>
      </c>
      <c r="I70" s="100"/>
      <c r="J70" s="100"/>
      <c r="K70" s="100"/>
      <c r="L70" s="100"/>
      <c r="M70" s="100"/>
    </row>
    <row r="71" spans="2:13" ht="31.2" x14ac:dyDescent="0.3">
      <c r="B71" s="100"/>
      <c r="C71" s="626"/>
      <c r="D71" s="209">
        <v>45519</v>
      </c>
      <c r="E71" s="101" t="s">
        <v>234</v>
      </c>
      <c r="F71" s="613"/>
      <c r="G71" s="139">
        <v>45842</v>
      </c>
      <c r="H71" s="140" t="s">
        <v>234</v>
      </c>
      <c r="I71" s="100"/>
      <c r="J71" s="100"/>
      <c r="K71" s="100"/>
      <c r="L71" s="100"/>
      <c r="M71" s="100"/>
    </row>
    <row r="72" spans="2:13" ht="15.6" customHeight="1" x14ac:dyDescent="0.3">
      <c r="B72" s="100"/>
      <c r="C72" s="626"/>
      <c r="D72" s="208">
        <v>45567</v>
      </c>
      <c r="E72" s="142" t="s">
        <v>235</v>
      </c>
      <c r="F72" s="613"/>
      <c r="G72" s="143">
        <v>45901</v>
      </c>
      <c r="H72" s="144" t="s">
        <v>236</v>
      </c>
      <c r="I72" s="100"/>
      <c r="J72" s="100"/>
      <c r="K72" s="100"/>
      <c r="L72" s="100"/>
      <c r="M72" s="100"/>
    </row>
    <row r="73" spans="2:13" ht="15.6" customHeight="1" x14ac:dyDescent="0.3">
      <c r="B73" s="100"/>
      <c r="C73" s="626"/>
      <c r="D73" s="208">
        <v>42030</v>
      </c>
      <c r="E73" s="142" t="s">
        <v>230</v>
      </c>
      <c r="F73" s="613"/>
      <c r="G73" s="100"/>
      <c r="H73" s="100"/>
      <c r="I73" s="100"/>
      <c r="J73" s="100"/>
      <c r="K73" s="100"/>
      <c r="L73" s="100"/>
      <c r="M73" s="100"/>
    </row>
    <row r="74" spans="2:13" ht="31.2" x14ac:dyDescent="0.3">
      <c r="B74" s="100"/>
      <c r="C74" s="626"/>
      <c r="D74" s="209">
        <v>42231</v>
      </c>
      <c r="E74" s="101" t="s">
        <v>234</v>
      </c>
      <c r="F74" s="613"/>
      <c r="G74" s="100"/>
      <c r="H74" s="100"/>
      <c r="I74" s="100"/>
      <c r="J74" s="100"/>
      <c r="K74" s="100"/>
      <c r="L74" s="100"/>
      <c r="M74" s="100"/>
    </row>
    <row r="75" spans="2:13" ht="15.6" customHeight="1" x14ac:dyDescent="0.3">
      <c r="B75" s="100"/>
      <c r="C75" s="626"/>
      <c r="D75" s="208">
        <v>42279</v>
      </c>
      <c r="E75" s="142" t="s">
        <v>235</v>
      </c>
      <c r="F75" s="613"/>
      <c r="G75" s="100"/>
      <c r="H75" s="100"/>
      <c r="I75" s="100"/>
      <c r="J75" s="100"/>
      <c r="K75" s="100"/>
      <c r="L75" s="100"/>
      <c r="M75" s="100"/>
    </row>
    <row r="76" spans="2:13" x14ac:dyDescent="0.3"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</row>
    <row r="77" spans="2:13" x14ac:dyDescent="0.3"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</row>
  </sheetData>
  <mergeCells count="17">
    <mergeCell ref="D21:D24"/>
    <mergeCell ref="I21:I24"/>
    <mergeCell ref="C26:C29"/>
    <mergeCell ref="D26:D29"/>
    <mergeCell ref="C31:C34"/>
    <mergeCell ref="D31:D34"/>
    <mergeCell ref="I60:I61"/>
    <mergeCell ref="I62:I63"/>
    <mergeCell ref="F67:F75"/>
    <mergeCell ref="I67:I69"/>
    <mergeCell ref="C36:C39"/>
    <mergeCell ref="D36:D39"/>
    <mergeCell ref="D42:D45"/>
    <mergeCell ref="G47:G49"/>
    <mergeCell ref="B52:H52"/>
    <mergeCell ref="I52:I56"/>
    <mergeCell ref="C67:C75"/>
  </mergeCells>
  <pageMargins left="0.7" right="0.7" top="0.75" bottom="0.75" header="0.3" footer="0.3"/>
  <ignoredErrors>
    <ignoredError sqref="H60:H63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4520-AD68-4F01-8ACF-48FDA2B3544F}">
  <sheetPr>
    <tabColor theme="9" tint="-0.249977111117893"/>
  </sheetPr>
  <dimension ref="A1:K60"/>
  <sheetViews>
    <sheetView zoomScaleNormal="100" workbookViewId="0">
      <selection activeCell="F3" sqref="F3:F21"/>
    </sheetView>
  </sheetViews>
  <sheetFormatPr defaultColWidth="8.6640625" defaultRowHeight="15.6" x14ac:dyDescent="0.3"/>
  <cols>
    <col min="1" max="1" width="8.6640625" style="107"/>
    <col min="2" max="2" width="15.88671875" style="107" customWidth="1"/>
    <col min="3" max="3" width="18.88671875" style="107" customWidth="1"/>
    <col min="4" max="4" width="25" style="107" customWidth="1"/>
    <col min="5" max="5" width="14.77734375" style="107" customWidth="1"/>
    <col min="6" max="6" width="30.5546875" style="107" customWidth="1"/>
    <col min="7" max="7" width="8.6640625" style="107"/>
    <col min="8" max="8" width="19.77734375" style="107" customWidth="1"/>
    <col min="9" max="9" width="40.5546875" style="107" customWidth="1"/>
    <col min="10" max="10" width="13.109375" style="107" bestFit="1" customWidth="1"/>
    <col min="11" max="11" width="8.6640625" style="107"/>
    <col min="12" max="12" width="14.109375" style="107" bestFit="1" customWidth="1"/>
    <col min="13" max="16384" width="8.6640625" style="107"/>
  </cols>
  <sheetData>
    <row r="1" spans="1:11" x14ac:dyDescent="0.3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1" s="13" customFormat="1" ht="18" x14ac:dyDescent="0.35">
      <c r="A2" s="146"/>
      <c r="B2" s="147" t="s">
        <v>101</v>
      </c>
      <c r="C2" s="147" t="s">
        <v>237</v>
      </c>
      <c r="D2" s="147" t="s">
        <v>238</v>
      </c>
      <c r="E2" s="147" t="s">
        <v>239</v>
      </c>
      <c r="F2" s="30"/>
      <c r="G2" s="30"/>
      <c r="H2" s="30"/>
      <c r="I2" s="30"/>
      <c r="J2" s="30"/>
      <c r="K2" s="146"/>
    </row>
    <row r="3" spans="1:11" ht="18" x14ac:dyDescent="0.3">
      <c r="A3" s="148"/>
      <c r="B3" s="150">
        <v>1</v>
      </c>
      <c r="C3" s="151" t="s">
        <v>33</v>
      </c>
      <c r="D3" s="151">
        <v>200</v>
      </c>
      <c r="E3" s="224" t="str">
        <f>IF(D3&gt;=180,"Excellent","Good")</f>
        <v>Excellent</v>
      </c>
      <c r="F3" s="637" t="s">
        <v>240</v>
      </c>
      <c r="G3" s="149"/>
      <c r="H3" s="640" t="s">
        <v>241</v>
      </c>
      <c r="I3" s="224" t="str" cm="1">
        <f t="array" ref="I3">_xlfn.IFS(D3&lt;150, "POOR", D3&gt;=150, "Good")</f>
        <v>Good</v>
      </c>
      <c r="J3" s="641" t="s">
        <v>242</v>
      </c>
      <c r="K3" s="148"/>
    </row>
    <row r="4" spans="1:11" ht="18" x14ac:dyDescent="0.3">
      <c r="A4" s="148"/>
      <c r="B4" s="150">
        <v>2</v>
      </c>
      <c r="C4" s="151" t="s">
        <v>35</v>
      </c>
      <c r="D4" s="151">
        <v>180</v>
      </c>
      <c r="E4" s="224" t="str">
        <f t="shared" ref="E4:E35" si="0">IF(D4&gt;=180,"Excellent","Good")</f>
        <v>Excellent</v>
      </c>
      <c r="F4" s="638"/>
      <c r="G4" s="149"/>
      <c r="H4" s="640"/>
      <c r="I4" s="224" t="str" cm="1">
        <f t="array" ref="I4">_xlfn.IFS(D4&lt;150, "POOR", D4&gt;=150, "Good")</f>
        <v>Good</v>
      </c>
      <c r="J4" s="641"/>
      <c r="K4" s="148"/>
    </row>
    <row r="5" spans="1:11" ht="18" x14ac:dyDescent="0.3">
      <c r="A5" s="148"/>
      <c r="B5" s="150">
        <v>3</v>
      </c>
      <c r="C5" s="151" t="s">
        <v>36</v>
      </c>
      <c r="D5" s="151">
        <v>140</v>
      </c>
      <c r="E5" s="224" t="str">
        <f t="shared" si="0"/>
        <v>Good</v>
      </c>
      <c r="F5" s="638"/>
      <c r="G5" s="149"/>
      <c r="H5" s="640"/>
      <c r="I5" s="224" t="str" cm="1">
        <f t="array" ref="I5">_xlfn.IFS(D5&lt;150, "POOR", D5&gt;=150, "Good")</f>
        <v>POOR</v>
      </c>
      <c r="J5" s="641"/>
      <c r="K5" s="148"/>
    </row>
    <row r="6" spans="1:11" ht="24" x14ac:dyDescent="0.3">
      <c r="A6" s="148"/>
      <c r="B6" s="150">
        <v>4</v>
      </c>
      <c r="C6" s="152" t="s">
        <v>37</v>
      </c>
      <c r="D6" s="152">
        <v>120</v>
      </c>
      <c r="E6" s="224" t="str">
        <f t="shared" si="0"/>
        <v>Good</v>
      </c>
      <c r="F6" s="638"/>
      <c r="G6" s="149"/>
      <c r="H6" s="225"/>
      <c r="I6" s="224"/>
      <c r="J6" s="641"/>
      <c r="K6" s="148"/>
    </row>
    <row r="7" spans="1:11" ht="18" x14ac:dyDescent="0.3">
      <c r="A7" s="148"/>
      <c r="B7" s="150">
        <v>5</v>
      </c>
      <c r="C7" s="152" t="s">
        <v>38</v>
      </c>
      <c r="D7" s="152">
        <v>140</v>
      </c>
      <c r="E7" s="224" t="str">
        <f t="shared" si="0"/>
        <v>Good</v>
      </c>
      <c r="F7" s="638"/>
      <c r="G7" s="149"/>
      <c r="H7" s="642" t="s">
        <v>243</v>
      </c>
      <c r="I7" s="224" t="str" cm="1">
        <f t="array" ref="I7">_xlfn.IFS(D6&lt;100, "Very poor", D6&lt;=150, "Average", D6&gt;=150, "Good")</f>
        <v>Average</v>
      </c>
      <c r="J7" s="641"/>
      <c r="K7" s="148"/>
    </row>
    <row r="8" spans="1:11" ht="18" x14ac:dyDescent="0.3">
      <c r="A8" s="148"/>
      <c r="B8" s="150">
        <v>6</v>
      </c>
      <c r="C8" s="152" t="s">
        <v>39</v>
      </c>
      <c r="D8" s="152">
        <v>190</v>
      </c>
      <c r="E8" s="224" t="str">
        <f t="shared" si="0"/>
        <v>Excellent</v>
      </c>
      <c r="F8" s="638"/>
      <c r="G8" s="149"/>
      <c r="H8" s="642"/>
      <c r="I8" s="224" t="str" cm="1">
        <f t="array" ref="I8">_xlfn.IFS(D7&lt;100, "Very poor", D7&lt;=150, "Average", D7&gt;=150, "Good")</f>
        <v>Average</v>
      </c>
      <c r="J8" s="641"/>
      <c r="K8" s="148"/>
    </row>
    <row r="9" spans="1:11" ht="18" x14ac:dyDescent="0.3">
      <c r="A9" s="148"/>
      <c r="B9" s="150">
        <v>7</v>
      </c>
      <c r="C9" s="150" t="s">
        <v>40</v>
      </c>
      <c r="D9" s="150">
        <v>200</v>
      </c>
      <c r="E9" s="224" t="str">
        <f t="shared" si="0"/>
        <v>Excellent</v>
      </c>
      <c r="F9" s="638"/>
      <c r="G9" s="149"/>
      <c r="H9" s="642"/>
      <c r="I9" s="224" t="str" cm="1">
        <f t="array" ref="I9">_xlfn.IFS(D8&lt;100, "Very poor", D8&lt;=150, "Average", D8&gt;=150, "Good")</f>
        <v>Good</v>
      </c>
      <c r="J9" s="641"/>
      <c r="K9" s="148"/>
    </row>
    <row r="10" spans="1:11" ht="24" x14ac:dyDescent="0.35">
      <c r="A10" s="148"/>
      <c r="B10" s="150">
        <v>8</v>
      </c>
      <c r="C10" s="150" t="s">
        <v>41</v>
      </c>
      <c r="D10" s="150">
        <v>90</v>
      </c>
      <c r="E10" s="224" t="str">
        <f t="shared" si="0"/>
        <v>Good</v>
      </c>
      <c r="F10" s="638"/>
      <c r="G10" s="149"/>
      <c r="H10" s="225"/>
      <c r="I10" s="146"/>
      <c r="J10" s="641"/>
      <c r="K10" s="148"/>
    </row>
    <row r="11" spans="1:11" ht="18" x14ac:dyDescent="0.3">
      <c r="A11" s="148"/>
      <c r="B11" s="150">
        <v>9</v>
      </c>
      <c r="C11" s="150" t="s">
        <v>42</v>
      </c>
      <c r="D11" s="150">
        <v>150</v>
      </c>
      <c r="E11" s="224" t="str">
        <f t="shared" si="0"/>
        <v>Good</v>
      </c>
      <c r="F11" s="638"/>
      <c r="G11" s="153"/>
      <c r="H11" s="643" t="s">
        <v>244</v>
      </c>
      <c r="I11" s="224"/>
      <c r="J11" s="641"/>
      <c r="K11" s="148"/>
    </row>
    <row r="12" spans="1:11" ht="18" x14ac:dyDescent="0.3">
      <c r="A12" s="148"/>
      <c r="B12" s="150">
        <v>10</v>
      </c>
      <c r="C12" s="150" t="s">
        <v>43</v>
      </c>
      <c r="D12" s="150">
        <v>200</v>
      </c>
      <c r="E12" s="224" t="str">
        <f t="shared" si="0"/>
        <v>Excellent</v>
      </c>
      <c r="F12" s="638"/>
      <c r="G12" s="153"/>
      <c r="H12" s="643"/>
      <c r="I12" s="224"/>
      <c r="J12" s="641"/>
      <c r="K12" s="148"/>
    </row>
    <row r="13" spans="1:11" ht="18" x14ac:dyDescent="0.3">
      <c r="A13" s="148"/>
      <c r="B13" s="150">
        <v>11</v>
      </c>
      <c r="C13" s="150" t="s">
        <v>44</v>
      </c>
      <c r="D13" s="150">
        <v>170</v>
      </c>
      <c r="E13" s="224" t="str">
        <f t="shared" si="0"/>
        <v>Good</v>
      </c>
      <c r="F13" s="638"/>
      <c r="G13" s="153"/>
      <c r="H13" s="643"/>
      <c r="I13" s="224"/>
      <c r="J13" s="641"/>
      <c r="K13" s="148"/>
    </row>
    <row r="14" spans="1:11" ht="18.600000000000001" x14ac:dyDescent="0.3">
      <c r="A14" s="148"/>
      <c r="B14" s="150">
        <v>12</v>
      </c>
      <c r="C14" s="150" t="s">
        <v>45</v>
      </c>
      <c r="D14" s="150">
        <v>180</v>
      </c>
      <c r="E14" s="224" t="str">
        <f t="shared" si="0"/>
        <v>Excellent</v>
      </c>
      <c r="F14" s="638"/>
      <c r="G14" s="153"/>
      <c r="H14" s="644" t="s">
        <v>215</v>
      </c>
      <c r="I14" s="644"/>
      <c r="J14" s="149"/>
      <c r="K14" s="148"/>
    </row>
    <row r="15" spans="1:11" ht="18" x14ac:dyDescent="0.3">
      <c r="A15" s="148"/>
      <c r="B15" s="150">
        <v>13</v>
      </c>
      <c r="C15" s="150" t="s">
        <v>46</v>
      </c>
      <c r="D15" s="150">
        <v>190</v>
      </c>
      <c r="E15" s="224" t="str">
        <f t="shared" si="0"/>
        <v>Excellent</v>
      </c>
      <c r="F15" s="638"/>
      <c r="G15" s="149"/>
      <c r="H15" s="149"/>
      <c r="I15" s="149"/>
      <c r="J15" s="149"/>
      <c r="K15" s="148"/>
    </row>
    <row r="16" spans="1:11" ht="18" x14ac:dyDescent="0.3">
      <c r="A16" s="148"/>
      <c r="B16" s="150">
        <v>14</v>
      </c>
      <c r="C16" s="150" t="s">
        <v>34</v>
      </c>
      <c r="D16" s="150">
        <v>160</v>
      </c>
      <c r="E16" s="224" t="str">
        <f t="shared" si="0"/>
        <v>Good</v>
      </c>
      <c r="F16" s="638"/>
      <c r="G16" s="149"/>
      <c r="H16" s="149"/>
      <c r="I16" s="149"/>
      <c r="J16" s="149"/>
      <c r="K16" s="148"/>
    </row>
    <row r="17" spans="1:11" ht="18" x14ac:dyDescent="0.3">
      <c r="A17" s="148"/>
      <c r="B17" s="150">
        <v>15</v>
      </c>
      <c r="C17" s="150" t="s">
        <v>245</v>
      </c>
      <c r="D17" s="150">
        <v>100</v>
      </c>
      <c r="E17" s="224" t="str">
        <f t="shared" si="0"/>
        <v>Good</v>
      </c>
      <c r="F17" s="638"/>
      <c r="G17" s="149"/>
      <c r="H17" s="149"/>
      <c r="I17" s="149"/>
      <c r="J17" s="149"/>
      <c r="K17" s="148"/>
    </row>
    <row r="18" spans="1:11" ht="18" x14ac:dyDescent="0.3">
      <c r="A18" s="148"/>
      <c r="B18" s="150">
        <v>16</v>
      </c>
      <c r="C18" s="150" t="s">
        <v>246</v>
      </c>
      <c r="D18" s="150">
        <v>140</v>
      </c>
      <c r="E18" s="224" t="str">
        <f t="shared" si="0"/>
        <v>Good</v>
      </c>
      <c r="F18" s="638"/>
      <c r="G18" s="149"/>
      <c r="H18" s="149"/>
      <c r="I18" s="149"/>
      <c r="J18" s="149"/>
      <c r="K18" s="148"/>
    </row>
    <row r="19" spans="1:11" ht="18" x14ac:dyDescent="0.3">
      <c r="A19" s="148"/>
      <c r="B19" s="150">
        <v>17</v>
      </c>
      <c r="C19" s="150" t="s">
        <v>247</v>
      </c>
      <c r="D19" s="150">
        <v>130</v>
      </c>
      <c r="E19" s="224" t="str">
        <f t="shared" si="0"/>
        <v>Good</v>
      </c>
      <c r="F19" s="638"/>
      <c r="G19" s="149"/>
      <c r="H19" s="149"/>
      <c r="I19" s="149"/>
      <c r="J19" s="149"/>
      <c r="K19" s="148"/>
    </row>
    <row r="20" spans="1:11" ht="18" x14ac:dyDescent="0.3">
      <c r="A20" s="148"/>
      <c r="B20" s="150">
        <v>18</v>
      </c>
      <c r="C20" s="150" t="s">
        <v>248</v>
      </c>
      <c r="D20" s="150">
        <v>200</v>
      </c>
      <c r="E20" s="224" t="str">
        <f t="shared" si="0"/>
        <v>Excellent</v>
      </c>
      <c r="F20" s="638"/>
      <c r="G20" s="149"/>
      <c r="H20" s="149"/>
      <c r="I20" s="149"/>
      <c r="J20" s="149"/>
      <c r="K20" s="148"/>
    </row>
    <row r="21" spans="1:11" ht="18" x14ac:dyDescent="0.3">
      <c r="A21" s="148"/>
      <c r="B21" s="150">
        <v>19</v>
      </c>
      <c r="C21" s="150" t="s">
        <v>249</v>
      </c>
      <c r="D21" s="150">
        <v>150</v>
      </c>
      <c r="E21" s="224" t="str">
        <f t="shared" si="0"/>
        <v>Good</v>
      </c>
      <c r="F21" s="639"/>
      <c r="G21" s="149"/>
      <c r="H21" s="149"/>
      <c r="I21" s="149"/>
      <c r="J21" s="149"/>
      <c r="K21" s="148"/>
    </row>
    <row r="22" spans="1:11" ht="18" x14ac:dyDescent="0.3">
      <c r="A22" s="148"/>
      <c r="B22" s="150">
        <v>20</v>
      </c>
      <c r="C22" s="150" t="s">
        <v>250</v>
      </c>
      <c r="D22" s="150">
        <v>120</v>
      </c>
      <c r="E22" s="224" t="str">
        <f t="shared" si="0"/>
        <v>Good</v>
      </c>
      <c r="F22" s="636" t="s">
        <v>240</v>
      </c>
      <c r="G22" s="149"/>
      <c r="H22" s="149"/>
      <c r="I22" s="149"/>
      <c r="J22" s="149"/>
      <c r="K22" s="148"/>
    </row>
    <row r="23" spans="1:11" ht="18" x14ac:dyDescent="0.3">
      <c r="A23" s="148"/>
      <c r="B23" s="150">
        <v>21</v>
      </c>
      <c r="C23" s="150" t="s">
        <v>251</v>
      </c>
      <c r="D23" s="150">
        <v>140</v>
      </c>
      <c r="E23" s="224" t="str">
        <f t="shared" si="0"/>
        <v>Good</v>
      </c>
      <c r="F23" s="636"/>
      <c r="G23" s="149"/>
      <c r="H23" s="149"/>
      <c r="I23" s="149"/>
      <c r="J23" s="149"/>
      <c r="K23" s="148"/>
    </row>
    <row r="24" spans="1:11" ht="18" x14ac:dyDescent="0.3">
      <c r="A24" s="148"/>
      <c r="B24" s="150">
        <v>22</v>
      </c>
      <c r="C24" s="150" t="s">
        <v>252</v>
      </c>
      <c r="D24" s="150">
        <v>80</v>
      </c>
      <c r="E24" s="224" t="str">
        <f t="shared" si="0"/>
        <v>Good</v>
      </c>
      <c r="F24" s="636"/>
      <c r="G24" s="149"/>
      <c r="H24" s="149"/>
      <c r="I24" s="149"/>
      <c r="J24" s="149"/>
      <c r="K24" s="148"/>
    </row>
    <row r="25" spans="1:11" ht="18" x14ac:dyDescent="0.3">
      <c r="A25" s="148"/>
      <c r="B25" s="150">
        <v>23</v>
      </c>
      <c r="C25" s="150" t="s">
        <v>253</v>
      </c>
      <c r="D25" s="150">
        <v>130</v>
      </c>
      <c r="E25" s="224" t="str">
        <f t="shared" si="0"/>
        <v>Good</v>
      </c>
      <c r="F25" s="636"/>
      <c r="G25" s="149"/>
      <c r="H25" s="149"/>
      <c r="I25" s="149"/>
      <c r="J25" s="149"/>
      <c r="K25" s="148"/>
    </row>
    <row r="26" spans="1:11" ht="18" x14ac:dyDescent="0.3">
      <c r="A26" s="148"/>
      <c r="B26" s="150">
        <v>24</v>
      </c>
      <c r="C26" s="150" t="s">
        <v>254</v>
      </c>
      <c r="D26" s="150">
        <v>190</v>
      </c>
      <c r="E26" s="224" t="str">
        <f t="shared" si="0"/>
        <v>Excellent</v>
      </c>
      <c r="F26" s="636"/>
      <c r="G26" s="149"/>
      <c r="H26" s="149"/>
      <c r="I26" s="149"/>
      <c r="J26" s="149"/>
      <c r="K26" s="148"/>
    </row>
    <row r="27" spans="1:11" ht="18" x14ac:dyDescent="0.3">
      <c r="A27" s="148"/>
      <c r="B27" s="150">
        <v>25</v>
      </c>
      <c r="C27" s="150" t="s">
        <v>173</v>
      </c>
      <c r="D27" s="150">
        <v>190</v>
      </c>
      <c r="E27" s="224" t="str">
        <f t="shared" si="0"/>
        <v>Excellent</v>
      </c>
      <c r="F27" s="636"/>
      <c r="G27" s="149"/>
      <c r="H27" s="149"/>
      <c r="I27" s="149"/>
      <c r="J27" s="149"/>
      <c r="K27" s="148"/>
    </row>
    <row r="28" spans="1:11" ht="18" x14ac:dyDescent="0.3">
      <c r="A28" s="148"/>
      <c r="B28" s="150">
        <v>26</v>
      </c>
      <c r="C28" s="150" t="s">
        <v>255</v>
      </c>
      <c r="D28" s="150">
        <v>150</v>
      </c>
      <c r="E28" s="224" t="str">
        <f t="shared" si="0"/>
        <v>Good</v>
      </c>
      <c r="F28" s="636"/>
      <c r="G28" s="149"/>
      <c r="H28" s="149"/>
      <c r="I28" s="149"/>
      <c r="J28" s="149"/>
      <c r="K28" s="148"/>
    </row>
    <row r="29" spans="1:11" ht="18" x14ac:dyDescent="0.3">
      <c r="A29" s="148"/>
      <c r="B29" s="150">
        <v>27</v>
      </c>
      <c r="C29" s="150" t="s">
        <v>256</v>
      </c>
      <c r="D29" s="150">
        <v>200</v>
      </c>
      <c r="E29" s="224" t="str">
        <f t="shared" si="0"/>
        <v>Excellent</v>
      </c>
      <c r="F29" s="636"/>
      <c r="G29" s="149"/>
      <c r="H29" s="149"/>
      <c r="I29" s="149"/>
      <c r="J29" s="149"/>
      <c r="K29" s="148"/>
    </row>
    <row r="30" spans="1:11" ht="18" x14ac:dyDescent="0.3">
      <c r="A30" s="148"/>
      <c r="B30" s="150">
        <v>28</v>
      </c>
      <c r="C30" s="150" t="s">
        <v>257</v>
      </c>
      <c r="D30" s="150">
        <v>170</v>
      </c>
      <c r="E30" s="224" t="str">
        <f t="shared" si="0"/>
        <v>Good</v>
      </c>
      <c r="F30" s="636"/>
      <c r="G30" s="149"/>
      <c r="H30" s="149"/>
      <c r="I30" s="149"/>
      <c r="J30" s="149"/>
      <c r="K30" s="148"/>
    </row>
    <row r="31" spans="1:11" ht="18" x14ac:dyDescent="0.3">
      <c r="A31" s="148"/>
      <c r="B31" s="150">
        <v>29</v>
      </c>
      <c r="C31" s="150" t="s">
        <v>258</v>
      </c>
      <c r="D31" s="150">
        <v>180</v>
      </c>
      <c r="E31" s="224" t="str">
        <f t="shared" si="0"/>
        <v>Excellent</v>
      </c>
      <c r="F31" s="636"/>
      <c r="G31" s="149"/>
      <c r="H31" s="149"/>
      <c r="I31" s="149"/>
      <c r="J31" s="149"/>
      <c r="K31" s="148"/>
    </row>
    <row r="32" spans="1:11" ht="18" x14ac:dyDescent="0.3">
      <c r="A32" s="148"/>
      <c r="B32" s="150">
        <v>30</v>
      </c>
      <c r="C32" s="150" t="s">
        <v>259</v>
      </c>
      <c r="D32" s="150">
        <v>190</v>
      </c>
      <c r="E32" s="224" t="str">
        <f t="shared" si="0"/>
        <v>Excellent</v>
      </c>
      <c r="F32" s="636"/>
      <c r="G32" s="149"/>
      <c r="H32" s="149"/>
      <c r="I32" s="149"/>
      <c r="J32" s="149"/>
      <c r="K32" s="148"/>
    </row>
    <row r="33" spans="1:11" ht="18" x14ac:dyDescent="0.3">
      <c r="A33" s="148"/>
      <c r="B33" s="150">
        <v>31</v>
      </c>
      <c r="C33" s="150" t="s">
        <v>260</v>
      </c>
      <c r="D33" s="150">
        <v>160</v>
      </c>
      <c r="E33" s="224" t="str">
        <f t="shared" si="0"/>
        <v>Good</v>
      </c>
      <c r="F33" s="636"/>
      <c r="G33" s="149"/>
      <c r="H33" s="149"/>
      <c r="I33" s="149"/>
      <c r="J33" s="149"/>
      <c r="K33" s="148"/>
    </row>
    <row r="34" spans="1:11" ht="18" x14ac:dyDescent="0.3">
      <c r="A34" s="148"/>
      <c r="B34" s="150">
        <v>32</v>
      </c>
      <c r="C34" s="150" t="s">
        <v>261</v>
      </c>
      <c r="D34" s="150">
        <v>100</v>
      </c>
      <c r="E34" s="224" t="str">
        <f t="shared" si="0"/>
        <v>Good</v>
      </c>
      <c r="F34" s="636"/>
      <c r="G34" s="149"/>
      <c r="H34" s="149"/>
      <c r="I34" s="149"/>
      <c r="J34" s="149"/>
      <c r="K34" s="148"/>
    </row>
    <row r="35" spans="1:11" ht="18" x14ac:dyDescent="0.3">
      <c r="A35" s="148"/>
      <c r="B35" s="150">
        <v>33</v>
      </c>
      <c r="C35" s="150" t="s">
        <v>262</v>
      </c>
      <c r="D35" s="150">
        <v>140</v>
      </c>
      <c r="E35" s="224" t="str">
        <f t="shared" si="0"/>
        <v>Good</v>
      </c>
      <c r="F35" s="636"/>
      <c r="G35" s="149"/>
      <c r="H35" s="149"/>
      <c r="I35" s="149"/>
      <c r="J35" s="149"/>
      <c r="K35" s="148"/>
    </row>
    <row r="36" spans="1:11" ht="18" x14ac:dyDescent="0.3">
      <c r="A36" s="148"/>
      <c r="B36" s="148"/>
      <c r="C36" s="148"/>
      <c r="D36" s="148"/>
      <c r="E36" s="154"/>
      <c r="F36" s="155"/>
      <c r="H36" s="149"/>
      <c r="I36" s="149"/>
      <c r="J36" s="149"/>
      <c r="K36" s="148"/>
    </row>
    <row r="37" spans="1:11" ht="18" x14ac:dyDescent="0.3">
      <c r="A37" s="148"/>
      <c r="B37" s="148"/>
      <c r="C37" s="148"/>
      <c r="D37" s="148"/>
      <c r="E37" s="154"/>
      <c r="F37" s="155"/>
      <c r="H37" s="149"/>
      <c r="I37" s="149"/>
      <c r="J37" s="149"/>
      <c r="K37" s="148"/>
    </row>
    <row r="38" spans="1:11" ht="25.2" x14ac:dyDescent="0.3">
      <c r="A38" s="148"/>
      <c r="B38" s="149"/>
      <c r="C38" s="149"/>
      <c r="D38" s="149"/>
      <c r="E38" s="154"/>
      <c r="F38" s="245" t="s">
        <v>263</v>
      </c>
      <c r="G38" s="150"/>
      <c r="H38" s="149"/>
      <c r="I38" s="149"/>
      <c r="J38" s="149"/>
      <c r="K38" s="148"/>
    </row>
    <row r="39" spans="1:11" ht="25.2" x14ac:dyDescent="0.3">
      <c r="A39" s="148"/>
      <c r="B39" s="172" t="s">
        <v>65</v>
      </c>
      <c r="C39" s="173" t="s">
        <v>66</v>
      </c>
      <c r="D39" s="173" t="s">
        <v>67</v>
      </c>
      <c r="E39" s="173" t="s">
        <v>68</v>
      </c>
      <c r="F39" s="245" t="s">
        <v>264</v>
      </c>
      <c r="G39" s="148"/>
      <c r="H39" s="148"/>
      <c r="I39" s="148"/>
      <c r="J39" s="148"/>
      <c r="K39" s="148"/>
    </row>
    <row r="40" spans="1:11" ht="31.2" x14ac:dyDescent="0.45">
      <c r="B40" s="226" t="s">
        <v>70</v>
      </c>
      <c r="C40" s="227">
        <v>5000</v>
      </c>
      <c r="D40" s="228">
        <v>46030</v>
      </c>
      <c r="E40" s="240" t="s">
        <v>71</v>
      </c>
      <c r="F40" s="244">
        <f ca="1">SUMIF(E40:E59, "South", C40:C54)</f>
        <v>110000</v>
      </c>
    </row>
    <row r="41" spans="1:11" ht="31.2" x14ac:dyDescent="0.45">
      <c r="B41" s="226" t="s">
        <v>72</v>
      </c>
      <c r="C41" s="227">
        <v>6000</v>
      </c>
      <c r="D41" s="228">
        <v>46028</v>
      </c>
      <c r="E41" s="240" t="s">
        <v>73</v>
      </c>
      <c r="F41" s="244"/>
    </row>
    <row r="42" spans="1:11" ht="22.8" x14ac:dyDescent="0.45">
      <c r="B42" s="226" t="s">
        <v>75</v>
      </c>
      <c r="C42" s="227">
        <v>7000</v>
      </c>
      <c r="D42" s="228">
        <v>46039</v>
      </c>
      <c r="E42" s="240" t="s">
        <v>73</v>
      </c>
      <c r="F42" s="244">
        <f ca="1">SUMIF(Table2[Regions], "West", C40:C54)</f>
        <v>150000</v>
      </c>
    </row>
    <row r="43" spans="1:11" ht="31.2" x14ac:dyDescent="0.45">
      <c r="B43" s="226" t="s">
        <v>76</v>
      </c>
      <c r="C43" s="227">
        <v>8000</v>
      </c>
      <c r="D43" s="228">
        <v>46032</v>
      </c>
      <c r="E43" s="240" t="s">
        <v>73</v>
      </c>
      <c r="F43" s="244"/>
    </row>
    <row r="44" spans="1:11" ht="31.2" x14ac:dyDescent="0.45">
      <c r="B44" s="226" t="s">
        <v>77</v>
      </c>
      <c r="C44" s="227">
        <v>9000</v>
      </c>
      <c r="D44" s="228">
        <v>46028</v>
      </c>
      <c r="E44" s="240" t="s">
        <v>78</v>
      </c>
      <c r="F44" s="244">
        <f>AVERAGEIF(Table2[Items], "Beverages", Table2[Prices])</f>
        <v>36000</v>
      </c>
    </row>
    <row r="45" spans="1:11" ht="31.2" x14ac:dyDescent="0.45">
      <c r="B45" s="226" t="s">
        <v>80</v>
      </c>
      <c r="C45" s="227">
        <v>10000</v>
      </c>
      <c r="D45" s="228">
        <v>46023</v>
      </c>
      <c r="E45" s="240" t="s">
        <v>81</v>
      </c>
      <c r="F45" s="244"/>
    </row>
    <row r="46" spans="1:11" ht="22.8" x14ac:dyDescent="0.45">
      <c r="B46" s="226" t="s">
        <v>75</v>
      </c>
      <c r="C46" s="227">
        <v>10000</v>
      </c>
      <c r="D46" s="228">
        <v>46044</v>
      </c>
      <c r="E46" s="240" t="s">
        <v>71</v>
      </c>
      <c r="F46" s="244"/>
    </row>
    <row r="47" spans="1:11" ht="22.8" x14ac:dyDescent="0.45">
      <c r="B47" s="226" t="s">
        <v>83</v>
      </c>
      <c r="C47" s="227">
        <v>15000</v>
      </c>
      <c r="D47" s="228">
        <v>46025</v>
      </c>
      <c r="E47" s="240" t="s">
        <v>81</v>
      </c>
      <c r="F47" s="244">
        <f>AVERAGEIF(Table2[Items], "Wrist Watch", Table2[Prices])</f>
        <v>52500</v>
      </c>
    </row>
    <row r="48" spans="1:11" ht="23.4" x14ac:dyDescent="0.45">
      <c r="B48" s="226" t="s">
        <v>84</v>
      </c>
      <c r="C48" s="227">
        <v>18000</v>
      </c>
      <c r="D48" s="228">
        <v>46041</v>
      </c>
      <c r="E48" s="240" t="s">
        <v>81</v>
      </c>
      <c r="F48" s="243"/>
    </row>
    <row r="49" spans="2:6" ht="31.2" x14ac:dyDescent="0.45">
      <c r="B49" s="226" t="s">
        <v>85</v>
      </c>
      <c r="C49" s="227">
        <v>25000</v>
      </c>
      <c r="D49" s="228">
        <v>46042</v>
      </c>
      <c r="E49" s="240" t="s">
        <v>78</v>
      </c>
      <c r="F49" s="243"/>
    </row>
    <row r="50" spans="2:6" ht="23.4" x14ac:dyDescent="0.45">
      <c r="B50" s="226" t="s">
        <v>86</v>
      </c>
      <c r="C50" s="227">
        <v>25000</v>
      </c>
      <c r="D50" s="228">
        <v>46032</v>
      </c>
      <c r="E50" s="240" t="s">
        <v>81</v>
      </c>
      <c r="F50" s="243"/>
    </row>
    <row r="51" spans="2:6" ht="31.2" x14ac:dyDescent="0.45">
      <c r="B51" s="226" t="s">
        <v>88</v>
      </c>
      <c r="C51" s="227">
        <v>30000</v>
      </c>
      <c r="D51" s="228">
        <v>46037</v>
      </c>
      <c r="E51" s="240" t="s">
        <v>71</v>
      </c>
      <c r="F51" s="243"/>
    </row>
    <row r="52" spans="2:6" ht="23.4" x14ac:dyDescent="0.45">
      <c r="B52" s="226" t="s">
        <v>89</v>
      </c>
      <c r="C52" s="227">
        <v>30000</v>
      </c>
      <c r="D52" s="228">
        <v>46035</v>
      </c>
      <c r="E52" s="240" t="s">
        <v>71</v>
      </c>
      <c r="F52" s="243"/>
    </row>
    <row r="53" spans="2:6" ht="31.2" x14ac:dyDescent="0.45">
      <c r="B53" s="226" t="s">
        <v>90</v>
      </c>
      <c r="C53" s="227">
        <v>35000</v>
      </c>
      <c r="D53" s="228">
        <v>46035</v>
      </c>
      <c r="E53" s="240" t="s">
        <v>71</v>
      </c>
      <c r="F53" s="243"/>
    </row>
    <row r="54" spans="2:6" ht="23.4" x14ac:dyDescent="0.45">
      <c r="B54" s="226" t="s">
        <v>91</v>
      </c>
      <c r="C54" s="229">
        <v>36000</v>
      </c>
      <c r="D54" s="228">
        <v>46033</v>
      </c>
      <c r="E54" s="240" t="s">
        <v>78</v>
      </c>
      <c r="F54" s="243"/>
    </row>
    <row r="55" spans="2:6" ht="24" thickBot="1" x14ac:dyDescent="0.5">
      <c r="B55" s="230" t="s">
        <v>93</v>
      </c>
      <c r="C55" s="231"/>
      <c r="D55" s="232">
        <v>46034</v>
      </c>
      <c r="E55" s="240" t="s">
        <v>78</v>
      </c>
      <c r="F55" s="243"/>
    </row>
    <row r="56" spans="2:6" ht="31.2" x14ac:dyDescent="0.45">
      <c r="B56" s="226" t="s">
        <v>70</v>
      </c>
      <c r="C56" s="233">
        <v>45000</v>
      </c>
      <c r="D56" s="228">
        <v>46029</v>
      </c>
      <c r="E56" s="240" t="s">
        <v>73</v>
      </c>
      <c r="F56" s="243"/>
    </row>
    <row r="57" spans="2:6" ht="31.2" x14ac:dyDescent="0.45">
      <c r="B57" s="226" t="s">
        <v>77</v>
      </c>
      <c r="C57" s="229">
        <v>50000</v>
      </c>
      <c r="D57" s="234">
        <v>46044</v>
      </c>
      <c r="E57" s="241" t="s">
        <v>81</v>
      </c>
      <c r="F57" s="243"/>
    </row>
    <row r="58" spans="2:6" ht="24" thickBot="1" x14ac:dyDescent="0.5">
      <c r="B58" s="230" t="s">
        <v>84</v>
      </c>
      <c r="C58" s="185" t="s">
        <v>96</v>
      </c>
      <c r="D58" s="235">
        <v>46026</v>
      </c>
      <c r="E58" s="242" t="s">
        <v>78</v>
      </c>
      <c r="F58" s="243"/>
    </row>
    <row r="59" spans="2:6" ht="23.4" x14ac:dyDescent="0.45">
      <c r="B59" s="226" t="s">
        <v>86</v>
      </c>
      <c r="C59" s="233">
        <v>80000</v>
      </c>
      <c r="D59" s="236">
        <v>46027</v>
      </c>
      <c r="E59" s="242" t="s">
        <v>78</v>
      </c>
      <c r="F59" s="243"/>
    </row>
    <row r="60" spans="2:6" ht="23.4" x14ac:dyDescent="0.45">
      <c r="B60" s="237" t="s">
        <v>271</v>
      </c>
      <c r="C60" s="239">
        <f>SUBTOTAL(109,Table2[Prices])</f>
        <v>444000</v>
      </c>
      <c r="D60" s="238"/>
      <c r="F60" s="243"/>
    </row>
  </sheetData>
  <mergeCells count="7">
    <mergeCell ref="F22:F35"/>
    <mergeCell ref="F3:F21"/>
    <mergeCell ref="H3:H5"/>
    <mergeCell ref="J3:J13"/>
    <mergeCell ref="H7:H9"/>
    <mergeCell ref="H11:H13"/>
    <mergeCell ref="H14:I1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863C-0132-4EEB-B842-2E5D6FA4123C}">
  <dimension ref="A1:N27"/>
  <sheetViews>
    <sheetView zoomScaleNormal="100" workbookViewId="0">
      <selection activeCell="G25" sqref="G25"/>
    </sheetView>
  </sheetViews>
  <sheetFormatPr defaultColWidth="49.77734375" defaultRowHeight="18" x14ac:dyDescent="0.3"/>
  <cols>
    <col min="1" max="1" width="12.5546875" style="246" customWidth="1"/>
    <col min="2" max="2" width="13.109375" style="246" bestFit="1" customWidth="1"/>
    <col min="3" max="3" width="16.5546875" style="246" customWidth="1"/>
    <col min="4" max="4" width="12.5546875" style="246" customWidth="1"/>
    <col min="5" max="5" width="14.33203125" style="246" bestFit="1" customWidth="1"/>
    <col min="6" max="6" width="13.44140625" style="246" customWidth="1"/>
    <col min="7" max="7" width="16.77734375" style="246" customWidth="1"/>
    <col min="8" max="8" width="19.21875" style="246" customWidth="1"/>
    <col min="9" max="9" width="15.5546875" style="246" customWidth="1"/>
    <col min="10" max="10" width="50.88671875" style="246" customWidth="1"/>
    <col min="11" max="11" width="50.21875" style="246" customWidth="1"/>
    <col min="12" max="12" width="22.5546875" style="246" customWidth="1"/>
    <col min="13" max="13" width="13.21875" style="409" customWidth="1"/>
    <col min="14" max="16384" width="49.77734375" style="246"/>
  </cols>
  <sheetData>
    <row r="1" spans="2:14" ht="25.8" customHeight="1" x14ac:dyDescent="0.3">
      <c r="G1" s="394" t="s">
        <v>272</v>
      </c>
      <c r="H1" s="394" t="s">
        <v>273</v>
      </c>
    </row>
    <row r="2" spans="2:14" ht="22.2" customHeight="1" x14ac:dyDescent="0.3">
      <c r="B2" s="37" t="s">
        <v>101</v>
      </c>
      <c r="C2" s="37" t="s">
        <v>102</v>
      </c>
      <c r="D2" s="37" t="s">
        <v>337</v>
      </c>
      <c r="E2" s="37" t="s">
        <v>338</v>
      </c>
      <c r="F2" s="37" t="s">
        <v>339</v>
      </c>
    </row>
    <row r="3" spans="2:14" x14ac:dyDescent="0.3">
      <c r="B3" s="38">
        <v>1</v>
      </c>
      <c r="C3" s="407" t="s">
        <v>33</v>
      </c>
      <c r="D3" s="408">
        <v>10</v>
      </c>
      <c r="E3" s="408">
        <v>100</v>
      </c>
      <c r="F3" s="408">
        <v>90</v>
      </c>
    </row>
    <row r="4" spans="2:14" x14ac:dyDescent="0.3">
      <c r="B4" s="38">
        <v>2</v>
      </c>
      <c r="C4" s="407" t="s">
        <v>35</v>
      </c>
      <c r="D4" s="408">
        <v>20</v>
      </c>
      <c r="E4" s="408">
        <v>60</v>
      </c>
      <c r="F4" s="408">
        <v>70</v>
      </c>
    </row>
    <row r="5" spans="2:14" ht="18.600000000000001" x14ac:dyDescent="0.3">
      <c r="B5" s="38">
        <v>3</v>
      </c>
      <c r="C5" s="405" t="s">
        <v>36</v>
      </c>
      <c r="D5" s="406">
        <v>30</v>
      </c>
      <c r="E5" s="406">
        <v>80</v>
      </c>
      <c r="F5" s="406">
        <v>50</v>
      </c>
      <c r="H5" s="398"/>
      <c r="I5" s="398"/>
      <c r="J5" s="399" t="s">
        <v>274</v>
      </c>
      <c r="K5" s="399" t="s">
        <v>275</v>
      </c>
      <c r="L5" s="399" t="s">
        <v>276</v>
      </c>
      <c r="M5" s="395" t="s">
        <v>239</v>
      </c>
    </row>
    <row r="6" spans="2:14" ht="18.45" customHeight="1" x14ac:dyDescent="0.3">
      <c r="B6" s="38">
        <v>4</v>
      </c>
      <c r="C6" s="405" t="s">
        <v>37</v>
      </c>
      <c r="D6" s="406">
        <v>80</v>
      </c>
      <c r="E6" s="406">
        <v>71</v>
      </c>
      <c r="F6" s="406">
        <v>90</v>
      </c>
      <c r="H6" s="648" t="s">
        <v>277</v>
      </c>
      <c r="I6" s="648"/>
      <c r="J6" s="398" t="b">
        <v>1</v>
      </c>
      <c r="K6" s="398" t="b">
        <v>1</v>
      </c>
      <c r="L6" s="398" t="b">
        <v>1</v>
      </c>
      <c r="M6" s="410" t="b">
        <v>1</v>
      </c>
    </row>
    <row r="7" spans="2:14" ht="18.600000000000001" x14ac:dyDescent="0.3">
      <c r="B7" s="38">
        <v>5</v>
      </c>
      <c r="C7" s="38" t="s">
        <v>38</v>
      </c>
      <c r="D7" s="39">
        <v>50</v>
      </c>
      <c r="E7" s="39">
        <v>60</v>
      </c>
      <c r="F7" s="39">
        <v>40</v>
      </c>
      <c r="H7" s="648"/>
      <c r="I7" s="648"/>
      <c r="J7" s="398" t="b">
        <v>0</v>
      </c>
      <c r="K7" s="398" t="b">
        <v>1</v>
      </c>
      <c r="L7" s="398" t="b">
        <v>1</v>
      </c>
      <c r="M7" s="410" t="b">
        <v>1</v>
      </c>
    </row>
    <row r="8" spans="2:14" ht="18.600000000000001" x14ac:dyDescent="0.3">
      <c r="B8" s="38">
        <v>6</v>
      </c>
      <c r="C8" s="38" t="s">
        <v>39</v>
      </c>
      <c r="D8" s="39">
        <v>60</v>
      </c>
      <c r="E8" s="39">
        <v>50</v>
      </c>
      <c r="F8" s="39">
        <v>80</v>
      </c>
      <c r="H8" s="648"/>
      <c r="I8" s="648"/>
      <c r="J8" s="398" t="b">
        <v>1</v>
      </c>
      <c r="K8" s="398" t="b">
        <v>0</v>
      </c>
      <c r="L8" s="398" t="b">
        <v>0</v>
      </c>
      <c r="M8" s="410" t="b">
        <v>1</v>
      </c>
    </row>
    <row r="9" spans="2:14" ht="18.600000000000001" x14ac:dyDescent="0.3">
      <c r="B9" s="38">
        <v>7</v>
      </c>
      <c r="C9" s="38" t="s">
        <v>40</v>
      </c>
      <c r="D9" s="39">
        <v>70</v>
      </c>
      <c r="E9" s="39">
        <v>40</v>
      </c>
      <c r="F9" s="39">
        <v>100</v>
      </c>
      <c r="H9" s="648"/>
      <c r="I9" s="648"/>
      <c r="J9" s="398" t="b">
        <v>0</v>
      </c>
      <c r="K9" s="398" t="b">
        <v>0</v>
      </c>
      <c r="L9" s="398" t="b">
        <v>0</v>
      </c>
      <c r="M9" s="410" t="b">
        <v>0</v>
      </c>
    </row>
    <row r="10" spans="2:14" ht="18.600000000000001" x14ac:dyDescent="0.3">
      <c r="B10" s="38">
        <v>8</v>
      </c>
      <c r="C10" s="38" t="s">
        <v>41</v>
      </c>
      <c r="D10" s="39">
        <v>80</v>
      </c>
      <c r="E10" s="39">
        <v>80</v>
      </c>
      <c r="F10" s="39">
        <v>75</v>
      </c>
      <c r="H10" s="400"/>
      <c r="I10" s="400"/>
      <c r="J10" s="400"/>
      <c r="K10" s="400"/>
      <c r="L10" s="400"/>
      <c r="M10" s="411"/>
    </row>
    <row r="11" spans="2:14" ht="18.600000000000001" x14ac:dyDescent="0.3">
      <c r="B11" s="38">
        <v>9</v>
      </c>
      <c r="C11" s="38" t="s">
        <v>42</v>
      </c>
      <c r="D11" s="39">
        <v>90</v>
      </c>
      <c r="E11" s="39">
        <v>90</v>
      </c>
      <c r="F11" s="39">
        <v>35</v>
      </c>
      <c r="H11" s="649" t="s">
        <v>278</v>
      </c>
      <c r="I11" s="649"/>
      <c r="J11" s="401" t="b">
        <v>1</v>
      </c>
      <c r="K11" s="401" t="b">
        <v>1</v>
      </c>
      <c r="L11" s="401" t="b">
        <v>1</v>
      </c>
      <c r="M11" s="412" t="b">
        <v>1</v>
      </c>
    </row>
    <row r="12" spans="2:14" ht="18.600000000000001" x14ac:dyDescent="0.3">
      <c r="B12" s="38">
        <v>10</v>
      </c>
      <c r="C12" s="38" t="s">
        <v>43</v>
      </c>
      <c r="D12" s="39">
        <v>100</v>
      </c>
      <c r="E12" s="39">
        <v>20</v>
      </c>
      <c r="F12" s="39">
        <v>90</v>
      </c>
      <c r="H12" s="649"/>
      <c r="I12" s="649"/>
      <c r="J12" s="401" t="b">
        <v>0</v>
      </c>
      <c r="K12" s="401" t="b">
        <v>1</v>
      </c>
      <c r="L12" s="401" t="b">
        <v>0</v>
      </c>
      <c r="M12" s="412" t="b">
        <v>0</v>
      </c>
    </row>
    <row r="13" spans="2:14" ht="18.600000000000001" x14ac:dyDescent="0.3">
      <c r="B13" s="38">
        <v>11</v>
      </c>
      <c r="C13" s="38" t="s">
        <v>44</v>
      </c>
      <c r="D13" s="39">
        <v>67</v>
      </c>
      <c r="E13" s="39">
        <v>30</v>
      </c>
      <c r="F13" s="39">
        <v>25</v>
      </c>
      <c r="H13" s="649"/>
      <c r="I13" s="649"/>
      <c r="J13" s="401" t="b">
        <v>1</v>
      </c>
      <c r="K13" s="401" t="b">
        <v>0</v>
      </c>
      <c r="L13" s="401" t="b">
        <v>0</v>
      </c>
      <c r="M13" s="412" t="b">
        <v>0</v>
      </c>
    </row>
    <row r="14" spans="2:14" ht="18.600000000000001" x14ac:dyDescent="0.3">
      <c r="B14" s="38">
        <v>12</v>
      </c>
      <c r="C14" s="38" t="s">
        <v>45</v>
      </c>
      <c r="D14" s="39">
        <v>80</v>
      </c>
      <c r="E14" s="39">
        <v>50</v>
      </c>
      <c r="F14" s="39">
        <v>85</v>
      </c>
      <c r="H14" s="649"/>
      <c r="I14" s="649"/>
      <c r="J14" s="401" t="b">
        <v>0</v>
      </c>
      <c r="K14" s="401" t="b">
        <v>0</v>
      </c>
      <c r="L14" s="401" t="b">
        <v>0</v>
      </c>
      <c r="M14" s="412" t="b">
        <v>0</v>
      </c>
    </row>
    <row r="15" spans="2:14" ht="18.600000000000001" x14ac:dyDescent="0.3">
      <c r="B15" s="38">
        <v>13</v>
      </c>
      <c r="C15" s="38" t="s">
        <v>46</v>
      </c>
      <c r="D15" s="39">
        <v>90</v>
      </c>
      <c r="E15" s="39">
        <v>100</v>
      </c>
      <c r="F15" s="39">
        <v>50</v>
      </c>
      <c r="H15" s="402"/>
      <c r="I15" s="402"/>
      <c r="J15" s="402"/>
      <c r="K15" s="402"/>
      <c r="L15" s="402"/>
      <c r="M15" s="413"/>
    </row>
    <row r="16" spans="2:14" ht="18.600000000000001" x14ac:dyDescent="0.3">
      <c r="B16" s="38">
        <v>14</v>
      </c>
      <c r="C16" s="38" t="s">
        <v>34</v>
      </c>
      <c r="D16" s="39">
        <v>40</v>
      </c>
      <c r="E16" s="39">
        <v>70</v>
      </c>
      <c r="F16" s="39">
        <v>60</v>
      </c>
      <c r="H16" s="650" t="s">
        <v>279</v>
      </c>
      <c r="I16" s="650"/>
      <c r="J16" s="403" t="b">
        <v>1</v>
      </c>
      <c r="K16" s="403" t="b">
        <v>0</v>
      </c>
      <c r="L16" s="403" t="b">
        <v>1</v>
      </c>
      <c r="M16" s="414" t="b">
        <v>0</v>
      </c>
      <c r="N16" s="247"/>
    </row>
    <row r="17" spans="1:14" ht="18.600000000000001" x14ac:dyDescent="0.3">
      <c r="B17" s="38"/>
      <c r="C17" s="38"/>
      <c r="D17" s="39"/>
      <c r="E17" s="39"/>
      <c r="F17" s="417"/>
      <c r="H17" s="650"/>
      <c r="I17" s="650"/>
      <c r="J17" s="403" t="b">
        <v>1</v>
      </c>
      <c r="K17" s="403" t="b">
        <v>1</v>
      </c>
      <c r="L17" s="403" t="b">
        <v>1</v>
      </c>
      <c r="M17" s="414" t="b">
        <v>1</v>
      </c>
      <c r="N17" s="247"/>
    </row>
    <row r="18" spans="1:14" ht="18.600000000000001" x14ac:dyDescent="0.3">
      <c r="B18" s="248"/>
      <c r="C18" s="248"/>
      <c r="D18" s="249"/>
      <c r="E18" s="250"/>
      <c r="H18" s="650"/>
      <c r="I18" s="650"/>
      <c r="J18" s="403" t="b">
        <v>0</v>
      </c>
      <c r="K18" s="403" t="b">
        <v>1</v>
      </c>
      <c r="L18" s="403" t="b">
        <v>0</v>
      </c>
      <c r="M18" s="414" t="b">
        <v>1</v>
      </c>
      <c r="N18" s="247"/>
    </row>
    <row r="19" spans="1:14" ht="18.600000000000001" x14ac:dyDescent="0.3">
      <c r="A19" s="651" t="s">
        <v>280</v>
      </c>
      <c r="B19" s="252" t="s">
        <v>281</v>
      </c>
      <c r="C19" s="252" t="b">
        <f>OR(D3&gt;70, E3&gt;70, F3&gt;70)</f>
        <v>1</v>
      </c>
      <c r="D19" s="652" t="s">
        <v>282</v>
      </c>
      <c r="E19" s="254" t="b">
        <f>AND(D5&gt;70, E5&gt;70, F5&gt;70)</f>
        <v>0</v>
      </c>
      <c r="F19" s="255" t="s">
        <v>283</v>
      </c>
      <c r="H19" s="650"/>
      <c r="I19" s="650"/>
      <c r="J19" s="403" t="b">
        <v>0</v>
      </c>
      <c r="K19" s="403" t="b">
        <v>0</v>
      </c>
      <c r="L19" s="403" t="b">
        <v>0</v>
      </c>
      <c r="M19" s="414" t="b">
        <v>0</v>
      </c>
      <c r="N19" s="247"/>
    </row>
    <row r="20" spans="1:14" ht="37.200000000000003" x14ac:dyDescent="0.3">
      <c r="A20" s="651"/>
      <c r="B20" s="251" t="s">
        <v>284</v>
      </c>
      <c r="C20" s="252" t="b">
        <f>OR(D4&gt;70, E4&gt;70, F4&gt;70)</f>
        <v>0</v>
      </c>
      <c r="D20" s="653"/>
      <c r="E20" s="254" t="b">
        <f>AND(D6&gt;70, E6&gt;70, F6&gt;70)</f>
        <v>1</v>
      </c>
      <c r="F20" s="253" t="s">
        <v>285</v>
      </c>
      <c r="H20" s="650"/>
      <c r="I20" s="650"/>
      <c r="J20" s="418" t="s">
        <v>286</v>
      </c>
      <c r="K20" s="418" t="s">
        <v>287</v>
      </c>
      <c r="L20" s="404"/>
      <c r="M20" s="414"/>
      <c r="N20" s="247"/>
    </row>
    <row r="21" spans="1:14" x14ac:dyDescent="0.3">
      <c r="B21" s="248"/>
      <c r="C21" s="256"/>
      <c r="D21" s="257"/>
      <c r="E21" s="258"/>
      <c r="F21" s="259"/>
    </row>
    <row r="22" spans="1:14" x14ac:dyDescent="0.3">
      <c r="B22" s="248"/>
      <c r="C22" s="248"/>
      <c r="D22" s="260"/>
      <c r="E22" s="261"/>
    </row>
    <row r="23" spans="1:14" ht="42" x14ac:dyDescent="0.3">
      <c r="B23" s="248"/>
      <c r="C23" s="248"/>
      <c r="D23" s="249"/>
      <c r="E23" s="250"/>
      <c r="H23" s="415" t="s">
        <v>288</v>
      </c>
      <c r="I23" s="416" t="s">
        <v>289</v>
      </c>
    </row>
    <row r="24" spans="1:14" x14ac:dyDescent="0.3">
      <c r="H24" s="397"/>
      <c r="I24" s="397"/>
    </row>
    <row r="25" spans="1:14" ht="21" customHeight="1" x14ac:dyDescent="0.3">
      <c r="H25" s="645" t="s">
        <v>340</v>
      </c>
      <c r="I25" s="396" t="b">
        <f>NOT(20&gt;10)</f>
        <v>0</v>
      </c>
    </row>
    <row r="26" spans="1:14" ht="21" customHeight="1" x14ac:dyDescent="0.3">
      <c r="H26" s="646"/>
      <c r="I26" s="396" t="b">
        <f>NOT(1+1=2)</f>
        <v>0</v>
      </c>
    </row>
    <row r="27" spans="1:14" ht="21" customHeight="1" x14ac:dyDescent="0.3">
      <c r="H27" s="647"/>
      <c r="I27" s="396" t="b">
        <f>NOT(2*2=5)</f>
        <v>1</v>
      </c>
    </row>
  </sheetData>
  <mergeCells count="6">
    <mergeCell ref="H25:H27"/>
    <mergeCell ref="H6:I9"/>
    <mergeCell ref="H11:I14"/>
    <mergeCell ref="H16:I20"/>
    <mergeCell ref="A19:A20"/>
    <mergeCell ref="D19:D20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964E-F1A4-4B62-8BAF-3E9ED9C929F8}">
  <dimension ref="B2:K25"/>
  <sheetViews>
    <sheetView topLeftCell="A6" zoomScale="68" zoomScaleNormal="80" workbookViewId="0">
      <selection activeCell="D23" sqref="D23"/>
    </sheetView>
  </sheetViews>
  <sheetFormatPr defaultColWidth="22.44140625" defaultRowHeight="21" x14ac:dyDescent="0.3"/>
  <cols>
    <col min="1" max="1" width="22.44140625" style="320"/>
    <col min="2" max="2" width="22" style="320" customWidth="1"/>
    <col min="3" max="3" width="22.44140625" style="320"/>
    <col min="4" max="4" width="19.109375" style="320" customWidth="1"/>
    <col min="5" max="5" width="18.77734375" style="320" customWidth="1"/>
    <col min="6" max="6" width="20.33203125" style="320" customWidth="1"/>
    <col min="7" max="7" width="22.44140625" style="320"/>
    <col min="8" max="8" width="56.77734375" style="320" customWidth="1"/>
    <col min="9" max="9" width="22.44140625" style="320"/>
    <col min="10" max="10" width="33.21875" style="320" customWidth="1"/>
    <col min="11" max="11" width="29.44140625" style="320" customWidth="1"/>
    <col min="12" max="16384" width="22.44140625" style="320"/>
  </cols>
  <sheetData>
    <row r="2" spans="2:11" ht="42" x14ac:dyDescent="0.3">
      <c r="B2" s="318" t="s">
        <v>101</v>
      </c>
      <c r="C2" s="318" t="s">
        <v>102</v>
      </c>
      <c r="D2" s="318" t="s">
        <v>103</v>
      </c>
      <c r="E2" s="318" t="s">
        <v>104</v>
      </c>
      <c r="F2" s="318" t="s">
        <v>105</v>
      </c>
      <c r="G2" s="320" t="b">
        <f>_xlfn.XOR(D5&gt;=50, E5&gt;=50, F5&gt;=50)</f>
        <v>0</v>
      </c>
    </row>
    <row r="3" spans="2:11" ht="23.4" x14ac:dyDescent="0.3">
      <c r="B3" s="330">
        <v>1</v>
      </c>
      <c r="C3" s="423" t="s">
        <v>33</v>
      </c>
      <c r="D3" s="424">
        <v>10</v>
      </c>
      <c r="E3" s="424">
        <v>60</v>
      </c>
      <c r="F3" s="424">
        <v>49</v>
      </c>
    </row>
    <row r="4" spans="2:11" ht="23.4" x14ac:dyDescent="0.3">
      <c r="B4" s="330">
        <v>2</v>
      </c>
      <c r="C4" s="423" t="s">
        <v>35</v>
      </c>
      <c r="D4" s="424">
        <v>20</v>
      </c>
      <c r="E4" s="424">
        <v>90</v>
      </c>
      <c r="F4" s="424">
        <v>70</v>
      </c>
    </row>
    <row r="5" spans="2:11" ht="42" x14ac:dyDescent="0.3">
      <c r="B5" s="330">
        <v>3</v>
      </c>
      <c r="C5" s="423" t="s">
        <v>36</v>
      </c>
      <c r="D5" s="424">
        <v>30</v>
      </c>
      <c r="E5" s="424">
        <v>40</v>
      </c>
      <c r="F5" s="424">
        <v>20</v>
      </c>
      <c r="H5" s="318" t="s">
        <v>335</v>
      </c>
      <c r="I5" s="318" t="s">
        <v>290</v>
      </c>
      <c r="J5" s="318" t="s">
        <v>291</v>
      </c>
      <c r="K5" s="318" t="s">
        <v>291</v>
      </c>
    </row>
    <row r="6" spans="2:11" ht="23.4" x14ac:dyDescent="0.3">
      <c r="B6" s="331">
        <v>4</v>
      </c>
      <c r="C6" s="425" t="s">
        <v>37</v>
      </c>
      <c r="D6" s="426">
        <v>60</v>
      </c>
      <c r="E6" s="426">
        <v>70</v>
      </c>
      <c r="F6" s="426">
        <v>35</v>
      </c>
      <c r="G6" s="654" t="s">
        <v>292</v>
      </c>
      <c r="H6" s="419" t="e" cm="1">
        <f t="array" aca="1" ref="H6" ca="1">ORS(D3&gt;=50, E3&gt;=50, F3&gt;=50)</f>
        <v>#NAME?</v>
      </c>
      <c r="I6" s="319" t="s">
        <v>33</v>
      </c>
      <c r="J6" s="319" t="e">
        <f ca="1">IF(H6, "Passed", "Failed")</f>
        <v>#NAME?</v>
      </c>
      <c r="K6" s="319" t="str">
        <f>IF(OR(D3&gt;=50, E3&gt;=50, F3&gt;=50), "PASSED", "FAILED")</f>
        <v>PASSED</v>
      </c>
    </row>
    <row r="7" spans="2:11" ht="23.4" x14ac:dyDescent="0.3">
      <c r="B7" s="331">
        <v>5</v>
      </c>
      <c r="C7" s="425" t="s">
        <v>38</v>
      </c>
      <c r="D7" s="426">
        <v>30</v>
      </c>
      <c r="E7" s="426">
        <v>25</v>
      </c>
      <c r="F7" s="426">
        <v>40</v>
      </c>
      <c r="G7" s="654"/>
      <c r="H7" s="419" t="b">
        <f>OR(D4&gt;=50, E4&gt;=50, F4&gt;=50)</f>
        <v>1</v>
      </c>
      <c r="I7" s="319" t="s">
        <v>35</v>
      </c>
      <c r="J7" s="319" t="str">
        <f t="shared" ref="J7:J8" si="0">IF(H7, "Passed", "Failed")</f>
        <v>Passed</v>
      </c>
      <c r="K7" s="319" t="str">
        <f t="shared" ref="K7:K8" si="1">IF(OR(D4&gt;=50, E4&gt;=50, F4&gt;=50), "PASSED", "FAILED")</f>
        <v>PASSED</v>
      </c>
    </row>
    <row r="8" spans="2:11" ht="23.4" x14ac:dyDescent="0.3">
      <c r="B8" s="331">
        <v>6</v>
      </c>
      <c r="C8" s="425" t="s">
        <v>39</v>
      </c>
      <c r="D8" s="426">
        <v>60</v>
      </c>
      <c r="E8" s="426">
        <v>50</v>
      </c>
      <c r="F8" s="426">
        <v>80</v>
      </c>
      <c r="G8" s="654"/>
      <c r="H8" s="419" t="b">
        <f>OR(D5&gt;=50, E5&gt;=50, F5&gt;=50)</f>
        <v>0</v>
      </c>
      <c r="I8" s="319" t="s">
        <v>36</v>
      </c>
      <c r="J8" s="319" t="str">
        <f t="shared" si="0"/>
        <v>Failed</v>
      </c>
      <c r="K8" s="319" t="str">
        <f t="shared" si="1"/>
        <v>FAILED</v>
      </c>
    </row>
    <row r="9" spans="2:11" ht="23.4" x14ac:dyDescent="0.3">
      <c r="B9" s="332">
        <v>7</v>
      </c>
      <c r="C9" s="427" t="s">
        <v>40</v>
      </c>
      <c r="D9" s="428">
        <v>70</v>
      </c>
      <c r="E9" s="428">
        <v>40</v>
      </c>
      <c r="F9" s="428">
        <v>100</v>
      </c>
      <c r="H9" s="321"/>
      <c r="I9" s="328"/>
      <c r="J9" s="328"/>
      <c r="K9" s="328"/>
    </row>
    <row r="10" spans="2:11" ht="23.4" x14ac:dyDescent="0.3">
      <c r="B10" s="332">
        <v>8</v>
      </c>
      <c r="C10" s="427" t="s">
        <v>41</v>
      </c>
      <c r="D10" s="428">
        <v>80</v>
      </c>
      <c r="E10" s="428">
        <v>80</v>
      </c>
      <c r="F10" s="428">
        <v>75</v>
      </c>
      <c r="G10" s="655" t="s">
        <v>293</v>
      </c>
      <c r="H10" s="420" t="b">
        <f>AND(D6&gt;=50, E6&gt;=50, F6&gt;=50)</f>
        <v>0</v>
      </c>
      <c r="I10" s="421" t="s">
        <v>37</v>
      </c>
      <c r="J10" s="421" t="str">
        <f>IF(H10, "Excellent", "Poor")</f>
        <v>Poor</v>
      </c>
      <c r="K10" s="421" t="str">
        <f>IF(AND(D6&gt;=50, E6&gt;=50, F6&gt;=50), "EXCELLENT", "POOR" )</f>
        <v>POOR</v>
      </c>
    </row>
    <row r="11" spans="2:11" ht="23.4" x14ac:dyDescent="0.3">
      <c r="B11" s="332">
        <v>9</v>
      </c>
      <c r="C11" s="427" t="s">
        <v>42</v>
      </c>
      <c r="D11" s="428">
        <v>90</v>
      </c>
      <c r="E11" s="428">
        <v>90</v>
      </c>
      <c r="F11" s="428">
        <v>35</v>
      </c>
      <c r="G11" s="656"/>
      <c r="H11" s="420" t="b">
        <f t="shared" ref="H11:H12" si="2">AND(D7&gt;=50, E7&gt;=50, F7&gt;=50)</f>
        <v>0</v>
      </c>
      <c r="I11" s="421" t="s">
        <v>38</v>
      </c>
      <c r="J11" s="421" t="str">
        <f t="shared" ref="J11:J12" si="3">IF(H11, "Excellent", "Poor")</f>
        <v>Poor</v>
      </c>
      <c r="K11" s="421" t="str">
        <f t="shared" ref="K11:K12" si="4">IF(AND(D7&gt;=50, E7&gt;=50, F7&gt;=50), "EXCELLENT", "POOR" )</f>
        <v>POOR</v>
      </c>
    </row>
    <row r="12" spans="2:11" x14ac:dyDescent="0.3">
      <c r="B12" s="323">
        <v>10</v>
      </c>
      <c r="C12" s="323" t="s">
        <v>43</v>
      </c>
      <c r="D12" s="324">
        <v>100</v>
      </c>
      <c r="E12" s="324">
        <v>20</v>
      </c>
      <c r="F12" s="324">
        <v>90</v>
      </c>
      <c r="G12" s="657"/>
      <c r="H12" s="420" t="b">
        <f t="shared" si="2"/>
        <v>1</v>
      </c>
      <c r="I12" s="421" t="s">
        <v>39</v>
      </c>
      <c r="J12" s="421" t="str">
        <f t="shared" si="3"/>
        <v>Excellent</v>
      </c>
      <c r="K12" s="421" t="str">
        <f t="shared" si="4"/>
        <v>EXCELLENT</v>
      </c>
    </row>
    <row r="13" spans="2:11" x14ac:dyDescent="0.3">
      <c r="B13" s="325">
        <v>11</v>
      </c>
      <c r="C13" s="325" t="s">
        <v>44</v>
      </c>
      <c r="D13" s="326">
        <v>67</v>
      </c>
      <c r="E13" s="326">
        <v>30</v>
      </c>
      <c r="F13" s="326">
        <v>25</v>
      </c>
      <c r="H13" s="327"/>
      <c r="I13" s="328"/>
      <c r="J13" s="328"/>
      <c r="K13" s="328"/>
    </row>
    <row r="14" spans="2:11" x14ac:dyDescent="0.3">
      <c r="B14" s="323">
        <v>12</v>
      </c>
      <c r="C14" s="323" t="s">
        <v>45</v>
      </c>
      <c r="D14" s="324">
        <v>80</v>
      </c>
      <c r="E14" s="324">
        <v>50</v>
      </c>
      <c r="F14" s="324">
        <v>85</v>
      </c>
      <c r="G14" s="655" t="s">
        <v>294</v>
      </c>
      <c r="H14" s="422" t="b">
        <f>_xlfn.XOR(D9&gt;=50, E9&gt;=50, F9&gt;=50)</f>
        <v>0</v>
      </c>
      <c r="I14" s="322" t="s">
        <v>40</v>
      </c>
      <c r="J14" s="322" t="str">
        <f>IF(H14, "Good", "Not qualified")</f>
        <v>Not qualified</v>
      </c>
      <c r="K14" s="322" t="str">
        <f>IF(_xlfn.XOR(D9&gt;=50, E9&gt;=50, F9&gt;=50), "GOOD", "NOT QUALIFIED")</f>
        <v>NOT QUALIFIED</v>
      </c>
    </row>
    <row r="15" spans="2:11" x14ac:dyDescent="0.3">
      <c r="B15" s="323">
        <v>13</v>
      </c>
      <c r="C15" s="323" t="s">
        <v>46</v>
      </c>
      <c r="D15" s="324">
        <v>90</v>
      </c>
      <c r="E15" s="324">
        <v>100</v>
      </c>
      <c r="F15" s="324">
        <v>50</v>
      </c>
      <c r="G15" s="656"/>
      <c r="H15" s="422" t="b">
        <f t="shared" ref="H15:H16" si="5">_xlfn.XOR(D10&gt;=50, E10&gt;=50, F10&gt;=50)</f>
        <v>1</v>
      </c>
      <c r="I15" s="322" t="s">
        <v>41</v>
      </c>
      <c r="J15" s="322" t="str">
        <f t="shared" ref="J15:J16" si="6">IF(H15, "Good", "Not qualified")</f>
        <v>Good</v>
      </c>
      <c r="K15" s="322" t="str">
        <f t="shared" ref="K15:K16" si="7">IF(_xlfn.XOR(D10&gt;=50, E10&gt;=50, F10&gt;=50), "GOOD", "NOT QUALIFIED")</f>
        <v>GOOD</v>
      </c>
    </row>
    <row r="16" spans="2:11" x14ac:dyDescent="0.3">
      <c r="B16" s="323">
        <v>14</v>
      </c>
      <c r="C16" s="323" t="s">
        <v>34</v>
      </c>
      <c r="D16" s="324">
        <v>40</v>
      </c>
      <c r="E16" s="324">
        <v>70</v>
      </c>
      <c r="F16" s="324">
        <v>60</v>
      </c>
      <c r="G16" s="657"/>
      <c r="H16" s="422" t="b">
        <f t="shared" si="5"/>
        <v>0</v>
      </c>
      <c r="I16" s="322" t="s">
        <v>42</v>
      </c>
      <c r="J16" s="322" t="str">
        <f t="shared" si="6"/>
        <v>Not qualified</v>
      </c>
      <c r="K16" s="322" t="str">
        <f t="shared" si="7"/>
        <v>NOT QUALIFIED</v>
      </c>
    </row>
    <row r="17" spans="2:11" x14ac:dyDescent="0.3">
      <c r="H17" s="321" t="s">
        <v>295</v>
      </c>
      <c r="J17" s="329"/>
    </row>
    <row r="19" spans="2:11" ht="37.799999999999997" customHeight="1" x14ac:dyDescent="0.3">
      <c r="B19" s="659" t="s">
        <v>343</v>
      </c>
      <c r="C19" s="433" t="b">
        <f>ISBLANK(G9)</f>
        <v>1</v>
      </c>
      <c r="D19" s="659" t="s">
        <v>345</v>
      </c>
      <c r="E19" s="433">
        <f ca="1">IFERROR(H6, 0)</f>
        <v>0</v>
      </c>
      <c r="H19" s="429" t="s">
        <v>342</v>
      </c>
      <c r="I19" s="429" t="s">
        <v>91</v>
      </c>
      <c r="J19" s="429" t="s">
        <v>341</v>
      </c>
      <c r="K19" s="429" t="s">
        <v>239</v>
      </c>
    </row>
    <row r="20" spans="2:11" ht="140.4" x14ac:dyDescent="0.3">
      <c r="B20" s="660"/>
      <c r="C20" s="433" t="b">
        <f>ISBLANK(G10)</f>
        <v>0</v>
      </c>
      <c r="D20" s="660"/>
      <c r="E20" s="433" t="b">
        <f>IFERROR(H7, 0)</f>
        <v>1</v>
      </c>
      <c r="G20" s="333" t="s">
        <v>296</v>
      </c>
      <c r="H20" s="431" t="s">
        <v>297</v>
      </c>
      <c r="I20" s="430">
        <v>3000</v>
      </c>
      <c r="J20" s="430">
        <v>2000</v>
      </c>
      <c r="K20" s="430" t="str">
        <f>IF(_xlfn.XOR(I20&gt;1000, J20&gt;1000), "BONUS", "NO BONUS")</f>
        <v>NO BONUS</v>
      </c>
    </row>
    <row r="21" spans="2:11" ht="50.4" customHeight="1" x14ac:dyDescent="0.3">
      <c r="B21" s="659" t="s">
        <v>344</v>
      </c>
      <c r="C21" s="433" t="b">
        <f>ISERROR(G9)</f>
        <v>0</v>
      </c>
      <c r="D21" s="659" t="s">
        <v>346</v>
      </c>
      <c r="E21" s="433" t="b">
        <f>_xlfn.IFNA(H10, 0)</f>
        <v>0</v>
      </c>
      <c r="I21" s="658" t="s">
        <v>298</v>
      </c>
      <c r="J21" s="658"/>
      <c r="K21" s="658"/>
    </row>
    <row r="22" spans="2:11" ht="31.2" x14ac:dyDescent="0.3">
      <c r="B22" s="660"/>
      <c r="C22" s="433" t="b">
        <f>ISERROR(G10)</f>
        <v>0</v>
      </c>
      <c r="D22" s="660"/>
      <c r="E22" s="433" t="b">
        <f>_xlfn.IFNA(H11, 0)</f>
        <v>0</v>
      </c>
    </row>
    <row r="23" spans="2:11" ht="86.4" x14ac:dyDescent="0.3">
      <c r="B23" s="434" t="s">
        <v>347</v>
      </c>
      <c r="C23" s="435">
        <f>IFERROR(G5, 1)</f>
        <v>0</v>
      </c>
    </row>
    <row r="24" spans="2:11" ht="25.2" x14ac:dyDescent="0.3">
      <c r="B24" s="432"/>
      <c r="C24" s="432"/>
    </row>
    <row r="25" spans="2:11" ht="25.2" x14ac:dyDescent="0.3">
      <c r="B25" s="432"/>
      <c r="C25" s="432"/>
    </row>
  </sheetData>
  <mergeCells count="8">
    <mergeCell ref="G6:G8"/>
    <mergeCell ref="G10:G12"/>
    <mergeCell ref="G14:G16"/>
    <mergeCell ref="I21:K21"/>
    <mergeCell ref="B19:B20"/>
    <mergeCell ref="B21:B22"/>
    <mergeCell ref="D19:D20"/>
    <mergeCell ref="D21:D2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FA89-E11A-493A-908F-F5778172E085}">
  <sheetPr>
    <tabColor theme="7" tint="-0.249977111117893"/>
  </sheetPr>
  <dimension ref="A1:Z1000"/>
  <sheetViews>
    <sheetView topLeftCell="A2" workbookViewId="0">
      <selection activeCell="G14" sqref="G14"/>
    </sheetView>
  </sheetViews>
  <sheetFormatPr defaultColWidth="14.6640625" defaultRowHeight="15" customHeight="1" x14ac:dyDescent="0.35"/>
  <cols>
    <col min="1" max="1" width="7.44140625" style="263" customWidth="1"/>
    <col min="2" max="2" width="21.77734375" style="263" customWidth="1"/>
    <col min="3" max="3" width="19.6640625" style="263" customWidth="1"/>
    <col min="4" max="4" width="17.33203125" style="263" customWidth="1"/>
    <col min="5" max="5" width="16.33203125" style="263" customWidth="1"/>
    <col min="6" max="6" width="14.109375" style="263" customWidth="1"/>
    <col min="7" max="7" width="13.33203125" style="263" customWidth="1"/>
    <col min="8" max="8" width="15.77734375" style="263" customWidth="1"/>
    <col min="9" max="9" width="15.33203125" style="263" customWidth="1"/>
    <col min="10" max="10" width="14.6640625" style="263" customWidth="1"/>
    <col min="11" max="11" width="17.33203125" style="263" customWidth="1"/>
    <col min="12" max="12" width="14.77734375" style="263" customWidth="1"/>
    <col min="13" max="13" width="17" style="263" customWidth="1"/>
    <col min="14" max="14" width="15.21875" style="263" customWidth="1"/>
    <col min="15" max="15" width="18.77734375" style="263" customWidth="1"/>
    <col min="16" max="16" width="15.88671875" style="263" customWidth="1"/>
    <col min="17" max="26" width="18.77734375" style="263" customWidth="1"/>
    <col min="27" max="16384" width="14.6640625" style="263"/>
  </cols>
  <sheetData>
    <row r="1" spans="1:26" ht="15.6" x14ac:dyDescent="0.35">
      <c r="A1" s="26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 spans="1:26" ht="15.6" x14ac:dyDescent="0.35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 spans="1:26" ht="20.25" customHeight="1" x14ac:dyDescent="0.35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</row>
    <row r="4" spans="1:26" ht="18.75" customHeight="1" x14ac:dyDescent="0.35">
      <c r="A4" s="262"/>
      <c r="Q4" s="262"/>
      <c r="R4" s="262"/>
      <c r="S4" s="262"/>
      <c r="T4" s="262"/>
      <c r="U4" s="262"/>
      <c r="V4" s="262"/>
      <c r="W4" s="262"/>
      <c r="X4" s="262"/>
      <c r="Y4" s="262"/>
      <c r="Z4" s="262"/>
    </row>
    <row r="5" spans="1:26" ht="21" customHeight="1" x14ac:dyDescent="0.35">
      <c r="A5" s="262"/>
      <c r="B5" s="436" t="s">
        <v>65</v>
      </c>
      <c r="C5" s="265" t="s">
        <v>88</v>
      </c>
      <c r="D5" s="265" t="s">
        <v>300</v>
      </c>
      <c r="E5" s="265" t="s">
        <v>301</v>
      </c>
      <c r="F5" s="265" t="s">
        <v>301</v>
      </c>
      <c r="G5" s="265" t="s">
        <v>302</v>
      </c>
      <c r="H5" s="265" t="s">
        <v>303</v>
      </c>
      <c r="I5" s="265" t="s">
        <v>304</v>
      </c>
      <c r="J5" s="265" t="s">
        <v>304</v>
      </c>
      <c r="K5" s="265" t="s">
        <v>305</v>
      </c>
      <c r="L5" s="265" t="s">
        <v>306</v>
      </c>
      <c r="M5" s="265" t="s">
        <v>84</v>
      </c>
      <c r="N5" s="265" t="s">
        <v>84</v>
      </c>
      <c r="O5" s="265" t="s">
        <v>88</v>
      </c>
      <c r="P5" s="265" t="s">
        <v>300</v>
      </c>
      <c r="Q5" s="262"/>
      <c r="R5" s="262"/>
      <c r="S5" s="262"/>
      <c r="T5" s="262"/>
      <c r="U5" s="262"/>
      <c r="V5" s="262"/>
      <c r="W5" s="262"/>
      <c r="X5" s="262"/>
      <c r="Y5" s="262"/>
      <c r="Z5" s="262"/>
    </row>
    <row r="6" spans="1:26" ht="21" customHeight="1" x14ac:dyDescent="0.35">
      <c r="A6" s="262"/>
      <c r="B6" s="436" t="s">
        <v>307</v>
      </c>
      <c r="C6" s="266">
        <v>3000</v>
      </c>
      <c r="D6" s="266">
        <v>4000</v>
      </c>
      <c r="E6" s="266">
        <v>6000</v>
      </c>
      <c r="F6" s="266">
        <v>8000</v>
      </c>
      <c r="G6" s="266">
        <v>10000</v>
      </c>
      <c r="H6" s="266">
        <v>14000</v>
      </c>
      <c r="I6" s="266">
        <v>16000</v>
      </c>
      <c r="J6" s="266">
        <v>18000</v>
      </c>
      <c r="K6" s="266">
        <v>20000</v>
      </c>
      <c r="L6" s="266">
        <v>25000</v>
      </c>
      <c r="M6" s="266">
        <v>10000</v>
      </c>
      <c r="N6" s="266">
        <v>30000</v>
      </c>
      <c r="O6" s="266">
        <v>25000</v>
      </c>
      <c r="P6" s="266">
        <v>7000</v>
      </c>
      <c r="Q6" s="262"/>
      <c r="R6" s="262"/>
      <c r="S6" s="262"/>
      <c r="T6" s="262"/>
      <c r="U6" s="262"/>
      <c r="V6" s="262"/>
      <c r="W6" s="262"/>
      <c r="X6" s="262"/>
      <c r="Y6" s="262"/>
      <c r="Z6" s="262"/>
    </row>
    <row r="7" spans="1:26" ht="17.25" customHeight="1" x14ac:dyDescent="0.35">
      <c r="A7" s="262"/>
      <c r="B7" s="436" t="s">
        <v>174</v>
      </c>
      <c r="C7" s="264">
        <v>45665</v>
      </c>
      <c r="D7" s="264">
        <v>45663</v>
      </c>
      <c r="E7" s="264">
        <v>45674</v>
      </c>
      <c r="F7" s="264">
        <v>45667</v>
      </c>
      <c r="G7" s="264">
        <v>45666</v>
      </c>
      <c r="H7" s="264">
        <v>45658</v>
      </c>
      <c r="I7" s="264">
        <v>45660</v>
      </c>
      <c r="J7" s="264">
        <v>45676</v>
      </c>
      <c r="K7" s="264">
        <v>45677</v>
      </c>
      <c r="L7" s="264">
        <v>45667</v>
      </c>
      <c r="M7" s="264">
        <v>45677</v>
      </c>
      <c r="N7" s="264">
        <v>45675</v>
      </c>
      <c r="O7" s="264">
        <v>45672</v>
      </c>
      <c r="P7" s="264">
        <v>45680</v>
      </c>
      <c r="Q7" s="262"/>
      <c r="R7" s="262"/>
      <c r="S7" s="262"/>
      <c r="T7" s="262"/>
      <c r="U7" s="262"/>
      <c r="V7" s="262"/>
      <c r="W7" s="262"/>
      <c r="X7" s="262"/>
      <c r="Y7" s="262"/>
      <c r="Z7" s="262"/>
    </row>
    <row r="8" spans="1:26" ht="21" x14ac:dyDescent="0.35">
      <c r="A8" s="262"/>
      <c r="B8" s="436" t="s">
        <v>299</v>
      </c>
      <c r="C8" s="264" t="s">
        <v>73</v>
      </c>
      <c r="D8" s="265" t="s">
        <v>73</v>
      </c>
      <c r="E8" s="264" t="s">
        <v>73</v>
      </c>
      <c r="F8" s="264" t="s">
        <v>78</v>
      </c>
      <c r="G8" s="264" t="s">
        <v>73</v>
      </c>
      <c r="H8" s="264" t="s">
        <v>81</v>
      </c>
      <c r="I8" s="264" t="s">
        <v>81</v>
      </c>
      <c r="J8" s="265" t="s">
        <v>81</v>
      </c>
      <c r="K8" s="265" t="s">
        <v>71</v>
      </c>
      <c r="L8" s="264" t="s">
        <v>81</v>
      </c>
      <c r="M8" s="264" t="s">
        <v>78</v>
      </c>
      <c r="N8" s="264" t="s">
        <v>71</v>
      </c>
      <c r="O8" s="264" t="s">
        <v>73</v>
      </c>
      <c r="P8" s="264" t="s">
        <v>78</v>
      </c>
      <c r="Q8" s="262"/>
      <c r="R8" s="262"/>
      <c r="S8" s="262"/>
      <c r="T8" s="262"/>
      <c r="U8" s="262"/>
      <c r="V8" s="262"/>
      <c r="W8" s="262"/>
      <c r="X8" s="262"/>
      <c r="Y8" s="262"/>
      <c r="Z8" s="262"/>
    </row>
    <row r="9" spans="1:26" ht="17.25" customHeight="1" x14ac:dyDescent="0.35">
      <c r="A9" s="262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</row>
    <row r="10" spans="1:26" ht="21" customHeight="1" x14ac:dyDescent="0.35">
      <c r="A10" s="262"/>
      <c r="B10" s="439" t="s">
        <v>308</v>
      </c>
      <c r="C10" s="439" t="s">
        <v>307</v>
      </c>
      <c r="D10" s="439" t="s">
        <v>174</v>
      </c>
      <c r="E10" s="440" t="s">
        <v>299</v>
      </c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</row>
    <row r="11" spans="1:26" ht="16.5" customHeight="1" x14ac:dyDescent="0.35">
      <c r="A11" s="262"/>
      <c r="B11" s="437" t="s">
        <v>300</v>
      </c>
      <c r="C11" s="267">
        <f>HLOOKUP(B11, $B$5:$P$7, 2,FALSE)</f>
        <v>4000</v>
      </c>
      <c r="D11" s="268">
        <f>HLOOKUP(B11, $B$5:$P$7, 3, FALSE)</f>
        <v>45663</v>
      </c>
      <c r="E11" s="446" t="str">
        <f>HLOOKUP(B11, $B$5:$P$8, 4, FALSE)</f>
        <v>East</v>
      </c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</row>
    <row r="12" spans="1:26" ht="18" customHeight="1" x14ac:dyDescent="0.35">
      <c r="A12" s="262"/>
      <c r="B12" s="437" t="s">
        <v>302</v>
      </c>
      <c r="C12" s="267">
        <f t="shared" ref="C12:C18" si="0">HLOOKUP(B12, $B$5:$P$7, 2,FALSE)</f>
        <v>10000</v>
      </c>
      <c r="D12" s="268">
        <f t="shared" ref="D12:D18" si="1">HLOOKUP(B12, $B$5:$P$7, 3, FALSE)</f>
        <v>45666</v>
      </c>
      <c r="E12" s="446" t="str">
        <f t="shared" ref="E12:E18" si="2">HLOOKUP(B12, $B$5:$P$8, 4, FALSE)</f>
        <v>East</v>
      </c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</row>
    <row r="13" spans="1:26" ht="18" customHeight="1" x14ac:dyDescent="0.35">
      <c r="A13" s="262"/>
      <c r="B13" s="437" t="s">
        <v>304</v>
      </c>
      <c r="C13" s="267">
        <f t="shared" si="0"/>
        <v>16000</v>
      </c>
      <c r="D13" s="268">
        <f t="shared" si="1"/>
        <v>45660</v>
      </c>
      <c r="E13" s="446" t="str">
        <f t="shared" si="2"/>
        <v>North</v>
      </c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</row>
    <row r="14" spans="1:26" ht="19.8" x14ac:dyDescent="0.35">
      <c r="A14" s="262"/>
      <c r="B14" s="437" t="s">
        <v>303</v>
      </c>
      <c r="C14" s="267">
        <f t="shared" si="0"/>
        <v>14000</v>
      </c>
      <c r="D14" s="268">
        <f t="shared" si="1"/>
        <v>45658</v>
      </c>
      <c r="E14" s="446" t="str">
        <f t="shared" si="2"/>
        <v>North</v>
      </c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</row>
    <row r="15" spans="1:26" ht="19.8" x14ac:dyDescent="0.35">
      <c r="A15" s="262"/>
      <c r="B15" s="438" t="s">
        <v>305</v>
      </c>
      <c r="C15" s="267">
        <f t="shared" si="0"/>
        <v>20000</v>
      </c>
      <c r="D15" s="268">
        <f t="shared" si="1"/>
        <v>45677</v>
      </c>
      <c r="E15" s="446" t="str">
        <f t="shared" si="2"/>
        <v>South</v>
      </c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</row>
    <row r="16" spans="1:26" ht="19.8" x14ac:dyDescent="0.35">
      <c r="A16" s="262"/>
      <c r="B16" s="438" t="s">
        <v>306</v>
      </c>
      <c r="C16" s="267">
        <f t="shared" si="0"/>
        <v>25000</v>
      </c>
      <c r="D16" s="268">
        <f t="shared" si="1"/>
        <v>45667</v>
      </c>
      <c r="E16" s="446" t="str">
        <f t="shared" si="2"/>
        <v>North</v>
      </c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</row>
    <row r="17" spans="1:26" ht="19.8" x14ac:dyDescent="0.35">
      <c r="A17" s="262"/>
      <c r="B17" s="438" t="s">
        <v>301</v>
      </c>
      <c r="C17" s="267">
        <f t="shared" si="0"/>
        <v>6000</v>
      </c>
      <c r="D17" s="268">
        <f t="shared" si="1"/>
        <v>45674</v>
      </c>
      <c r="E17" s="446" t="str">
        <f t="shared" si="2"/>
        <v>East</v>
      </c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</row>
    <row r="18" spans="1:26" ht="19.8" x14ac:dyDescent="0.35">
      <c r="A18" s="262"/>
      <c r="B18" s="438" t="s">
        <v>88</v>
      </c>
      <c r="C18" s="267">
        <f t="shared" si="0"/>
        <v>3000</v>
      </c>
      <c r="D18" s="268">
        <f t="shared" si="1"/>
        <v>45665</v>
      </c>
      <c r="E18" s="446" t="str">
        <f t="shared" si="2"/>
        <v>East</v>
      </c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</row>
    <row r="19" spans="1:26" ht="15.6" x14ac:dyDescent="0.35">
      <c r="A19" s="262"/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</row>
    <row r="20" spans="1:26" ht="15.6" x14ac:dyDescent="0.35">
      <c r="A20" s="262"/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</row>
    <row r="21" spans="1:26" ht="15.6" x14ac:dyDescent="0.35">
      <c r="A21" s="262"/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</row>
    <row r="22" spans="1:26" ht="15.6" x14ac:dyDescent="0.35">
      <c r="A22" s="262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</row>
    <row r="23" spans="1:26" ht="15.6" x14ac:dyDescent="0.35">
      <c r="A23" s="262"/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</row>
    <row r="24" spans="1:26" ht="15.6" x14ac:dyDescent="0.35">
      <c r="A24" s="262"/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</row>
    <row r="25" spans="1:26" ht="15.6" x14ac:dyDescent="0.35">
      <c r="A25" s="262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</row>
    <row r="26" spans="1:26" ht="15.6" x14ac:dyDescent="0.35">
      <c r="A26" s="262"/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</row>
    <row r="27" spans="1:26" ht="15.6" x14ac:dyDescent="0.35">
      <c r="A27" s="262"/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</row>
    <row r="28" spans="1:26" ht="15.6" x14ac:dyDescent="0.35">
      <c r="A28" s="262"/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</row>
    <row r="29" spans="1:26" ht="15.6" x14ac:dyDescent="0.35">
      <c r="A29" s="262"/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</row>
    <row r="30" spans="1:26" ht="15.6" x14ac:dyDescent="0.35">
      <c r="A30" s="262"/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</row>
    <row r="31" spans="1:26" ht="15.6" x14ac:dyDescent="0.35">
      <c r="A31" s="262"/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</row>
    <row r="32" spans="1:26" ht="15.6" x14ac:dyDescent="0.35">
      <c r="A32" s="262"/>
      <c r="B32" s="262"/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</row>
    <row r="33" spans="1:26" ht="15.6" x14ac:dyDescent="0.35">
      <c r="A33" s="262"/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</row>
    <row r="34" spans="1:26" ht="15.6" x14ac:dyDescent="0.35">
      <c r="A34" s="262"/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</row>
    <row r="35" spans="1:26" ht="15.6" x14ac:dyDescent="0.35">
      <c r="A35" s="262"/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</row>
    <row r="36" spans="1:26" ht="15.6" x14ac:dyDescent="0.35">
      <c r="A36" s="262"/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</row>
    <row r="37" spans="1:26" ht="15.6" x14ac:dyDescent="0.35">
      <c r="A37" s="262"/>
      <c r="B37" s="262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</row>
    <row r="38" spans="1:26" ht="15.6" x14ac:dyDescent="0.35">
      <c r="A38" s="262"/>
      <c r="B38" s="262"/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</row>
    <row r="39" spans="1:26" ht="15.6" x14ac:dyDescent="0.35">
      <c r="A39" s="262"/>
      <c r="B39" s="26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</row>
    <row r="40" spans="1:26" ht="15.6" x14ac:dyDescent="0.35">
      <c r="A40" s="262"/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</row>
    <row r="41" spans="1:26" ht="15.6" x14ac:dyDescent="0.35">
      <c r="A41" s="262"/>
      <c r="B41" s="262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</row>
    <row r="42" spans="1:26" ht="15.6" x14ac:dyDescent="0.35">
      <c r="A42" s="262"/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</row>
    <row r="43" spans="1:26" ht="15.6" x14ac:dyDescent="0.35">
      <c r="A43" s="262"/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</row>
    <row r="44" spans="1:26" ht="15.6" x14ac:dyDescent="0.35">
      <c r="A44" s="262"/>
      <c r="B44" s="262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</row>
    <row r="45" spans="1:26" ht="15.6" x14ac:dyDescent="0.35">
      <c r="A45" s="262"/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</row>
    <row r="46" spans="1:26" ht="15.6" x14ac:dyDescent="0.35">
      <c r="A46" s="262"/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</row>
    <row r="47" spans="1:26" ht="15.6" x14ac:dyDescent="0.35">
      <c r="A47" s="262"/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</row>
    <row r="48" spans="1:26" ht="15.6" x14ac:dyDescent="0.35">
      <c r="A48" s="262"/>
      <c r="B48" s="262"/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</row>
    <row r="49" spans="1:26" ht="15.6" x14ac:dyDescent="0.35">
      <c r="A49" s="262"/>
      <c r="B49" s="262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</row>
    <row r="50" spans="1:26" ht="15.6" x14ac:dyDescent="0.35">
      <c r="A50" s="262"/>
      <c r="B50" s="262"/>
      <c r="C50" s="262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</row>
    <row r="51" spans="1:26" ht="15.6" x14ac:dyDescent="0.35">
      <c r="A51" s="262"/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</row>
    <row r="52" spans="1:26" ht="15.6" x14ac:dyDescent="0.35">
      <c r="A52" s="262"/>
      <c r="B52" s="262"/>
      <c r="C52" s="262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</row>
    <row r="53" spans="1:26" ht="15.6" x14ac:dyDescent="0.35">
      <c r="A53" s="262"/>
      <c r="B53" s="262"/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</row>
    <row r="54" spans="1:26" ht="15.6" x14ac:dyDescent="0.35">
      <c r="A54" s="262"/>
      <c r="B54" s="262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</row>
    <row r="55" spans="1:26" ht="15.6" x14ac:dyDescent="0.35">
      <c r="A55" s="262"/>
      <c r="B55" s="262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</row>
    <row r="56" spans="1:26" ht="15.6" x14ac:dyDescent="0.35">
      <c r="A56" s="262"/>
      <c r="B56" s="262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</row>
    <row r="57" spans="1:26" ht="15.6" x14ac:dyDescent="0.35">
      <c r="A57" s="262"/>
      <c r="B57" s="262"/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</row>
    <row r="58" spans="1:26" ht="15.6" x14ac:dyDescent="0.35">
      <c r="A58" s="262"/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</row>
    <row r="59" spans="1:26" ht="15.6" x14ac:dyDescent="0.35">
      <c r="A59" s="262"/>
      <c r="B59" s="262"/>
      <c r="C59" s="262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/>
      <c r="Z59" s="262"/>
    </row>
    <row r="60" spans="1:26" ht="15.6" x14ac:dyDescent="0.35">
      <c r="A60" s="262"/>
      <c r="B60" s="262"/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</row>
    <row r="61" spans="1:26" ht="15.6" x14ac:dyDescent="0.35">
      <c r="A61" s="262"/>
      <c r="B61" s="262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</row>
    <row r="62" spans="1:26" ht="15.6" x14ac:dyDescent="0.35">
      <c r="A62" s="262"/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</row>
    <row r="63" spans="1:26" ht="15.6" x14ac:dyDescent="0.35">
      <c r="A63" s="262"/>
      <c r="B63" s="262"/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</row>
    <row r="64" spans="1:26" ht="15.6" x14ac:dyDescent="0.35">
      <c r="A64" s="262"/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</row>
    <row r="65" spans="1:26" ht="15.6" x14ac:dyDescent="0.35">
      <c r="A65" s="262"/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</row>
    <row r="66" spans="1:26" ht="15.6" x14ac:dyDescent="0.35">
      <c r="A66" s="262"/>
      <c r="B66" s="262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</row>
    <row r="67" spans="1:26" ht="15.6" x14ac:dyDescent="0.35">
      <c r="A67" s="262"/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</row>
    <row r="68" spans="1:26" ht="15.6" x14ac:dyDescent="0.35">
      <c r="A68" s="262"/>
      <c r="B68" s="262"/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</row>
    <row r="69" spans="1:26" ht="15.6" x14ac:dyDescent="0.35">
      <c r="A69" s="262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</row>
    <row r="70" spans="1:26" ht="15.6" x14ac:dyDescent="0.35">
      <c r="A70" s="262"/>
      <c r="B70" s="262"/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262"/>
    </row>
    <row r="71" spans="1:26" ht="15.6" x14ac:dyDescent="0.35">
      <c r="A71" s="262"/>
      <c r="B71" s="262"/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  <c r="Z71" s="262"/>
    </row>
    <row r="72" spans="1:26" ht="15.6" x14ac:dyDescent="0.35">
      <c r="A72" s="262"/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  <c r="Z72" s="262"/>
    </row>
    <row r="73" spans="1:26" ht="15.6" x14ac:dyDescent="0.35">
      <c r="A73" s="262"/>
      <c r="B73" s="262"/>
      <c r="C73" s="262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  <c r="Z73" s="262"/>
    </row>
    <row r="74" spans="1:26" ht="15.6" x14ac:dyDescent="0.35">
      <c r="A74" s="262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</row>
    <row r="75" spans="1:26" ht="15.6" x14ac:dyDescent="0.35">
      <c r="A75" s="262"/>
      <c r="B75" s="262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</row>
    <row r="76" spans="1:26" ht="15.6" x14ac:dyDescent="0.35">
      <c r="A76" s="262"/>
      <c r="B76" s="26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</row>
    <row r="77" spans="1:26" ht="15.6" x14ac:dyDescent="0.35">
      <c r="A77" s="262"/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</row>
    <row r="78" spans="1:26" ht="15.6" x14ac:dyDescent="0.35">
      <c r="A78" s="262"/>
      <c r="B78" s="262"/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</row>
    <row r="79" spans="1:26" ht="15.6" x14ac:dyDescent="0.35">
      <c r="A79" s="262"/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</row>
    <row r="80" spans="1:26" ht="15.6" x14ac:dyDescent="0.35">
      <c r="A80" s="262"/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262"/>
    </row>
    <row r="81" spans="1:26" ht="15.6" x14ac:dyDescent="0.35">
      <c r="A81" s="262"/>
      <c r="B81" s="262"/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  <c r="Z81" s="262"/>
    </row>
    <row r="82" spans="1:26" ht="15.6" x14ac:dyDescent="0.35">
      <c r="A82" s="262"/>
      <c r="B82" s="262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  <c r="Z82" s="262"/>
    </row>
    <row r="83" spans="1:26" ht="15.6" x14ac:dyDescent="0.35">
      <c r="A83" s="262"/>
      <c r="B83" s="262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</row>
    <row r="84" spans="1:26" ht="15.6" x14ac:dyDescent="0.35">
      <c r="A84" s="262"/>
      <c r="B84" s="262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</row>
    <row r="85" spans="1:26" ht="15.6" x14ac:dyDescent="0.35">
      <c r="A85" s="262"/>
      <c r="B85" s="26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</row>
    <row r="86" spans="1:26" ht="15.6" x14ac:dyDescent="0.35">
      <c r="A86" s="262"/>
      <c r="B86" s="262"/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</row>
    <row r="87" spans="1:26" ht="15.6" x14ac:dyDescent="0.35">
      <c r="A87" s="262"/>
      <c r="B87" s="262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</row>
    <row r="88" spans="1:26" ht="15.6" x14ac:dyDescent="0.35">
      <c r="A88" s="262"/>
      <c r="B88" s="262"/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</row>
    <row r="89" spans="1:26" ht="15.6" x14ac:dyDescent="0.35">
      <c r="A89" s="262"/>
      <c r="B89" s="262"/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</row>
    <row r="90" spans="1:26" ht="15.6" x14ac:dyDescent="0.35">
      <c r="A90" s="262"/>
      <c r="B90" s="262"/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</row>
    <row r="91" spans="1:26" ht="15.6" x14ac:dyDescent="0.35">
      <c r="A91" s="262"/>
      <c r="B91" s="262"/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</row>
    <row r="92" spans="1:26" ht="15.6" x14ac:dyDescent="0.35">
      <c r="A92" s="262"/>
      <c r="B92" s="262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</row>
    <row r="93" spans="1:26" ht="15.6" x14ac:dyDescent="0.35">
      <c r="A93" s="262"/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</row>
    <row r="94" spans="1:26" ht="15.6" x14ac:dyDescent="0.35">
      <c r="A94" s="262"/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</row>
    <row r="95" spans="1:26" ht="15.6" x14ac:dyDescent="0.35">
      <c r="A95" s="262"/>
      <c r="B95" s="262"/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</row>
    <row r="96" spans="1:26" ht="15.6" x14ac:dyDescent="0.35">
      <c r="A96" s="262"/>
      <c r="B96" s="262"/>
      <c r="C96" s="262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</row>
    <row r="97" spans="1:26" ht="15.6" x14ac:dyDescent="0.35">
      <c r="A97" s="262"/>
      <c r="B97" s="262"/>
      <c r="C97" s="262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</row>
    <row r="98" spans="1:26" ht="15.6" x14ac:dyDescent="0.35">
      <c r="A98" s="262"/>
      <c r="B98" s="262"/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</row>
    <row r="99" spans="1:26" ht="15.6" x14ac:dyDescent="0.35">
      <c r="A99" s="262"/>
      <c r="B99" s="26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</row>
    <row r="100" spans="1:26" ht="15.6" x14ac:dyDescent="0.35">
      <c r="A100" s="262"/>
      <c r="B100" s="262"/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</row>
    <row r="101" spans="1:26" ht="15.6" x14ac:dyDescent="0.3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</row>
    <row r="102" spans="1:26" ht="15.6" x14ac:dyDescent="0.3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</row>
    <row r="103" spans="1:26" ht="15.6" x14ac:dyDescent="0.3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</row>
    <row r="104" spans="1:26" ht="15.6" x14ac:dyDescent="0.3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</row>
    <row r="105" spans="1:26" ht="15.6" x14ac:dyDescent="0.3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</row>
    <row r="106" spans="1:26" ht="15.6" x14ac:dyDescent="0.3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</row>
    <row r="107" spans="1:26" ht="15.6" x14ac:dyDescent="0.3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</row>
    <row r="108" spans="1:26" ht="15.6" x14ac:dyDescent="0.3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</row>
    <row r="109" spans="1:26" ht="15.6" x14ac:dyDescent="0.35">
      <c r="A109" s="262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</row>
    <row r="110" spans="1:26" ht="15.6" x14ac:dyDescent="0.35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</row>
    <row r="111" spans="1:26" ht="15.6" x14ac:dyDescent="0.35">
      <c r="A111" s="262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</row>
    <row r="112" spans="1:26" ht="15.6" x14ac:dyDescent="0.35">
      <c r="A112" s="262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</row>
    <row r="113" spans="1:26" ht="15.6" x14ac:dyDescent="0.35">
      <c r="A113" s="262"/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</row>
    <row r="114" spans="1:26" ht="15.6" x14ac:dyDescent="0.35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</row>
    <row r="115" spans="1:26" ht="15.6" x14ac:dyDescent="0.35">
      <c r="A115" s="262"/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</row>
    <row r="116" spans="1:26" ht="15.6" x14ac:dyDescent="0.35">
      <c r="A116" s="262"/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</row>
    <row r="117" spans="1:26" ht="15.6" x14ac:dyDescent="0.35">
      <c r="A117" s="262"/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</row>
    <row r="118" spans="1:26" ht="15.6" x14ac:dyDescent="0.35">
      <c r="A118" s="262"/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</row>
    <row r="119" spans="1:26" ht="15.6" x14ac:dyDescent="0.35">
      <c r="A119" s="262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</row>
    <row r="120" spans="1:26" ht="15.6" x14ac:dyDescent="0.35">
      <c r="A120" s="262"/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</row>
    <row r="121" spans="1:26" ht="15.6" x14ac:dyDescent="0.35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</row>
    <row r="122" spans="1:26" ht="15.6" x14ac:dyDescent="0.35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</row>
    <row r="123" spans="1:26" ht="15.6" x14ac:dyDescent="0.35">
      <c r="A123" s="262"/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</row>
    <row r="124" spans="1:26" ht="15.6" x14ac:dyDescent="0.35">
      <c r="A124" s="262"/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</row>
    <row r="125" spans="1:26" ht="15.6" x14ac:dyDescent="0.35">
      <c r="A125" s="262"/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</row>
    <row r="126" spans="1:26" ht="15.6" x14ac:dyDescent="0.35">
      <c r="A126" s="262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</row>
    <row r="127" spans="1:26" ht="15.6" x14ac:dyDescent="0.35">
      <c r="A127" s="262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</row>
    <row r="128" spans="1:26" ht="15.6" x14ac:dyDescent="0.35">
      <c r="A128" s="262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</row>
    <row r="129" spans="1:26" ht="15.6" x14ac:dyDescent="0.35">
      <c r="A129" s="262"/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</row>
    <row r="130" spans="1:26" ht="15.6" x14ac:dyDescent="0.35">
      <c r="A130" s="262"/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</row>
    <row r="131" spans="1:26" ht="15.6" x14ac:dyDescent="0.35">
      <c r="A131" s="262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</row>
    <row r="132" spans="1:26" ht="15.6" x14ac:dyDescent="0.35">
      <c r="A132" s="26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</row>
    <row r="133" spans="1:26" ht="15.6" x14ac:dyDescent="0.35">
      <c r="A133" s="262"/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</row>
    <row r="134" spans="1:26" ht="15.6" x14ac:dyDescent="0.35">
      <c r="A134" s="262"/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</row>
    <row r="135" spans="1:26" ht="15.6" x14ac:dyDescent="0.35">
      <c r="A135" s="262"/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</row>
    <row r="136" spans="1:26" ht="15.6" x14ac:dyDescent="0.35">
      <c r="A136" s="262"/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</row>
    <row r="137" spans="1:26" ht="15.6" x14ac:dyDescent="0.35">
      <c r="A137" s="262"/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</row>
    <row r="138" spans="1:26" ht="15.6" x14ac:dyDescent="0.35">
      <c r="A138" s="262"/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</row>
    <row r="139" spans="1:26" ht="15.6" x14ac:dyDescent="0.35">
      <c r="A139" s="262"/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</row>
    <row r="140" spans="1:26" ht="15.6" x14ac:dyDescent="0.35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</row>
    <row r="141" spans="1:26" ht="15.6" x14ac:dyDescent="0.35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</row>
    <row r="142" spans="1:26" ht="15.6" x14ac:dyDescent="0.35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</row>
    <row r="143" spans="1:26" ht="15.6" x14ac:dyDescent="0.35">
      <c r="A143" s="262"/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</row>
    <row r="144" spans="1:26" ht="15.6" x14ac:dyDescent="0.35">
      <c r="A144" s="262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</row>
    <row r="145" spans="1:26" ht="15.6" x14ac:dyDescent="0.35">
      <c r="A145" s="262"/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</row>
    <row r="146" spans="1:26" ht="15.6" x14ac:dyDescent="0.35">
      <c r="A146" s="262"/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</row>
    <row r="147" spans="1:26" ht="15.6" x14ac:dyDescent="0.35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</row>
    <row r="148" spans="1:26" ht="15.6" x14ac:dyDescent="0.35">
      <c r="A148" s="262"/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</row>
    <row r="149" spans="1:26" ht="15.6" x14ac:dyDescent="0.35">
      <c r="A149" s="262"/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</row>
    <row r="150" spans="1:26" ht="15.6" x14ac:dyDescent="0.35">
      <c r="A150" s="262"/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</row>
    <row r="151" spans="1:26" ht="15.6" x14ac:dyDescent="0.35">
      <c r="A151" s="262"/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</row>
    <row r="152" spans="1:26" ht="15.6" x14ac:dyDescent="0.35">
      <c r="A152" s="262"/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</row>
    <row r="153" spans="1:26" ht="15.6" x14ac:dyDescent="0.3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</row>
    <row r="154" spans="1:26" ht="15.6" x14ac:dyDescent="0.3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</row>
    <row r="155" spans="1:26" ht="15.6" x14ac:dyDescent="0.3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</row>
    <row r="156" spans="1:26" ht="15.6" x14ac:dyDescent="0.3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</row>
    <row r="157" spans="1:26" ht="15.6" x14ac:dyDescent="0.3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</row>
    <row r="158" spans="1:26" ht="15.6" x14ac:dyDescent="0.3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</row>
    <row r="159" spans="1:26" ht="15.6" x14ac:dyDescent="0.3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</row>
    <row r="160" spans="1:26" ht="15.6" x14ac:dyDescent="0.3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</row>
    <row r="161" spans="1:26" ht="15.6" x14ac:dyDescent="0.3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</row>
    <row r="162" spans="1:26" ht="15.6" x14ac:dyDescent="0.3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</row>
    <row r="163" spans="1:26" ht="15.6" x14ac:dyDescent="0.3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</row>
    <row r="164" spans="1:26" ht="15.6" x14ac:dyDescent="0.3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</row>
    <row r="165" spans="1:26" ht="15.6" x14ac:dyDescent="0.3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</row>
    <row r="166" spans="1:26" ht="15.6" x14ac:dyDescent="0.3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</row>
    <row r="167" spans="1:26" ht="15.6" x14ac:dyDescent="0.3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</row>
    <row r="168" spans="1:26" ht="15.6" x14ac:dyDescent="0.35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62"/>
    </row>
    <row r="169" spans="1:26" ht="15.6" x14ac:dyDescent="0.35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62"/>
    </row>
    <row r="170" spans="1:26" ht="15.6" x14ac:dyDescent="0.35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</row>
    <row r="171" spans="1:26" ht="15.6" x14ac:dyDescent="0.35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62"/>
    </row>
    <row r="172" spans="1:26" ht="15.6" x14ac:dyDescent="0.35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</row>
    <row r="173" spans="1:26" ht="15.6" x14ac:dyDescent="0.35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62"/>
    </row>
    <row r="174" spans="1:26" ht="15.6" x14ac:dyDescent="0.35">
      <c r="A174" s="262"/>
      <c r="B174" s="262"/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</row>
    <row r="175" spans="1:26" ht="15.6" x14ac:dyDescent="0.35">
      <c r="A175" s="262"/>
      <c r="B175" s="262"/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</row>
    <row r="176" spans="1:26" ht="15.6" x14ac:dyDescent="0.35">
      <c r="A176" s="262"/>
      <c r="B176" s="262"/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</row>
    <row r="177" spans="1:26" ht="15.6" x14ac:dyDescent="0.35">
      <c r="A177" s="262"/>
      <c r="B177" s="262"/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</row>
    <row r="178" spans="1:26" ht="15.6" x14ac:dyDescent="0.35">
      <c r="A178" s="262"/>
      <c r="B178" s="262"/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</row>
    <row r="179" spans="1:26" ht="15.6" x14ac:dyDescent="0.35">
      <c r="A179" s="262"/>
      <c r="B179" s="262"/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</row>
    <row r="180" spans="1:26" ht="15.6" x14ac:dyDescent="0.35">
      <c r="A180" s="262"/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</row>
    <row r="181" spans="1:26" ht="15.6" x14ac:dyDescent="0.35">
      <c r="A181" s="262"/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</row>
    <row r="182" spans="1:26" ht="15.6" x14ac:dyDescent="0.35">
      <c r="A182" s="262"/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</row>
    <row r="183" spans="1:26" ht="15.6" x14ac:dyDescent="0.35">
      <c r="A183" s="262"/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</row>
    <row r="184" spans="1:26" ht="15.6" x14ac:dyDescent="0.35">
      <c r="A184" s="262"/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</row>
    <row r="185" spans="1:26" ht="15.6" x14ac:dyDescent="0.35">
      <c r="A185" s="262"/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</row>
    <row r="186" spans="1:26" ht="15.6" x14ac:dyDescent="0.35">
      <c r="A186" s="262"/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</row>
    <row r="187" spans="1:26" ht="15.6" x14ac:dyDescent="0.35">
      <c r="A187" s="262"/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</row>
    <row r="188" spans="1:26" ht="15.6" x14ac:dyDescent="0.35">
      <c r="A188" s="262"/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</row>
    <row r="189" spans="1:26" ht="15.6" x14ac:dyDescent="0.35">
      <c r="A189" s="262"/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</row>
    <row r="190" spans="1:26" ht="15.6" x14ac:dyDescent="0.35">
      <c r="A190" s="262"/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</row>
    <row r="191" spans="1:26" ht="15.6" x14ac:dyDescent="0.35">
      <c r="A191" s="262"/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</row>
    <row r="192" spans="1:26" ht="15.6" x14ac:dyDescent="0.35">
      <c r="A192" s="262"/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</row>
    <row r="193" spans="1:26" ht="15.6" x14ac:dyDescent="0.35">
      <c r="A193" s="262"/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</row>
    <row r="194" spans="1:26" ht="15.6" x14ac:dyDescent="0.35">
      <c r="A194" s="262"/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</row>
    <row r="195" spans="1:26" ht="15.6" x14ac:dyDescent="0.35">
      <c r="A195" s="262"/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</row>
    <row r="196" spans="1:26" ht="15.6" x14ac:dyDescent="0.35">
      <c r="A196" s="262"/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</row>
    <row r="197" spans="1:26" ht="15.6" x14ac:dyDescent="0.35">
      <c r="A197" s="262"/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</row>
    <row r="198" spans="1:26" ht="15.6" x14ac:dyDescent="0.35">
      <c r="A198" s="262"/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</row>
    <row r="199" spans="1:26" ht="15.6" x14ac:dyDescent="0.35">
      <c r="A199" s="262"/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</row>
    <row r="200" spans="1:26" ht="15.6" x14ac:dyDescent="0.35">
      <c r="A200" s="262"/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</row>
    <row r="201" spans="1:26" ht="15.6" x14ac:dyDescent="0.35">
      <c r="A201" s="262"/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</row>
    <row r="202" spans="1:26" ht="15.6" x14ac:dyDescent="0.35">
      <c r="A202" s="262"/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</row>
    <row r="203" spans="1:26" ht="15.6" x14ac:dyDescent="0.35">
      <c r="A203" s="262"/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</row>
    <row r="204" spans="1:26" ht="15.6" x14ac:dyDescent="0.35">
      <c r="A204" s="262"/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</row>
    <row r="205" spans="1:26" ht="15.6" x14ac:dyDescent="0.35">
      <c r="A205" s="262"/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</row>
    <row r="206" spans="1:26" ht="15.6" x14ac:dyDescent="0.35">
      <c r="A206" s="262"/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</row>
    <row r="207" spans="1:26" ht="15.6" x14ac:dyDescent="0.35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</row>
    <row r="208" spans="1:26" ht="15.6" x14ac:dyDescent="0.35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</row>
    <row r="209" spans="1:26" ht="15.6" x14ac:dyDescent="0.35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</row>
    <row r="210" spans="1:26" ht="15.6" x14ac:dyDescent="0.35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</row>
    <row r="211" spans="1:26" ht="15.6" x14ac:dyDescent="0.35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</row>
    <row r="212" spans="1:26" ht="15.6" x14ac:dyDescent="0.35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</row>
    <row r="213" spans="1:26" ht="15.6" x14ac:dyDescent="0.35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</row>
    <row r="214" spans="1:26" ht="15.6" x14ac:dyDescent="0.35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</row>
    <row r="215" spans="1:26" ht="15.6" x14ac:dyDescent="0.3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</row>
    <row r="216" spans="1:26" ht="15.6" x14ac:dyDescent="0.35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</row>
    <row r="217" spans="1:26" ht="15.6" x14ac:dyDescent="0.35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</row>
    <row r="218" spans="1:26" ht="15.6" x14ac:dyDescent="0.35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</row>
    <row r="219" spans="1:26" ht="15.6" x14ac:dyDescent="0.35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</row>
    <row r="220" spans="1:26" ht="15.6" x14ac:dyDescent="0.35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</row>
    <row r="221" spans="1:26" ht="15.6" x14ac:dyDescent="0.35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</row>
    <row r="222" spans="1:26" ht="15.6" x14ac:dyDescent="0.35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</row>
    <row r="223" spans="1:26" ht="15.6" x14ac:dyDescent="0.35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</row>
    <row r="224" spans="1:26" ht="15.6" x14ac:dyDescent="0.35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</row>
    <row r="225" spans="1:26" ht="15.6" x14ac:dyDescent="0.3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</row>
    <row r="226" spans="1:26" ht="15.6" x14ac:dyDescent="0.35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</row>
    <row r="227" spans="1:26" ht="15.6" x14ac:dyDescent="0.35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</row>
    <row r="228" spans="1:26" ht="15.6" x14ac:dyDescent="0.35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</row>
    <row r="229" spans="1:26" ht="15.6" x14ac:dyDescent="0.35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</row>
    <row r="230" spans="1:26" ht="15.6" x14ac:dyDescent="0.35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</row>
    <row r="231" spans="1:26" ht="15.6" x14ac:dyDescent="0.35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</row>
    <row r="232" spans="1:26" ht="15.6" x14ac:dyDescent="0.35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</row>
    <row r="233" spans="1:26" ht="15.6" x14ac:dyDescent="0.35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</row>
    <row r="234" spans="1:26" ht="15.6" x14ac:dyDescent="0.35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</row>
    <row r="235" spans="1:26" ht="15.6" x14ac:dyDescent="0.3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</row>
    <row r="236" spans="1:26" ht="15.6" x14ac:dyDescent="0.35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</row>
    <row r="237" spans="1:26" ht="15.6" x14ac:dyDescent="0.35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</row>
    <row r="238" spans="1:26" ht="15.6" x14ac:dyDescent="0.35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</row>
    <row r="239" spans="1:26" ht="15.6" x14ac:dyDescent="0.35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</row>
    <row r="240" spans="1:26" ht="15.6" x14ac:dyDescent="0.35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</row>
    <row r="241" spans="1:26" ht="15.6" x14ac:dyDescent="0.35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</row>
    <row r="242" spans="1:26" ht="15.6" x14ac:dyDescent="0.35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</row>
    <row r="243" spans="1:26" ht="15.6" x14ac:dyDescent="0.35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</row>
    <row r="244" spans="1:26" ht="15.6" x14ac:dyDescent="0.35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</row>
    <row r="245" spans="1:26" ht="15.6" x14ac:dyDescent="0.3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</row>
    <row r="246" spans="1:26" ht="15.6" x14ac:dyDescent="0.35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</row>
    <row r="247" spans="1:26" ht="15.6" x14ac:dyDescent="0.35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</row>
    <row r="248" spans="1:26" ht="15.6" x14ac:dyDescent="0.35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</row>
    <row r="249" spans="1:26" ht="15.6" x14ac:dyDescent="0.35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</row>
    <row r="250" spans="1:26" ht="15.6" x14ac:dyDescent="0.35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</row>
    <row r="251" spans="1:26" ht="15.6" x14ac:dyDescent="0.35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</row>
    <row r="252" spans="1:26" ht="15.6" x14ac:dyDescent="0.35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</row>
    <row r="253" spans="1:26" ht="15.6" x14ac:dyDescent="0.35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</row>
    <row r="254" spans="1:26" ht="15.6" x14ac:dyDescent="0.35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</row>
    <row r="255" spans="1:26" ht="15.6" x14ac:dyDescent="0.3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</row>
    <row r="256" spans="1:26" ht="15.6" x14ac:dyDescent="0.35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</row>
    <row r="257" spans="1:26" ht="15.6" x14ac:dyDescent="0.35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</row>
    <row r="258" spans="1:26" ht="15.6" x14ac:dyDescent="0.35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</row>
    <row r="259" spans="1:26" ht="15.6" x14ac:dyDescent="0.35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</row>
    <row r="260" spans="1:26" ht="15.6" x14ac:dyDescent="0.35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</row>
    <row r="261" spans="1:26" ht="15.6" x14ac:dyDescent="0.35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</row>
    <row r="262" spans="1:26" ht="15.6" x14ac:dyDescent="0.35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</row>
    <row r="263" spans="1:26" ht="15.6" x14ac:dyDescent="0.35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</row>
    <row r="264" spans="1:26" ht="15.6" x14ac:dyDescent="0.35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</row>
    <row r="265" spans="1:26" ht="15.6" x14ac:dyDescent="0.3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</row>
    <row r="266" spans="1:26" ht="15.6" x14ac:dyDescent="0.35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</row>
    <row r="267" spans="1:26" ht="15.6" x14ac:dyDescent="0.35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</row>
    <row r="268" spans="1:26" ht="15.6" x14ac:dyDescent="0.35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</row>
    <row r="269" spans="1:26" ht="15.6" x14ac:dyDescent="0.35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</row>
    <row r="270" spans="1:26" ht="15.6" x14ac:dyDescent="0.35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</row>
    <row r="271" spans="1:26" ht="15.6" x14ac:dyDescent="0.35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</row>
    <row r="272" spans="1:26" ht="15.6" x14ac:dyDescent="0.35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</row>
    <row r="273" spans="1:26" ht="15.6" x14ac:dyDescent="0.35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</row>
    <row r="274" spans="1:26" ht="15.6" x14ac:dyDescent="0.35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</row>
    <row r="275" spans="1:26" ht="15.6" x14ac:dyDescent="0.3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</row>
    <row r="276" spans="1:26" ht="15.6" x14ac:dyDescent="0.35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</row>
    <row r="277" spans="1:26" ht="15.6" x14ac:dyDescent="0.35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</row>
    <row r="278" spans="1:26" ht="15.6" x14ac:dyDescent="0.35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</row>
    <row r="279" spans="1:26" ht="15.6" x14ac:dyDescent="0.35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</row>
    <row r="280" spans="1:26" ht="15.6" x14ac:dyDescent="0.35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</row>
    <row r="281" spans="1:26" ht="15.6" x14ac:dyDescent="0.35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</row>
    <row r="282" spans="1:26" ht="15.6" x14ac:dyDescent="0.35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</row>
    <row r="283" spans="1:26" ht="15.6" x14ac:dyDescent="0.35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</row>
    <row r="284" spans="1:26" ht="15.6" x14ac:dyDescent="0.35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</row>
    <row r="285" spans="1:26" ht="15.6" x14ac:dyDescent="0.3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</row>
    <row r="286" spans="1:26" ht="15.6" x14ac:dyDescent="0.35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</row>
    <row r="287" spans="1:26" ht="15.6" x14ac:dyDescent="0.35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</row>
    <row r="288" spans="1:26" ht="15.6" x14ac:dyDescent="0.35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</row>
    <row r="289" spans="1:26" ht="15.6" x14ac:dyDescent="0.35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</row>
    <row r="290" spans="1:26" ht="15.6" x14ac:dyDescent="0.35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</row>
    <row r="291" spans="1:26" ht="15.6" x14ac:dyDescent="0.35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</row>
    <row r="292" spans="1:26" ht="15.6" x14ac:dyDescent="0.35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</row>
    <row r="293" spans="1:26" ht="15.6" x14ac:dyDescent="0.35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</row>
    <row r="294" spans="1:26" ht="15.6" x14ac:dyDescent="0.35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</row>
    <row r="295" spans="1:26" ht="15.6" x14ac:dyDescent="0.3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</row>
    <row r="296" spans="1:26" ht="15.6" x14ac:dyDescent="0.35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</row>
    <row r="297" spans="1:26" ht="15.6" x14ac:dyDescent="0.35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</row>
    <row r="298" spans="1:26" ht="15.6" x14ac:dyDescent="0.35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</row>
    <row r="299" spans="1:26" ht="15.6" x14ac:dyDescent="0.35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</row>
    <row r="300" spans="1:26" ht="15.6" x14ac:dyDescent="0.35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</row>
    <row r="301" spans="1:26" ht="15.6" x14ac:dyDescent="0.35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</row>
    <row r="302" spans="1:26" ht="15.6" x14ac:dyDescent="0.35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</row>
    <row r="303" spans="1:26" ht="15.6" x14ac:dyDescent="0.35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</row>
    <row r="304" spans="1:26" ht="15.6" x14ac:dyDescent="0.35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</row>
    <row r="305" spans="1:26" ht="15.6" x14ac:dyDescent="0.3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</row>
    <row r="306" spans="1:26" ht="15.6" x14ac:dyDescent="0.35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</row>
    <row r="307" spans="1:26" ht="15.6" x14ac:dyDescent="0.35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</row>
    <row r="308" spans="1:26" ht="15.6" x14ac:dyDescent="0.35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</row>
    <row r="309" spans="1:26" ht="15.6" x14ac:dyDescent="0.35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</row>
    <row r="310" spans="1:26" ht="15.6" x14ac:dyDescent="0.35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</row>
    <row r="311" spans="1:26" ht="15.6" x14ac:dyDescent="0.35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</row>
    <row r="312" spans="1:26" ht="15.6" x14ac:dyDescent="0.35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</row>
    <row r="313" spans="1:26" ht="15.6" x14ac:dyDescent="0.35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</row>
    <row r="314" spans="1:26" ht="15.6" x14ac:dyDescent="0.35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</row>
    <row r="315" spans="1:26" ht="15.6" x14ac:dyDescent="0.3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</row>
    <row r="316" spans="1:26" ht="15.6" x14ac:dyDescent="0.35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</row>
    <row r="317" spans="1:26" ht="15.6" x14ac:dyDescent="0.35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</row>
    <row r="318" spans="1:26" ht="15.6" x14ac:dyDescent="0.35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</row>
    <row r="319" spans="1:26" ht="15.6" x14ac:dyDescent="0.35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</row>
    <row r="320" spans="1:26" ht="15.6" x14ac:dyDescent="0.35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</row>
    <row r="321" spans="1:26" ht="15.6" x14ac:dyDescent="0.35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</row>
    <row r="322" spans="1:26" ht="15.6" x14ac:dyDescent="0.35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</row>
    <row r="323" spans="1:26" ht="15.6" x14ac:dyDescent="0.35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</row>
    <row r="324" spans="1:26" ht="15.6" x14ac:dyDescent="0.35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</row>
    <row r="325" spans="1:26" ht="15.6" x14ac:dyDescent="0.3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</row>
    <row r="326" spans="1:26" ht="15.6" x14ac:dyDescent="0.35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</row>
    <row r="327" spans="1:26" ht="15.6" x14ac:dyDescent="0.35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</row>
    <row r="328" spans="1:26" ht="15.6" x14ac:dyDescent="0.35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</row>
    <row r="329" spans="1:26" ht="15.6" x14ac:dyDescent="0.35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</row>
    <row r="330" spans="1:26" ht="15.6" x14ac:dyDescent="0.35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</row>
    <row r="331" spans="1:26" ht="15.6" x14ac:dyDescent="0.35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</row>
    <row r="332" spans="1:26" ht="15.6" x14ac:dyDescent="0.35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</row>
    <row r="333" spans="1:26" ht="15.6" x14ac:dyDescent="0.35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</row>
    <row r="334" spans="1:26" ht="15.6" x14ac:dyDescent="0.35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</row>
    <row r="335" spans="1:26" ht="15.6" x14ac:dyDescent="0.3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</row>
    <row r="336" spans="1:26" ht="15.6" x14ac:dyDescent="0.35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</row>
    <row r="337" spans="1:26" ht="15.6" x14ac:dyDescent="0.35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</row>
    <row r="338" spans="1:26" ht="15.6" x14ac:dyDescent="0.35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</row>
    <row r="339" spans="1:26" ht="15.6" x14ac:dyDescent="0.35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</row>
    <row r="340" spans="1:26" ht="15.6" x14ac:dyDescent="0.35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</row>
    <row r="341" spans="1:26" ht="15.6" x14ac:dyDescent="0.35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</row>
    <row r="342" spans="1:26" ht="15.6" x14ac:dyDescent="0.35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</row>
    <row r="343" spans="1:26" ht="15.6" x14ac:dyDescent="0.35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</row>
    <row r="344" spans="1:26" ht="15.6" x14ac:dyDescent="0.35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</row>
    <row r="345" spans="1:26" ht="15.6" x14ac:dyDescent="0.3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</row>
    <row r="346" spans="1:26" ht="15.6" x14ac:dyDescent="0.35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</row>
    <row r="347" spans="1:26" ht="15.6" x14ac:dyDescent="0.35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</row>
    <row r="348" spans="1:26" ht="15.6" x14ac:dyDescent="0.35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</row>
    <row r="349" spans="1:26" ht="15.6" x14ac:dyDescent="0.35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</row>
    <row r="350" spans="1:26" ht="15.6" x14ac:dyDescent="0.35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</row>
    <row r="351" spans="1:26" ht="15.6" x14ac:dyDescent="0.35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</row>
    <row r="352" spans="1:26" ht="15.6" x14ac:dyDescent="0.35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</row>
    <row r="353" spans="1:26" ht="15.6" x14ac:dyDescent="0.35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</row>
    <row r="354" spans="1:26" ht="15.6" x14ac:dyDescent="0.35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</row>
    <row r="355" spans="1:26" ht="15.6" x14ac:dyDescent="0.3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</row>
    <row r="356" spans="1:26" ht="15.6" x14ac:dyDescent="0.35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</row>
    <row r="357" spans="1:26" ht="15.6" x14ac:dyDescent="0.35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</row>
    <row r="358" spans="1:26" ht="15.6" x14ac:dyDescent="0.35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</row>
    <row r="359" spans="1:26" ht="15.6" x14ac:dyDescent="0.35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</row>
    <row r="360" spans="1:26" ht="15.6" x14ac:dyDescent="0.35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</row>
    <row r="361" spans="1:26" ht="15.6" x14ac:dyDescent="0.35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</row>
    <row r="362" spans="1:26" ht="15.6" x14ac:dyDescent="0.35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</row>
    <row r="363" spans="1:26" ht="15.6" x14ac:dyDescent="0.35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</row>
    <row r="364" spans="1:26" ht="15.6" x14ac:dyDescent="0.35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</row>
    <row r="365" spans="1:26" ht="15.6" x14ac:dyDescent="0.3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</row>
    <row r="366" spans="1:26" ht="15.6" x14ac:dyDescent="0.35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</row>
    <row r="367" spans="1:26" ht="15.6" x14ac:dyDescent="0.35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</row>
    <row r="368" spans="1:26" ht="15.6" x14ac:dyDescent="0.35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</row>
    <row r="369" spans="1:26" ht="15.6" x14ac:dyDescent="0.35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</row>
    <row r="370" spans="1:26" ht="15.6" x14ac:dyDescent="0.35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</row>
    <row r="371" spans="1:26" ht="15.6" x14ac:dyDescent="0.35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</row>
    <row r="372" spans="1:26" ht="15.6" x14ac:dyDescent="0.35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</row>
    <row r="373" spans="1:26" ht="15.6" x14ac:dyDescent="0.35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</row>
    <row r="374" spans="1:26" ht="15.6" x14ac:dyDescent="0.35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</row>
    <row r="375" spans="1:26" ht="15.6" x14ac:dyDescent="0.3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</row>
    <row r="376" spans="1:26" ht="15.6" x14ac:dyDescent="0.35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</row>
    <row r="377" spans="1:26" ht="15.6" x14ac:dyDescent="0.35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</row>
    <row r="378" spans="1:26" ht="15.6" x14ac:dyDescent="0.35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</row>
    <row r="379" spans="1:26" ht="15.6" x14ac:dyDescent="0.35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</row>
    <row r="380" spans="1:26" ht="15.6" x14ac:dyDescent="0.35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</row>
    <row r="381" spans="1:26" ht="15.6" x14ac:dyDescent="0.35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</row>
    <row r="382" spans="1:26" ht="15.6" x14ac:dyDescent="0.35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</row>
    <row r="383" spans="1:26" ht="15.6" x14ac:dyDescent="0.35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</row>
    <row r="384" spans="1:26" ht="15.6" x14ac:dyDescent="0.35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</row>
    <row r="385" spans="1:26" ht="15.6" x14ac:dyDescent="0.3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</row>
    <row r="386" spans="1:26" ht="15.6" x14ac:dyDescent="0.35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</row>
    <row r="387" spans="1:26" ht="15.6" x14ac:dyDescent="0.35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</row>
    <row r="388" spans="1:26" ht="15.6" x14ac:dyDescent="0.35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</row>
    <row r="389" spans="1:26" ht="15.6" x14ac:dyDescent="0.35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</row>
    <row r="390" spans="1:26" ht="15.6" x14ac:dyDescent="0.35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</row>
    <row r="391" spans="1:26" ht="15.6" x14ac:dyDescent="0.35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</row>
    <row r="392" spans="1:26" ht="15.6" x14ac:dyDescent="0.35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</row>
    <row r="393" spans="1:26" ht="15.6" x14ac:dyDescent="0.35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</row>
    <row r="394" spans="1:26" ht="15.6" x14ac:dyDescent="0.35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</row>
    <row r="395" spans="1:26" ht="15.6" x14ac:dyDescent="0.3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</row>
    <row r="396" spans="1:26" ht="15.6" x14ac:dyDescent="0.35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</row>
    <row r="397" spans="1:26" ht="15.6" x14ac:dyDescent="0.35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</row>
    <row r="398" spans="1:26" ht="15.6" x14ac:dyDescent="0.35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</row>
    <row r="399" spans="1:26" ht="15.6" x14ac:dyDescent="0.35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</row>
    <row r="400" spans="1:26" ht="15.6" x14ac:dyDescent="0.35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</row>
    <row r="401" spans="1:26" ht="15.6" x14ac:dyDescent="0.35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</row>
    <row r="402" spans="1:26" ht="15.6" x14ac:dyDescent="0.35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</row>
    <row r="403" spans="1:26" ht="15.6" x14ac:dyDescent="0.35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</row>
    <row r="404" spans="1:26" ht="15.6" x14ac:dyDescent="0.35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</row>
    <row r="405" spans="1:26" ht="15.6" x14ac:dyDescent="0.3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</row>
    <row r="406" spans="1:26" ht="15.6" x14ac:dyDescent="0.35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</row>
    <row r="407" spans="1:26" ht="15.6" x14ac:dyDescent="0.35">
      <c r="A407" s="262"/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2"/>
      <c r="X407" s="262"/>
      <c r="Y407" s="262"/>
      <c r="Z407" s="262"/>
    </row>
    <row r="408" spans="1:26" ht="15.6" x14ac:dyDescent="0.35">
      <c r="A408" s="262"/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2"/>
      <c r="X408" s="262"/>
      <c r="Y408" s="262"/>
      <c r="Z408" s="262"/>
    </row>
    <row r="409" spans="1:26" ht="15.6" x14ac:dyDescent="0.35">
      <c r="A409" s="262"/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2"/>
      <c r="X409" s="262"/>
      <c r="Y409" s="262"/>
      <c r="Z409" s="262"/>
    </row>
    <row r="410" spans="1:26" ht="15.6" x14ac:dyDescent="0.35">
      <c r="A410" s="262"/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2"/>
      <c r="X410" s="262"/>
      <c r="Y410" s="262"/>
      <c r="Z410" s="262"/>
    </row>
    <row r="411" spans="1:26" ht="15.6" x14ac:dyDescent="0.35">
      <c r="A411" s="262"/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2"/>
      <c r="X411" s="262"/>
      <c r="Y411" s="262"/>
      <c r="Z411" s="262"/>
    </row>
    <row r="412" spans="1:26" ht="15.6" x14ac:dyDescent="0.35">
      <c r="A412" s="262"/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2"/>
      <c r="X412" s="262"/>
      <c r="Y412" s="262"/>
      <c r="Z412" s="262"/>
    </row>
    <row r="413" spans="1:26" ht="15.6" x14ac:dyDescent="0.35">
      <c r="A413" s="262"/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2"/>
      <c r="X413" s="262"/>
      <c r="Y413" s="262"/>
      <c r="Z413" s="262"/>
    </row>
    <row r="414" spans="1:26" ht="15.6" x14ac:dyDescent="0.35">
      <c r="A414" s="262"/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2"/>
      <c r="X414" s="262"/>
      <c r="Y414" s="262"/>
      <c r="Z414" s="262"/>
    </row>
    <row r="415" spans="1:26" ht="15.6" x14ac:dyDescent="0.35">
      <c r="A415" s="262"/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2"/>
      <c r="X415" s="262"/>
      <c r="Y415" s="262"/>
      <c r="Z415" s="262"/>
    </row>
    <row r="416" spans="1:26" ht="15.6" x14ac:dyDescent="0.35">
      <c r="A416" s="262"/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2"/>
      <c r="X416" s="262"/>
      <c r="Y416" s="262"/>
      <c r="Z416" s="262"/>
    </row>
    <row r="417" spans="1:26" ht="15.6" x14ac:dyDescent="0.35">
      <c r="A417" s="262"/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2"/>
      <c r="X417" s="262"/>
      <c r="Y417" s="262"/>
      <c r="Z417" s="262"/>
    </row>
    <row r="418" spans="1:26" ht="15.6" x14ac:dyDescent="0.35">
      <c r="A418" s="262"/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  <c r="Z418" s="262"/>
    </row>
    <row r="419" spans="1:26" ht="15.6" x14ac:dyDescent="0.35">
      <c r="A419" s="262"/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2"/>
      <c r="X419" s="262"/>
      <c r="Y419" s="262"/>
      <c r="Z419" s="262"/>
    </row>
    <row r="420" spans="1:26" ht="15.6" x14ac:dyDescent="0.35">
      <c r="A420" s="262"/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2"/>
      <c r="X420" s="262"/>
      <c r="Y420" s="262"/>
      <c r="Z420" s="262"/>
    </row>
    <row r="421" spans="1:26" ht="15.6" x14ac:dyDescent="0.35">
      <c r="A421" s="262"/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2"/>
      <c r="X421" s="262"/>
      <c r="Y421" s="262"/>
      <c r="Z421" s="262"/>
    </row>
    <row r="422" spans="1:26" ht="15.6" x14ac:dyDescent="0.35">
      <c r="A422" s="262"/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2"/>
      <c r="X422" s="262"/>
      <c r="Y422" s="262"/>
      <c r="Z422" s="262"/>
    </row>
    <row r="423" spans="1:26" ht="15.6" x14ac:dyDescent="0.35">
      <c r="A423" s="262"/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2"/>
      <c r="X423" s="262"/>
      <c r="Y423" s="262"/>
      <c r="Z423" s="262"/>
    </row>
    <row r="424" spans="1:26" ht="15.6" x14ac:dyDescent="0.35">
      <c r="A424" s="262"/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2"/>
      <c r="X424" s="262"/>
      <c r="Y424" s="262"/>
      <c r="Z424" s="262"/>
    </row>
    <row r="425" spans="1:26" ht="15.6" x14ac:dyDescent="0.35">
      <c r="A425" s="262"/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2"/>
      <c r="X425" s="262"/>
      <c r="Y425" s="262"/>
      <c r="Z425" s="262"/>
    </row>
    <row r="426" spans="1:26" ht="15.6" x14ac:dyDescent="0.35">
      <c r="A426" s="262"/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2"/>
      <c r="X426" s="262"/>
      <c r="Y426" s="262"/>
      <c r="Z426" s="262"/>
    </row>
    <row r="427" spans="1:26" ht="15.6" x14ac:dyDescent="0.35">
      <c r="A427" s="262"/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2"/>
      <c r="X427" s="262"/>
      <c r="Y427" s="262"/>
      <c r="Z427" s="262"/>
    </row>
    <row r="428" spans="1:26" ht="15.6" x14ac:dyDescent="0.35">
      <c r="A428" s="262"/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2"/>
      <c r="X428" s="262"/>
      <c r="Y428" s="262"/>
      <c r="Z428" s="262"/>
    </row>
    <row r="429" spans="1:26" ht="15.6" x14ac:dyDescent="0.35">
      <c r="A429" s="262"/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2"/>
      <c r="X429" s="262"/>
      <c r="Y429" s="262"/>
      <c r="Z429" s="262"/>
    </row>
    <row r="430" spans="1:26" ht="15.6" x14ac:dyDescent="0.35">
      <c r="A430" s="262"/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2"/>
      <c r="X430" s="262"/>
      <c r="Y430" s="262"/>
      <c r="Z430" s="262"/>
    </row>
    <row r="431" spans="1:26" ht="15.6" x14ac:dyDescent="0.35">
      <c r="A431" s="262"/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2"/>
      <c r="X431" s="262"/>
      <c r="Y431" s="262"/>
      <c r="Z431" s="262"/>
    </row>
    <row r="432" spans="1:26" ht="15.6" x14ac:dyDescent="0.35">
      <c r="A432" s="262"/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2"/>
      <c r="X432" s="262"/>
      <c r="Y432" s="262"/>
      <c r="Z432" s="262"/>
    </row>
    <row r="433" spans="1:26" ht="15.6" x14ac:dyDescent="0.35">
      <c r="A433" s="262"/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2"/>
      <c r="X433" s="262"/>
      <c r="Y433" s="262"/>
      <c r="Z433" s="262"/>
    </row>
    <row r="434" spans="1:26" ht="15.6" x14ac:dyDescent="0.35">
      <c r="A434" s="262"/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</row>
    <row r="435" spans="1:26" ht="15.6" x14ac:dyDescent="0.35">
      <c r="A435" s="262"/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2"/>
      <c r="X435" s="262"/>
      <c r="Y435" s="262"/>
      <c r="Z435" s="262"/>
    </row>
    <row r="436" spans="1:26" ht="15.6" x14ac:dyDescent="0.35">
      <c r="A436" s="262"/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2"/>
      <c r="X436" s="262"/>
      <c r="Y436" s="262"/>
      <c r="Z436" s="262"/>
    </row>
    <row r="437" spans="1:26" ht="15.6" x14ac:dyDescent="0.35">
      <c r="A437" s="262"/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  <c r="Z437" s="262"/>
    </row>
    <row r="438" spans="1:26" ht="15.6" x14ac:dyDescent="0.35">
      <c r="A438" s="262"/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2"/>
      <c r="X438" s="262"/>
      <c r="Y438" s="262"/>
      <c r="Z438" s="262"/>
    </row>
    <row r="439" spans="1:26" ht="15.6" x14ac:dyDescent="0.35">
      <c r="A439" s="262"/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2"/>
      <c r="X439" s="262"/>
      <c r="Y439" s="262"/>
      <c r="Z439" s="262"/>
    </row>
    <row r="440" spans="1:26" ht="15.6" x14ac:dyDescent="0.35">
      <c r="A440" s="262"/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2"/>
      <c r="X440" s="262"/>
      <c r="Y440" s="262"/>
      <c r="Z440" s="262"/>
    </row>
    <row r="441" spans="1:26" ht="15.6" x14ac:dyDescent="0.35">
      <c r="A441" s="262"/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2"/>
      <c r="X441" s="262"/>
      <c r="Y441" s="262"/>
      <c r="Z441" s="262"/>
    </row>
    <row r="442" spans="1:26" ht="15.6" x14ac:dyDescent="0.35">
      <c r="A442" s="262"/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2"/>
      <c r="X442" s="262"/>
      <c r="Y442" s="262"/>
      <c r="Z442" s="262"/>
    </row>
    <row r="443" spans="1:26" ht="15.6" x14ac:dyDescent="0.35">
      <c r="A443" s="262"/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2"/>
      <c r="X443" s="262"/>
      <c r="Y443" s="262"/>
      <c r="Z443" s="262"/>
    </row>
    <row r="444" spans="1:26" ht="15.6" x14ac:dyDescent="0.35">
      <c r="A444" s="262"/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2"/>
      <c r="X444" s="262"/>
      <c r="Y444" s="262"/>
      <c r="Z444" s="262"/>
    </row>
    <row r="445" spans="1:26" ht="15.6" x14ac:dyDescent="0.35">
      <c r="A445" s="262"/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2"/>
      <c r="X445" s="262"/>
      <c r="Y445" s="262"/>
      <c r="Z445" s="262"/>
    </row>
    <row r="446" spans="1:26" ht="15.6" x14ac:dyDescent="0.35">
      <c r="A446" s="262"/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2"/>
      <c r="X446" s="262"/>
      <c r="Y446" s="262"/>
      <c r="Z446" s="262"/>
    </row>
    <row r="447" spans="1:26" ht="15.6" x14ac:dyDescent="0.35">
      <c r="A447" s="262"/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2"/>
      <c r="X447" s="262"/>
      <c r="Y447" s="262"/>
      <c r="Z447" s="262"/>
    </row>
    <row r="448" spans="1:26" ht="15.6" x14ac:dyDescent="0.35">
      <c r="A448" s="262"/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2"/>
      <c r="X448" s="262"/>
      <c r="Y448" s="262"/>
      <c r="Z448" s="262"/>
    </row>
    <row r="449" spans="1:26" ht="15.6" x14ac:dyDescent="0.35">
      <c r="A449" s="262"/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2"/>
      <c r="X449" s="262"/>
      <c r="Y449" s="262"/>
      <c r="Z449" s="262"/>
    </row>
    <row r="450" spans="1:26" ht="15.6" x14ac:dyDescent="0.35">
      <c r="A450" s="262"/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2"/>
      <c r="X450" s="262"/>
      <c r="Y450" s="262"/>
      <c r="Z450" s="262"/>
    </row>
    <row r="451" spans="1:26" ht="15.6" x14ac:dyDescent="0.35">
      <c r="A451" s="262"/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2"/>
      <c r="X451" s="262"/>
      <c r="Y451" s="262"/>
      <c r="Z451" s="262"/>
    </row>
    <row r="452" spans="1:26" ht="15.6" x14ac:dyDescent="0.35">
      <c r="A452" s="262"/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2"/>
      <c r="X452" s="262"/>
      <c r="Y452" s="262"/>
      <c r="Z452" s="262"/>
    </row>
    <row r="453" spans="1:26" ht="15.6" x14ac:dyDescent="0.35">
      <c r="A453" s="262"/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2"/>
      <c r="X453" s="262"/>
      <c r="Y453" s="262"/>
      <c r="Z453" s="262"/>
    </row>
    <row r="454" spans="1:26" ht="15.6" x14ac:dyDescent="0.35">
      <c r="A454" s="262"/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2"/>
      <c r="X454" s="262"/>
      <c r="Y454" s="262"/>
      <c r="Z454" s="262"/>
    </row>
    <row r="455" spans="1:26" ht="15.6" x14ac:dyDescent="0.35">
      <c r="A455" s="262"/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2"/>
      <c r="X455" s="262"/>
      <c r="Y455" s="262"/>
      <c r="Z455" s="262"/>
    </row>
    <row r="456" spans="1:26" ht="15.6" x14ac:dyDescent="0.35">
      <c r="A456" s="262"/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2"/>
      <c r="X456" s="262"/>
      <c r="Y456" s="262"/>
      <c r="Z456" s="262"/>
    </row>
    <row r="457" spans="1:26" ht="15.6" x14ac:dyDescent="0.35">
      <c r="A457" s="262"/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2"/>
      <c r="X457" s="262"/>
      <c r="Y457" s="262"/>
      <c r="Z457" s="262"/>
    </row>
    <row r="458" spans="1:26" ht="15.6" x14ac:dyDescent="0.35">
      <c r="A458" s="262"/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2"/>
      <c r="X458" s="262"/>
      <c r="Y458" s="262"/>
      <c r="Z458" s="262"/>
    </row>
    <row r="459" spans="1:26" ht="15.6" x14ac:dyDescent="0.35">
      <c r="A459" s="262"/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2"/>
      <c r="X459" s="262"/>
      <c r="Y459" s="262"/>
      <c r="Z459" s="262"/>
    </row>
    <row r="460" spans="1:26" ht="15.6" x14ac:dyDescent="0.35">
      <c r="A460" s="262"/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2"/>
      <c r="X460" s="262"/>
      <c r="Y460" s="262"/>
      <c r="Z460" s="262"/>
    </row>
    <row r="461" spans="1:26" ht="15.6" x14ac:dyDescent="0.35">
      <c r="A461" s="262"/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2"/>
      <c r="X461" s="262"/>
      <c r="Y461" s="262"/>
      <c r="Z461" s="262"/>
    </row>
    <row r="462" spans="1:26" ht="15.6" x14ac:dyDescent="0.35">
      <c r="A462" s="262"/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2"/>
      <c r="X462" s="262"/>
      <c r="Y462" s="262"/>
      <c r="Z462" s="262"/>
    </row>
    <row r="463" spans="1:26" ht="15.6" x14ac:dyDescent="0.35">
      <c r="A463" s="262"/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2"/>
      <c r="X463" s="262"/>
      <c r="Y463" s="262"/>
      <c r="Z463" s="262"/>
    </row>
    <row r="464" spans="1:26" ht="15.6" x14ac:dyDescent="0.35">
      <c r="A464" s="262"/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</row>
    <row r="465" spans="1:26" ht="15.6" x14ac:dyDescent="0.35">
      <c r="A465" s="262"/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2"/>
      <c r="X465" s="262"/>
      <c r="Y465" s="262"/>
      <c r="Z465" s="262"/>
    </row>
    <row r="466" spans="1:26" ht="15.6" x14ac:dyDescent="0.35">
      <c r="A466" s="262"/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2"/>
      <c r="X466" s="262"/>
      <c r="Y466" s="262"/>
      <c r="Z466" s="262"/>
    </row>
    <row r="467" spans="1:26" ht="15.6" x14ac:dyDescent="0.35">
      <c r="A467" s="262"/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2"/>
      <c r="X467" s="262"/>
      <c r="Y467" s="262"/>
      <c r="Z467" s="262"/>
    </row>
    <row r="468" spans="1:26" ht="15.6" x14ac:dyDescent="0.35">
      <c r="A468" s="262"/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2"/>
      <c r="X468" s="262"/>
      <c r="Y468" s="262"/>
      <c r="Z468" s="262"/>
    </row>
    <row r="469" spans="1:26" ht="15.6" x14ac:dyDescent="0.35">
      <c r="A469" s="262"/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2"/>
      <c r="X469" s="262"/>
      <c r="Y469" s="262"/>
      <c r="Z469" s="262"/>
    </row>
    <row r="470" spans="1:26" ht="15.6" x14ac:dyDescent="0.35">
      <c r="A470" s="262"/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2"/>
      <c r="X470" s="262"/>
      <c r="Y470" s="262"/>
      <c r="Z470" s="262"/>
    </row>
    <row r="471" spans="1:26" ht="15.6" x14ac:dyDescent="0.35">
      <c r="A471" s="262"/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  <c r="Z471" s="262"/>
    </row>
    <row r="472" spans="1:26" ht="15.6" x14ac:dyDescent="0.35">
      <c r="A472" s="262"/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2"/>
      <c r="X472" s="262"/>
      <c r="Y472" s="262"/>
      <c r="Z472" s="262"/>
    </row>
    <row r="473" spans="1:26" ht="15.6" x14ac:dyDescent="0.35">
      <c r="A473" s="262"/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2"/>
      <c r="X473" s="262"/>
      <c r="Y473" s="262"/>
      <c r="Z473" s="262"/>
    </row>
    <row r="474" spans="1:26" ht="15.6" x14ac:dyDescent="0.35">
      <c r="A474" s="262"/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  <c r="Z474" s="262"/>
    </row>
    <row r="475" spans="1:26" ht="15.6" x14ac:dyDescent="0.35">
      <c r="A475" s="262"/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2"/>
      <c r="X475" s="262"/>
      <c r="Y475" s="262"/>
      <c r="Z475" s="262"/>
    </row>
    <row r="476" spans="1:26" ht="15.6" x14ac:dyDescent="0.35">
      <c r="A476" s="262"/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2"/>
      <c r="X476" s="262"/>
      <c r="Y476" s="262"/>
      <c r="Z476" s="262"/>
    </row>
    <row r="477" spans="1:26" ht="15.6" x14ac:dyDescent="0.35">
      <c r="A477" s="262"/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2"/>
      <c r="X477" s="262"/>
      <c r="Y477" s="262"/>
      <c r="Z477" s="262"/>
    </row>
    <row r="478" spans="1:26" ht="15.6" x14ac:dyDescent="0.35">
      <c r="A478" s="262"/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2"/>
      <c r="X478" s="262"/>
      <c r="Y478" s="262"/>
      <c r="Z478" s="262"/>
    </row>
    <row r="479" spans="1:26" ht="15.6" x14ac:dyDescent="0.35">
      <c r="A479" s="262"/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2"/>
      <c r="X479" s="262"/>
      <c r="Y479" s="262"/>
      <c r="Z479" s="262"/>
    </row>
    <row r="480" spans="1:26" ht="15.6" x14ac:dyDescent="0.35">
      <c r="A480" s="262"/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2"/>
      <c r="X480" s="262"/>
      <c r="Y480" s="262"/>
      <c r="Z480" s="262"/>
    </row>
    <row r="481" spans="1:26" ht="15.6" x14ac:dyDescent="0.35">
      <c r="A481" s="262"/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2"/>
      <c r="X481" s="262"/>
      <c r="Y481" s="262"/>
      <c r="Z481" s="262"/>
    </row>
    <row r="482" spans="1:26" ht="15.6" x14ac:dyDescent="0.35">
      <c r="A482" s="262"/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2"/>
      <c r="X482" s="262"/>
      <c r="Y482" s="262"/>
      <c r="Z482" s="262"/>
    </row>
    <row r="483" spans="1:26" ht="15.6" x14ac:dyDescent="0.35">
      <c r="A483" s="262"/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2"/>
      <c r="X483" s="262"/>
      <c r="Y483" s="262"/>
      <c r="Z483" s="262"/>
    </row>
    <row r="484" spans="1:26" ht="15.6" x14ac:dyDescent="0.35">
      <c r="A484" s="262"/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2"/>
      <c r="X484" s="262"/>
      <c r="Y484" s="262"/>
      <c r="Z484" s="262"/>
    </row>
    <row r="485" spans="1:26" ht="15.6" x14ac:dyDescent="0.35">
      <c r="A485" s="262"/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2"/>
      <c r="X485" s="262"/>
      <c r="Y485" s="262"/>
      <c r="Z485" s="262"/>
    </row>
    <row r="486" spans="1:26" ht="15.6" x14ac:dyDescent="0.35">
      <c r="A486" s="262"/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2"/>
      <c r="X486" s="262"/>
      <c r="Y486" s="262"/>
      <c r="Z486" s="262"/>
    </row>
    <row r="487" spans="1:26" ht="15.6" x14ac:dyDescent="0.35">
      <c r="A487" s="262"/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2"/>
      <c r="X487" s="262"/>
      <c r="Y487" s="262"/>
      <c r="Z487" s="262"/>
    </row>
    <row r="488" spans="1:26" ht="15.6" x14ac:dyDescent="0.35">
      <c r="A488" s="262"/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2"/>
      <c r="X488" s="262"/>
      <c r="Y488" s="262"/>
      <c r="Z488" s="262"/>
    </row>
    <row r="489" spans="1:26" ht="15.6" x14ac:dyDescent="0.35">
      <c r="A489" s="262"/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2"/>
      <c r="X489" s="262"/>
      <c r="Y489" s="262"/>
      <c r="Z489" s="262"/>
    </row>
    <row r="490" spans="1:26" ht="15.6" x14ac:dyDescent="0.35">
      <c r="A490" s="262"/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2"/>
      <c r="X490" s="262"/>
      <c r="Y490" s="262"/>
      <c r="Z490" s="262"/>
    </row>
    <row r="491" spans="1:26" ht="15.6" x14ac:dyDescent="0.35">
      <c r="A491" s="262"/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2"/>
      <c r="X491" s="262"/>
      <c r="Y491" s="262"/>
      <c r="Z491" s="262"/>
    </row>
    <row r="492" spans="1:26" ht="15.6" x14ac:dyDescent="0.35">
      <c r="A492" s="262"/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2"/>
      <c r="X492" s="262"/>
      <c r="Y492" s="262"/>
      <c r="Z492" s="262"/>
    </row>
    <row r="493" spans="1:26" ht="15.6" x14ac:dyDescent="0.35">
      <c r="A493" s="262"/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2"/>
      <c r="X493" s="262"/>
      <c r="Y493" s="262"/>
      <c r="Z493" s="262"/>
    </row>
    <row r="494" spans="1:26" ht="15.6" x14ac:dyDescent="0.35">
      <c r="A494" s="262"/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2"/>
      <c r="X494" s="262"/>
      <c r="Y494" s="262"/>
      <c r="Z494" s="262"/>
    </row>
    <row r="495" spans="1:26" ht="15.6" x14ac:dyDescent="0.35">
      <c r="A495" s="262"/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2"/>
      <c r="X495" s="262"/>
      <c r="Y495" s="262"/>
      <c r="Z495" s="262"/>
    </row>
    <row r="496" spans="1:26" ht="15.6" x14ac:dyDescent="0.35">
      <c r="A496" s="262"/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2"/>
      <c r="X496" s="262"/>
      <c r="Y496" s="262"/>
      <c r="Z496" s="262"/>
    </row>
    <row r="497" spans="1:26" ht="15.6" x14ac:dyDescent="0.35">
      <c r="A497" s="262"/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2"/>
      <c r="X497" s="262"/>
      <c r="Y497" s="262"/>
      <c r="Z497" s="262"/>
    </row>
    <row r="498" spans="1:26" ht="15.6" x14ac:dyDescent="0.35">
      <c r="A498" s="262"/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2"/>
      <c r="X498" s="262"/>
      <c r="Y498" s="262"/>
      <c r="Z498" s="262"/>
    </row>
    <row r="499" spans="1:26" ht="15.6" x14ac:dyDescent="0.35">
      <c r="A499" s="262"/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2"/>
      <c r="X499" s="262"/>
      <c r="Y499" s="262"/>
      <c r="Z499" s="262"/>
    </row>
    <row r="500" spans="1:26" ht="15.6" x14ac:dyDescent="0.35">
      <c r="A500" s="262"/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2"/>
      <c r="X500" s="262"/>
      <c r="Y500" s="262"/>
      <c r="Z500" s="262"/>
    </row>
    <row r="501" spans="1:26" ht="15.6" x14ac:dyDescent="0.35">
      <c r="A501" s="262"/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2"/>
      <c r="X501" s="262"/>
      <c r="Y501" s="262"/>
      <c r="Z501" s="262"/>
    </row>
    <row r="502" spans="1:26" ht="15.6" x14ac:dyDescent="0.35">
      <c r="A502" s="262"/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2"/>
      <c r="X502" s="262"/>
      <c r="Y502" s="262"/>
      <c r="Z502" s="262"/>
    </row>
    <row r="503" spans="1:26" ht="15.6" x14ac:dyDescent="0.35">
      <c r="A503" s="262"/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2"/>
      <c r="X503" s="262"/>
      <c r="Y503" s="262"/>
      <c r="Z503" s="262"/>
    </row>
    <row r="504" spans="1:26" ht="15.6" x14ac:dyDescent="0.35">
      <c r="A504" s="262"/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2"/>
      <c r="X504" s="262"/>
      <c r="Y504" s="262"/>
      <c r="Z504" s="262"/>
    </row>
    <row r="505" spans="1:26" ht="15.6" x14ac:dyDescent="0.35">
      <c r="A505" s="262"/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2"/>
      <c r="X505" s="262"/>
      <c r="Y505" s="262"/>
      <c r="Z505" s="262"/>
    </row>
    <row r="506" spans="1:26" ht="15.6" x14ac:dyDescent="0.35">
      <c r="A506" s="262"/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2"/>
      <c r="X506" s="262"/>
      <c r="Y506" s="262"/>
      <c r="Z506" s="262"/>
    </row>
    <row r="507" spans="1:26" ht="15.6" x14ac:dyDescent="0.35">
      <c r="A507" s="262"/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2"/>
      <c r="X507" s="262"/>
      <c r="Y507" s="262"/>
      <c r="Z507" s="262"/>
    </row>
    <row r="508" spans="1:26" ht="15.6" x14ac:dyDescent="0.35">
      <c r="A508" s="262"/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2"/>
      <c r="X508" s="262"/>
      <c r="Y508" s="262"/>
      <c r="Z508" s="262"/>
    </row>
    <row r="509" spans="1:26" ht="15.6" x14ac:dyDescent="0.35">
      <c r="A509" s="262"/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2"/>
      <c r="X509" s="262"/>
      <c r="Y509" s="262"/>
      <c r="Z509" s="262"/>
    </row>
    <row r="510" spans="1:26" ht="15.6" x14ac:dyDescent="0.35">
      <c r="A510" s="262"/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2"/>
      <c r="X510" s="262"/>
      <c r="Y510" s="262"/>
      <c r="Z510" s="262"/>
    </row>
    <row r="511" spans="1:26" ht="15.6" x14ac:dyDescent="0.35">
      <c r="A511" s="262"/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2"/>
      <c r="X511" s="262"/>
      <c r="Y511" s="262"/>
      <c r="Z511" s="262"/>
    </row>
    <row r="512" spans="1:26" ht="15.6" x14ac:dyDescent="0.35">
      <c r="A512" s="262"/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2"/>
      <c r="X512" s="262"/>
      <c r="Y512" s="262"/>
      <c r="Z512" s="262"/>
    </row>
    <row r="513" spans="1:26" ht="15.6" x14ac:dyDescent="0.35">
      <c r="A513" s="262"/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2"/>
      <c r="X513" s="262"/>
      <c r="Y513" s="262"/>
      <c r="Z513" s="262"/>
    </row>
    <row r="514" spans="1:26" ht="15.6" x14ac:dyDescent="0.35">
      <c r="A514" s="262"/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2"/>
      <c r="X514" s="262"/>
      <c r="Y514" s="262"/>
      <c r="Z514" s="262"/>
    </row>
    <row r="515" spans="1:26" ht="15.6" x14ac:dyDescent="0.35">
      <c r="A515" s="262"/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2"/>
      <c r="X515" s="262"/>
      <c r="Y515" s="262"/>
      <c r="Z515" s="262"/>
    </row>
    <row r="516" spans="1:26" ht="15.6" x14ac:dyDescent="0.35">
      <c r="A516" s="262"/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2"/>
      <c r="X516" s="262"/>
      <c r="Y516" s="262"/>
      <c r="Z516" s="262"/>
    </row>
    <row r="517" spans="1:26" ht="15.6" x14ac:dyDescent="0.35">
      <c r="A517" s="262"/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2"/>
      <c r="X517" s="262"/>
      <c r="Y517" s="262"/>
      <c r="Z517" s="262"/>
    </row>
    <row r="518" spans="1:26" ht="15.6" x14ac:dyDescent="0.35">
      <c r="A518" s="262"/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2"/>
      <c r="X518" s="262"/>
      <c r="Y518" s="262"/>
      <c r="Z518" s="262"/>
    </row>
    <row r="519" spans="1:26" ht="15.6" x14ac:dyDescent="0.35">
      <c r="A519" s="262"/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2"/>
      <c r="X519" s="262"/>
      <c r="Y519" s="262"/>
      <c r="Z519" s="262"/>
    </row>
    <row r="520" spans="1:26" ht="15.6" x14ac:dyDescent="0.35">
      <c r="A520" s="262"/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2"/>
      <c r="X520" s="262"/>
      <c r="Y520" s="262"/>
      <c r="Z520" s="262"/>
    </row>
    <row r="521" spans="1:26" ht="15.6" x14ac:dyDescent="0.35">
      <c r="A521" s="262"/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2"/>
      <c r="X521" s="262"/>
      <c r="Y521" s="262"/>
      <c r="Z521" s="262"/>
    </row>
    <row r="522" spans="1:26" ht="15.6" x14ac:dyDescent="0.35">
      <c r="A522" s="262"/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2"/>
      <c r="X522" s="262"/>
      <c r="Y522" s="262"/>
      <c r="Z522" s="262"/>
    </row>
    <row r="523" spans="1:26" ht="15.6" x14ac:dyDescent="0.35">
      <c r="A523" s="262"/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2"/>
      <c r="X523" s="262"/>
      <c r="Y523" s="262"/>
      <c r="Z523" s="262"/>
    </row>
    <row r="524" spans="1:26" ht="15.6" x14ac:dyDescent="0.35">
      <c r="A524" s="262"/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2"/>
      <c r="X524" s="262"/>
      <c r="Y524" s="262"/>
      <c r="Z524" s="262"/>
    </row>
    <row r="525" spans="1:26" ht="15.6" x14ac:dyDescent="0.35">
      <c r="A525" s="262"/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2"/>
      <c r="X525" s="262"/>
      <c r="Y525" s="262"/>
      <c r="Z525" s="262"/>
    </row>
    <row r="526" spans="1:26" ht="15.6" x14ac:dyDescent="0.35">
      <c r="A526" s="262"/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2"/>
      <c r="X526" s="262"/>
      <c r="Y526" s="262"/>
      <c r="Z526" s="262"/>
    </row>
    <row r="527" spans="1:26" ht="15.6" x14ac:dyDescent="0.35">
      <c r="A527" s="262"/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2"/>
      <c r="X527" s="262"/>
      <c r="Y527" s="262"/>
      <c r="Z527" s="262"/>
    </row>
    <row r="528" spans="1:26" ht="15.6" x14ac:dyDescent="0.35">
      <c r="A528" s="262"/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2"/>
      <c r="X528" s="262"/>
      <c r="Y528" s="262"/>
      <c r="Z528" s="262"/>
    </row>
    <row r="529" spans="1:26" ht="15.6" x14ac:dyDescent="0.35">
      <c r="A529" s="262"/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2"/>
      <c r="X529" s="262"/>
      <c r="Y529" s="262"/>
      <c r="Z529" s="262"/>
    </row>
    <row r="530" spans="1:26" ht="15.6" x14ac:dyDescent="0.35">
      <c r="A530" s="262"/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2"/>
      <c r="X530" s="262"/>
      <c r="Y530" s="262"/>
      <c r="Z530" s="262"/>
    </row>
    <row r="531" spans="1:26" ht="15.6" x14ac:dyDescent="0.35">
      <c r="A531" s="262"/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2"/>
      <c r="X531" s="262"/>
      <c r="Y531" s="262"/>
      <c r="Z531" s="262"/>
    </row>
    <row r="532" spans="1:26" ht="15.6" x14ac:dyDescent="0.35">
      <c r="A532" s="262"/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2"/>
      <c r="X532" s="262"/>
      <c r="Y532" s="262"/>
      <c r="Z532" s="262"/>
    </row>
    <row r="533" spans="1:26" ht="15.6" x14ac:dyDescent="0.35">
      <c r="A533" s="262"/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2"/>
      <c r="X533" s="262"/>
      <c r="Y533" s="262"/>
      <c r="Z533" s="262"/>
    </row>
    <row r="534" spans="1:26" ht="15.6" x14ac:dyDescent="0.35">
      <c r="A534" s="262"/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2"/>
      <c r="X534" s="262"/>
      <c r="Y534" s="262"/>
      <c r="Z534" s="262"/>
    </row>
    <row r="535" spans="1:26" ht="15.6" x14ac:dyDescent="0.35">
      <c r="A535" s="262"/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2"/>
      <c r="X535" s="262"/>
      <c r="Y535" s="262"/>
      <c r="Z535" s="262"/>
    </row>
    <row r="536" spans="1:26" ht="15.6" x14ac:dyDescent="0.35">
      <c r="A536" s="262"/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2"/>
      <c r="X536" s="262"/>
      <c r="Y536" s="262"/>
      <c r="Z536" s="262"/>
    </row>
    <row r="537" spans="1:26" ht="15.6" x14ac:dyDescent="0.35">
      <c r="A537" s="262"/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2"/>
      <c r="X537" s="262"/>
      <c r="Y537" s="262"/>
      <c r="Z537" s="262"/>
    </row>
    <row r="538" spans="1:26" ht="15.6" x14ac:dyDescent="0.35">
      <c r="A538" s="262"/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2"/>
      <c r="X538" s="262"/>
      <c r="Y538" s="262"/>
      <c r="Z538" s="262"/>
    </row>
    <row r="539" spans="1:26" ht="15.6" x14ac:dyDescent="0.35">
      <c r="A539" s="262"/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2"/>
      <c r="X539" s="262"/>
      <c r="Y539" s="262"/>
      <c r="Z539" s="262"/>
    </row>
    <row r="540" spans="1:26" ht="15.6" x14ac:dyDescent="0.35">
      <c r="A540" s="262"/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2"/>
      <c r="X540" s="262"/>
      <c r="Y540" s="262"/>
      <c r="Z540" s="262"/>
    </row>
    <row r="541" spans="1:26" ht="15.6" x14ac:dyDescent="0.35">
      <c r="A541" s="262"/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  <c r="Z541" s="262"/>
    </row>
    <row r="542" spans="1:26" ht="15.6" x14ac:dyDescent="0.35">
      <c r="A542" s="262"/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2"/>
      <c r="X542" s="262"/>
      <c r="Y542" s="262"/>
      <c r="Z542" s="262"/>
    </row>
    <row r="543" spans="1:26" ht="15.6" x14ac:dyDescent="0.35">
      <c r="A543" s="262"/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2"/>
      <c r="X543" s="262"/>
      <c r="Y543" s="262"/>
      <c r="Z543" s="262"/>
    </row>
    <row r="544" spans="1:26" ht="15.6" x14ac:dyDescent="0.35">
      <c r="A544" s="262"/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2"/>
      <c r="X544" s="262"/>
      <c r="Y544" s="262"/>
      <c r="Z544" s="262"/>
    </row>
    <row r="545" spans="1:26" ht="15.6" x14ac:dyDescent="0.35">
      <c r="A545" s="262"/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2"/>
      <c r="X545" s="262"/>
      <c r="Y545" s="262"/>
      <c r="Z545" s="262"/>
    </row>
    <row r="546" spans="1:26" ht="15.6" x14ac:dyDescent="0.35">
      <c r="A546" s="262"/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2"/>
      <c r="X546" s="262"/>
      <c r="Y546" s="262"/>
      <c r="Z546" s="262"/>
    </row>
    <row r="547" spans="1:26" ht="15.6" x14ac:dyDescent="0.35">
      <c r="A547" s="262"/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2"/>
      <c r="X547" s="262"/>
      <c r="Y547" s="262"/>
      <c r="Z547" s="262"/>
    </row>
    <row r="548" spans="1:26" ht="15.6" x14ac:dyDescent="0.35">
      <c r="A548" s="262"/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2"/>
      <c r="X548" s="262"/>
      <c r="Y548" s="262"/>
      <c r="Z548" s="262"/>
    </row>
    <row r="549" spans="1:26" ht="15.6" x14ac:dyDescent="0.35">
      <c r="A549" s="262"/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2"/>
      <c r="X549" s="262"/>
      <c r="Y549" s="262"/>
      <c r="Z549" s="262"/>
    </row>
    <row r="550" spans="1:26" ht="15.6" x14ac:dyDescent="0.35">
      <c r="A550" s="262"/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2"/>
      <c r="X550" s="262"/>
      <c r="Y550" s="262"/>
      <c r="Z550" s="262"/>
    </row>
    <row r="551" spans="1:26" ht="15.6" x14ac:dyDescent="0.35">
      <c r="A551" s="262"/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2"/>
      <c r="X551" s="262"/>
      <c r="Y551" s="262"/>
      <c r="Z551" s="262"/>
    </row>
    <row r="552" spans="1:26" ht="15.6" x14ac:dyDescent="0.35">
      <c r="A552" s="262"/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2"/>
      <c r="X552" s="262"/>
      <c r="Y552" s="262"/>
      <c r="Z552" s="262"/>
    </row>
    <row r="553" spans="1:26" ht="15.6" x14ac:dyDescent="0.35">
      <c r="A553" s="262"/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2"/>
      <c r="X553" s="262"/>
      <c r="Y553" s="262"/>
      <c r="Z553" s="262"/>
    </row>
    <row r="554" spans="1:26" ht="15.6" x14ac:dyDescent="0.35">
      <c r="A554" s="262"/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2"/>
      <c r="X554" s="262"/>
      <c r="Y554" s="262"/>
      <c r="Z554" s="262"/>
    </row>
    <row r="555" spans="1:26" ht="15.6" x14ac:dyDescent="0.35">
      <c r="A555" s="262"/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  <c r="Y555" s="262"/>
      <c r="Z555" s="262"/>
    </row>
    <row r="556" spans="1:26" ht="15.6" x14ac:dyDescent="0.35">
      <c r="A556" s="262"/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2"/>
      <c r="X556" s="262"/>
      <c r="Y556" s="262"/>
      <c r="Z556" s="262"/>
    </row>
    <row r="557" spans="1:26" ht="15.6" x14ac:dyDescent="0.35">
      <c r="A557" s="262"/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2"/>
      <c r="X557" s="262"/>
      <c r="Y557" s="262"/>
      <c r="Z557" s="262"/>
    </row>
    <row r="558" spans="1:26" ht="15.6" x14ac:dyDescent="0.35">
      <c r="A558" s="262"/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2"/>
      <c r="X558" s="262"/>
      <c r="Y558" s="262"/>
      <c r="Z558" s="262"/>
    </row>
    <row r="559" spans="1:26" ht="15.6" x14ac:dyDescent="0.35">
      <c r="A559" s="262"/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2"/>
      <c r="X559" s="262"/>
      <c r="Y559" s="262"/>
      <c r="Z559" s="262"/>
    </row>
    <row r="560" spans="1:26" ht="15.6" x14ac:dyDescent="0.35">
      <c r="A560" s="262"/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2"/>
      <c r="X560" s="262"/>
      <c r="Y560" s="262"/>
      <c r="Z560" s="262"/>
    </row>
    <row r="561" spans="1:26" ht="15.6" x14ac:dyDescent="0.35">
      <c r="A561" s="262"/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2"/>
      <c r="X561" s="262"/>
      <c r="Y561" s="262"/>
      <c r="Z561" s="262"/>
    </row>
    <row r="562" spans="1:26" ht="15.6" x14ac:dyDescent="0.35">
      <c r="A562" s="262"/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2"/>
      <c r="X562" s="262"/>
      <c r="Y562" s="262"/>
      <c r="Z562" s="262"/>
    </row>
    <row r="563" spans="1:26" ht="15.6" x14ac:dyDescent="0.35">
      <c r="A563" s="262"/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2"/>
      <c r="X563" s="262"/>
      <c r="Y563" s="262"/>
      <c r="Z563" s="262"/>
    </row>
    <row r="564" spans="1:26" ht="15.6" x14ac:dyDescent="0.35">
      <c r="A564" s="262"/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2"/>
      <c r="X564" s="262"/>
      <c r="Y564" s="262"/>
      <c r="Z564" s="262"/>
    </row>
    <row r="565" spans="1:26" ht="15.6" x14ac:dyDescent="0.35">
      <c r="A565" s="262"/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2"/>
      <c r="X565" s="262"/>
      <c r="Y565" s="262"/>
      <c r="Z565" s="262"/>
    </row>
    <row r="566" spans="1:26" ht="15.6" x14ac:dyDescent="0.35">
      <c r="A566" s="262"/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2"/>
      <c r="X566" s="262"/>
      <c r="Y566" s="262"/>
      <c r="Z566" s="262"/>
    </row>
    <row r="567" spans="1:26" ht="15.6" x14ac:dyDescent="0.35">
      <c r="A567" s="262"/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2"/>
      <c r="X567" s="262"/>
      <c r="Y567" s="262"/>
      <c r="Z567" s="262"/>
    </row>
    <row r="568" spans="1:26" ht="15.6" x14ac:dyDescent="0.35">
      <c r="A568" s="262"/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2"/>
      <c r="X568" s="262"/>
      <c r="Y568" s="262"/>
      <c r="Z568" s="262"/>
    </row>
    <row r="569" spans="1:26" ht="15.6" x14ac:dyDescent="0.35">
      <c r="A569" s="262"/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2"/>
      <c r="X569" s="262"/>
      <c r="Y569" s="262"/>
      <c r="Z569" s="262"/>
    </row>
    <row r="570" spans="1:26" ht="15.6" x14ac:dyDescent="0.35">
      <c r="A570" s="262"/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2"/>
      <c r="X570" s="262"/>
      <c r="Y570" s="262"/>
      <c r="Z570" s="262"/>
    </row>
    <row r="571" spans="1:26" ht="15.6" x14ac:dyDescent="0.35">
      <c r="A571" s="262"/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2"/>
      <c r="X571" s="262"/>
      <c r="Y571" s="262"/>
      <c r="Z571" s="262"/>
    </row>
    <row r="572" spans="1:26" ht="15.6" x14ac:dyDescent="0.35">
      <c r="A572" s="262"/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2"/>
      <c r="X572" s="262"/>
      <c r="Y572" s="262"/>
      <c r="Z572" s="262"/>
    </row>
    <row r="573" spans="1:26" ht="15.6" x14ac:dyDescent="0.35">
      <c r="A573" s="262"/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2"/>
      <c r="X573" s="262"/>
      <c r="Y573" s="262"/>
      <c r="Z573" s="262"/>
    </row>
    <row r="574" spans="1:26" ht="15.6" x14ac:dyDescent="0.35">
      <c r="A574" s="262"/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2"/>
      <c r="X574" s="262"/>
      <c r="Y574" s="262"/>
      <c r="Z574" s="262"/>
    </row>
    <row r="575" spans="1:26" ht="15.6" x14ac:dyDescent="0.35">
      <c r="A575" s="262"/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2"/>
      <c r="X575" s="262"/>
      <c r="Y575" s="262"/>
      <c r="Z575" s="262"/>
    </row>
    <row r="576" spans="1:26" ht="15.6" x14ac:dyDescent="0.35">
      <c r="A576" s="262"/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2"/>
      <c r="X576" s="262"/>
      <c r="Y576" s="262"/>
      <c r="Z576" s="262"/>
    </row>
    <row r="577" spans="1:26" ht="15.6" x14ac:dyDescent="0.35">
      <c r="A577" s="262"/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2"/>
      <c r="X577" s="262"/>
      <c r="Y577" s="262"/>
      <c r="Z577" s="262"/>
    </row>
    <row r="578" spans="1:26" ht="15.6" x14ac:dyDescent="0.35">
      <c r="A578" s="262"/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2"/>
      <c r="X578" s="262"/>
      <c r="Y578" s="262"/>
      <c r="Z578" s="262"/>
    </row>
    <row r="579" spans="1:26" ht="15.6" x14ac:dyDescent="0.35">
      <c r="A579" s="262"/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2"/>
      <c r="X579" s="262"/>
      <c r="Y579" s="262"/>
      <c r="Z579" s="262"/>
    </row>
    <row r="580" spans="1:26" ht="15.6" x14ac:dyDescent="0.35">
      <c r="A580" s="262"/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2"/>
      <c r="X580" s="262"/>
      <c r="Y580" s="262"/>
      <c r="Z580" s="262"/>
    </row>
    <row r="581" spans="1:26" ht="15.6" x14ac:dyDescent="0.35">
      <c r="A581" s="262"/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2"/>
      <c r="X581" s="262"/>
      <c r="Y581" s="262"/>
      <c r="Z581" s="262"/>
    </row>
    <row r="582" spans="1:26" ht="15.6" x14ac:dyDescent="0.35">
      <c r="A582" s="262"/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2"/>
      <c r="X582" s="262"/>
      <c r="Y582" s="262"/>
      <c r="Z582" s="262"/>
    </row>
    <row r="583" spans="1:26" ht="15.6" x14ac:dyDescent="0.35">
      <c r="A583" s="262"/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2"/>
      <c r="X583" s="262"/>
      <c r="Y583" s="262"/>
      <c r="Z583" s="262"/>
    </row>
    <row r="584" spans="1:26" ht="15.6" x14ac:dyDescent="0.35">
      <c r="A584" s="262"/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2"/>
      <c r="X584" s="262"/>
      <c r="Y584" s="262"/>
      <c r="Z584" s="262"/>
    </row>
    <row r="585" spans="1:26" ht="15.6" x14ac:dyDescent="0.35">
      <c r="A585" s="262"/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2"/>
      <c r="X585" s="262"/>
      <c r="Y585" s="262"/>
      <c r="Z585" s="262"/>
    </row>
    <row r="586" spans="1:26" ht="15.6" x14ac:dyDescent="0.35">
      <c r="A586" s="262"/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2"/>
      <c r="X586" s="262"/>
      <c r="Y586" s="262"/>
      <c r="Z586" s="262"/>
    </row>
    <row r="587" spans="1:26" ht="15.6" x14ac:dyDescent="0.35">
      <c r="A587" s="262"/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2"/>
      <c r="X587" s="262"/>
      <c r="Y587" s="262"/>
      <c r="Z587" s="262"/>
    </row>
    <row r="588" spans="1:26" ht="15.6" x14ac:dyDescent="0.35">
      <c r="A588" s="262"/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2"/>
      <c r="X588" s="262"/>
      <c r="Y588" s="262"/>
      <c r="Z588" s="262"/>
    </row>
    <row r="589" spans="1:26" ht="15.6" x14ac:dyDescent="0.35">
      <c r="A589" s="262"/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2"/>
      <c r="X589" s="262"/>
      <c r="Y589" s="262"/>
      <c r="Z589" s="262"/>
    </row>
    <row r="590" spans="1:26" ht="15.6" x14ac:dyDescent="0.35">
      <c r="A590" s="262"/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2"/>
      <c r="X590" s="262"/>
      <c r="Y590" s="262"/>
      <c r="Z590" s="262"/>
    </row>
    <row r="591" spans="1:26" ht="15.6" x14ac:dyDescent="0.35">
      <c r="A591" s="262"/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2"/>
      <c r="X591" s="262"/>
      <c r="Y591" s="262"/>
      <c r="Z591" s="262"/>
    </row>
    <row r="592" spans="1:26" ht="15.6" x14ac:dyDescent="0.35">
      <c r="A592" s="262"/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2"/>
      <c r="X592" s="262"/>
      <c r="Y592" s="262"/>
      <c r="Z592" s="262"/>
    </row>
    <row r="593" spans="1:26" ht="15.6" x14ac:dyDescent="0.35">
      <c r="A593" s="262"/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2"/>
      <c r="X593" s="262"/>
      <c r="Y593" s="262"/>
      <c r="Z593" s="262"/>
    </row>
    <row r="594" spans="1:26" ht="15.6" x14ac:dyDescent="0.35">
      <c r="A594" s="262"/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2"/>
      <c r="X594" s="262"/>
      <c r="Y594" s="262"/>
      <c r="Z594" s="262"/>
    </row>
    <row r="595" spans="1:26" ht="15.6" x14ac:dyDescent="0.35">
      <c r="A595" s="262"/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2"/>
      <c r="X595" s="262"/>
      <c r="Y595" s="262"/>
      <c r="Z595" s="262"/>
    </row>
    <row r="596" spans="1:26" ht="15.6" x14ac:dyDescent="0.35">
      <c r="A596" s="262"/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2"/>
      <c r="X596" s="262"/>
      <c r="Y596" s="262"/>
      <c r="Z596" s="262"/>
    </row>
    <row r="597" spans="1:26" ht="15.6" x14ac:dyDescent="0.35">
      <c r="A597" s="262"/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2"/>
      <c r="X597" s="262"/>
      <c r="Y597" s="262"/>
      <c r="Z597" s="262"/>
    </row>
    <row r="598" spans="1:26" ht="15.6" x14ac:dyDescent="0.35">
      <c r="A598" s="262"/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2"/>
      <c r="X598" s="262"/>
      <c r="Y598" s="262"/>
      <c r="Z598" s="262"/>
    </row>
    <row r="599" spans="1:26" ht="15.6" x14ac:dyDescent="0.35">
      <c r="A599" s="262"/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2"/>
      <c r="X599" s="262"/>
      <c r="Y599" s="262"/>
      <c r="Z599" s="262"/>
    </row>
    <row r="600" spans="1:26" ht="15.6" x14ac:dyDescent="0.35">
      <c r="A600" s="262"/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2"/>
      <c r="X600" s="262"/>
      <c r="Y600" s="262"/>
      <c r="Z600" s="262"/>
    </row>
    <row r="601" spans="1:26" ht="15.6" x14ac:dyDescent="0.35">
      <c r="A601" s="262"/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2"/>
      <c r="X601" s="262"/>
      <c r="Y601" s="262"/>
      <c r="Z601" s="262"/>
    </row>
    <row r="602" spans="1:26" ht="15.6" x14ac:dyDescent="0.35">
      <c r="A602" s="262"/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2"/>
      <c r="X602" s="262"/>
      <c r="Y602" s="262"/>
      <c r="Z602" s="262"/>
    </row>
    <row r="603" spans="1:26" ht="15.6" x14ac:dyDescent="0.35">
      <c r="A603" s="262"/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2"/>
      <c r="X603" s="262"/>
      <c r="Y603" s="262"/>
      <c r="Z603" s="262"/>
    </row>
    <row r="604" spans="1:26" ht="15.6" x14ac:dyDescent="0.35">
      <c r="A604" s="262"/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2"/>
      <c r="X604" s="262"/>
      <c r="Y604" s="262"/>
      <c r="Z604" s="262"/>
    </row>
    <row r="605" spans="1:26" ht="15.6" x14ac:dyDescent="0.35">
      <c r="A605" s="262"/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2"/>
      <c r="X605" s="262"/>
      <c r="Y605" s="262"/>
      <c r="Z605" s="262"/>
    </row>
    <row r="606" spans="1:26" ht="15.6" x14ac:dyDescent="0.35">
      <c r="A606" s="262"/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2"/>
      <c r="X606" s="262"/>
      <c r="Y606" s="262"/>
      <c r="Z606" s="262"/>
    </row>
    <row r="607" spans="1:26" ht="15.6" x14ac:dyDescent="0.35">
      <c r="A607" s="262"/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2"/>
      <c r="X607" s="262"/>
      <c r="Y607" s="262"/>
      <c r="Z607" s="262"/>
    </row>
    <row r="608" spans="1:26" ht="15.6" x14ac:dyDescent="0.35">
      <c r="A608" s="262"/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2"/>
      <c r="X608" s="262"/>
      <c r="Y608" s="262"/>
      <c r="Z608" s="262"/>
    </row>
    <row r="609" spans="1:26" ht="15.6" x14ac:dyDescent="0.35">
      <c r="A609" s="262"/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2"/>
      <c r="X609" s="262"/>
      <c r="Y609" s="262"/>
      <c r="Z609" s="262"/>
    </row>
    <row r="610" spans="1:26" ht="15.6" x14ac:dyDescent="0.35">
      <c r="A610" s="262"/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2"/>
      <c r="X610" s="262"/>
      <c r="Y610" s="262"/>
      <c r="Z610" s="262"/>
    </row>
    <row r="611" spans="1:26" ht="15.6" x14ac:dyDescent="0.35">
      <c r="A611" s="262"/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2"/>
      <c r="X611" s="262"/>
      <c r="Y611" s="262"/>
      <c r="Z611" s="262"/>
    </row>
    <row r="612" spans="1:26" ht="15.6" x14ac:dyDescent="0.35">
      <c r="A612" s="262"/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2"/>
      <c r="X612" s="262"/>
      <c r="Y612" s="262"/>
      <c r="Z612" s="262"/>
    </row>
    <row r="613" spans="1:26" ht="15.6" x14ac:dyDescent="0.35">
      <c r="A613" s="262"/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2"/>
      <c r="X613" s="262"/>
      <c r="Y613" s="262"/>
      <c r="Z613" s="262"/>
    </row>
    <row r="614" spans="1:26" ht="15.6" x14ac:dyDescent="0.35">
      <c r="A614" s="262"/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2"/>
      <c r="X614" s="262"/>
      <c r="Y614" s="262"/>
      <c r="Z614" s="262"/>
    </row>
    <row r="615" spans="1:26" ht="15.6" x14ac:dyDescent="0.35">
      <c r="A615" s="262"/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2"/>
      <c r="X615" s="262"/>
      <c r="Y615" s="262"/>
      <c r="Z615" s="262"/>
    </row>
    <row r="616" spans="1:26" ht="15.6" x14ac:dyDescent="0.35">
      <c r="A616" s="262"/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2"/>
      <c r="X616" s="262"/>
      <c r="Y616" s="262"/>
      <c r="Z616" s="262"/>
    </row>
    <row r="617" spans="1:26" ht="15.6" x14ac:dyDescent="0.35">
      <c r="A617" s="262"/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2"/>
      <c r="X617" s="262"/>
      <c r="Y617" s="262"/>
      <c r="Z617" s="262"/>
    </row>
    <row r="618" spans="1:26" ht="15.6" x14ac:dyDescent="0.35">
      <c r="A618" s="262"/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2"/>
      <c r="X618" s="262"/>
      <c r="Y618" s="262"/>
      <c r="Z618" s="262"/>
    </row>
    <row r="619" spans="1:26" ht="15.6" x14ac:dyDescent="0.35">
      <c r="A619" s="262"/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2"/>
      <c r="X619" s="262"/>
      <c r="Y619" s="262"/>
      <c r="Z619" s="262"/>
    </row>
    <row r="620" spans="1:26" ht="15.6" x14ac:dyDescent="0.35">
      <c r="A620" s="262"/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2"/>
      <c r="X620" s="262"/>
      <c r="Y620" s="262"/>
      <c r="Z620" s="262"/>
    </row>
    <row r="621" spans="1:26" ht="15.6" x14ac:dyDescent="0.35">
      <c r="A621" s="262"/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2"/>
      <c r="X621" s="262"/>
      <c r="Y621" s="262"/>
      <c r="Z621" s="262"/>
    </row>
    <row r="622" spans="1:26" ht="15.6" x14ac:dyDescent="0.35">
      <c r="A622" s="262"/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2"/>
      <c r="X622" s="262"/>
      <c r="Y622" s="262"/>
      <c r="Z622" s="262"/>
    </row>
    <row r="623" spans="1:26" ht="15.6" x14ac:dyDescent="0.35">
      <c r="A623" s="262"/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2"/>
      <c r="X623" s="262"/>
      <c r="Y623" s="262"/>
      <c r="Z623" s="262"/>
    </row>
    <row r="624" spans="1:26" ht="15.6" x14ac:dyDescent="0.35">
      <c r="A624" s="262"/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2"/>
      <c r="X624" s="262"/>
      <c r="Y624" s="262"/>
      <c r="Z624" s="262"/>
    </row>
    <row r="625" spans="1:26" ht="15.6" x14ac:dyDescent="0.35">
      <c r="A625" s="262"/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2"/>
      <c r="X625" s="262"/>
      <c r="Y625" s="262"/>
      <c r="Z625" s="262"/>
    </row>
    <row r="626" spans="1:26" ht="15.6" x14ac:dyDescent="0.35">
      <c r="A626" s="262"/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2"/>
      <c r="X626" s="262"/>
      <c r="Y626" s="262"/>
      <c r="Z626" s="262"/>
    </row>
    <row r="627" spans="1:26" ht="15.6" x14ac:dyDescent="0.35">
      <c r="A627" s="262"/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2"/>
      <c r="X627" s="262"/>
      <c r="Y627" s="262"/>
      <c r="Z627" s="262"/>
    </row>
    <row r="628" spans="1:26" ht="15.6" x14ac:dyDescent="0.35">
      <c r="A628" s="262"/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2"/>
      <c r="X628" s="262"/>
      <c r="Y628" s="262"/>
      <c r="Z628" s="262"/>
    </row>
    <row r="629" spans="1:26" ht="15.6" x14ac:dyDescent="0.35">
      <c r="A629" s="262"/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2"/>
      <c r="X629" s="262"/>
      <c r="Y629" s="262"/>
      <c r="Z629" s="262"/>
    </row>
    <row r="630" spans="1:26" ht="15.6" x14ac:dyDescent="0.35">
      <c r="A630" s="262"/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2"/>
      <c r="X630" s="262"/>
      <c r="Y630" s="262"/>
      <c r="Z630" s="262"/>
    </row>
    <row r="631" spans="1:26" ht="15.6" x14ac:dyDescent="0.35">
      <c r="A631" s="262"/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2"/>
      <c r="X631" s="262"/>
      <c r="Y631" s="262"/>
      <c r="Z631" s="262"/>
    </row>
    <row r="632" spans="1:26" ht="15.6" x14ac:dyDescent="0.35">
      <c r="A632" s="262"/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2"/>
      <c r="X632" s="262"/>
      <c r="Y632" s="262"/>
      <c r="Z632" s="262"/>
    </row>
    <row r="633" spans="1:26" ht="15.6" x14ac:dyDescent="0.35">
      <c r="A633" s="262"/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2"/>
      <c r="X633" s="262"/>
      <c r="Y633" s="262"/>
      <c r="Z633" s="262"/>
    </row>
    <row r="634" spans="1:26" ht="15.6" x14ac:dyDescent="0.35">
      <c r="A634" s="262"/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2"/>
      <c r="X634" s="262"/>
      <c r="Y634" s="262"/>
      <c r="Z634" s="262"/>
    </row>
    <row r="635" spans="1:26" ht="15.6" x14ac:dyDescent="0.35">
      <c r="A635" s="262"/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2"/>
      <c r="X635" s="262"/>
      <c r="Y635" s="262"/>
      <c r="Z635" s="262"/>
    </row>
    <row r="636" spans="1:26" ht="15.6" x14ac:dyDescent="0.35">
      <c r="A636" s="262"/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2"/>
      <c r="X636" s="262"/>
      <c r="Y636" s="262"/>
      <c r="Z636" s="262"/>
    </row>
    <row r="637" spans="1:26" ht="15.6" x14ac:dyDescent="0.35">
      <c r="A637" s="262"/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2"/>
      <c r="X637" s="262"/>
      <c r="Y637" s="262"/>
      <c r="Z637" s="262"/>
    </row>
    <row r="638" spans="1:26" ht="15.6" x14ac:dyDescent="0.35">
      <c r="A638" s="262"/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2"/>
      <c r="X638" s="262"/>
      <c r="Y638" s="262"/>
      <c r="Z638" s="262"/>
    </row>
    <row r="639" spans="1:26" ht="15.6" x14ac:dyDescent="0.35">
      <c r="A639" s="262"/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2"/>
      <c r="X639" s="262"/>
      <c r="Y639" s="262"/>
      <c r="Z639" s="262"/>
    </row>
    <row r="640" spans="1:26" ht="15.6" x14ac:dyDescent="0.35">
      <c r="A640" s="262"/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2"/>
      <c r="X640" s="262"/>
      <c r="Y640" s="262"/>
      <c r="Z640" s="262"/>
    </row>
    <row r="641" spans="1:26" ht="15.6" x14ac:dyDescent="0.35">
      <c r="A641" s="262"/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2"/>
      <c r="X641" s="262"/>
      <c r="Y641" s="262"/>
      <c r="Z641" s="262"/>
    </row>
    <row r="642" spans="1:26" ht="15.6" x14ac:dyDescent="0.35">
      <c r="A642" s="262"/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2"/>
      <c r="X642" s="262"/>
      <c r="Y642" s="262"/>
      <c r="Z642" s="262"/>
    </row>
    <row r="643" spans="1:26" ht="15.6" x14ac:dyDescent="0.35">
      <c r="A643" s="262"/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2"/>
      <c r="X643" s="262"/>
      <c r="Y643" s="262"/>
      <c r="Z643" s="262"/>
    </row>
    <row r="644" spans="1:26" ht="15.6" x14ac:dyDescent="0.35">
      <c r="A644" s="262"/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2"/>
      <c r="X644" s="262"/>
      <c r="Y644" s="262"/>
      <c r="Z644" s="262"/>
    </row>
    <row r="645" spans="1:26" ht="15.6" x14ac:dyDescent="0.35">
      <c r="A645" s="262"/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2"/>
      <c r="X645" s="262"/>
      <c r="Y645" s="262"/>
      <c r="Z645" s="262"/>
    </row>
    <row r="646" spans="1:26" ht="15.6" x14ac:dyDescent="0.35">
      <c r="A646" s="262"/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2"/>
      <c r="X646" s="262"/>
      <c r="Y646" s="262"/>
      <c r="Z646" s="262"/>
    </row>
    <row r="647" spans="1:26" ht="15.6" x14ac:dyDescent="0.35">
      <c r="A647" s="262"/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2"/>
      <c r="X647" s="262"/>
      <c r="Y647" s="262"/>
      <c r="Z647" s="262"/>
    </row>
    <row r="648" spans="1:26" ht="15.6" x14ac:dyDescent="0.35">
      <c r="A648" s="262"/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2"/>
      <c r="X648" s="262"/>
      <c r="Y648" s="262"/>
      <c r="Z648" s="262"/>
    </row>
    <row r="649" spans="1:26" ht="15.6" x14ac:dyDescent="0.35">
      <c r="A649" s="262"/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2"/>
      <c r="X649" s="262"/>
      <c r="Y649" s="262"/>
      <c r="Z649" s="262"/>
    </row>
    <row r="650" spans="1:26" ht="15.6" x14ac:dyDescent="0.35">
      <c r="A650" s="262"/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2"/>
      <c r="X650" s="262"/>
      <c r="Y650" s="262"/>
      <c r="Z650" s="262"/>
    </row>
    <row r="651" spans="1:26" ht="15.6" x14ac:dyDescent="0.35">
      <c r="A651" s="262"/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2"/>
      <c r="X651" s="262"/>
      <c r="Y651" s="262"/>
      <c r="Z651" s="262"/>
    </row>
    <row r="652" spans="1:26" ht="15.6" x14ac:dyDescent="0.35">
      <c r="A652" s="262"/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2"/>
      <c r="X652" s="262"/>
      <c r="Y652" s="262"/>
      <c r="Z652" s="262"/>
    </row>
    <row r="653" spans="1:26" ht="15.6" x14ac:dyDescent="0.35">
      <c r="A653" s="262"/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2"/>
      <c r="X653" s="262"/>
      <c r="Y653" s="262"/>
      <c r="Z653" s="262"/>
    </row>
    <row r="654" spans="1:26" ht="15.6" x14ac:dyDescent="0.35">
      <c r="A654" s="262"/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2"/>
      <c r="X654" s="262"/>
      <c r="Y654" s="262"/>
      <c r="Z654" s="262"/>
    </row>
    <row r="655" spans="1:26" ht="15.6" x14ac:dyDescent="0.35">
      <c r="A655" s="262"/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2"/>
      <c r="X655" s="262"/>
      <c r="Y655" s="262"/>
      <c r="Z655" s="262"/>
    </row>
    <row r="656" spans="1:26" ht="15.6" x14ac:dyDescent="0.35">
      <c r="A656" s="262"/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2"/>
      <c r="X656" s="262"/>
      <c r="Y656" s="262"/>
      <c r="Z656" s="262"/>
    </row>
    <row r="657" spans="1:26" ht="15.6" x14ac:dyDescent="0.35">
      <c r="A657" s="262"/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2"/>
      <c r="X657" s="262"/>
      <c r="Y657" s="262"/>
      <c r="Z657" s="262"/>
    </row>
    <row r="658" spans="1:26" ht="15.6" x14ac:dyDescent="0.35">
      <c r="A658" s="262"/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2"/>
      <c r="X658" s="262"/>
      <c r="Y658" s="262"/>
      <c r="Z658" s="262"/>
    </row>
    <row r="659" spans="1:26" ht="15.6" x14ac:dyDescent="0.35">
      <c r="A659" s="262"/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2"/>
      <c r="X659" s="262"/>
      <c r="Y659" s="262"/>
      <c r="Z659" s="262"/>
    </row>
    <row r="660" spans="1:26" ht="15.6" x14ac:dyDescent="0.35">
      <c r="A660" s="262"/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2"/>
      <c r="X660" s="262"/>
      <c r="Y660" s="262"/>
      <c r="Z660" s="262"/>
    </row>
    <row r="661" spans="1:26" ht="15.6" x14ac:dyDescent="0.35">
      <c r="A661" s="262"/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2"/>
      <c r="X661" s="262"/>
      <c r="Y661" s="262"/>
      <c r="Z661" s="262"/>
    </row>
    <row r="662" spans="1:26" ht="15.6" x14ac:dyDescent="0.35">
      <c r="A662" s="262"/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2"/>
      <c r="X662" s="262"/>
      <c r="Y662" s="262"/>
      <c r="Z662" s="262"/>
    </row>
    <row r="663" spans="1:26" ht="15.6" x14ac:dyDescent="0.35">
      <c r="A663" s="262"/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2"/>
      <c r="X663" s="262"/>
      <c r="Y663" s="262"/>
      <c r="Z663" s="262"/>
    </row>
    <row r="664" spans="1:26" ht="15.6" x14ac:dyDescent="0.35">
      <c r="A664" s="262"/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2"/>
      <c r="X664" s="262"/>
      <c r="Y664" s="262"/>
      <c r="Z664" s="262"/>
    </row>
    <row r="665" spans="1:26" ht="15.6" x14ac:dyDescent="0.35">
      <c r="A665" s="262"/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2"/>
      <c r="X665" s="262"/>
      <c r="Y665" s="262"/>
      <c r="Z665" s="262"/>
    </row>
    <row r="666" spans="1:26" ht="15.6" x14ac:dyDescent="0.35">
      <c r="A666" s="262"/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2"/>
      <c r="X666" s="262"/>
      <c r="Y666" s="262"/>
      <c r="Z666" s="262"/>
    </row>
    <row r="667" spans="1:26" ht="15.6" x14ac:dyDescent="0.35">
      <c r="A667" s="262"/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2"/>
      <c r="X667" s="262"/>
      <c r="Y667" s="262"/>
      <c r="Z667" s="262"/>
    </row>
    <row r="668" spans="1:26" ht="15.6" x14ac:dyDescent="0.35">
      <c r="A668" s="262"/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2"/>
      <c r="X668" s="262"/>
      <c r="Y668" s="262"/>
      <c r="Z668" s="262"/>
    </row>
    <row r="669" spans="1:26" ht="15.6" x14ac:dyDescent="0.35">
      <c r="A669" s="262"/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2"/>
      <c r="X669" s="262"/>
      <c r="Y669" s="262"/>
      <c r="Z669" s="262"/>
    </row>
    <row r="670" spans="1:26" ht="15.6" x14ac:dyDescent="0.35">
      <c r="A670" s="262"/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2"/>
      <c r="X670" s="262"/>
      <c r="Y670" s="262"/>
      <c r="Z670" s="262"/>
    </row>
    <row r="671" spans="1:26" ht="15.6" x14ac:dyDescent="0.35">
      <c r="A671" s="262"/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2"/>
      <c r="X671" s="262"/>
      <c r="Y671" s="262"/>
      <c r="Z671" s="262"/>
    </row>
    <row r="672" spans="1:26" ht="15.6" x14ac:dyDescent="0.35">
      <c r="A672" s="262"/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2"/>
      <c r="X672" s="262"/>
      <c r="Y672" s="262"/>
      <c r="Z672" s="262"/>
    </row>
    <row r="673" spans="1:26" ht="15.6" x14ac:dyDescent="0.35">
      <c r="A673" s="262"/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2"/>
      <c r="X673" s="262"/>
      <c r="Y673" s="262"/>
      <c r="Z673" s="262"/>
    </row>
    <row r="674" spans="1:26" ht="15.6" x14ac:dyDescent="0.35">
      <c r="A674" s="262"/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2"/>
      <c r="X674" s="262"/>
      <c r="Y674" s="262"/>
      <c r="Z674" s="262"/>
    </row>
    <row r="675" spans="1:26" ht="15.6" x14ac:dyDescent="0.35">
      <c r="A675" s="262"/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2"/>
      <c r="X675" s="262"/>
      <c r="Y675" s="262"/>
      <c r="Z675" s="262"/>
    </row>
    <row r="676" spans="1:26" ht="15.6" x14ac:dyDescent="0.35">
      <c r="A676" s="262"/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2"/>
      <c r="X676" s="262"/>
      <c r="Y676" s="262"/>
      <c r="Z676" s="262"/>
    </row>
    <row r="677" spans="1:26" ht="15.6" x14ac:dyDescent="0.35">
      <c r="A677" s="262"/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2"/>
      <c r="X677" s="262"/>
      <c r="Y677" s="262"/>
      <c r="Z677" s="262"/>
    </row>
    <row r="678" spans="1:26" ht="15.6" x14ac:dyDescent="0.35">
      <c r="A678" s="262"/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2"/>
      <c r="X678" s="262"/>
      <c r="Y678" s="262"/>
      <c r="Z678" s="262"/>
    </row>
    <row r="679" spans="1:26" ht="15.6" x14ac:dyDescent="0.35">
      <c r="A679" s="262"/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2"/>
      <c r="X679" s="262"/>
      <c r="Y679" s="262"/>
      <c r="Z679" s="262"/>
    </row>
    <row r="680" spans="1:26" ht="15.6" x14ac:dyDescent="0.35">
      <c r="A680" s="262"/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2"/>
      <c r="X680" s="262"/>
      <c r="Y680" s="262"/>
      <c r="Z680" s="262"/>
    </row>
    <row r="681" spans="1:26" ht="15.6" x14ac:dyDescent="0.35">
      <c r="A681" s="262"/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2"/>
      <c r="X681" s="262"/>
      <c r="Y681" s="262"/>
      <c r="Z681" s="262"/>
    </row>
    <row r="682" spans="1:26" ht="15.6" x14ac:dyDescent="0.35">
      <c r="A682" s="262"/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2"/>
      <c r="X682" s="262"/>
      <c r="Y682" s="262"/>
      <c r="Z682" s="262"/>
    </row>
    <row r="683" spans="1:26" ht="15.6" x14ac:dyDescent="0.35">
      <c r="A683" s="262"/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2"/>
      <c r="X683" s="262"/>
      <c r="Y683" s="262"/>
      <c r="Z683" s="262"/>
    </row>
    <row r="684" spans="1:26" ht="15.6" x14ac:dyDescent="0.35">
      <c r="A684" s="262"/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2"/>
      <c r="X684" s="262"/>
      <c r="Y684" s="262"/>
      <c r="Z684" s="262"/>
    </row>
    <row r="685" spans="1:26" ht="15.6" x14ac:dyDescent="0.35">
      <c r="A685" s="262"/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2"/>
      <c r="X685" s="262"/>
      <c r="Y685" s="262"/>
      <c r="Z685" s="262"/>
    </row>
    <row r="686" spans="1:26" ht="15.6" x14ac:dyDescent="0.35">
      <c r="A686" s="262"/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2"/>
      <c r="X686" s="262"/>
      <c r="Y686" s="262"/>
      <c r="Z686" s="262"/>
    </row>
    <row r="687" spans="1:26" ht="15.6" x14ac:dyDescent="0.35">
      <c r="A687" s="262"/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2"/>
      <c r="X687" s="262"/>
      <c r="Y687" s="262"/>
      <c r="Z687" s="262"/>
    </row>
    <row r="688" spans="1:26" ht="15.6" x14ac:dyDescent="0.35">
      <c r="A688" s="262"/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2"/>
      <c r="X688" s="262"/>
      <c r="Y688" s="262"/>
      <c r="Z688" s="262"/>
    </row>
    <row r="689" spans="1:26" ht="15.6" x14ac:dyDescent="0.35">
      <c r="A689" s="262"/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2"/>
      <c r="X689" s="262"/>
      <c r="Y689" s="262"/>
      <c r="Z689" s="262"/>
    </row>
    <row r="690" spans="1:26" ht="15.6" x14ac:dyDescent="0.35">
      <c r="A690" s="262"/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2"/>
      <c r="X690" s="262"/>
      <c r="Y690" s="262"/>
      <c r="Z690" s="262"/>
    </row>
    <row r="691" spans="1:26" ht="15.6" x14ac:dyDescent="0.35">
      <c r="A691" s="262"/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2"/>
      <c r="X691" s="262"/>
      <c r="Y691" s="262"/>
      <c r="Z691" s="262"/>
    </row>
    <row r="692" spans="1:26" ht="15.6" x14ac:dyDescent="0.35">
      <c r="A692" s="262"/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2"/>
      <c r="X692" s="262"/>
      <c r="Y692" s="262"/>
      <c r="Z692" s="262"/>
    </row>
    <row r="693" spans="1:26" ht="15.6" x14ac:dyDescent="0.35">
      <c r="A693" s="262"/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2"/>
      <c r="X693" s="262"/>
      <c r="Y693" s="262"/>
      <c r="Z693" s="262"/>
    </row>
    <row r="694" spans="1:26" ht="15.6" x14ac:dyDescent="0.35">
      <c r="A694" s="262"/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2"/>
      <c r="X694" s="262"/>
      <c r="Y694" s="262"/>
      <c r="Z694" s="262"/>
    </row>
    <row r="695" spans="1:26" ht="15.6" x14ac:dyDescent="0.35">
      <c r="A695" s="262"/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2"/>
      <c r="X695" s="262"/>
      <c r="Y695" s="262"/>
      <c r="Z695" s="262"/>
    </row>
    <row r="696" spans="1:26" ht="15.6" x14ac:dyDescent="0.35">
      <c r="A696" s="262"/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2"/>
      <c r="X696" s="262"/>
      <c r="Y696" s="262"/>
      <c r="Z696" s="262"/>
    </row>
    <row r="697" spans="1:26" ht="15.6" x14ac:dyDescent="0.35">
      <c r="A697" s="262"/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2"/>
      <c r="X697" s="262"/>
      <c r="Y697" s="262"/>
      <c r="Z697" s="262"/>
    </row>
    <row r="698" spans="1:26" ht="15.6" x14ac:dyDescent="0.35">
      <c r="A698" s="262"/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2"/>
      <c r="X698" s="262"/>
      <c r="Y698" s="262"/>
      <c r="Z698" s="262"/>
    </row>
    <row r="699" spans="1:26" ht="15.6" x14ac:dyDescent="0.35">
      <c r="A699" s="262"/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2"/>
      <c r="X699" s="262"/>
      <c r="Y699" s="262"/>
      <c r="Z699" s="262"/>
    </row>
    <row r="700" spans="1:26" ht="15.6" x14ac:dyDescent="0.35">
      <c r="A700" s="262"/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2"/>
      <c r="X700" s="262"/>
      <c r="Y700" s="262"/>
      <c r="Z700" s="262"/>
    </row>
    <row r="701" spans="1:26" ht="15.6" x14ac:dyDescent="0.35">
      <c r="A701" s="262"/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2"/>
      <c r="X701" s="262"/>
      <c r="Y701" s="262"/>
      <c r="Z701" s="262"/>
    </row>
    <row r="702" spans="1:26" ht="15.6" x14ac:dyDescent="0.35">
      <c r="A702" s="262"/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2"/>
      <c r="X702" s="262"/>
      <c r="Y702" s="262"/>
      <c r="Z702" s="262"/>
    </row>
    <row r="703" spans="1:26" ht="15.6" x14ac:dyDescent="0.35">
      <c r="A703" s="262"/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2"/>
      <c r="X703" s="262"/>
      <c r="Y703" s="262"/>
      <c r="Z703" s="262"/>
    </row>
    <row r="704" spans="1:26" ht="15.6" x14ac:dyDescent="0.35">
      <c r="A704" s="262"/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2"/>
      <c r="X704" s="262"/>
      <c r="Y704" s="262"/>
      <c r="Z704" s="262"/>
    </row>
    <row r="705" spans="1:26" ht="15.6" x14ac:dyDescent="0.35">
      <c r="A705" s="262"/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2"/>
      <c r="X705" s="262"/>
      <c r="Y705" s="262"/>
      <c r="Z705" s="262"/>
    </row>
    <row r="706" spans="1:26" ht="15.6" x14ac:dyDescent="0.35">
      <c r="A706" s="262"/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2"/>
      <c r="X706" s="262"/>
      <c r="Y706" s="262"/>
      <c r="Z706" s="262"/>
    </row>
    <row r="707" spans="1:26" ht="15.6" x14ac:dyDescent="0.35">
      <c r="A707" s="262"/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2"/>
      <c r="X707" s="262"/>
      <c r="Y707" s="262"/>
      <c r="Z707" s="262"/>
    </row>
    <row r="708" spans="1:26" ht="15.6" x14ac:dyDescent="0.35">
      <c r="A708" s="262"/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2"/>
      <c r="X708" s="262"/>
      <c r="Y708" s="262"/>
      <c r="Z708" s="262"/>
    </row>
    <row r="709" spans="1:26" ht="15.6" x14ac:dyDescent="0.35">
      <c r="A709" s="262"/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2"/>
      <c r="X709" s="262"/>
      <c r="Y709" s="262"/>
      <c r="Z709" s="262"/>
    </row>
    <row r="710" spans="1:26" ht="15.6" x14ac:dyDescent="0.35">
      <c r="A710" s="262"/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2"/>
      <c r="X710" s="262"/>
      <c r="Y710" s="262"/>
      <c r="Z710" s="262"/>
    </row>
    <row r="711" spans="1:26" ht="15.6" x14ac:dyDescent="0.35">
      <c r="A711" s="262"/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2"/>
      <c r="X711" s="262"/>
      <c r="Y711" s="262"/>
      <c r="Z711" s="262"/>
    </row>
    <row r="712" spans="1:26" ht="15.6" x14ac:dyDescent="0.35">
      <c r="A712" s="262"/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2"/>
      <c r="X712" s="262"/>
      <c r="Y712" s="262"/>
      <c r="Z712" s="262"/>
    </row>
    <row r="713" spans="1:26" ht="15.6" x14ac:dyDescent="0.35">
      <c r="A713" s="262"/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2"/>
      <c r="X713" s="262"/>
      <c r="Y713" s="262"/>
      <c r="Z713" s="262"/>
    </row>
    <row r="714" spans="1:26" ht="15.6" x14ac:dyDescent="0.35">
      <c r="A714" s="262"/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2"/>
      <c r="X714" s="262"/>
      <c r="Y714" s="262"/>
      <c r="Z714" s="262"/>
    </row>
    <row r="715" spans="1:26" ht="15.6" x14ac:dyDescent="0.35">
      <c r="A715" s="262"/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  <c r="Z715" s="262"/>
    </row>
    <row r="716" spans="1:26" ht="15.6" x14ac:dyDescent="0.35">
      <c r="A716" s="262"/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  <c r="Z716" s="262"/>
    </row>
    <row r="717" spans="1:26" ht="15.6" x14ac:dyDescent="0.35">
      <c r="A717" s="262"/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  <c r="Z717" s="262"/>
    </row>
    <row r="718" spans="1:26" ht="15.6" x14ac:dyDescent="0.35">
      <c r="A718" s="262"/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  <c r="Z718" s="262"/>
    </row>
    <row r="719" spans="1:26" ht="15.6" x14ac:dyDescent="0.35">
      <c r="A719" s="262"/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  <c r="Z719" s="262"/>
    </row>
    <row r="720" spans="1:26" ht="15.6" x14ac:dyDescent="0.35">
      <c r="A720" s="262"/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  <c r="Z720" s="262"/>
    </row>
    <row r="721" spans="1:26" ht="15.6" x14ac:dyDescent="0.35">
      <c r="A721" s="262"/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  <c r="Z721" s="262"/>
    </row>
    <row r="722" spans="1:26" ht="15.6" x14ac:dyDescent="0.35">
      <c r="A722" s="262"/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  <c r="Z722" s="262"/>
    </row>
    <row r="723" spans="1:26" ht="15.6" x14ac:dyDescent="0.35">
      <c r="A723" s="262"/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  <c r="Z723" s="262"/>
    </row>
    <row r="724" spans="1:26" ht="15.6" x14ac:dyDescent="0.35">
      <c r="A724" s="262"/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  <c r="Z724" s="262"/>
    </row>
    <row r="725" spans="1:26" ht="15.6" x14ac:dyDescent="0.35">
      <c r="A725" s="262"/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  <c r="Z725" s="262"/>
    </row>
    <row r="726" spans="1:26" ht="15.6" x14ac:dyDescent="0.35">
      <c r="A726" s="262"/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  <c r="Z726" s="262"/>
    </row>
    <row r="727" spans="1:26" ht="15.6" x14ac:dyDescent="0.35">
      <c r="A727" s="262"/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  <c r="Z727" s="262"/>
    </row>
    <row r="728" spans="1:26" ht="15.6" x14ac:dyDescent="0.35">
      <c r="A728" s="262"/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  <c r="Z728" s="262"/>
    </row>
    <row r="729" spans="1:26" ht="15.6" x14ac:dyDescent="0.35">
      <c r="A729" s="262"/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  <c r="Z729" s="262"/>
    </row>
    <row r="730" spans="1:26" ht="15.6" x14ac:dyDescent="0.35">
      <c r="A730" s="262"/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  <c r="Z730" s="262"/>
    </row>
    <row r="731" spans="1:26" ht="15.6" x14ac:dyDescent="0.35">
      <c r="A731" s="262"/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  <c r="Z731" s="262"/>
    </row>
    <row r="732" spans="1:26" ht="15.6" x14ac:dyDescent="0.35">
      <c r="A732" s="262"/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  <c r="Z732" s="262"/>
    </row>
    <row r="733" spans="1:26" ht="15.6" x14ac:dyDescent="0.35">
      <c r="A733" s="262"/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  <c r="Z733" s="262"/>
    </row>
    <row r="734" spans="1:26" ht="15.6" x14ac:dyDescent="0.35">
      <c r="A734" s="262"/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  <c r="Z734" s="262"/>
    </row>
    <row r="735" spans="1:26" ht="15.6" x14ac:dyDescent="0.35">
      <c r="A735" s="262"/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  <c r="Z735" s="262"/>
    </row>
    <row r="736" spans="1:26" ht="15.6" x14ac:dyDescent="0.35">
      <c r="A736" s="262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2"/>
    </row>
    <row r="737" spans="1:26" ht="15.6" x14ac:dyDescent="0.35">
      <c r="A737" s="262"/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  <c r="Z737" s="262"/>
    </row>
    <row r="738" spans="1:26" ht="15.6" x14ac:dyDescent="0.35">
      <c r="A738" s="262"/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  <c r="Z738" s="262"/>
    </row>
    <row r="739" spans="1:26" ht="15.6" x14ac:dyDescent="0.35">
      <c r="A739" s="262"/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  <c r="Z739" s="262"/>
    </row>
    <row r="740" spans="1:26" ht="15.6" x14ac:dyDescent="0.35">
      <c r="A740" s="262"/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  <c r="Z740" s="262"/>
    </row>
    <row r="741" spans="1:26" ht="15.6" x14ac:dyDescent="0.35">
      <c r="A741" s="262"/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  <c r="Z741" s="262"/>
    </row>
    <row r="742" spans="1:26" ht="15.6" x14ac:dyDescent="0.35">
      <c r="A742" s="262"/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  <c r="Z742" s="262"/>
    </row>
    <row r="743" spans="1:26" ht="15.6" x14ac:dyDescent="0.35">
      <c r="A743" s="262"/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  <c r="Z743" s="262"/>
    </row>
    <row r="744" spans="1:26" ht="15.6" x14ac:dyDescent="0.35">
      <c r="A744" s="262"/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  <c r="Z744" s="262"/>
    </row>
    <row r="745" spans="1:26" ht="15.6" x14ac:dyDescent="0.35">
      <c r="A745" s="262"/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  <c r="Z745" s="262"/>
    </row>
    <row r="746" spans="1:26" ht="15.6" x14ac:dyDescent="0.35">
      <c r="A746" s="262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2"/>
    </row>
    <row r="747" spans="1:26" ht="15.6" x14ac:dyDescent="0.35">
      <c r="A747" s="262"/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  <c r="Z747" s="262"/>
    </row>
    <row r="748" spans="1:26" ht="15.6" x14ac:dyDescent="0.35">
      <c r="A748" s="262"/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  <c r="Z748" s="262"/>
    </row>
    <row r="749" spans="1:26" ht="15.6" x14ac:dyDescent="0.35">
      <c r="A749" s="262"/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  <c r="Z749" s="262"/>
    </row>
    <row r="750" spans="1:26" ht="15.6" x14ac:dyDescent="0.35">
      <c r="A750" s="262"/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  <c r="Z750" s="262"/>
    </row>
    <row r="751" spans="1:26" ht="15.6" x14ac:dyDescent="0.35">
      <c r="A751" s="262"/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  <c r="Z751" s="262"/>
    </row>
    <row r="752" spans="1:26" ht="15.6" x14ac:dyDescent="0.35">
      <c r="A752" s="262"/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  <c r="Z752" s="262"/>
    </row>
    <row r="753" spans="1:26" ht="15.6" x14ac:dyDescent="0.35">
      <c r="A753" s="262"/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  <c r="Z753" s="262"/>
    </row>
    <row r="754" spans="1:26" ht="15.6" x14ac:dyDescent="0.35">
      <c r="A754" s="262"/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  <c r="Z754" s="262"/>
    </row>
    <row r="755" spans="1:26" ht="15.6" x14ac:dyDescent="0.35">
      <c r="A755" s="262"/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  <c r="Z755" s="262"/>
    </row>
    <row r="756" spans="1:26" ht="15.6" x14ac:dyDescent="0.35">
      <c r="A756" s="262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2"/>
    </row>
    <row r="757" spans="1:26" ht="15.6" x14ac:dyDescent="0.35">
      <c r="A757" s="262"/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  <c r="Z757" s="262"/>
    </row>
    <row r="758" spans="1:26" ht="15.6" x14ac:dyDescent="0.35">
      <c r="A758" s="262"/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  <c r="Z758" s="262"/>
    </row>
    <row r="759" spans="1:26" ht="15.6" x14ac:dyDescent="0.35">
      <c r="A759" s="262"/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  <c r="Z759" s="262"/>
    </row>
    <row r="760" spans="1:26" ht="15.6" x14ac:dyDescent="0.35">
      <c r="A760" s="262"/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  <c r="Z760" s="262"/>
    </row>
    <row r="761" spans="1:26" ht="15.6" x14ac:dyDescent="0.35">
      <c r="A761" s="262"/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  <c r="Z761" s="262"/>
    </row>
    <row r="762" spans="1:26" ht="15.6" x14ac:dyDescent="0.35">
      <c r="A762" s="262"/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  <c r="Z762" s="262"/>
    </row>
    <row r="763" spans="1:26" ht="15.6" x14ac:dyDescent="0.35">
      <c r="A763" s="262"/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  <c r="Z763" s="262"/>
    </row>
    <row r="764" spans="1:26" ht="15.6" x14ac:dyDescent="0.35">
      <c r="A764" s="262"/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  <c r="Z764" s="262"/>
    </row>
    <row r="765" spans="1:26" ht="15.6" x14ac:dyDescent="0.35">
      <c r="A765" s="262"/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  <c r="Z765" s="262"/>
    </row>
    <row r="766" spans="1:26" ht="15.6" x14ac:dyDescent="0.35">
      <c r="A766" s="262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2"/>
    </row>
    <row r="767" spans="1:26" ht="15.6" x14ac:dyDescent="0.35">
      <c r="A767" s="262"/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  <c r="Z767" s="262"/>
    </row>
    <row r="768" spans="1:26" ht="15.6" x14ac:dyDescent="0.35">
      <c r="A768" s="262"/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  <c r="Z768" s="262"/>
    </row>
    <row r="769" spans="1:26" ht="15.6" x14ac:dyDescent="0.35">
      <c r="A769" s="262"/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  <c r="Z769" s="262"/>
    </row>
    <row r="770" spans="1:26" ht="15.6" x14ac:dyDescent="0.35">
      <c r="A770" s="262"/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  <c r="Z770" s="262"/>
    </row>
    <row r="771" spans="1:26" ht="15.6" x14ac:dyDescent="0.35">
      <c r="A771" s="262"/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  <c r="Z771" s="262"/>
    </row>
    <row r="772" spans="1:26" ht="15.6" x14ac:dyDescent="0.35">
      <c r="A772" s="262"/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  <c r="Z772" s="262"/>
    </row>
    <row r="773" spans="1:26" ht="15.6" x14ac:dyDescent="0.35">
      <c r="A773" s="262"/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  <c r="Z773" s="262"/>
    </row>
    <row r="774" spans="1:26" ht="15.6" x14ac:dyDescent="0.35">
      <c r="A774" s="262"/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  <c r="Z774" s="262"/>
    </row>
    <row r="775" spans="1:26" ht="15.6" x14ac:dyDescent="0.35">
      <c r="A775" s="262"/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  <c r="Z775" s="262"/>
    </row>
    <row r="776" spans="1:26" ht="15.6" x14ac:dyDescent="0.35">
      <c r="A776" s="262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2"/>
    </row>
    <row r="777" spans="1:26" ht="15.6" x14ac:dyDescent="0.35">
      <c r="A777" s="262"/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  <c r="Z777" s="262"/>
    </row>
    <row r="778" spans="1:26" ht="15.6" x14ac:dyDescent="0.35">
      <c r="A778" s="262"/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  <c r="Z778" s="262"/>
    </row>
    <row r="779" spans="1:26" ht="15.6" x14ac:dyDescent="0.35">
      <c r="A779" s="262"/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  <c r="Z779" s="262"/>
    </row>
    <row r="780" spans="1:26" ht="15.6" x14ac:dyDescent="0.35">
      <c r="A780" s="262"/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  <c r="Z780" s="262"/>
    </row>
    <row r="781" spans="1:26" ht="15.6" x14ac:dyDescent="0.35">
      <c r="A781" s="262"/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  <c r="Z781" s="262"/>
    </row>
    <row r="782" spans="1:26" ht="15.6" x14ac:dyDescent="0.35">
      <c r="A782" s="262"/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  <c r="Z782" s="262"/>
    </row>
    <row r="783" spans="1:26" ht="15.6" x14ac:dyDescent="0.35">
      <c r="A783" s="262"/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  <c r="Z783" s="262"/>
    </row>
    <row r="784" spans="1:26" ht="15.6" x14ac:dyDescent="0.35">
      <c r="A784" s="262"/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  <c r="Z784" s="262"/>
    </row>
    <row r="785" spans="1:26" ht="15.6" x14ac:dyDescent="0.35">
      <c r="A785" s="262"/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  <c r="Z785" s="262"/>
    </row>
    <row r="786" spans="1:26" ht="15.6" x14ac:dyDescent="0.35">
      <c r="A786" s="262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2"/>
    </row>
    <row r="787" spans="1:26" ht="15.6" x14ac:dyDescent="0.35">
      <c r="A787" s="262"/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  <c r="Z787" s="262"/>
    </row>
    <row r="788" spans="1:26" ht="15.6" x14ac:dyDescent="0.35">
      <c r="A788" s="262"/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  <c r="Z788" s="262"/>
    </row>
    <row r="789" spans="1:26" ht="15.6" x14ac:dyDescent="0.35">
      <c r="A789" s="262"/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  <c r="Z789" s="262"/>
    </row>
    <row r="790" spans="1:26" ht="15.6" x14ac:dyDescent="0.35">
      <c r="A790" s="262"/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  <c r="Z790" s="262"/>
    </row>
    <row r="791" spans="1:26" ht="15.6" x14ac:dyDescent="0.35">
      <c r="A791" s="262"/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  <c r="Z791" s="262"/>
    </row>
    <row r="792" spans="1:26" ht="15.6" x14ac:dyDescent="0.35">
      <c r="A792" s="262"/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  <c r="Z792" s="262"/>
    </row>
    <row r="793" spans="1:26" ht="15.6" x14ac:dyDescent="0.35">
      <c r="A793" s="262"/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  <c r="Z793" s="262"/>
    </row>
    <row r="794" spans="1:26" ht="15.6" x14ac:dyDescent="0.35">
      <c r="A794" s="262"/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  <c r="Z794" s="262"/>
    </row>
    <row r="795" spans="1:26" ht="15.6" x14ac:dyDescent="0.35">
      <c r="A795" s="262"/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  <c r="Z795" s="262"/>
    </row>
    <row r="796" spans="1:26" ht="15.6" x14ac:dyDescent="0.35">
      <c r="A796" s="262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2"/>
    </row>
    <row r="797" spans="1:26" ht="15.6" x14ac:dyDescent="0.35">
      <c r="A797" s="262"/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  <c r="Z797" s="262"/>
    </row>
    <row r="798" spans="1:26" ht="15.6" x14ac:dyDescent="0.35">
      <c r="A798" s="262"/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  <c r="Z798" s="262"/>
    </row>
    <row r="799" spans="1:26" ht="15.6" x14ac:dyDescent="0.35">
      <c r="A799" s="262"/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  <c r="Z799" s="262"/>
    </row>
    <row r="800" spans="1:26" ht="15.6" x14ac:dyDescent="0.35">
      <c r="A800" s="262"/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  <c r="Z800" s="262"/>
    </row>
    <row r="801" spans="1:26" ht="15.6" x14ac:dyDescent="0.35">
      <c r="A801" s="262"/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  <c r="Z801" s="262"/>
    </row>
    <row r="802" spans="1:26" ht="15.6" x14ac:dyDescent="0.35">
      <c r="A802" s="262"/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  <c r="Z802" s="262"/>
    </row>
    <row r="803" spans="1:26" ht="15.6" x14ac:dyDescent="0.35">
      <c r="A803" s="262"/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  <c r="Z803" s="262"/>
    </row>
    <row r="804" spans="1:26" ht="15.6" x14ac:dyDescent="0.35">
      <c r="A804" s="262"/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  <c r="Z804" s="262"/>
    </row>
    <row r="805" spans="1:26" ht="15.6" x14ac:dyDescent="0.35">
      <c r="A805" s="262"/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  <c r="Z805" s="262"/>
    </row>
    <row r="806" spans="1:26" ht="15.6" x14ac:dyDescent="0.35">
      <c r="A806" s="262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2"/>
    </row>
    <row r="807" spans="1:26" ht="15.6" x14ac:dyDescent="0.35">
      <c r="A807" s="262"/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  <c r="Z807" s="262"/>
    </row>
    <row r="808" spans="1:26" ht="15.6" x14ac:dyDescent="0.35">
      <c r="A808" s="262"/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2"/>
      <c r="X808" s="262"/>
      <c r="Y808" s="262"/>
      <c r="Z808" s="262"/>
    </row>
    <row r="809" spans="1:26" ht="15.6" x14ac:dyDescent="0.35">
      <c r="A809" s="262"/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2"/>
      <c r="X809" s="262"/>
      <c r="Y809" s="262"/>
      <c r="Z809" s="262"/>
    </row>
    <row r="810" spans="1:26" ht="15.6" x14ac:dyDescent="0.35">
      <c r="A810" s="262"/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2"/>
      <c r="X810" s="262"/>
      <c r="Y810" s="262"/>
      <c r="Z810" s="262"/>
    </row>
    <row r="811" spans="1:26" ht="15.6" x14ac:dyDescent="0.35">
      <c r="A811" s="262"/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2"/>
      <c r="X811" s="262"/>
      <c r="Y811" s="262"/>
      <c r="Z811" s="262"/>
    </row>
    <row r="812" spans="1:26" ht="15.6" x14ac:dyDescent="0.35">
      <c r="A812" s="262"/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2"/>
      <c r="X812" s="262"/>
      <c r="Y812" s="262"/>
      <c r="Z812" s="262"/>
    </row>
    <row r="813" spans="1:26" ht="15.6" x14ac:dyDescent="0.35">
      <c r="A813" s="262"/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2"/>
      <c r="X813" s="262"/>
      <c r="Y813" s="262"/>
      <c r="Z813" s="262"/>
    </row>
    <row r="814" spans="1:26" ht="15.6" x14ac:dyDescent="0.35">
      <c r="A814" s="262"/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2"/>
      <c r="X814" s="262"/>
      <c r="Y814" s="262"/>
      <c r="Z814" s="262"/>
    </row>
    <row r="815" spans="1:26" ht="15.6" x14ac:dyDescent="0.35">
      <c r="A815" s="262"/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2"/>
      <c r="X815" s="262"/>
      <c r="Y815" s="262"/>
      <c r="Z815" s="262"/>
    </row>
    <row r="816" spans="1:26" ht="15.6" x14ac:dyDescent="0.35">
      <c r="A816" s="262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  <c r="Z816" s="262"/>
    </row>
    <row r="817" spans="1:26" ht="15.6" x14ac:dyDescent="0.35">
      <c r="A817" s="262"/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2"/>
      <c r="X817" s="262"/>
      <c r="Y817" s="262"/>
      <c r="Z817" s="262"/>
    </row>
    <row r="818" spans="1:26" ht="15.6" x14ac:dyDescent="0.35">
      <c r="A818" s="262"/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2"/>
      <c r="X818" s="262"/>
      <c r="Y818" s="262"/>
      <c r="Z818" s="262"/>
    </row>
    <row r="819" spans="1:26" ht="15.6" x14ac:dyDescent="0.35">
      <c r="A819" s="262"/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2"/>
      <c r="X819" s="262"/>
      <c r="Y819" s="262"/>
      <c r="Z819" s="262"/>
    </row>
    <row r="820" spans="1:26" ht="15.6" x14ac:dyDescent="0.35">
      <c r="A820" s="262"/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2"/>
      <c r="X820" s="262"/>
      <c r="Y820" s="262"/>
      <c r="Z820" s="262"/>
    </row>
    <row r="821" spans="1:26" ht="15.6" x14ac:dyDescent="0.35">
      <c r="A821" s="262"/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2"/>
      <c r="X821" s="262"/>
      <c r="Y821" s="262"/>
      <c r="Z821" s="262"/>
    </row>
    <row r="822" spans="1:26" ht="15.6" x14ac:dyDescent="0.35">
      <c r="A822" s="262"/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2"/>
      <c r="X822" s="262"/>
      <c r="Y822" s="262"/>
      <c r="Z822" s="262"/>
    </row>
    <row r="823" spans="1:26" ht="15.6" x14ac:dyDescent="0.35">
      <c r="A823" s="262"/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2"/>
      <c r="X823" s="262"/>
      <c r="Y823" s="262"/>
      <c r="Z823" s="262"/>
    </row>
    <row r="824" spans="1:26" ht="15.6" x14ac:dyDescent="0.35">
      <c r="A824" s="262"/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2"/>
      <c r="X824" s="262"/>
      <c r="Y824" s="262"/>
      <c r="Z824" s="262"/>
    </row>
    <row r="825" spans="1:26" ht="15.6" x14ac:dyDescent="0.35">
      <c r="A825" s="262"/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2"/>
      <c r="X825" s="262"/>
      <c r="Y825" s="262"/>
      <c r="Z825" s="262"/>
    </row>
    <row r="826" spans="1:26" ht="15.6" x14ac:dyDescent="0.35">
      <c r="A826" s="262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  <c r="Z826" s="262"/>
    </row>
    <row r="827" spans="1:26" ht="15.6" x14ac:dyDescent="0.35">
      <c r="A827" s="262"/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2"/>
      <c r="X827" s="262"/>
      <c r="Y827" s="262"/>
      <c r="Z827" s="262"/>
    </row>
    <row r="828" spans="1:26" ht="15.6" x14ac:dyDescent="0.35">
      <c r="A828" s="262"/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2"/>
      <c r="X828" s="262"/>
      <c r="Y828" s="262"/>
      <c r="Z828" s="262"/>
    </row>
    <row r="829" spans="1:26" ht="15.6" x14ac:dyDescent="0.35">
      <c r="A829" s="262"/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2"/>
      <c r="X829" s="262"/>
      <c r="Y829" s="262"/>
      <c r="Z829" s="262"/>
    </row>
    <row r="830" spans="1:26" ht="15.6" x14ac:dyDescent="0.35">
      <c r="A830" s="262"/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2"/>
      <c r="X830" s="262"/>
      <c r="Y830" s="262"/>
      <c r="Z830" s="262"/>
    </row>
    <row r="831" spans="1:26" ht="15.6" x14ac:dyDescent="0.35">
      <c r="A831" s="262"/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2"/>
      <c r="X831" s="262"/>
      <c r="Y831" s="262"/>
      <c r="Z831" s="262"/>
    </row>
    <row r="832" spans="1:26" ht="15.6" x14ac:dyDescent="0.35">
      <c r="A832" s="262"/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2"/>
      <c r="X832" s="262"/>
      <c r="Y832" s="262"/>
      <c r="Z832" s="262"/>
    </row>
    <row r="833" spans="1:26" ht="15.6" x14ac:dyDescent="0.35">
      <c r="A833" s="262"/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2"/>
      <c r="X833" s="262"/>
      <c r="Y833" s="262"/>
      <c r="Z833" s="262"/>
    </row>
    <row r="834" spans="1:26" ht="15.6" x14ac:dyDescent="0.35">
      <c r="A834" s="262"/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2"/>
      <c r="X834" s="262"/>
      <c r="Y834" s="262"/>
      <c r="Z834" s="262"/>
    </row>
    <row r="835" spans="1:26" ht="15.6" x14ac:dyDescent="0.35">
      <c r="A835" s="262"/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2"/>
      <c r="X835" s="262"/>
      <c r="Y835" s="262"/>
      <c r="Z835" s="262"/>
    </row>
    <row r="836" spans="1:26" ht="15.6" x14ac:dyDescent="0.35">
      <c r="A836" s="262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  <c r="Z836" s="262"/>
    </row>
    <row r="837" spans="1:26" ht="15.6" x14ac:dyDescent="0.35">
      <c r="A837" s="262"/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2"/>
      <c r="X837" s="262"/>
      <c r="Y837" s="262"/>
      <c r="Z837" s="262"/>
    </row>
    <row r="838" spans="1:26" ht="15.6" x14ac:dyDescent="0.35">
      <c r="A838" s="262"/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2"/>
      <c r="X838" s="262"/>
      <c r="Y838" s="262"/>
      <c r="Z838" s="262"/>
    </row>
    <row r="839" spans="1:26" ht="15.6" x14ac:dyDescent="0.35">
      <c r="A839" s="262"/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2"/>
      <c r="X839" s="262"/>
      <c r="Y839" s="262"/>
      <c r="Z839" s="262"/>
    </row>
    <row r="840" spans="1:26" ht="15.6" x14ac:dyDescent="0.35">
      <c r="A840" s="262"/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2"/>
      <c r="X840" s="262"/>
      <c r="Y840" s="262"/>
      <c r="Z840" s="262"/>
    </row>
    <row r="841" spans="1:26" ht="15.6" x14ac:dyDescent="0.35">
      <c r="A841" s="262"/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2"/>
      <c r="X841" s="262"/>
      <c r="Y841" s="262"/>
      <c r="Z841" s="262"/>
    </row>
    <row r="842" spans="1:26" ht="15.6" x14ac:dyDescent="0.35">
      <c r="A842" s="262"/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2"/>
      <c r="X842" s="262"/>
      <c r="Y842" s="262"/>
      <c r="Z842" s="262"/>
    </row>
    <row r="843" spans="1:26" ht="15.6" x14ac:dyDescent="0.35">
      <c r="A843" s="262"/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2"/>
      <c r="X843" s="262"/>
      <c r="Y843" s="262"/>
      <c r="Z843" s="262"/>
    </row>
    <row r="844" spans="1:26" ht="15.6" x14ac:dyDescent="0.35">
      <c r="A844" s="262"/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2"/>
      <c r="X844" s="262"/>
      <c r="Y844" s="262"/>
      <c r="Z844" s="262"/>
    </row>
    <row r="845" spans="1:26" ht="15.6" x14ac:dyDescent="0.35">
      <c r="A845" s="262"/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2"/>
      <c r="X845" s="262"/>
      <c r="Y845" s="262"/>
      <c r="Z845" s="262"/>
    </row>
    <row r="846" spans="1:26" ht="15.6" x14ac:dyDescent="0.35">
      <c r="A846" s="262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  <c r="Z846" s="262"/>
    </row>
    <row r="847" spans="1:26" ht="15.6" x14ac:dyDescent="0.35">
      <c r="A847" s="262"/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2"/>
      <c r="X847" s="262"/>
      <c r="Y847" s="262"/>
      <c r="Z847" s="262"/>
    </row>
    <row r="848" spans="1:26" ht="15.6" x14ac:dyDescent="0.35">
      <c r="A848" s="262"/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2"/>
      <c r="X848" s="262"/>
      <c r="Y848" s="262"/>
      <c r="Z848" s="262"/>
    </row>
    <row r="849" spans="1:26" ht="15.6" x14ac:dyDescent="0.35">
      <c r="A849" s="262"/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2"/>
      <c r="X849" s="262"/>
      <c r="Y849" s="262"/>
      <c r="Z849" s="262"/>
    </row>
    <row r="850" spans="1:26" ht="15.6" x14ac:dyDescent="0.35">
      <c r="A850" s="262"/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2"/>
      <c r="X850" s="262"/>
      <c r="Y850" s="262"/>
      <c r="Z850" s="262"/>
    </row>
    <row r="851" spans="1:26" ht="15.6" x14ac:dyDescent="0.35">
      <c r="A851" s="262"/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2"/>
      <c r="X851" s="262"/>
      <c r="Y851" s="262"/>
      <c r="Z851" s="262"/>
    </row>
    <row r="852" spans="1:26" ht="15.6" x14ac:dyDescent="0.35">
      <c r="A852" s="262"/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2"/>
      <c r="X852" s="262"/>
      <c r="Y852" s="262"/>
      <c r="Z852" s="262"/>
    </row>
    <row r="853" spans="1:26" ht="15.6" x14ac:dyDescent="0.35">
      <c r="A853" s="262"/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2"/>
      <c r="X853" s="262"/>
      <c r="Y853" s="262"/>
      <c r="Z853" s="262"/>
    </row>
    <row r="854" spans="1:26" ht="15.6" x14ac:dyDescent="0.35">
      <c r="A854" s="262"/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2"/>
      <c r="X854" s="262"/>
      <c r="Y854" s="262"/>
      <c r="Z854" s="262"/>
    </row>
    <row r="855" spans="1:26" ht="15.6" x14ac:dyDescent="0.35">
      <c r="A855" s="262"/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2"/>
      <c r="X855" s="262"/>
      <c r="Y855" s="262"/>
      <c r="Z855" s="262"/>
    </row>
    <row r="856" spans="1:26" ht="15.6" x14ac:dyDescent="0.35">
      <c r="A856" s="262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  <c r="Z856" s="262"/>
    </row>
    <row r="857" spans="1:26" ht="15.6" x14ac:dyDescent="0.35">
      <c r="A857" s="262"/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2"/>
      <c r="X857" s="262"/>
      <c r="Y857" s="262"/>
      <c r="Z857" s="262"/>
    </row>
    <row r="858" spans="1:26" ht="15.6" x14ac:dyDescent="0.35">
      <c r="A858" s="262"/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2"/>
      <c r="X858" s="262"/>
      <c r="Y858" s="262"/>
      <c r="Z858" s="262"/>
    </row>
    <row r="859" spans="1:26" ht="15.6" x14ac:dyDescent="0.35">
      <c r="A859" s="262"/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2"/>
      <c r="X859" s="262"/>
      <c r="Y859" s="262"/>
      <c r="Z859" s="262"/>
    </row>
    <row r="860" spans="1:26" ht="15.6" x14ac:dyDescent="0.35">
      <c r="A860" s="262"/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2"/>
      <c r="X860" s="262"/>
      <c r="Y860" s="262"/>
      <c r="Z860" s="262"/>
    </row>
    <row r="861" spans="1:26" ht="15.6" x14ac:dyDescent="0.35">
      <c r="A861" s="262"/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2"/>
      <c r="X861" s="262"/>
      <c r="Y861" s="262"/>
      <c r="Z861" s="262"/>
    </row>
    <row r="862" spans="1:26" ht="15.6" x14ac:dyDescent="0.35">
      <c r="A862" s="262"/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2"/>
      <c r="X862" s="262"/>
      <c r="Y862" s="262"/>
      <c r="Z862" s="262"/>
    </row>
    <row r="863" spans="1:26" ht="15.6" x14ac:dyDescent="0.35">
      <c r="A863" s="262"/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2"/>
      <c r="X863" s="262"/>
      <c r="Y863" s="262"/>
      <c r="Z863" s="262"/>
    </row>
    <row r="864" spans="1:26" ht="15.6" x14ac:dyDescent="0.35">
      <c r="A864" s="262"/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2"/>
      <c r="X864" s="262"/>
      <c r="Y864" s="262"/>
      <c r="Z864" s="262"/>
    </row>
    <row r="865" spans="1:26" ht="15.6" x14ac:dyDescent="0.35">
      <c r="A865" s="262"/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2"/>
      <c r="X865" s="262"/>
      <c r="Y865" s="262"/>
      <c r="Z865" s="262"/>
    </row>
    <row r="866" spans="1:26" ht="15.6" x14ac:dyDescent="0.35">
      <c r="A866" s="262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  <c r="Z866" s="262"/>
    </row>
    <row r="867" spans="1:26" ht="15.6" x14ac:dyDescent="0.35">
      <c r="A867" s="262"/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2"/>
      <c r="X867" s="262"/>
      <c r="Y867" s="262"/>
      <c r="Z867" s="262"/>
    </row>
    <row r="868" spans="1:26" ht="15.6" x14ac:dyDescent="0.35">
      <c r="A868" s="262"/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2"/>
      <c r="X868" s="262"/>
      <c r="Y868" s="262"/>
      <c r="Z868" s="262"/>
    </row>
    <row r="869" spans="1:26" ht="15.6" x14ac:dyDescent="0.35">
      <c r="A869" s="262"/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2"/>
      <c r="X869" s="262"/>
      <c r="Y869" s="262"/>
      <c r="Z869" s="262"/>
    </row>
    <row r="870" spans="1:26" ht="15.6" x14ac:dyDescent="0.35">
      <c r="A870" s="262"/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2"/>
      <c r="X870" s="262"/>
      <c r="Y870" s="262"/>
      <c r="Z870" s="262"/>
    </row>
    <row r="871" spans="1:26" ht="15.6" x14ac:dyDescent="0.35">
      <c r="A871" s="262"/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2"/>
      <c r="X871" s="262"/>
      <c r="Y871" s="262"/>
      <c r="Z871" s="262"/>
    </row>
    <row r="872" spans="1:26" ht="15.6" x14ac:dyDescent="0.35">
      <c r="A872" s="262"/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2"/>
      <c r="X872" s="262"/>
      <c r="Y872" s="262"/>
      <c r="Z872" s="262"/>
    </row>
    <row r="873" spans="1:26" ht="15.6" x14ac:dyDescent="0.35">
      <c r="A873" s="262"/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2"/>
      <c r="X873" s="262"/>
      <c r="Y873" s="262"/>
      <c r="Z873" s="262"/>
    </row>
    <row r="874" spans="1:26" ht="15.6" x14ac:dyDescent="0.35">
      <c r="A874" s="262"/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2"/>
      <c r="X874" s="262"/>
      <c r="Y874" s="262"/>
      <c r="Z874" s="262"/>
    </row>
    <row r="875" spans="1:26" ht="15.6" x14ac:dyDescent="0.35">
      <c r="A875" s="262"/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2"/>
      <c r="X875" s="262"/>
      <c r="Y875" s="262"/>
      <c r="Z875" s="262"/>
    </row>
    <row r="876" spans="1:26" ht="15.6" x14ac:dyDescent="0.35">
      <c r="A876" s="262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  <c r="Z876" s="262"/>
    </row>
    <row r="877" spans="1:26" ht="15.6" x14ac:dyDescent="0.35">
      <c r="A877" s="262"/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2"/>
      <c r="X877" s="262"/>
      <c r="Y877" s="262"/>
      <c r="Z877" s="262"/>
    </row>
    <row r="878" spans="1:26" ht="15.6" x14ac:dyDescent="0.35">
      <c r="A878" s="262"/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2"/>
      <c r="X878" s="262"/>
      <c r="Y878" s="262"/>
      <c r="Z878" s="262"/>
    </row>
    <row r="879" spans="1:26" ht="15.6" x14ac:dyDescent="0.35">
      <c r="A879" s="262"/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2"/>
      <c r="X879" s="262"/>
      <c r="Y879" s="262"/>
      <c r="Z879" s="262"/>
    </row>
    <row r="880" spans="1:26" ht="15.6" x14ac:dyDescent="0.35">
      <c r="A880" s="262"/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2"/>
      <c r="X880" s="262"/>
      <c r="Y880" s="262"/>
      <c r="Z880" s="262"/>
    </row>
    <row r="881" spans="1:26" ht="15.6" x14ac:dyDescent="0.35">
      <c r="A881" s="262"/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2"/>
      <c r="X881" s="262"/>
      <c r="Y881" s="262"/>
      <c r="Z881" s="262"/>
    </row>
    <row r="882" spans="1:26" ht="15.6" x14ac:dyDescent="0.35">
      <c r="A882" s="262"/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2"/>
      <c r="X882" s="262"/>
      <c r="Y882" s="262"/>
      <c r="Z882" s="262"/>
    </row>
    <row r="883" spans="1:26" ht="15.6" x14ac:dyDescent="0.35">
      <c r="A883" s="262"/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2"/>
      <c r="X883" s="262"/>
      <c r="Y883" s="262"/>
      <c r="Z883" s="262"/>
    </row>
    <row r="884" spans="1:26" ht="15.6" x14ac:dyDescent="0.35">
      <c r="A884" s="262"/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2"/>
      <c r="X884" s="262"/>
      <c r="Y884" s="262"/>
      <c r="Z884" s="262"/>
    </row>
    <row r="885" spans="1:26" ht="15.6" x14ac:dyDescent="0.35">
      <c r="A885" s="262"/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2"/>
      <c r="X885" s="262"/>
      <c r="Y885" s="262"/>
      <c r="Z885" s="262"/>
    </row>
    <row r="886" spans="1:26" ht="15.6" x14ac:dyDescent="0.35">
      <c r="A886" s="262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  <c r="Z886" s="262"/>
    </row>
    <row r="887" spans="1:26" ht="15.6" x14ac:dyDescent="0.35">
      <c r="A887" s="262"/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2"/>
      <c r="X887" s="262"/>
      <c r="Y887" s="262"/>
      <c r="Z887" s="262"/>
    </row>
    <row r="888" spans="1:26" ht="15.6" x14ac:dyDescent="0.35">
      <c r="A888" s="262"/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2"/>
      <c r="X888" s="262"/>
      <c r="Y888" s="262"/>
      <c r="Z888" s="262"/>
    </row>
    <row r="889" spans="1:26" ht="15.6" x14ac:dyDescent="0.35">
      <c r="A889" s="262"/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2"/>
      <c r="X889" s="262"/>
      <c r="Y889" s="262"/>
      <c r="Z889" s="262"/>
    </row>
    <row r="890" spans="1:26" ht="15.6" x14ac:dyDescent="0.35">
      <c r="A890" s="262"/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2"/>
      <c r="X890" s="262"/>
      <c r="Y890" s="262"/>
      <c r="Z890" s="262"/>
    </row>
    <row r="891" spans="1:26" ht="15.6" x14ac:dyDescent="0.35">
      <c r="A891" s="262"/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2"/>
      <c r="X891" s="262"/>
      <c r="Y891" s="262"/>
      <c r="Z891" s="262"/>
    </row>
    <row r="892" spans="1:26" ht="15.6" x14ac:dyDescent="0.35">
      <c r="A892" s="262"/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2"/>
      <c r="X892" s="262"/>
      <c r="Y892" s="262"/>
      <c r="Z892" s="262"/>
    </row>
    <row r="893" spans="1:26" ht="15.6" x14ac:dyDescent="0.35">
      <c r="A893" s="262"/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2"/>
      <c r="X893" s="262"/>
      <c r="Y893" s="262"/>
      <c r="Z893" s="262"/>
    </row>
    <row r="894" spans="1:26" ht="15.6" x14ac:dyDescent="0.35">
      <c r="A894" s="262"/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2"/>
      <c r="X894" s="262"/>
      <c r="Y894" s="262"/>
      <c r="Z894" s="262"/>
    </row>
    <row r="895" spans="1:26" ht="15.6" x14ac:dyDescent="0.35">
      <c r="A895" s="262"/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2"/>
      <c r="X895" s="262"/>
      <c r="Y895" s="262"/>
      <c r="Z895" s="262"/>
    </row>
    <row r="896" spans="1:26" ht="15.6" x14ac:dyDescent="0.35">
      <c r="A896" s="262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  <c r="Z896" s="262"/>
    </row>
    <row r="897" spans="1:26" ht="15.6" x14ac:dyDescent="0.35">
      <c r="A897" s="262"/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2"/>
      <c r="X897" s="262"/>
      <c r="Y897" s="262"/>
      <c r="Z897" s="262"/>
    </row>
    <row r="898" spans="1:26" ht="15.6" x14ac:dyDescent="0.35">
      <c r="A898" s="262"/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2"/>
      <c r="X898" s="262"/>
      <c r="Y898" s="262"/>
      <c r="Z898" s="262"/>
    </row>
    <row r="899" spans="1:26" ht="15.6" x14ac:dyDescent="0.35">
      <c r="A899" s="262"/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2"/>
      <c r="X899" s="262"/>
      <c r="Y899" s="262"/>
      <c r="Z899" s="262"/>
    </row>
    <row r="900" spans="1:26" ht="15.6" x14ac:dyDescent="0.35">
      <c r="A900" s="262"/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2"/>
      <c r="X900" s="262"/>
      <c r="Y900" s="262"/>
      <c r="Z900" s="262"/>
    </row>
    <row r="901" spans="1:26" ht="15.6" x14ac:dyDescent="0.35">
      <c r="A901" s="262"/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2"/>
      <c r="X901" s="262"/>
      <c r="Y901" s="262"/>
      <c r="Z901" s="262"/>
    </row>
    <row r="902" spans="1:26" ht="15.6" x14ac:dyDescent="0.35">
      <c r="A902" s="262"/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2"/>
      <c r="X902" s="262"/>
      <c r="Y902" s="262"/>
      <c r="Z902" s="262"/>
    </row>
    <row r="903" spans="1:26" ht="15.6" x14ac:dyDescent="0.35">
      <c r="A903" s="262"/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2"/>
      <c r="X903" s="262"/>
      <c r="Y903" s="262"/>
      <c r="Z903" s="262"/>
    </row>
    <row r="904" spans="1:26" ht="15.6" x14ac:dyDescent="0.35">
      <c r="A904" s="262"/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2"/>
      <c r="X904" s="262"/>
      <c r="Y904" s="262"/>
      <c r="Z904" s="262"/>
    </row>
    <row r="905" spans="1:26" ht="15.6" x14ac:dyDescent="0.35">
      <c r="A905" s="262"/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2"/>
      <c r="X905" s="262"/>
      <c r="Y905" s="262"/>
      <c r="Z905" s="262"/>
    </row>
    <row r="906" spans="1:26" ht="15.6" x14ac:dyDescent="0.35">
      <c r="A906" s="262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  <c r="Z906" s="262"/>
    </row>
    <row r="907" spans="1:26" ht="15.6" x14ac:dyDescent="0.35">
      <c r="A907" s="262"/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2"/>
      <c r="X907" s="262"/>
      <c r="Y907" s="262"/>
      <c r="Z907" s="262"/>
    </row>
    <row r="908" spans="1:26" ht="15.6" x14ac:dyDescent="0.35">
      <c r="A908" s="262"/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2"/>
      <c r="X908" s="262"/>
      <c r="Y908" s="262"/>
      <c r="Z908" s="262"/>
    </row>
    <row r="909" spans="1:26" ht="15.6" x14ac:dyDescent="0.35">
      <c r="A909" s="262"/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2"/>
      <c r="X909" s="262"/>
      <c r="Y909" s="262"/>
      <c r="Z909" s="262"/>
    </row>
    <row r="910" spans="1:26" ht="15.6" x14ac:dyDescent="0.35">
      <c r="A910" s="262"/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2"/>
      <c r="X910" s="262"/>
      <c r="Y910" s="262"/>
      <c r="Z910" s="262"/>
    </row>
    <row r="911" spans="1:26" ht="15.6" x14ac:dyDescent="0.35">
      <c r="A911" s="262"/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2"/>
      <c r="X911" s="262"/>
      <c r="Y911" s="262"/>
      <c r="Z911" s="262"/>
    </row>
    <row r="912" spans="1:26" ht="15.6" x14ac:dyDescent="0.35">
      <c r="A912" s="262"/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2"/>
      <c r="X912" s="262"/>
      <c r="Y912" s="262"/>
      <c r="Z912" s="262"/>
    </row>
    <row r="913" spans="1:26" ht="15.6" x14ac:dyDescent="0.35">
      <c r="A913" s="262"/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2"/>
      <c r="X913" s="262"/>
      <c r="Y913" s="262"/>
      <c r="Z913" s="262"/>
    </row>
    <row r="914" spans="1:26" ht="15.6" x14ac:dyDescent="0.35">
      <c r="A914" s="262"/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2"/>
      <c r="X914" s="262"/>
      <c r="Y914" s="262"/>
      <c r="Z914" s="262"/>
    </row>
    <row r="915" spans="1:26" ht="15.6" x14ac:dyDescent="0.35">
      <c r="A915" s="262"/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2"/>
      <c r="X915" s="262"/>
      <c r="Y915" s="262"/>
      <c r="Z915" s="262"/>
    </row>
    <row r="916" spans="1:26" ht="15.6" x14ac:dyDescent="0.35">
      <c r="A916" s="262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  <c r="Z916" s="262"/>
    </row>
    <row r="917" spans="1:26" ht="15.6" x14ac:dyDescent="0.35">
      <c r="A917" s="262"/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2"/>
      <c r="X917" s="262"/>
      <c r="Y917" s="262"/>
      <c r="Z917" s="262"/>
    </row>
    <row r="918" spans="1:26" ht="15.6" x14ac:dyDescent="0.35">
      <c r="A918" s="262"/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2"/>
      <c r="X918" s="262"/>
      <c r="Y918" s="262"/>
      <c r="Z918" s="262"/>
    </row>
    <row r="919" spans="1:26" ht="15.6" x14ac:dyDescent="0.35">
      <c r="A919" s="262"/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2"/>
      <c r="X919" s="262"/>
      <c r="Y919" s="262"/>
      <c r="Z919" s="262"/>
    </row>
    <row r="920" spans="1:26" ht="15.6" x14ac:dyDescent="0.35">
      <c r="A920" s="262"/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2"/>
      <c r="X920" s="262"/>
      <c r="Y920" s="262"/>
      <c r="Z920" s="262"/>
    </row>
    <row r="921" spans="1:26" ht="15.6" x14ac:dyDescent="0.35">
      <c r="A921" s="262"/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2"/>
      <c r="X921" s="262"/>
      <c r="Y921" s="262"/>
      <c r="Z921" s="262"/>
    </row>
    <row r="922" spans="1:26" ht="15.6" x14ac:dyDescent="0.35">
      <c r="A922" s="262"/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2"/>
      <c r="X922" s="262"/>
      <c r="Y922" s="262"/>
      <c r="Z922" s="262"/>
    </row>
    <row r="923" spans="1:26" ht="15.6" x14ac:dyDescent="0.35">
      <c r="A923" s="262"/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2"/>
      <c r="X923" s="262"/>
      <c r="Y923" s="262"/>
      <c r="Z923" s="262"/>
    </row>
    <row r="924" spans="1:26" ht="15.6" x14ac:dyDescent="0.35">
      <c r="A924" s="262"/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2"/>
      <c r="X924" s="262"/>
      <c r="Y924" s="262"/>
      <c r="Z924" s="262"/>
    </row>
    <row r="925" spans="1:26" ht="15.6" x14ac:dyDescent="0.35">
      <c r="A925" s="262"/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2"/>
      <c r="X925" s="262"/>
      <c r="Y925" s="262"/>
      <c r="Z925" s="262"/>
    </row>
    <row r="926" spans="1:26" ht="15.6" x14ac:dyDescent="0.35">
      <c r="A926" s="262"/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2"/>
      <c r="X926" s="262"/>
      <c r="Y926" s="262"/>
      <c r="Z926" s="262"/>
    </row>
    <row r="927" spans="1:26" ht="15.6" x14ac:dyDescent="0.35">
      <c r="A927" s="262"/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2"/>
      <c r="X927" s="262"/>
      <c r="Y927" s="262"/>
      <c r="Z927" s="262"/>
    </row>
    <row r="928" spans="1:26" ht="15.6" x14ac:dyDescent="0.35">
      <c r="A928" s="262"/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2"/>
      <c r="X928" s="262"/>
      <c r="Y928" s="262"/>
      <c r="Z928" s="262"/>
    </row>
    <row r="929" spans="1:26" ht="15.6" x14ac:dyDescent="0.35">
      <c r="A929" s="262"/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2"/>
      <c r="X929" s="262"/>
      <c r="Y929" s="262"/>
      <c r="Z929" s="262"/>
    </row>
    <row r="930" spans="1:26" ht="15.6" x14ac:dyDescent="0.35">
      <c r="A930" s="262"/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  <c r="Z930" s="262"/>
    </row>
    <row r="931" spans="1:26" ht="15.6" x14ac:dyDescent="0.35">
      <c r="A931" s="262"/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  <c r="Z931" s="262"/>
    </row>
    <row r="932" spans="1:26" ht="15.6" x14ac:dyDescent="0.35">
      <c r="A932" s="262"/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  <c r="Z932" s="262"/>
    </row>
    <row r="933" spans="1:26" ht="15.6" x14ac:dyDescent="0.35">
      <c r="A933" s="262"/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  <c r="Z933" s="262"/>
    </row>
    <row r="934" spans="1:26" ht="15.6" x14ac:dyDescent="0.35">
      <c r="A934" s="262"/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  <c r="Z934" s="262"/>
    </row>
    <row r="935" spans="1:26" ht="15.6" x14ac:dyDescent="0.35">
      <c r="A935" s="262"/>
      <c r="B935" s="262"/>
      <c r="C935" s="262"/>
      <c r="D935" s="262"/>
      <c r="E935" s="262"/>
      <c r="F935" s="262"/>
      <c r="G935" s="262"/>
      <c r="H935" s="262"/>
      <c r="I935" s="262"/>
      <c r="J935" s="262"/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2"/>
      <c r="X935" s="262"/>
      <c r="Y935" s="262"/>
      <c r="Z935" s="262"/>
    </row>
    <row r="936" spans="1:26" ht="15.6" x14ac:dyDescent="0.35">
      <c r="A936" s="262"/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  <c r="Z936" s="262"/>
    </row>
    <row r="937" spans="1:26" ht="15.6" x14ac:dyDescent="0.35">
      <c r="A937" s="262"/>
      <c r="B937" s="262"/>
      <c r="C937" s="262"/>
      <c r="D937" s="262"/>
      <c r="E937" s="262"/>
      <c r="F937" s="262"/>
      <c r="G937" s="262"/>
      <c r="H937" s="262"/>
      <c r="I937" s="262"/>
      <c r="J937" s="262"/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2"/>
      <c r="X937" s="262"/>
      <c r="Y937" s="262"/>
      <c r="Z937" s="262"/>
    </row>
    <row r="938" spans="1:26" ht="15.6" x14ac:dyDescent="0.35">
      <c r="A938" s="262"/>
      <c r="B938" s="262"/>
      <c r="C938" s="262"/>
      <c r="D938" s="262"/>
      <c r="E938" s="262"/>
      <c r="F938" s="262"/>
      <c r="G938" s="262"/>
      <c r="H938" s="262"/>
      <c r="I938" s="262"/>
      <c r="J938" s="262"/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2"/>
      <c r="X938" s="262"/>
      <c r="Y938" s="262"/>
      <c r="Z938" s="262"/>
    </row>
    <row r="939" spans="1:26" ht="15.6" x14ac:dyDescent="0.35">
      <c r="A939" s="262"/>
      <c r="B939" s="262"/>
      <c r="C939" s="262"/>
      <c r="D939" s="262"/>
      <c r="E939" s="262"/>
      <c r="F939" s="262"/>
      <c r="G939" s="262"/>
      <c r="H939" s="262"/>
      <c r="I939" s="262"/>
      <c r="J939" s="262"/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2"/>
      <c r="X939" s="262"/>
      <c r="Y939" s="262"/>
      <c r="Z939" s="262"/>
    </row>
    <row r="940" spans="1:26" ht="15.6" x14ac:dyDescent="0.35">
      <c r="A940" s="262"/>
      <c r="B940" s="262"/>
      <c r="C940" s="262"/>
      <c r="D940" s="262"/>
      <c r="E940" s="262"/>
      <c r="F940" s="262"/>
      <c r="G940" s="262"/>
      <c r="H940" s="262"/>
      <c r="I940" s="262"/>
      <c r="J940" s="262"/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2"/>
      <c r="X940" s="262"/>
      <c r="Y940" s="262"/>
      <c r="Z940" s="262"/>
    </row>
    <row r="941" spans="1:26" ht="15.6" x14ac:dyDescent="0.35">
      <c r="A941" s="262"/>
      <c r="B941" s="262"/>
      <c r="C941" s="262"/>
      <c r="D941" s="262"/>
      <c r="E941" s="262"/>
      <c r="F941" s="262"/>
      <c r="G941" s="262"/>
      <c r="H941" s="262"/>
      <c r="I941" s="262"/>
      <c r="J941" s="262"/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2"/>
      <c r="X941" s="262"/>
      <c r="Y941" s="262"/>
      <c r="Z941" s="262"/>
    </row>
    <row r="942" spans="1:26" ht="15.6" x14ac:dyDescent="0.35">
      <c r="A942" s="262"/>
      <c r="B942" s="262"/>
      <c r="C942" s="262"/>
      <c r="D942" s="262"/>
      <c r="E942" s="262"/>
      <c r="F942" s="262"/>
      <c r="G942" s="262"/>
      <c r="H942" s="262"/>
      <c r="I942" s="262"/>
      <c r="J942" s="262"/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2"/>
      <c r="X942" s="262"/>
      <c r="Y942" s="262"/>
      <c r="Z942" s="262"/>
    </row>
    <row r="943" spans="1:26" ht="15.6" x14ac:dyDescent="0.35">
      <c r="A943" s="262"/>
      <c r="B943" s="262"/>
      <c r="C943" s="262"/>
      <c r="D943" s="262"/>
      <c r="E943" s="262"/>
      <c r="F943" s="262"/>
      <c r="G943" s="262"/>
      <c r="H943" s="262"/>
      <c r="I943" s="262"/>
      <c r="J943" s="262"/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2"/>
      <c r="X943" s="262"/>
      <c r="Y943" s="262"/>
      <c r="Z943" s="262"/>
    </row>
    <row r="944" spans="1:26" ht="15.6" x14ac:dyDescent="0.35">
      <c r="A944" s="262"/>
      <c r="B944" s="262"/>
      <c r="C944" s="262"/>
      <c r="D944" s="262"/>
      <c r="E944" s="262"/>
      <c r="F944" s="262"/>
      <c r="G944" s="262"/>
      <c r="H944" s="262"/>
      <c r="I944" s="262"/>
      <c r="J944" s="262"/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2"/>
      <c r="X944" s="262"/>
      <c r="Y944" s="262"/>
      <c r="Z944" s="262"/>
    </row>
    <row r="945" spans="1:26" ht="15.6" x14ac:dyDescent="0.35">
      <c r="A945" s="262"/>
      <c r="B945" s="262"/>
      <c r="C945" s="262"/>
      <c r="D945" s="262"/>
      <c r="E945" s="262"/>
      <c r="F945" s="262"/>
      <c r="G945" s="262"/>
      <c r="H945" s="262"/>
      <c r="I945" s="262"/>
      <c r="J945" s="262"/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2"/>
      <c r="X945" s="262"/>
      <c r="Y945" s="262"/>
      <c r="Z945" s="262"/>
    </row>
    <row r="946" spans="1:26" ht="15.6" x14ac:dyDescent="0.35">
      <c r="A946" s="262"/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  <c r="Z946" s="262"/>
    </row>
    <row r="947" spans="1:26" ht="15.6" x14ac:dyDescent="0.35">
      <c r="A947" s="262"/>
      <c r="B947" s="262"/>
      <c r="C947" s="262"/>
      <c r="D947" s="262"/>
      <c r="E947" s="262"/>
      <c r="F947" s="262"/>
      <c r="G947" s="262"/>
      <c r="H947" s="262"/>
      <c r="I947" s="262"/>
      <c r="J947" s="262"/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2"/>
      <c r="X947" s="262"/>
      <c r="Y947" s="262"/>
      <c r="Z947" s="262"/>
    </row>
    <row r="948" spans="1:26" ht="15.6" x14ac:dyDescent="0.35">
      <c r="A948" s="262"/>
      <c r="B948" s="262"/>
      <c r="C948" s="262"/>
      <c r="D948" s="262"/>
      <c r="E948" s="262"/>
      <c r="F948" s="262"/>
      <c r="G948" s="262"/>
      <c r="H948" s="262"/>
      <c r="I948" s="262"/>
      <c r="J948" s="262"/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2"/>
      <c r="X948" s="262"/>
      <c r="Y948" s="262"/>
      <c r="Z948" s="262"/>
    </row>
    <row r="949" spans="1:26" ht="15.6" x14ac:dyDescent="0.35">
      <c r="A949" s="262"/>
      <c r="B949" s="262"/>
      <c r="C949" s="262"/>
      <c r="D949" s="262"/>
      <c r="E949" s="262"/>
      <c r="F949" s="262"/>
      <c r="G949" s="262"/>
      <c r="H949" s="262"/>
      <c r="I949" s="262"/>
      <c r="J949" s="262"/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2"/>
      <c r="X949" s="262"/>
      <c r="Y949" s="262"/>
      <c r="Z949" s="262"/>
    </row>
    <row r="950" spans="1:26" ht="15.6" x14ac:dyDescent="0.35">
      <c r="A950" s="262"/>
      <c r="B950" s="262"/>
      <c r="C950" s="262"/>
      <c r="D950" s="262"/>
      <c r="E950" s="262"/>
      <c r="F950" s="262"/>
      <c r="G950" s="262"/>
      <c r="H950" s="262"/>
      <c r="I950" s="262"/>
      <c r="J950" s="262"/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2"/>
      <c r="X950" s="262"/>
      <c r="Y950" s="262"/>
      <c r="Z950" s="262"/>
    </row>
    <row r="951" spans="1:26" ht="15.6" x14ac:dyDescent="0.35">
      <c r="A951" s="262"/>
      <c r="B951" s="262"/>
      <c r="C951" s="262"/>
      <c r="D951" s="262"/>
      <c r="E951" s="262"/>
      <c r="F951" s="262"/>
      <c r="G951" s="262"/>
      <c r="H951" s="262"/>
      <c r="I951" s="262"/>
      <c r="J951" s="262"/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2"/>
      <c r="X951" s="262"/>
      <c r="Y951" s="262"/>
      <c r="Z951" s="262"/>
    </row>
    <row r="952" spans="1:26" ht="15.6" x14ac:dyDescent="0.35">
      <c r="A952" s="262"/>
      <c r="B952" s="262"/>
      <c r="C952" s="262"/>
      <c r="D952" s="262"/>
      <c r="E952" s="262"/>
      <c r="F952" s="262"/>
      <c r="G952" s="262"/>
      <c r="H952" s="262"/>
      <c r="I952" s="262"/>
      <c r="J952" s="262"/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2"/>
      <c r="X952" s="262"/>
      <c r="Y952" s="262"/>
      <c r="Z952" s="262"/>
    </row>
    <row r="953" spans="1:26" ht="15.6" x14ac:dyDescent="0.35">
      <c r="A953" s="262"/>
      <c r="B953" s="262"/>
      <c r="C953" s="262"/>
      <c r="D953" s="262"/>
      <c r="E953" s="262"/>
      <c r="F953" s="262"/>
      <c r="G953" s="262"/>
      <c r="H953" s="262"/>
      <c r="I953" s="262"/>
      <c r="J953" s="262"/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2"/>
      <c r="X953" s="262"/>
      <c r="Y953" s="262"/>
      <c r="Z953" s="262"/>
    </row>
    <row r="954" spans="1:26" ht="15.6" x14ac:dyDescent="0.35">
      <c r="A954" s="262"/>
      <c r="B954" s="262"/>
      <c r="C954" s="262"/>
      <c r="D954" s="262"/>
      <c r="E954" s="262"/>
      <c r="F954" s="262"/>
      <c r="G954" s="262"/>
      <c r="H954" s="262"/>
      <c r="I954" s="262"/>
      <c r="J954" s="262"/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2"/>
      <c r="X954" s="262"/>
      <c r="Y954" s="262"/>
      <c r="Z954" s="262"/>
    </row>
    <row r="955" spans="1:26" ht="15.6" x14ac:dyDescent="0.35">
      <c r="A955" s="262"/>
      <c r="B955" s="262"/>
      <c r="C955" s="262"/>
      <c r="D955" s="262"/>
      <c r="E955" s="262"/>
      <c r="F955" s="262"/>
      <c r="G955" s="262"/>
      <c r="H955" s="262"/>
      <c r="I955" s="262"/>
      <c r="J955" s="262"/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2"/>
      <c r="X955" s="262"/>
      <c r="Y955" s="262"/>
      <c r="Z955" s="262"/>
    </row>
    <row r="956" spans="1:26" ht="15.6" x14ac:dyDescent="0.35">
      <c r="A956" s="262"/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  <c r="Z956" s="262"/>
    </row>
    <row r="957" spans="1:26" ht="15.6" x14ac:dyDescent="0.35">
      <c r="A957" s="262"/>
      <c r="B957" s="262"/>
      <c r="C957" s="262"/>
      <c r="D957" s="262"/>
      <c r="E957" s="262"/>
      <c r="F957" s="262"/>
      <c r="G957" s="262"/>
      <c r="H957" s="262"/>
      <c r="I957" s="262"/>
      <c r="J957" s="262"/>
      <c r="K957" s="262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2"/>
      <c r="X957" s="262"/>
      <c r="Y957" s="262"/>
      <c r="Z957" s="262"/>
    </row>
    <row r="958" spans="1:26" ht="15.6" x14ac:dyDescent="0.35">
      <c r="A958" s="262"/>
      <c r="B958" s="262"/>
      <c r="C958" s="262"/>
      <c r="D958" s="262"/>
      <c r="E958" s="262"/>
      <c r="F958" s="262"/>
      <c r="G958" s="262"/>
      <c r="H958" s="262"/>
      <c r="I958" s="262"/>
      <c r="J958" s="262"/>
      <c r="K958" s="262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2"/>
      <c r="X958" s="262"/>
      <c r="Y958" s="262"/>
      <c r="Z958" s="262"/>
    </row>
    <row r="959" spans="1:26" ht="15.6" x14ac:dyDescent="0.35">
      <c r="A959" s="262"/>
      <c r="B959" s="262"/>
      <c r="C959" s="262"/>
      <c r="D959" s="262"/>
      <c r="E959" s="262"/>
      <c r="F959" s="262"/>
      <c r="G959" s="262"/>
      <c r="H959" s="262"/>
      <c r="I959" s="262"/>
      <c r="J959" s="262"/>
      <c r="K959" s="262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2"/>
      <c r="X959" s="262"/>
      <c r="Y959" s="262"/>
      <c r="Z959" s="262"/>
    </row>
    <row r="960" spans="1:26" ht="15.6" x14ac:dyDescent="0.35">
      <c r="A960" s="262"/>
      <c r="B960" s="262"/>
      <c r="C960" s="262"/>
      <c r="D960" s="262"/>
      <c r="E960" s="262"/>
      <c r="F960" s="262"/>
      <c r="G960" s="262"/>
      <c r="H960" s="262"/>
      <c r="I960" s="262"/>
      <c r="J960" s="262"/>
      <c r="K960" s="262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2"/>
      <c r="X960" s="262"/>
      <c r="Y960" s="262"/>
      <c r="Z960" s="262"/>
    </row>
    <row r="961" spans="1:26" ht="15.6" x14ac:dyDescent="0.35">
      <c r="A961" s="262"/>
      <c r="B961" s="262"/>
      <c r="C961" s="262"/>
      <c r="D961" s="262"/>
      <c r="E961" s="262"/>
      <c r="F961" s="262"/>
      <c r="G961" s="262"/>
      <c r="H961" s="262"/>
      <c r="I961" s="262"/>
      <c r="J961" s="262"/>
      <c r="K961" s="262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2"/>
      <c r="X961" s="262"/>
      <c r="Y961" s="262"/>
      <c r="Z961" s="262"/>
    </row>
    <row r="962" spans="1:26" ht="15.6" x14ac:dyDescent="0.35">
      <c r="A962" s="262"/>
      <c r="B962" s="262"/>
      <c r="C962" s="262"/>
      <c r="D962" s="262"/>
      <c r="E962" s="262"/>
      <c r="F962" s="262"/>
      <c r="G962" s="262"/>
      <c r="H962" s="262"/>
      <c r="I962" s="262"/>
      <c r="J962" s="262"/>
      <c r="K962" s="262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2"/>
      <c r="X962" s="262"/>
      <c r="Y962" s="262"/>
      <c r="Z962" s="262"/>
    </row>
    <row r="963" spans="1:26" ht="15.6" x14ac:dyDescent="0.35">
      <c r="A963" s="262"/>
      <c r="B963" s="262"/>
      <c r="C963" s="262"/>
      <c r="D963" s="262"/>
      <c r="E963" s="262"/>
      <c r="F963" s="262"/>
      <c r="G963" s="262"/>
      <c r="H963" s="262"/>
      <c r="I963" s="262"/>
      <c r="J963" s="262"/>
      <c r="K963" s="262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2"/>
      <c r="X963" s="262"/>
      <c r="Y963" s="262"/>
      <c r="Z963" s="262"/>
    </row>
    <row r="964" spans="1:26" ht="15.6" x14ac:dyDescent="0.35">
      <c r="A964" s="262"/>
      <c r="B964" s="262"/>
      <c r="C964" s="262"/>
      <c r="D964" s="262"/>
      <c r="E964" s="262"/>
      <c r="F964" s="262"/>
      <c r="G964" s="262"/>
      <c r="H964" s="262"/>
      <c r="I964" s="262"/>
      <c r="J964" s="262"/>
      <c r="K964" s="262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2"/>
      <c r="X964" s="262"/>
      <c r="Y964" s="262"/>
      <c r="Z964" s="262"/>
    </row>
    <row r="965" spans="1:26" ht="15.6" x14ac:dyDescent="0.35">
      <c r="A965" s="262"/>
      <c r="B965" s="262"/>
      <c r="C965" s="262"/>
      <c r="D965" s="262"/>
      <c r="E965" s="262"/>
      <c r="F965" s="262"/>
      <c r="G965" s="262"/>
      <c r="H965" s="262"/>
      <c r="I965" s="262"/>
      <c r="J965" s="262"/>
      <c r="K965" s="262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2"/>
      <c r="X965" s="262"/>
      <c r="Y965" s="262"/>
      <c r="Z965" s="262"/>
    </row>
    <row r="966" spans="1:26" ht="15.6" x14ac:dyDescent="0.35">
      <c r="A966" s="262"/>
      <c r="B966" s="262"/>
      <c r="C966" s="262"/>
      <c r="D966" s="262"/>
      <c r="E966" s="262"/>
      <c r="F966" s="262"/>
      <c r="G966" s="262"/>
      <c r="H966" s="262"/>
      <c r="I966" s="262"/>
      <c r="J966" s="262"/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2"/>
      <c r="X966" s="262"/>
      <c r="Y966" s="262"/>
      <c r="Z966" s="262"/>
    </row>
    <row r="967" spans="1:26" ht="15.6" x14ac:dyDescent="0.35">
      <c r="A967" s="262"/>
      <c r="B967" s="262"/>
      <c r="C967" s="262"/>
      <c r="D967" s="262"/>
      <c r="E967" s="262"/>
      <c r="F967" s="262"/>
      <c r="G967" s="262"/>
      <c r="H967" s="262"/>
      <c r="I967" s="262"/>
      <c r="J967" s="262"/>
      <c r="K967" s="262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2"/>
      <c r="X967" s="262"/>
      <c r="Y967" s="262"/>
      <c r="Z967" s="262"/>
    </row>
    <row r="968" spans="1:26" ht="15.6" x14ac:dyDescent="0.35">
      <c r="A968" s="262"/>
      <c r="B968" s="262"/>
      <c r="C968" s="262"/>
      <c r="D968" s="262"/>
      <c r="E968" s="262"/>
      <c r="F968" s="262"/>
      <c r="G968" s="262"/>
      <c r="H968" s="262"/>
      <c r="I968" s="262"/>
      <c r="J968" s="262"/>
      <c r="K968" s="262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2"/>
      <c r="X968" s="262"/>
      <c r="Y968" s="262"/>
      <c r="Z968" s="262"/>
    </row>
    <row r="969" spans="1:26" ht="15.6" x14ac:dyDescent="0.35">
      <c r="A969" s="262"/>
      <c r="B969" s="262"/>
      <c r="C969" s="262"/>
      <c r="D969" s="262"/>
      <c r="E969" s="262"/>
      <c r="F969" s="262"/>
      <c r="G969" s="262"/>
      <c r="H969" s="262"/>
      <c r="I969" s="262"/>
      <c r="J969" s="262"/>
      <c r="K969" s="262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2"/>
      <c r="X969" s="262"/>
      <c r="Y969" s="262"/>
      <c r="Z969" s="262"/>
    </row>
    <row r="970" spans="1:26" ht="15.6" x14ac:dyDescent="0.35">
      <c r="A970" s="262"/>
      <c r="B970" s="262"/>
      <c r="C970" s="262"/>
      <c r="D970" s="262"/>
      <c r="E970" s="262"/>
      <c r="F970" s="262"/>
      <c r="G970" s="262"/>
      <c r="H970" s="262"/>
      <c r="I970" s="262"/>
      <c r="J970" s="262"/>
      <c r="K970" s="262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2"/>
      <c r="X970" s="262"/>
      <c r="Y970" s="262"/>
      <c r="Z970" s="262"/>
    </row>
    <row r="971" spans="1:26" ht="15.6" x14ac:dyDescent="0.35">
      <c r="A971" s="262"/>
      <c r="B971" s="262"/>
      <c r="C971" s="262"/>
      <c r="D971" s="262"/>
      <c r="E971" s="262"/>
      <c r="F971" s="262"/>
      <c r="G971" s="262"/>
      <c r="H971" s="262"/>
      <c r="I971" s="262"/>
      <c r="J971" s="262"/>
      <c r="K971" s="262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2"/>
      <c r="X971" s="262"/>
      <c r="Y971" s="262"/>
      <c r="Z971" s="262"/>
    </row>
    <row r="972" spans="1:26" ht="15.6" x14ac:dyDescent="0.35">
      <c r="A972" s="262"/>
      <c r="B972" s="262"/>
      <c r="C972" s="262"/>
      <c r="D972" s="262"/>
      <c r="E972" s="262"/>
      <c r="F972" s="262"/>
      <c r="G972" s="262"/>
      <c r="H972" s="262"/>
      <c r="I972" s="262"/>
      <c r="J972" s="262"/>
      <c r="K972" s="262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2"/>
      <c r="X972" s="262"/>
      <c r="Y972" s="262"/>
      <c r="Z972" s="262"/>
    </row>
    <row r="973" spans="1:26" ht="15.6" x14ac:dyDescent="0.35">
      <c r="A973" s="262"/>
      <c r="B973" s="262"/>
      <c r="C973" s="262"/>
      <c r="D973" s="262"/>
      <c r="E973" s="262"/>
      <c r="F973" s="262"/>
      <c r="G973" s="262"/>
      <c r="H973" s="262"/>
      <c r="I973" s="262"/>
      <c r="J973" s="262"/>
      <c r="K973" s="262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2"/>
      <c r="X973" s="262"/>
      <c r="Y973" s="262"/>
      <c r="Z973" s="262"/>
    </row>
    <row r="974" spans="1:26" ht="15.6" x14ac:dyDescent="0.35">
      <c r="A974" s="262"/>
      <c r="B974" s="262"/>
      <c r="C974" s="262"/>
      <c r="D974" s="262"/>
      <c r="E974" s="262"/>
      <c r="F974" s="262"/>
      <c r="G974" s="262"/>
      <c r="H974" s="262"/>
      <c r="I974" s="262"/>
      <c r="J974" s="262"/>
      <c r="K974" s="262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2"/>
      <c r="X974" s="262"/>
      <c r="Y974" s="262"/>
      <c r="Z974" s="262"/>
    </row>
    <row r="975" spans="1:26" ht="15.6" x14ac:dyDescent="0.35">
      <c r="A975" s="262"/>
      <c r="B975" s="262"/>
      <c r="C975" s="262"/>
      <c r="D975" s="262"/>
      <c r="E975" s="262"/>
      <c r="F975" s="262"/>
      <c r="G975" s="262"/>
      <c r="H975" s="262"/>
      <c r="I975" s="262"/>
      <c r="J975" s="262"/>
      <c r="K975" s="262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2"/>
      <c r="X975" s="262"/>
      <c r="Y975" s="262"/>
      <c r="Z975" s="262"/>
    </row>
    <row r="976" spans="1:26" ht="15.6" x14ac:dyDescent="0.35">
      <c r="A976" s="262"/>
      <c r="B976" s="262"/>
      <c r="C976" s="262"/>
      <c r="D976" s="262"/>
      <c r="E976" s="262"/>
      <c r="F976" s="262"/>
      <c r="G976" s="262"/>
      <c r="H976" s="262"/>
      <c r="I976" s="262"/>
      <c r="J976" s="262"/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2"/>
      <c r="X976" s="262"/>
      <c r="Y976" s="262"/>
      <c r="Z976" s="262"/>
    </row>
    <row r="977" spans="1:26" ht="15.6" x14ac:dyDescent="0.35">
      <c r="A977" s="262"/>
      <c r="B977" s="262"/>
      <c r="C977" s="262"/>
      <c r="D977" s="262"/>
      <c r="E977" s="262"/>
      <c r="F977" s="262"/>
      <c r="G977" s="262"/>
      <c r="H977" s="262"/>
      <c r="I977" s="262"/>
      <c r="J977" s="262"/>
      <c r="K977" s="262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2"/>
      <c r="X977" s="262"/>
      <c r="Y977" s="262"/>
      <c r="Z977" s="262"/>
    </row>
    <row r="978" spans="1:26" ht="15.6" x14ac:dyDescent="0.35">
      <c r="A978" s="262"/>
      <c r="B978" s="262"/>
      <c r="C978" s="262"/>
      <c r="D978" s="262"/>
      <c r="E978" s="262"/>
      <c r="F978" s="262"/>
      <c r="G978" s="262"/>
      <c r="H978" s="262"/>
      <c r="I978" s="262"/>
      <c r="J978" s="262"/>
      <c r="K978" s="262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2"/>
      <c r="X978" s="262"/>
      <c r="Y978" s="262"/>
      <c r="Z978" s="262"/>
    </row>
    <row r="979" spans="1:26" ht="15.6" x14ac:dyDescent="0.35">
      <c r="A979" s="262"/>
      <c r="B979" s="262"/>
      <c r="C979" s="262"/>
      <c r="D979" s="262"/>
      <c r="E979" s="262"/>
      <c r="F979" s="262"/>
      <c r="G979" s="262"/>
      <c r="H979" s="262"/>
      <c r="I979" s="262"/>
      <c r="J979" s="262"/>
      <c r="K979" s="262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2"/>
      <c r="X979" s="262"/>
      <c r="Y979" s="262"/>
      <c r="Z979" s="262"/>
    </row>
    <row r="980" spans="1:26" ht="15.6" x14ac:dyDescent="0.35">
      <c r="A980" s="262"/>
      <c r="B980" s="262"/>
      <c r="C980" s="262"/>
      <c r="D980" s="262"/>
      <c r="E980" s="262"/>
      <c r="F980" s="262"/>
      <c r="G980" s="262"/>
      <c r="H980" s="262"/>
      <c r="I980" s="262"/>
      <c r="J980" s="262"/>
      <c r="K980" s="262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2"/>
      <c r="X980" s="262"/>
      <c r="Y980" s="262"/>
      <c r="Z980" s="262"/>
    </row>
    <row r="981" spans="1:26" ht="15.6" x14ac:dyDescent="0.35">
      <c r="A981" s="262"/>
      <c r="B981" s="262"/>
      <c r="C981" s="262"/>
      <c r="D981" s="262"/>
      <c r="E981" s="262"/>
      <c r="F981" s="262"/>
      <c r="G981" s="262"/>
      <c r="H981" s="262"/>
      <c r="I981" s="262"/>
      <c r="J981" s="262"/>
      <c r="K981" s="262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2"/>
      <c r="X981" s="262"/>
      <c r="Y981" s="262"/>
      <c r="Z981" s="262"/>
    </row>
    <row r="982" spans="1:26" ht="15.6" x14ac:dyDescent="0.35">
      <c r="A982" s="262"/>
      <c r="B982" s="262"/>
      <c r="C982" s="262"/>
      <c r="D982" s="262"/>
      <c r="E982" s="262"/>
      <c r="F982" s="262"/>
      <c r="G982" s="262"/>
      <c r="H982" s="262"/>
      <c r="I982" s="262"/>
      <c r="J982" s="262"/>
      <c r="K982" s="262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2"/>
      <c r="X982" s="262"/>
      <c r="Y982" s="262"/>
      <c r="Z982" s="262"/>
    </row>
    <row r="983" spans="1:26" ht="15.6" x14ac:dyDescent="0.35">
      <c r="A983" s="262"/>
      <c r="B983" s="262"/>
      <c r="C983" s="262"/>
      <c r="D983" s="262"/>
      <c r="E983" s="262"/>
      <c r="F983" s="262"/>
      <c r="G983" s="262"/>
      <c r="H983" s="262"/>
      <c r="I983" s="262"/>
      <c r="J983" s="262"/>
      <c r="K983" s="262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2"/>
      <c r="X983" s="262"/>
      <c r="Y983" s="262"/>
      <c r="Z983" s="262"/>
    </row>
    <row r="984" spans="1:26" ht="15.6" x14ac:dyDescent="0.35">
      <c r="A984" s="262"/>
      <c r="B984" s="262"/>
      <c r="C984" s="262"/>
      <c r="D984" s="262"/>
      <c r="E984" s="262"/>
      <c r="F984" s="262"/>
      <c r="G984" s="262"/>
      <c r="H984" s="262"/>
      <c r="I984" s="262"/>
      <c r="J984" s="262"/>
      <c r="K984" s="262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2"/>
      <c r="X984" s="262"/>
      <c r="Y984" s="262"/>
      <c r="Z984" s="262"/>
    </row>
    <row r="985" spans="1:26" ht="15.6" x14ac:dyDescent="0.35">
      <c r="A985" s="262"/>
      <c r="B985" s="262"/>
      <c r="C985" s="262"/>
      <c r="D985" s="262"/>
      <c r="E985" s="262"/>
      <c r="F985" s="262"/>
      <c r="G985" s="262"/>
      <c r="H985" s="262"/>
      <c r="I985" s="262"/>
      <c r="J985" s="262"/>
      <c r="K985" s="262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2"/>
      <c r="X985" s="262"/>
      <c r="Y985" s="262"/>
      <c r="Z985" s="262"/>
    </row>
    <row r="986" spans="1:26" ht="15.6" x14ac:dyDescent="0.35">
      <c r="A986" s="262"/>
      <c r="B986" s="262"/>
      <c r="C986" s="262"/>
      <c r="D986" s="262"/>
      <c r="E986" s="262"/>
      <c r="F986" s="262"/>
      <c r="G986" s="262"/>
      <c r="H986" s="262"/>
      <c r="I986" s="262"/>
      <c r="J986" s="262"/>
      <c r="K986" s="262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2"/>
      <c r="X986" s="262"/>
      <c r="Y986" s="262"/>
      <c r="Z986" s="262"/>
    </row>
    <row r="987" spans="1:26" ht="15.6" x14ac:dyDescent="0.35">
      <c r="A987" s="262"/>
      <c r="B987" s="262"/>
      <c r="C987" s="262"/>
      <c r="D987" s="262"/>
      <c r="E987" s="262"/>
      <c r="F987" s="262"/>
      <c r="G987" s="262"/>
      <c r="H987" s="262"/>
      <c r="I987" s="262"/>
      <c r="J987" s="262"/>
      <c r="K987" s="262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2"/>
      <c r="X987" s="262"/>
      <c r="Y987" s="262"/>
      <c r="Z987" s="262"/>
    </row>
    <row r="988" spans="1:26" ht="15.6" x14ac:dyDescent="0.35">
      <c r="A988" s="262"/>
      <c r="B988" s="262"/>
      <c r="C988" s="262"/>
      <c r="D988" s="262"/>
      <c r="E988" s="262"/>
      <c r="F988" s="262"/>
      <c r="G988" s="262"/>
      <c r="H988" s="262"/>
      <c r="I988" s="262"/>
      <c r="J988" s="262"/>
      <c r="K988" s="262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2"/>
      <c r="X988" s="262"/>
      <c r="Y988" s="262"/>
      <c r="Z988" s="262"/>
    </row>
    <row r="989" spans="1:26" ht="15.6" x14ac:dyDescent="0.35">
      <c r="A989" s="262"/>
      <c r="B989" s="262"/>
      <c r="C989" s="262"/>
      <c r="D989" s="262"/>
      <c r="E989" s="262"/>
      <c r="F989" s="262"/>
      <c r="G989" s="262"/>
      <c r="H989" s="262"/>
      <c r="I989" s="262"/>
      <c r="J989" s="262"/>
      <c r="K989" s="262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2"/>
      <c r="X989" s="262"/>
      <c r="Y989" s="262"/>
      <c r="Z989" s="262"/>
    </row>
    <row r="990" spans="1:26" ht="15.6" x14ac:dyDescent="0.35">
      <c r="A990" s="262"/>
      <c r="B990" s="262"/>
      <c r="C990" s="262"/>
      <c r="D990" s="262"/>
      <c r="E990" s="262"/>
      <c r="F990" s="262"/>
      <c r="G990" s="262"/>
      <c r="H990" s="262"/>
      <c r="I990" s="262"/>
      <c r="J990" s="262"/>
      <c r="K990" s="262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2"/>
      <c r="X990" s="262"/>
      <c r="Y990" s="262"/>
      <c r="Z990" s="262"/>
    </row>
    <row r="991" spans="1:26" ht="15.6" x14ac:dyDescent="0.35">
      <c r="A991" s="262"/>
      <c r="B991" s="262"/>
      <c r="C991" s="262"/>
      <c r="D991" s="262"/>
      <c r="E991" s="262"/>
      <c r="F991" s="262"/>
      <c r="G991" s="262"/>
      <c r="H991" s="262"/>
      <c r="I991" s="262"/>
      <c r="J991" s="262"/>
      <c r="K991" s="262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2"/>
      <c r="X991" s="262"/>
      <c r="Y991" s="262"/>
      <c r="Z991" s="262"/>
    </row>
    <row r="992" spans="1:26" ht="15.6" x14ac:dyDescent="0.35">
      <c r="A992" s="262"/>
      <c r="B992" s="262"/>
      <c r="C992" s="262"/>
      <c r="D992" s="262"/>
      <c r="E992" s="262"/>
      <c r="F992" s="262"/>
      <c r="G992" s="262"/>
      <c r="H992" s="262"/>
      <c r="I992" s="262"/>
      <c r="J992" s="262"/>
      <c r="K992" s="262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2"/>
      <c r="X992" s="262"/>
      <c r="Y992" s="262"/>
      <c r="Z992" s="262"/>
    </row>
    <row r="993" spans="1:26" ht="15.6" x14ac:dyDescent="0.35">
      <c r="A993" s="262"/>
      <c r="B993" s="262"/>
      <c r="C993" s="262"/>
      <c r="D993" s="262"/>
      <c r="E993" s="262"/>
      <c r="F993" s="262"/>
      <c r="G993" s="262"/>
      <c r="H993" s="262"/>
      <c r="I993" s="262"/>
      <c r="J993" s="262"/>
      <c r="K993" s="262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2"/>
      <c r="X993" s="262"/>
      <c r="Y993" s="262"/>
      <c r="Z993" s="262"/>
    </row>
    <row r="994" spans="1:26" ht="15.6" x14ac:dyDescent="0.35">
      <c r="A994" s="262"/>
      <c r="B994" s="262"/>
      <c r="C994" s="262"/>
      <c r="D994" s="262"/>
      <c r="E994" s="262"/>
      <c r="F994" s="262"/>
      <c r="G994" s="262"/>
      <c r="H994" s="262"/>
      <c r="I994" s="262"/>
      <c r="J994" s="262"/>
      <c r="K994" s="262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2"/>
      <c r="X994" s="262"/>
      <c r="Y994" s="262"/>
      <c r="Z994" s="262"/>
    </row>
    <row r="995" spans="1:26" ht="15.6" x14ac:dyDescent="0.35">
      <c r="A995" s="262"/>
      <c r="B995" s="262"/>
      <c r="C995" s="262"/>
      <c r="D995" s="262"/>
      <c r="E995" s="262"/>
      <c r="F995" s="262"/>
      <c r="G995" s="262"/>
      <c r="H995" s="262"/>
      <c r="I995" s="262"/>
      <c r="J995" s="262"/>
      <c r="K995" s="262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2"/>
      <c r="X995" s="262"/>
      <c r="Y995" s="262"/>
      <c r="Z995" s="262"/>
    </row>
    <row r="996" spans="1:26" ht="15.6" x14ac:dyDescent="0.35">
      <c r="A996" s="262"/>
      <c r="B996" s="262"/>
      <c r="C996" s="262"/>
      <c r="D996" s="262"/>
      <c r="E996" s="262"/>
      <c r="F996" s="262"/>
      <c r="G996" s="262"/>
      <c r="H996" s="262"/>
      <c r="I996" s="262"/>
      <c r="J996" s="262"/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2"/>
      <c r="X996" s="262"/>
      <c r="Y996" s="262"/>
      <c r="Z996" s="262"/>
    </row>
    <row r="997" spans="1:26" ht="15.6" x14ac:dyDescent="0.35">
      <c r="A997" s="262"/>
      <c r="B997" s="262"/>
      <c r="C997" s="262"/>
      <c r="D997" s="262"/>
      <c r="E997" s="262"/>
      <c r="F997" s="262"/>
      <c r="G997" s="262"/>
      <c r="H997" s="262"/>
      <c r="I997" s="262"/>
      <c r="J997" s="262"/>
      <c r="K997" s="262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2"/>
      <c r="X997" s="262"/>
      <c r="Y997" s="262"/>
      <c r="Z997" s="262"/>
    </row>
    <row r="998" spans="1:26" ht="15.6" x14ac:dyDescent="0.35">
      <c r="A998" s="262"/>
      <c r="B998" s="262"/>
      <c r="C998" s="262"/>
      <c r="D998" s="262"/>
      <c r="E998" s="262"/>
      <c r="F998" s="262"/>
      <c r="G998" s="262"/>
      <c r="H998" s="262"/>
      <c r="I998" s="262"/>
      <c r="J998" s="262"/>
      <c r="K998" s="262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2"/>
      <c r="X998" s="262"/>
      <c r="Y998" s="262"/>
      <c r="Z998" s="262"/>
    </row>
    <row r="999" spans="1:26" ht="15.6" x14ac:dyDescent="0.35">
      <c r="A999" s="262"/>
      <c r="B999" s="262"/>
      <c r="C999" s="262"/>
      <c r="D999" s="262"/>
      <c r="E999" s="262"/>
      <c r="F999" s="262"/>
      <c r="G999" s="262"/>
      <c r="H999" s="262"/>
      <c r="I999" s="262"/>
      <c r="J999" s="262"/>
      <c r="K999" s="262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2"/>
      <c r="X999" s="262"/>
      <c r="Y999" s="262"/>
      <c r="Z999" s="262"/>
    </row>
    <row r="1000" spans="1:26" ht="15.6" x14ac:dyDescent="0.35">
      <c r="A1000" s="262"/>
      <c r="B1000" s="262"/>
      <c r="C1000" s="262"/>
      <c r="D1000" s="262"/>
      <c r="E1000" s="262"/>
      <c r="F1000" s="262"/>
      <c r="G1000" s="262"/>
      <c r="H1000" s="262"/>
      <c r="I1000" s="262"/>
      <c r="J1000" s="262"/>
      <c r="K1000" s="262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2"/>
      <c r="X1000" s="262"/>
      <c r="Y1000" s="262"/>
      <c r="Z1000" s="262"/>
    </row>
  </sheetData>
  <sortState xmlns:xlrd2="http://schemas.microsoft.com/office/spreadsheetml/2017/richdata2" ref="B6:P7">
    <sortCondition ref="C5:C7"/>
  </sortState>
  <pageMargins left="0.7" right="0.7" top="0.75" bottom="0.7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06E1-711B-455A-863C-D2C3B6574780}">
  <dimension ref="A1:Z1000"/>
  <sheetViews>
    <sheetView zoomScaleNormal="100" workbookViewId="0">
      <selection activeCell="G11" sqref="G11"/>
    </sheetView>
  </sheetViews>
  <sheetFormatPr defaultColWidth="14.6640625" defaultRowHeight="18.600000000000001" customHeight="1" x14ac:dyDescent="0.35"/>
  <cols>
    <col min="1" max="1" width="9.21875" style="270" customWidth="1"/>
    <col min="2" max="2" width="20.33203125" style="270" bestFit="1" customWidth="1"/>
    <col min="3" max="3" width="16.33203125" style="270" customWidth="1"/>
    <col min="4" max="4" width="15.109375" style="270" customWidth="1"/>
    <col min="5" max="5" width="10.88671875" style="270" customWidth="1"/>
    <col min="6" max="6" width="9.6640625" style="270" customWidth="1"/>
    <col min="7" max="7" width="19.5546875" style="270" customWidth="1"/>
    <col min="8" max="8" width="20.21875" style="270" customWidth="1"/>
    <col min="9" max="9" width="23" style="270" customWidth="1"/>
    <col min="10" max="10" width="21.21875" style="270" customWidth="1"/>
    <col min="11" max="11" width="19.21875" style="270" customWidth="1"/>
    <col min="12" max="12" width="18.5546875" style="270" customWidth="1"/>
    <col min="13" max="13" width="16.109375" style="270" bestFit="1" customWidth="1"/>
    <col min="14" max="14" width="13.6640625" style="270" bestFit="1" customWidth="1"/>
    <col min="15" max="15" width="22.6640625" style="270" bestFit="1" customWidth="1"/>
    <col min="16" max="26" width="8.88671875" style="270" customWidth="1"/>
    <col min="27" max="16384" width="14.6640625" style="270"/>
  </cols>
  <sheetData>
    <row r="1" spans="1:26" ht="18.600000000000001" customHeight="1" x14ac:dyDescent="0.35">
      <c r="A1" s="26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spans="1:26" ht="18.600000000000001" customHeight="1" x14ac:dyDescent="0.35">
      <c r="A2" s="269"/>
      <c r="B2" s="271" t="s">
        <v>65</v>
      </c>
      <c r="C2" s="271" t="s">
        <v>307</v>
      </c>
      <c r="D2" s="271" t="s">
        <v>174</v>
      </c>
      <c r="E2" s="271" t="s">
        <v>299</v>
      </c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spans="1:26" ht="18.600000000000001" customHeight="1" x14ac:dyDescent="0.35">
      <c r="A3" s="269"/>
      <c r="B3" s="272" t="s">
        <v>88</v>
      </c>
      <c r="C3" s="273">
        <v>2025</v>
      </c>
      <c r="D3" s="274">
        <v>45359</v>
      </c>
      <c r="E3" s="274" t="s">
        <v>73</v>
      </c>
      <c r="F3" s="269"/>
      <c r="G3" s="275" t="s">
        <v>308</v>
      </c>
      <c r="H3" s="276" t="s">
        <v>300</v>
      </c>
      <c r="I3" s="276" t="s">
        <v>302</v>
      </c>
      <c r="J3" s="276" t="s">
        <v>304</v>
      </c>
      <c r="K3" s="277" t="s">
        <v>303</v>
      </c>
      <c r="L3" s="278" t="s">
        <v>305</v>
      </c>
      <c r="M3" s="278" t="s">
        <v>306</v>
      </c>
      <c r="N3" s="278" t="s">
        <v>301</v>
      </c>
      <c r="O3" s="278" t="s">
        <v>88</v>
      </c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spans="1:26" ht="18.600000000000001" customHeight="1" x14ac:dyDescent="0.35">
      <c r="A4" s="269"/>
      <c r="B4" s="272" t="s">
        <v>300</v>
      </c>
      <c r="C4" s="273">
        <v>4000</v>
      </c>
      <c r="D4" s="274">
        <v>45456</v>
      </c>
      <c r="E4" s="274" t="s">
        <v>73</v>
      </c>
      <c r="F4" s="269"/>
      <c r="G4" s="275" t="s">
        <v>307</v>
      </c>
      <c r="H4" s="279">
        <f>VLOOKUP(H3, $B$2:$E$24, 2, FALSE)</f>
        <v>4000</v>
      </c>
      <c r="I4" s="279">
        <f t="shared" ref="I4:O4" si="0">VLOOKUP(I3, $B$2:$E$24, 2, FALSE)</f>
        <v>10000</v>
      </c>
      <c r="J4" s="279">
        <f t="shared" si="0"/>
        <v>16000</v>
      </c>
      <c r="K4" s="279">
        <f t="shared" si="0"/>
        <v>14000</v>
      </c>
      <c r="L4" s="279">
        <f t="shared" si="0"/>
        <v>20000</v>
      </c>
      <c r="M4" s="279">
        <f t="shared" si="0"/>
        <v>25000</v>
      </c>
      <c r="N4" s="279">
        <f t="shared" si="0"/>
        <v>6000</v>
      </c>
      <c r="O4" s="279">
        <f t="shared" si="0"/>
        <v>2025</v>
      </c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spans="1:26" ht="18.600000000000001" customHeight="1" x14ac:dyDescent="0.35">
      <c r="A5" s="269"/>
      <c r="B5" s="272" t="s">
        <v>301</v>
      </c>
      <c r="C5" s="273">
        <v>6000</v>
      </c>
      <c r="D5" s="274">
        <v>45524</v>
      </c>
      <c r="E5" s="274" t="s">
        <v>73</v>
      </c>
      <c r="F5" s="269"/>
      <c r="G5" s="275" t="s">
        <v>174</v>
      </c>
      <c r="H5" s="280">
        <f>VLOOKUP(H3, $B$2:$E$24, 3, FALSE)</f>
        <v>45456</v>
      </c>
      <c r="I5" s="280">
        <f t="shared" ref="I5:O5" si="1">VLOOKUP(I3, $B$2:$E$24, 3, FALSE)</f>
        <v>45660</v>
      </c>
      <c r="J5" s="280">
        <f t="shared" si="1"/>
        <v>45664</v>
      </c>
      <c r="K5" s="280">
        <f t="shared" si="1"/>
        <v>45663</v>
      </c>
      <c r="L5" s="280">
        <f t="shared" si="1"/>
        <v>45667</v>
      </c>
      <c r="M5" s="280">
        <f t="shared" si="1"/>
        <v>45668</v>
      </c>
      <c r="N5" s="280">
        <f t="shared" si="1"/>
        <v>45524</v>
      </c>
      <c r="O5" s="280">
        <f t="shared" si="1"/>
        <v>45359</v>
      </c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spans="1:26" ht="18.600000000000001" customHeight="1" x14ac:dyDescent="0.35">
      <c r="A6" s="269"/>
      <c r="B6" s="281" t="s">
        <v>300</v>
      </c>
      <c r="C6" s="282">
        <v>7000</v>
      </c>
      <c r="D6" s="274">
        <v>45557</v>
      </c>
      <c r="E6" s="283" t="s">
        <v>78</v>
      </c>
      <c r="F6" s="269"/>
      <c r="G6" s="284" t="s">
        <v>299</v>
      </c>
      <c r="H6" s="280" t="str">
        <f>VLOOKUP(H3, $B$2:$E$24, 4, FALSE)</f>
        <v>East</v>
      </c>
      <c r="I6" s="280" t="str">
        <f t="shared" ref="I6:O6" si="2">VLOOKUP(I3, $B$2:$E$24, 4, FALSE)</f>
        <v>East</v>
      </c>
      <c r="J6" s="280" t="str">
        <f t="shared" si="2"/>
        <v>North</v>
      </c>
      <c r="K6" s="280" t="str">
        <f t="shared" si="2"/>
        <v>North</v>
      </c>
      <c r="L6" s="280" t="str">
        <f t="shared" si="2"/>
        <v>North</v>
      </c>
      <c r="M6" s="280" t="str">
        <f t="shared" si="2"/>
        <v>North</v>
      </c>
      <c r="N6" s="280" t="str">
        <f t="shared" si="2"/>
        <v>East</v>
      </c>
      <c r="O6" s="280" t="str">
        <f t="shared" si="2"/>
        <v>East</v>
      </c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spans="1:26" ht="18.600000000000001" customHeight="1" x14ac:dyDescent="0.35">
      <c r="A7" s="269"/>
      <c r="B7" s="272" t="s">
        <v>301</v>
      </c>
      <c r="C7" s="273">
        <v>8000</v>
      </c>
      <c r="D7" s="274">
        <v>45658</v>
      </c>
      <c r="E7" s="274" t="s">
        <v>73</v>
      </c>
      <c r="F7" s="269"/>
      <c r="G7" s="269"/>
      <c r="H7" s="285"/>
      <c r="I7" s="285"/>
      <c r="J7" s="286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spans="1:26" ht="18.600000000000001" customHeight="1" x14ac:dyDescent="0.35">
      <c r="A8" s="269"/>
      <c r="B8" s="272" t="s">
        <v>302</v>
      </c>
      <c r="C8" s="273">
        <v>10000</v>
      </c>
      <c r="D8" s="274">
        <v>45660</v>
      </c>
      <c r="E8" s="274" t="s">
        <v>73</v>
      </c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spans="1:26" ht="18.600000000000001" customHeight="1" x14ac:dyDescent="0.35">
      <c r="A9" s="269"/>
      <c r="B9" s="281" t="s">
        <v>84</v>
      </c>
      <c r="C9" s="282">
        <v>10000</v>
      </c>
      <c r="D9" s="274">
        <v>45661</v>
      </c>
      <c r="E9" s="283" t="s">
        <v>78</v>
      </c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spans="1:26" ht="18.600000000000001" customHeight="1" x14ac:dyDescent="0.35">
      <c r="A10" s="269"/>
      <c r="B10" s="272" t="s">
        <v>303</v>
      </c>
      <c r="C10" s="273">
        <v>14000</v>
      </c>
      <c r="D10" s="274">
        <v>45663</v>
      </c>
      <c r="E10" s="274" t="s">
        <v>81</v>
      </c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spans="1:26" ht="18.600000000000001" customHeight="1" x14ac:dyDescent="0.35">
      <c r="A11" s="269"/>
      <c r="B11" s="272" t="s">
        <v>304</v>
      </c>
      <c r="C11" s="273">
        <v>16000</v>
      </c>
      <c r="D11" s="274">
        <v>45664</v>
      </c>
      <c r="E11" s="274" t="s">
        <v>81</v>
      </c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spans="1:26" ht="18.600000000000001" customHeight="1" x14ac:dyDescent="0.35">
      <c r="A12" s="269"/>
      <c r="B12" s="272" t="s">
        <v>304</v>
      </c>
      <c r="C12" s="273">
        <v>18000</v>
      </c>
      <c r="D12" s="274">
        <v>45667</v>
      </c>
      <c r="E12" s="272" t="s">
        <v>71</v>
      </c>
      <c r="F12" s="269"/>
      <c r="G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spans="1:26" ht="18.600000000000001" customHeight="1" x14ac:dyDescent="0.35">
      <c r="A13" s="269"/>
      <c r="B13" s="272" t="s">
        <v>305</v>
      </c>
      <c r="C13" s="273">
        <v>20000</v>
      </c>
      <c r="D13" s="274">
        <v>45667</v>
      </c>
      <c r="E13" s="272" t="s">
        <v>81</v>
      </c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spans="1:26" ht="18.600000000000001" customHeight="1" x14ac:dyDescent="0.35">
      <c r="A14" s="269"/>
      <c r="B14" s="272" t="s">
        <v>306</v>
      </c>
      <c r="C14" s="273">
        <v>25000</v>
      </c>
      <c r="D14" s="274">
        <v>45668</v>
      </c>
      <c r="E14" s="274" t="s">
        <v>81</v>
      </c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spans="1:26" ht="18.600000000000001" customHeight="1" x14ac:dyDescent="0.35">
      <c r="A15" s="269"/>
      <c r="B15" s="281" t="s">
        <v>88</v>
      </c>
      <c r="C15" s="282">
        <v>25000</v>
      </c>
      <c r="D15" s="274">
        <v>45669</v>
      </c>
      <c r="E15" s="283" t="s">
        <v>73</v>
      </c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spans="1:26" ht="18.600000000000001" customHeight="1" x14ac:dyDescent="0.35">
      <c r="A16" s="269"/>
      <c r="B16" s="272" t="s">
        <v>88</v>
      </c>
      <c r="C16" s="273">
        <v>28000</v>
      </c>
      <c r="D16" s="274">
        <v>45670</v>
      </c>
      <c r="E16" s="274" t="s">
        <v>71</v>
      </c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spans="1:26" ht="18.600000000000001" customHeight="1" x14ac:dyDescent="0.35">
      <c r="A17" s="269"/>
      <c r="B17" s="272" t="s">
        <v>309</v>
      </c>
      <c r="C17" s="273">
        <v>30000</v>
      </c>
      <c r="D17" s="274">
        <v>45670</v>
      </c>
      <c r="E17" s="274" t="s">
        <v>71</v>
      </c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spans="1:26" ht="18.600000000000001" customHeight="1" x14ac:dyDescent="0.35">
      <c r="A18" s="269"/>
      <c r="B18" s="272" t="s">
        <v>310</v>
      </c>
      <c r="C18" s="273">
        <v>30000</v>
      </c>
      <c r="D18" s="283">
        <v>45672</v>
      </c>
      <c r="E18" s="274" t="s">
        <v>71</v>
      </c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spans="1:26" ht="18.600000000000001" customHeight="1" x14ac:dyDescent="0.35">
      <c r="A19" s="269"/>
      <c r="B19" s="287" t="s">
        <v>84</v>
      </c>
      <c r="C19" s="282">
        <v>30000</v>
      </c>
      <c r="D19" s="288">
        <v>45672</v>
      </c>
      <c r="E19" s="289" t="s">
        <v>71</v>
      </c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spans="1:26" ht="18.600000000000001" customHeight="1" x14ac:dyDescent="0.35">
      <c r="A20" s="269"/>
      <c r="B20" s="290" t="s">
        <v>303</v>
      </c>
      <c r="C20" s="273">
        <v>36000</v>
      </c>
      <c r="D20" s="291">
        <v>45674</v>
      </c>
      <c r="E20" s="291" t="s">
        <v>78</v>
      </c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spans="1:26" ht="18.600000000000001" customHeight="1" x14ac:dyDescent="0.35">
      <c r="A21" s="269"/>
      <c r="B21" s="272" t="s">
        <v>309</v>
      </c>
      <c r="C21" s="273">
        <v>38000</v>
      </c>
      <c r="D21" s="283">
        <v>45675</v>
      </c>
      <c r="E21" s="274" t="s">
        <v>78</v>
      </c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spans="1:26" ht="18.600000000000001" customHeight="1" x14ac:dyDescent="0.35">
      <c r="A22" s="269"/>
      <c r="B22" s="272" t="s">
        <v>301</v>
      </c>
      <c r="C22" s="273">
        <v>40000</v>
      </c>
      <c r="D22" s="274">
        <v>45676</v>
      </c>
      <c r="E22" s="272" t="s">
        <v>78</v>
      </c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spans="1:26" ht="18.600000000000001" customHeight="1" x14ac:dyDescent="0.35">
      <c r="A23" s="269"/>
      <c r="B23" s="272" t="s">
        <v>305</v>
      </c>
      <c r="C23" s="273">
        <v>42000</v>
      </c>
      <c r="D23" s="283">
        <v>45677</v>
      </c>
      <c r="E23" s="274" t="s">
        <v>78</v>
      </c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spans="1:26" ht="18.600000000000001" customHeight="1" x14ac:dyDescent="0.35">
      <c r="A24" s="269"/>
      <c r="B24" s="272" t="s">
        <v>303</v>
      </c>
      <c r="C24" s="273">
        <v>50000</v>
      </c>
      <c r="D24" s="283">
        <v>45680</v>
      </c>
      <c r="E24" s="274" t="s">
        <v>78</v>
      </c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spans="1:26" ht="18.600000000000001" customHeight="1" x14ac:dyDescent="0.35">
      <c r="A25" s="269"/>
      <c r="B25" s="269"/>
      <c r="C25" s="269"/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spans="1:26" ht="18.600000000000001" customHeight="1" x14ac:dyDescent="0.35">
      <c r="A26" s="269"/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spans="1:26" ht="18.600000000000001" customHeight="1" x14ac:dyDescent="0.35">
      <c r="A27" s="269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spans="1:26" ht="18.600000000000001" customHeight="1" x14ac:dyDescent="0.35">
      <c r="A28" s="269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spans="1:26" ht="18.600000000000001" customHeight="1" x14ac:dyDescent="0.35">
      <c r="A29" s="269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spans="1:26" ht="18.600000000000001" customHeight="1" x14ac:dyDescent="0.35">
      <c r="A30" s="269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spans="1:26" ht="18.600000000000001" customHeight="1" x14ac:dyDescent="0.35">
      <c r="A31" s="269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spans="1:26" ht="18.600000000000001" customHeight="1" x14ac:dyDescent="0.35">
      <c r="A32" s="269"/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spans="1:26" ht="18.600000000000001" customHeight="1" x14ac:dyDescent="0.35">
      <c r="A33" s="269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spans="1:26" ht="18.600000000000001" customHeight="1" x14ac:dyDescent="0.35">
      <c r="A34" s="269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spans="1:26" ht="18.600000000000001" customHeight="1" x14ac:dyDescent="0.35">
      <c r="A35" s="269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spans="1:26" ht="18.600000000000001" customHeight="1" x14ac:dyDescent="0.35">
      <c r="A36" s="269"/>
      <c r="B36" s="269"/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spans="1:26" ht="18.600000000000001" customHeight="1" x14ac:dyDescent="0.35">
      <c r="A37" s="269"/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spans="1:26" ht="18.600000000000001" customHeight="1" x14ac:dyDescent="0.35">
      <c r="A38" s="269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spans="1:26" ht="18.600000000000001" customHeight="1" x14ac:dyDescent="0.35">
      <c r="A39" s="269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spans="1:26" ht="18.600000000000001" customHeight="1" x14ac:dyDescent="0.35">
      <c r="A40" s="269"/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spans="1:26" ht="18.600000000000001" customHeight="1" x14ac:dyDescent="0.35">
      <c r="A41" s="26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spans="1:26" ht="18.600000000000001" customHeight="1" x14ac:dyDescent="0.35">
      <c r="A42" s="269"/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spans="1:26" ht="18.600000000000001" customHeight="1" x14ac:dyDescent="0.35">
      <c r="A43" s="269"/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spans="1:26" ht="18.600000000000001" customHeight="1" x14ac:dyDescent="0.35">
      <c r="A44" s="269"/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spans="1:26" ht="18.600000000000001" customHeight="1" x14ac:dyDescent="0.35">
      <c r="A45" s="269"/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spans="1:26" ht="18.600000000000001" customHeight="1" x14ac:dyDescent="0.35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spans="1:26" ht="18.600000000000001" customHeight="1" x14ac:dyDescent="0.35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spans="1:26" ht="18.600000000000001" customHeight="1" x14ac:dyDescent="0.35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spans="1:26" ht="18.600000000000001" customHeight="1" x14ac:dyDescent="0.35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spans="1:26" ht="18.600000000000001" customHeight="1" x14ac:dyDescent="0.35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spans="1:26" ht="18.600000000000001" customHeight="1" x14ac:dyDescent="0.35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spans="1:26" ht="18.600000000000001" customHeight="1" x14ac:dyDescent="0.35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spans="1:26" ht="18.600000000000001" customHeight="1" x14ac:dyDescent="0.35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spans="1:26" ht="18.600000000000001" customHeight="1" x14ac:dyDescent="0.35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spans="1:26" ht="18.600000000000001" customHeight="1" x14ac:dyDescent="0.35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spans="1:26" ht="18.600000000000001" customHeight="1" x14ac:dyDescent="0.35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spans="1:26" ht="18.600000000000001" customHeight="1" x14ac:dyDescent="0.35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spans="1:26" ht="18.600000000000001" customHeight="1" x14ac:dyDescent="0.35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spans="1:26" ht="18.600000000000001" customHeight="1" x14ac:dyDescent="0.35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spans="1:26" ht="18.600000000000001" customHeight="1" x14ac:dyDescent="0.35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spans="1:26" ht="18.600000000000001" customHeight="1" x14ac:dyDescent="0.35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spans="1:26" ht="18.600000000000001" customHeight="1" x14ac:dyDescent="0.35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spans="1:26" ht="18.600000000000001" customHeight="1" x14ac:dyDescent="0.35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spans="1:26" ht="18.600000000000001" customHeight="1" x14ac:dyDescent="0.35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spans="1:26" ht="18.600000000000001" customHeight="1" x14ac:dyDescent="0.35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spans="1:26" ht="18.600000000000001" customHeight="1" x14ac:dyDescent="0.35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spans="1:26" ht="18.600000000000001" customHeight="1" x14ac:dyDescent="0.35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spans="1:26" ht="18.600000000000001" customHeight="1" x14ac:dyDescent="0.35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spans="1:26" ht="18.600000000000001" customHeight="1" x14ac:dyDescent="0.35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spans="1:26" ht="18.600000000000001" customHeight="1" x14ac:dyDescent="0.35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spans="1:26" ht="18.600000000000001" customHeight="1" x14ac:dyDescent="0.35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spans="1:26" ht="18.600000000000001" customHeight="1" x14ac:dyDescent="0.35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spans="1:26" ht="18.600000000000001" customHeight="1" x14ac:dyDescent="0.35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spans="1:26" ht="18.600000000000001" customHeight="1" x14ac:dyDescent="0.35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spans="1:26" ht="18.600000000000001" customHeight="1" x14ac:dyDescent="0.35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spans="1:26" ht="18.600000000000001" customHeight="1" x14ac:dyDescent="0.35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spans="1:26" ht="18.600000000000001" customHeight="1" x14ac:dyDescent="0.35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spans="1:26" ht="18.600000000000001" customHeight="1" x14ac:dyDescent="0.35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spans="1:26" ht="18.600000000000001" customHeight="1" x14ac:dyDescent="0.35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spans="1:26" ht="18.600000000000001" customHeight="1" x14ac:dyDescent="0.35">
      <c r="A80" s="26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spans="1:26" ht="18.600000000000001" customHeight="1" x14ac:dyDescent="0.35">
      <c r="A81" s="26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spans="1:26" ht="18.600000000000001" customHeight="1" x14ac:dyDescent="0.35">
      <c r="A82" s="26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spans="1:26" ht="18.600000000000001" customHeight="1" x14ac:dyDescent="0.35">
      <c r="A83" s="26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spans="1:26" ht="18.600000000000001" customHeight="1" x14ac:dyDescent="0.35">
      <c r="A84" s="26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spans="1:26" ht="18.600000000000001" customHeight="1" x14ac:dyDescent="0.35">
      <c r="A85" s="26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spans="1:26" ht="18.600000000000001" customHeight="1" x14ac:dyDescent="0.35">
      <c r="A86" s="269"/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spans="1:26" ht="18.600000000000001" customHeight="1" x14ac:dyDescent="0.35">
      <c r="A87" s="269"/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spans="1:26" ht="18.600000000000001" customHeight="1" x14ac:dyDescent="0.35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spans="1:26" ht="18.600000000000001" customHeight="1" x14ac:dyDescent="0.35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spans="1:26" ht="18.600000000000001" customHeight="1" x14ac:dyDescent="0.35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spans="1:26" ht="18.600000000000001" customHeight="1" x14ac:dyDescent="0.35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spans="1:26" ht="18.600000000000001" customHeight="1" x14ac:dyDescent="0.35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spans="1:26" ht="18.600000000000001" customHeight="1" x14ac:dyDescent="0.35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spans="1:26" ht="18.600000000000001" customHeight="1" x14ac:dyDescent="0.35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spans="1:26" ht="18.600000000000001" customHeight="1" x14ac:dyDescent="0.35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spans="1:26" ht="18.600000000000001" customHeight="1" x14ac:dyDescent="0.35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spans="1:26" ht="18.600000000000001" customHeight="1" x14ac:dyDescent="0.35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spans="1:26" ht="18.600000000000001" customHeight="1" x14ac:dyDescent="0.35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spans="1:26" ht="18.600000000000001" customHeight="1" x14ac:dyDescent="0.35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spans="1:26" ht="18.600000000000001" customHeight="1" x14ac:dyDescent="0.35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spans="1:26" ht="18.600000000000001" customHeight="1" x14ac:dyDescent="0.35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spans="1:26" ht="18.600000000000001" customHeight="1" x14ac:dyDescent="0.35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spans="1:26" ht="18.600000000000001" customHeight="1" x14ac:dyDescent="0.35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spans="1:26" ht="18.600000000000001" customHeight="1" x14ac:dyDescent="0.35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spans="1:26" ht="18.600000000000001" customHeight="1" x14ac:dyDescent="0.35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spans="1:26" ht="18.600000000000001" customHeight="1" x14ac:dyDescent="0.35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spans="1:26" ht="18.600000000000001" customHeight="1" x14ac:dyDescent="0.35">
      <c r="A107" s="269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spans="1:26" ht="18.600000000000001" customHeight="1" x14ac:dyDescent="0.35">
      <c r="A108" s="269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spans="1:26" ht="18.600000000000001" customHeight="1" x14ac:dyDescent="0.35">
      <c r="A109" s="269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spans="1:26" ht="18.600000000000001" customHeight="1" x14ac:dyDescent="0.35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spans="1:26" ht="18.600000000000001" customHeight="1" x14ac:dyDescent="0.35">
      <c r="A111" s="269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spans="1:26" ht="18.600000000000001" customHeight="1" x14ac:dyDescent="0.35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spans="1:26" ht="18.600000000000001" customHeight="1" x14ac:dyDescent="0.35">
      <c r="A113" s="269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spans="1:26" ht="18.600000000000001" customHeight="1" x14ac:dyDescent="0.35">
      <c r="A114" s="269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spans="1:26" ht="18.600000000000001" customHeight="1" x14ac:dyDescent="0.35">
      <c r="A115" s="269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spans="1:26" ht="18.600000000000001" customHeight="1" x14ac:dyDescent="0.35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spans="1:26" ht="18.600000000000001" customHeight="1" x14ac:dyDescent="0.35">
      <c r="A117" s="269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spans="1:26" ht="18.600000000000001" customHeight="1" x14ac:dyDescent="0.35">
      <c r="A118" s="269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spans="1:26" ht="18.600000000000001" customHeight="1" x14ac:dyDescent="0.35">
      <c r="A119" s="269"/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spans="1:26" ht="18.600000000000001" customHeight="1" x14ac:dyDescent="0.35">
      <c r="A120" s="269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spans="1:26" ht="18.600000000000001" customHeight="1" x14ac:dyDescent="0.35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spans="1:26" ht="18.600000000000001" customHeight="1" x14ac:dyDescent="0.35">
      <c r="A122" s="269"/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spans="1:26" ht="18.600000000000001" customHeight="1" x14ac:dyDescent="0.35">
      <c r="A123" s="269"/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spans="1:26" ht="18.600000000000001" customHeight="1" x14ac:dyDescent="0.35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spans="1:26" ht="18.600000000000001" customHeight="1" x14ac:dyDescent="0.35">
      <c r="A125" s="269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spans="1:26" ht="18.600000000000001" customHeight="1" x14ac:dyDescent="0.35">
      <c r="A126" s="269"/>
      <c r="B126" s="269"/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spans="1:26" ht="18.600000000000001" customHeight="1" x14ac:dyDescent="0.35">
      <c r="A127" s="269"/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spans="1:26" ht="18.600000000000001" customHeight="1" x14ac:dyDescent="0.35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spans="1:26" ht="18.600000000000001" customHeight="1" x14ac:dyDescent="0.35">
      <c r="A129" s="269"/>
      <c r="B129" s="269"/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spans="1:26" ht="18.600000000000001" customHeight="1" x14ac:dyDescent="0.35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spans="1:26" ht="18.600000000000001" customHeight="1" x14ac:dyDescent="0.35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spans="1:26" ht="18.600000000000001" customHeight="1" x14ac:dyDescent="0.35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spans="1:26" ht="18.600000000000001" customHeight="1" x14ac:dyDescent="0.35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spans="1:26" ht="18.600000000000001" customHeight="1" x14ac:dyDescent="0.35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spans="1:26" ht="18.600000000000001" customHeight="1" x14ac:dyDescent="0.35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spans="1:26" ht="18.600000000000001" customHeight="1" x14ac:dyDescent="0.35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spans="1:26" ht="18.600000000000001" customHeight="1" x14ac:dyDescent="0.35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spans="1:26" ht="18.600000000000001" customHeight="1" x14ac:dyDescent="0.35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spans="1:26" ht="18.600000000000001" customHeight="1" x14ac:dyDescent="0.35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spans="1:26" ht="18.600000000000001" customHeight="1" x14ac:dyDescent="0.35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spans="1:26" ht="18.600000000000001" customHeight="1" x14ac:dyDescent="0.35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spans="1:26" ht="18.600000000000001" customHeight="1" x14ac:dyDescent="0.35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spans="1:26" ht="18.600000000000001" customHeight="1" x14ac:dyDescent="0.35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spans="1:26" ht="18.600000000000001" customHeight="1" x14ac:dyDescent="0.35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spans="1:26" ht="18.600000000000001" customHeight="1" x14ac:dyDescent="0.35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spans="1:26" ht="18.600000000000001" customHeight="1" x14ac:dyDescent="0.35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spans="1:26" ht="18.600000000000001" customHeight="1" x14ac:dyDescent="0.35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spans="1:26" ht="18.600000000000001" customHeight="1" x14ac:dyDescent="0.35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spans="1:26" ht="18.600000000000001" customHeight="1" x14ac:dyDescent="0.35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spans="1:26" ht="18.600000000000001" customHeight="1" x14ac:dyDescent="0.35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spans="1:26" ht="18.600000000000001" customHeight="1" x14ac:dyDescent="0.35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spans="1:26" ht="18.600000000000001" customHeight="1" x14ac:dyDescent="0.35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spans="1:26" ht="18.600000000000001" customHeight="1" x14ac:dyDescent="0.35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spans="1:26" ht="18.600000000000001" customHeight="1" x14ac:dyDescent="0.35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spans="1:26" ht="18.600000000000001" customHeight="1" x14ac:dyDescent="0.35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spans="1:26" ht="18.600000000000001" customHeight="1" x14ac:dyDescent="0.35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spans="1:26" ht="18.600000000000001" customHeight="1" x14ac:dyDescent="0.35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spans="1:26" ht="18.600000000000001" customHeight="1" x14ac:dyDescent="0.35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spans="1:26" ht="18.600000000000001" customHeight="1" x14ac:dyDescent="0.35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spans="1:26" ht="18.600000000000001" customHeight="1" x14ac:dyDescent="0.35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spans="1:26" ht="18.600000000000001" customHeight="1" x14ac:dyDescent="0.35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spans="1:26" ht="18.600000000000001" customHeight="1" x14ac:dyDescent="0.35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spans="1:26" ht="18.600000000000001" customHeight="1" x14ac:dyDescent="0.35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spans="1:26" ht="18.600000000000001" customHeight="1" x14ac:dyDescent="0.35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spans="1:26" ht="18.600000000000001" customHeight="1" x14ac:dyDescent="0.35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spans="1:26" ht="18.600000000000001" customHeight="1" x14ac:dyDescent="0.35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spans="1:26" ht="18.600000000000001" customHeight="1" x14ac:dyDescent="0.35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spans="1:26" ht="18.600000000000001" customHeight="1" x14ac:dyDescent="0.35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spans="1:26" ht="18.600000000000001" customHeight="1" x14ac:dyDescent="0.35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spans="1:26" ht="18.600000000000001" customHeight="1" x14ac:dyDescent="0.35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spans="1:26" ht="18.600000000000001" customHeight="1" x14ac:dyDescent="0.35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spans="1:26" ht="18.600000000000001" customHeight="1" x14ac:dyDescent="0.35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spans="1:26" ht="18.600000000000001" customHeight="1" x14ac:dyDescent="0.35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spans="1:26" ht="18.600000000000001" customHeight="1" x14ac:dyDescent="0.35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spans="1:26" ht="18.600000000000001" customHeight="1" x14ac:dyDescent="0.35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spans="1:26" ht="18.600000000000001" customHeight="1" x14ac:dyDescent="0.35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spans="1:26" ht="18.600000000000001" customHeight="1" x14ac:dyDescent="0.35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spans="1:26" ht="18.600000000000001" customHeight="1" x14ac:dyDescent="0.35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spans="1:26" ht="18.600000000000001" customHeight="1" x14ac:dyDescent="0.35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spans="1:26" ht="18.600000000000001" customHeight="1" x14ac:dyDescent="0.35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spans="1:26" ht="18.600000000000001" customHeight="1" x14ac:dyDescent="0.35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spans="1:26" ht="18.600000000000001" customHeight="1" x14ac:dyDescent="0.35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spans="1:26" ht="18.600000000000001" customHeight="1" x14ac:dyDescent="0.35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spans="1:26" ht="18.600000000000001" customHeight="1" x14ac:dyDescent="0.35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spans="1:26" ht="18.600000000000001" customHeight="1" x14ac:dyDescent="0.35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spans="1:26" ht="18.600000000000001" customHeight="1" x14ac:dyDescent="0.35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spans="1:26" ht="18.600000000000001" customHeight="1" x14ac:dyDescent="0.35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spans="1:26" ht="18.600000000000001" customHeight="1" x14ac:dyDescent="0.35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spans="1:26" ht="18.600000000000001" customHeight="1" x14ac:dyDescent="0.35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spans="1:26" ht="18.600000000000001" customHeight="1" x14ac:dyDescent="0.35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spans="1:26" ht="18.600000000000001" customHeight="1" x14ac:dyDescent="0.35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spans="1:26" ht="18.600000000000001" customHeight="1" x14ac:dyDescent="0.35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spans="1:26" ht="18.600000000000001" customHeight="1" x14ac:dyDescent="0.35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spans="1:26" ht="18.600000000000001" customHeight="1" x14ac:dyDescent="0.35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spans="1:26" ht="18.600000000000001" customHeight="1" x14ac:dyDescent="0.35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spans="1:26" ht="18.600000000000001" customHeight="1" x14ac:dyDescent="0.35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spans="1:26" ht="18.600000000000001" customHeight="1" x14ac:dyDescent="0.35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spans="1:26" ht="18.600000000000001" customHeight="1" x14ac:dyDescent="0.35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spans="1:26" ht="18.600000000000001" customHeight="1" x14ac:dyDescent="0.35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spans="1:26" ht="18.600000000000001" customHeight="1" x14ac:dyDescent="0.35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spans="1:26" ht="18.600000000000001" customHeight="1" x14ac:dyDescent="0.35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spans="1:26" ht="18.600000000000001" customHeight="1" x14ac:dyDescent="0.35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spans="1:26" ht="18.600000000000001" customHeight="1" x14ac:dyDescent="0.35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spans="1:26" ht="18.600000000000001" customHeight="1" x14ac:dyDescent="0.35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spans="1:26" ht="18.600000000000001" customHeight="1" x14ac:dyDescent="0.35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spans="1:26" ht="18.600000000000001" customHeight="1" x14ac:dyDescent="0.35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spans="1:26" ht="18.600000000000001" customHeight="1" x14ac:dyDescent="0.35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spans="1:26" ht="18.600000000000001" customHeight="1" x14ac:dyDescent="0.35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spans="1:26" ht="18.600000000000001" customHeight="1" x14ac:dyDescent="0.35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spans="1:26" ht="18.600000000000001" customHeight="1" x14ac:dyDescent="0.35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spans="1:26" ht="18.600000000000001" customHeight="1" x14ac:dyDescent="0.35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spans="1:26" ht="18.600000000000001" customHeight="1" x14ac:dyDescent="0.35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spans="1:26" ht="18.600000000000001" customHeight="1" x14ac:dyDescent="0.35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spans="1:26" ht="18.600000000000001" customHeight="1" x14ac:dyDescent="0.35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spans="1:26" ht="18.600000000000001" customHeight="1" x14ac:dyDescent="0.35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spans="1:26" ht="18.600000000000001" customHeight="1" x14ac:dyDescent="0.35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spans="1:26" ht="18.600000000000001" customHeight="1" x14ac:dyDescent="0.35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spans="1:26" ht="18.600000000000001" customHeight="1" x14ac:dyDescent="0.35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spans="1:26" ht="18.600000000000001" customHeight="1" x14ac:dyDescent="0.35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spans="1:26" ht="18.600000000000001" customHeight="1" x14ac:dyDescent="0.35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spans="1:26" ht="18.600000000000001" customHeight="1" x14ac:dyDescent="0.35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spans="1:26" ht="18.600000000000001" customHeight="1" x14ac:dyDescent="0.35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spans="1:26" ht="18.600000000000001" customHeight="1" x14ac:dyDescent="0.35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spans="1:26" ht="18.600000000000001" customHeight="1" x14ac:dyDescent="0.35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spans="1:26" ht="18.600000000000001" customHeight="1" x14ac:dyDescent="0.35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spans="1:26" ht="18.600000000000001" customHeight="1" x14ac:dyDescent="0.35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spans="1:26" ht="18.600000000000001" customHeight="1" x14ac:dyDescent="0.35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spans="1:26" ht="18.600000000000001" customHeight="1" x14ac:dyDescent="0.35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spans="1:26" ht="18.600000000000001" customHeight="1" x14ac:dyDescent="0.35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spans="1:26" ht="18.600000000000001" customHeight="1" x14ac:dyDescent="0.35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spans="1:26" ht="18.600000000000001" customHeight="1" x14ac:dyDescent="0.35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spans="1:26" ht="18.600000000000001" customHeight="1" x14ac:dyDescent="0.35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spans="1:26" ht="18.600000000000001" customHeight="1" x14ac:dyDescent="0.35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spans="1:26" ht="18.600000000000001" customHeight="1" x14ac:dyDescent="0.35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spans="1:26" ht="18.600000000000001" customHeight="1" x14ac:dyDescent="0.35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spans="1:26" ht="18.600000000000001" customHeight="1" x14ac:dyDescent="0.35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spans="1:26" ht="18.600000000000001" customHeight="1" x14ac:dyDescent="0.35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spans="1:26" ht="18.600000000000001" customHeight="1" x14ac:dyDescent="0.35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spans="1:26" ht="18.600000000000001" customHeight="1" x14ac:dyDescent="0.35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spans="1:26" ht="18.600000000000001" customHeight="1" x14ac:dyDescent="0.35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spans="1:26" ht="18.600000000000001" customHeight="1" x14ac:dyDescent="0.35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spans="1:26" ht="18.600000000000001" customHeight="1" x14ac:dyDescent="0.35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spans="1:26" ht="18.600000000000001" customHeight="1" x14ac:dyDescent="0.35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spans="1:26" ht="18.600000000000001" customHeight="1" x14ac:dyDescent="0.35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spans="1:26" ht="18.600000000000001" customHeight="1" x14ac:dyDescent="0.35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spans="1:26" ht="18.600000000000001" customHeight="1" x14ac:dyDescent="0.35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spans="1:26" ht="18.600000000000001" customHeight="1" x14ac:dyDescent="0.35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spans="1:26" ht="18.600000000000001" customHeight="1" x14ac:dyDescent="0.35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spans="1:26" ht="18.600000000000001" customHeight="1" x14ac:dyDescent="0.35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spans="1:26" ht="18.600000000000001" customHeight="1" x14ac:dyDescent="0.35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spans="1:26" ht="18.600000000000001" customHeight="1" x14ac:dyDescent="0.35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spans="1:26" ht="18.600000000000001" customHeight="1" x14ac:dyDescent="0.35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spans="1:26" ht="18.600000000000001" customHeight="1" x14ac:dyDescent="0.35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spans="1:26" ht="18.600000000000001" customHeight="1" x14ac:dyDescent="0.35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spans="1:26" ht="18.600000000000001" customHeight="1" x14ac:dyDescent="0.35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spans="1:26" ht="18.600000000000001" customHeight="1" x14ac:dyDescent="0.35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spans="1:26" ht="18.600000000000001" customHeight="1" x14ac:dyDescent="0.35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spans="1:26" ht="18.600000000000001" customHeight="1" x14ac:dyDescent="0.35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spans="1:26" ht="18.600000000000001" customHeight="1" x14ac:dyDescent="0.35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spans="1:26" ht="18.600000000000001" customHeight="1" x14ac:dyDescent="0.35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spans="1:26" ht="18.600000000000001" customHeight="1" x14ac:dyDescent="0.35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spans="1:26" ht="18.600000000000001" customHeight="1" x14ac:dyDescent="0.35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spans="1:26" ht="18.600000000000001" customHeight="1" x14ac:dyDescent="0.35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spans="1:26" ht="18.600000000000001" customHeight="1" x14ac:dyDescent="0.35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spans="1:26" ht="18.600000000000001" customHeight="1" x14ac:dyDescent="0.35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spans="1:26" ht="18.600000000000001" customHeight="1" x14ac:dyDescent="0.35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spans="1:26" ht="18.600000000000001" customHeight="1" x14ac:dyDescent="0.35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spans="1:26" ht="18.600000000000001" customHeight="1" x14ac:dyDescent="0.35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spans="1:26" ht="18.600000000000001" customHeight="1" x14ac:dyDescent="0.35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spans="1:26" ht="18.600000000000001" customHeight="1" x14ac:dyDescent="0.35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spans="1:26" ht="18.600000000000001" customHeight="1" x14ac:dyDescent="0.35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spans="1:26" ht="18.600000000000001" customHeight="1" x14ac:dyDescent="0.35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spans="1:26" ht="18.600000000000001" customHeight="1" x14ac:dyDescent="0.35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spans="1:26" ht="18.600000000000001" customHeight="1" x14ac:dyDescent="0.35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spans="1:26" ht="18.600000000000001" customHeight="1" x14ac:dyDescent="0.35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spans="1:26" ht="18.600000000000001" customHeight="1" x14ac:dyDescent="0.35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spans="1:26" ht="18.600000000000001" customHeight="1" x14ac:dyDescent="0.35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spans="1:26" ht="18.600000000000001" customHeight="1" x14ac:dyDescent="0.35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spans="1:26" ht="18.600000000000001" customHeight="1" x14ac:dyDescent="0.35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spans="1:26" ht="18.600000000000001" customHeight="1" x14ac:dyDescent="0.35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spans="1:26" ht="18.600000000000001" customHeight="1" x14ac:dyDescent="0.35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spans="1:26" ht="18.600000000000001" customHeight="1" x14ac:dyDescent="0.35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spans="1:26" ht="18.600000000000001" customHeight="1" x14ac:dyDescent="0.35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spans="1:26" ht="18.600000000000001" customHeight="1" x14ac:dyDescent="0.35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spans="1:26" ht="18.600000000000001" customHeight="1" x14ac:dyDescent="0.35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spans="1:26" ht="18.600000000000001" customHeight="1" x14ac:dyDescent="0.35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spans="1:26" ht="18.600000000000001" customHeight="1" x14ac:dyDescent="0.35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spans="1:26" ht="18.600000000000001" customHeight="1" x14ac:dyDescent="0.35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spans="1:26" ht="18.600000000000001" customHeight="1" x14ac:dyDescent="0.35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spans="1:26" ht="18.600000000000001" customHeight="1" x14ac:dyDescent="0.35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spans="1:26" ht="18.600000000000001" customHeight="1" x14ac:dyDescent="0.35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spans="1:26" ht="18.600000000000001" customHeight="1" x14ac:dyDescent="0.35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spans="1:26" ht="18.600000000000001" customHeight="1" x14ac:dyDescent="0.35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spans="1:26" ht="18.600000000000001" customHeight="1" x14ac:dyDescent="0.35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spans="1:26" ht="18.600000000000001" customHeight="1" x14ac:dyDescent="0.35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spans="1:26" ht="18.600000000000001" customHeight="1" x14ac:dyDescent="0.35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spans="1:26" ht="18.600000000000001" customHeight="1" x14ac:dyDescent="0.35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spans="1:26" ht="18.600000000000001" customHeight="1" x14ac:dyDescent="0.35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spans="1:26" ht="18.600000000000001" customHeight="1" x14ac:dyDescent="0.35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spans="1:26" ht="18.600000000000001" customHeight="1" x14ac:dyDescent="0.35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spans="1:26" ht="18.600000000000001" customHeight="1" x14ac:dyDescent="0.35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spans="1:26" ht="18.600000000000001" customHeight="1" x14ac:dyDescent="0.35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spans="1:26" ht="18.600000000000001" customHeight="1" x14ac:dyDescent="0.35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spans="1:26" ht="18.600000000000001" customHeight="1" x14ac:dyDescent="0.35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spans="1:26" ht="18.600000000000001" customHeight="1" x14ac:dyDescent="0.35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spans="1:26" ht="18.600000000000001" customHeight="1" x14ac:dyDescent="0.35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spans="1:26" ht="18.600000000000001" customHeight="1" x14ac:dyDescent="0.35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spans="1:26" ht="18.600000000000001" customHeight="1" x14ac:dyDescent="0.35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spans="1:26" ht="18.600000000000001" customHeight="1" x14ac:dyDescent="0.35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spans="1:26" ht="18.600000000000001" customHeight="1" x14ac:dyDescent="0.35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spans="1:26" ht="18.600000000000001" customHeight="1" x14ac:dyDescent="0.35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spans="1:26" ht="18.600000000000001" customHeight="1" x14ac:dyDescent="0.35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spans="1:26" ht="18.600000000000001" customHeight="1" x14ac:dyDescent="0.35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spans="1:26" ht="18.600000000000001" customHeight="1" x14ac:dyDescent="0.35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spans="1:26" ht="18.600000000000001" customHeight="1" x14ac:dyDescent="0.35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spans="1:26" ht="18.600000000000001" customHeight="1" x14ac:dyDescent="0.35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spans="1:26" ht="18.600000000000001" customHeight="1" x14ac:dyDescent="0.35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spans="1:26" ht="18.600000000000001" customHeight="1" x14ac:dyDescent="0.35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spans="1:26" ht="18.600000000000001" customHeight="1" x14ac:dyDescent="0.35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spans="1:26" ht="18.600000000000001" customHeight="1" x14ac:dyDescent="0.35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spans="1:26" ht="18.600000000000001" customHeight="1" x14ac:dyDescent="0.35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spans="1:26" ht="18.600000000000001" customHeight="1" x14ac:dyDescent="0.35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spans="1:26" ht="18.600000000000001" customHeight="1" x14ac:dyDescent="0.35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spans="1:26" ht="18.600000000000001" customHeight="1" x14ac:dyDescent="0.35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spans="1:26" ht="18.600000000000001" customHeight="1" x14ac:dyDescent="0.35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spans="1:26" ht="18.600000000000001" customHeight="1" x14ac:dyDescent="0.35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spans="1:26" ht="18.600000000000001" customHeight="1" x14ac:dyDescent="0.35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spans="1:26" ht="18.600000000000001" customHeight="1" x14ac:dyDescent="0.35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spans="1:26" ht="18.600000000000001" customHeight="1" x14ac:dyDescent="0.35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spans="1:26" ht="18.600000000000001" customHeight="1" x14ac:dyDescent="0.35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spans="1:26" ht="18.600000000000001" customHeight="1" x14ac:dyDescent="0.35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spans="1:26" ht="18.600000000000001" customHeight="1" x14ac:dyDescent="0.35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spans="1:26" ht="18.600000000000001" customHeight="1" x14ac:dyDescent="0.35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spans="1:26" ht="18.600000000000001" customHeight="1" x14ac:dyDescent="0.35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spans="1:26" ht="18.600000000000001" customHeight="1" x14ac:dyDescent="0.35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spans="1:26" ht="18.600000000000001" customHeight="1" x14ac:dyDescent="0.35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spans="1:26" ht="18.600000000000001" customHeight="1" x14ac:dyDescent="0.35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spans="1:26" ht="18.600000000000001" customHeight="1" x14ac:dyDescent="0.35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spans="1:26" ht="18.600000000000001" customHeight="1" x14ac:dyDescent="0.35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spans="1:26" ht="18.600000000000001" customHeight="1" x14ac:dyDescent="0.35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spans="1:26" ht="18.600000000000001" customHeight="1" x14ac:dyDescent="0.35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spans="1:26" ht="18.600000000000001" customHeight="1" x14ac:dyDescent="0.35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spans="1:26" ht="18.600000000000001" customHeight="1" x14ac:dyDescent="0.35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spans="1:26" ht="18.600000000000001" customHeight="1" x14ac:dyDescent="0.35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spans="1:26" ht="18.600000000000001" customHeight="1" x14ac:dyDescent="0.35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spans="1:26" ht="18.600000000000001" customHeight="1" x14ac:dyDescent="0.35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spans="1:26" ht="18.600000000000001" customHeight="1" x14ac:dyDescent="0.35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spans="1:26" ht="18.600000000000001" customHeight="1" x14ac:dyDescent="0.35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spans="1:26" ht="18.600000000000001" customHeight="1" x14ac:dyDescent="0.35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spans="1:26" ht="18.600000000000001" customHeight="1" x14ac:dyDescent="0.35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spans="1:26" ht="18.600000000000001" customHeight="1" x14ac:dyDescent="0.35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spans="1:26" ht="18.600000000000001" customHeight="1" x14ac:dyDescent="0.35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spans="1:26" ht="18.600000000000001" customHeight="1" x14ac:dyDescent="0.35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spans="1:26" ht="18.600000000000001" customHeight="1" x14ac:dyDescent="0.35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spans="1:26" ht="18.600000000000001" customHeight="1" x14ac:dyDescent="0.35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spans="1:26" ht="18.600000000000001" customHeight="1" x14ac:dyDescent="0.35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spans="1:26" ht="18.600000000000001" customHeight="1" x14ac:dyDescent="0.35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spans="1:26" ht="18.600000000000001" customHeight="1" x14ac:dyDescent="0.35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spans="1:26" ht="18.600000000000001" customHeight="1" x14ac:dyDescent="0.35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spans="1:26" ht="18.600000000000001" customHeight="1" x14ac:dyDescent="0.35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spans="1:26" ht="18.600000000000001" customHeight="1" x14ac:dyDescent="0.35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spans="1:26" ht="18.600000000000001" customHeight="1" x14ac:dyDescent="0.35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spans="1:26" ht="18.600000000000001" customHeight="1" x14ac:dyDescent="0.35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spans="1:26" ht="18.600000000000001" customHeight="1" x14ac:dyDescent="0.35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spans="1:26" ht="18.600000000000001" customHeight="1" x14ac:dyDescent="0.35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spans="1:26" ht="18.600000000000001" customHeight="1" x14ac:dyDescent="0.35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spans="1:26" ht="18.600000000000001" customHeight="1" x14ac:dyDescent="0.35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spans="1:26" ht="18.600000000000001" customHeight="1" x14ac:dyDescent="0.35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spans="1:26" ht="18.600000000000001" customHeight="1" x14ac:dyDescent="0.35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spans="1:26" ht="18.600000000000001" customHeight="1" x14ac:dyDescent="0.35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spans="1:26" ht="18.600000000000001" customHeight="1" x14ac:dyDescent="0.35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spans="1:26" ht="18.600000000000001" customHeight="1" x14ac:dyDescent="0.35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spans="1:26" ht="18.600000000000001" customHeight="1" x14ac:dyDescent="0.35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spans="1:26" ht="18.600000000000001" customHeight="1" x14ac:dyDescent="0.35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spans="1:26" ht="18.600000000000001" customHeight="1" x14ac:dyDescent="0.35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spans="1:26" ht="18.600000000000001" customHeight="1" x14ac:dyDescent="0.35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spans="1:26" ht="18.600000000000001" customHeight="1" x14ac:dyDescent="0.35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spans="1:26" ht="18.600000000000001" customHeight="1" x14ac:dyDescent="0.35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spans="1:26" ht="18.600000000000001" customHeight="1" x14ac:dyDescent="0.35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spans="1:26" ht="18.600000000000001" customHeight="1" x14ac:dyDescent="0.35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spans="1:26" ht="18.600000000000001" customHeight="1" x14ac:dyDescent="0.35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spans="1:26" ht="18.600000000000001" customHeight="1" x14ac:dyDescent="0.35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spans="1:26" ht="18.600000000000001" customHeight="1" x14ac:dyDescent="0.35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spans="1:26" ht="18.600000000000001" customHeight="1" x14ac:dyDescent="0.35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spans="1:26" ht="18.600000000000001" customHeight="1" x14ac:dyDescent="0.35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spans="1:26" ht="18.600000000000001" customHeight="1" x14ac:dyDescent="0.35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spans="1:26" ht="18.600000000000001" customHeight="1" x14ac:dyDescent="0.35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spans="1:26" ht="18.600000000000001" customHeight="1" x14ac:dyDescent="0.35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spans="1:26" ht="18.600000000000001" customHeight="1" x14ac:dyDescent="0.35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spans="1:26" ht="18.600000000000001" customHeight="1" x14ac:dyDescent="0.35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spans="1:26" ht="18.600000000000001" customHeight="1" x14ac:dyDescent="0.35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spans="1:26" ht="18.600000000000001" customHeight="1" x14ac:dyDescent="0.35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spans="1:26" ht="18.600000000000001" customHeight="1" x14ac:dyDescent="0.35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spans="1:26" ht="18.600000000000001" customHeight="1" x14ac:dyDescent="0.35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spans="1:26" ht="18.600000000000001" customHeight="1" x14ac:dyDescent="0.35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spans="1:26" ht="18.600000000000001" customHeight="1" x14ac:dyDescent="0.35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spans="1:26" ht="18.600000000000001" customHeight="1" x14ac:dyDescent="0.35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spans="1:26" ht="18.600000000000001" customHeight="1" x14ac:dyDescent="0.35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spans="1:26" ht="18.600000000000001" customHeight="1" x14ac:dyDescent="0.35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spans="1:26" ht="18.600000000000001" customHeight="1" x14ac:dyDescent="0.35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spans="1:26" ht="18.600000000000001" customHeight="1" x14ac:dyDescent="0.35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spans="1:26" ht="18.600000000000001" customHeight="1" x14ac:dyDescent="0.35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spans="1:26" ht="18.600000000000001" customHeight="1" x14ac:dyDescent="0.35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spans="1:26" ht="18.600000000000001" customHeight="1" x14ac:dyDescent="0.35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spans="1:26" ht="18.600000000000001" customHeight="1" x14ac:dyDescent="0.35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spans="1:26" ht="18.600000000000001" customHeight="1" x14ac:dyDescent="0.35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spans="1:26" ht="18.600000000000001" customHeight="1" x14ac:dyDescent="0.35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spans="1:26" ht="18.600000000000001" customHeight="1" x14ac:dyDescent="0.35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spans="1:26" ht="18.600000000000001" customHeight="1" x14ac:dyDescent="0.35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spans="1:26" ht="18.600000000000001" customHeight="1" x14ac:dyDescent="0.35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spans="1:26" ht="18.600000000000001" customHeight="1" x14ac:dyDescent="0.35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spans="1:26" ht="18.600000000000001" customHeight="1" x14ac:dyDescent="0.35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spans="1:26" ht="18.600000000000001" customHeight="1" x14ac:dyDescent="0.35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spans="1:26" ht="18.600000000000001" customHeight="1" x14ac:dyDescent="0.35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spans="1:26" ht="18.600000000000001" customHeight="1" x14ac:dyDescent="0.35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spans="1:26" ht="18.600000000000001" customHeight="1" x14ac:dyDescent="0.35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spans="1:26" ht="18.600000000000001" customHeight="1" x14ac:dyDescent="0.35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spans="1:26" ht="18.600000000000001" customHeight="1" x14ac:dyDescent="0.35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spans="1:26" ht="18.600000000000001" customHeight="1" x14ac:dyDescent="0.35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spans="1:26" ht="18.600000000000001" customHeight="1" x14ac:dyDescent="0.35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spans="1:26" ht="18.600000000000001" customHeight="1" x14ac:dyDescent="0.35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spans="1:26" ht="18.600000000000001" customHeight="1" x14ac:dyDescent="0.35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spans="1:26" ht="18.600000000000001" customHeight="1" x14ac:dyDescent="0.35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spans="1:26" ht="18.600000000000001" customHeight="1" x14ac:dyDescent="0.35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spans="1:26" ht="18.600000000000001" customHeight="1" x14ac:dyDescent="0.35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spans="1:26" ht="18.600000000000001" customHeight="1" x14ac:dyDescent="0.35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spans="1:26" ht="18.600000000000001" customHeight="1" x14ac:dyDescent="0.35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spans="1:26" ht="18.600000000000001" customHeight="1" x14ac:dyDescent="0.35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spans="1:26" ht="18.600000000000001" customHeight="1" x14ac:dyDescent="0.35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spans="1:26" ht="18.600000000000001" customHeight="1" x14ac:dyDescent="0.35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spans="1:26" ht="18.600000000000001" customHeight="1" x14ac:dyDescent="0.35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spans="1:26" ht="18.600000000000001" customHeight="1" x14ac:dyDescent="0.35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spans="1:26" ht="18.600000000000001" customHeight="1" x14ac:dyDescent="0.35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spans="1:26" ht="18.600000000000001" customHeight="1" x14ac:dyDescent="0.35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spans="1:26" ht="18.600000000000001" customHeight="1" x14ac:dyDescent="0.35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spans="1:26" ht="18.600000000000001" customHeight="1" x14ac:dyDescent="0.35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spans="1:26" ht="18.600000000000001" customHeight="1" x14ac:dyDescent="0.35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spans="1:26" ht="18.600000000000001" customHeight="1" x14ac:dyDescent="0.35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spans="1:26" ht="18.600000000000001" customHeight="1" x14ac:dyDescent="0.35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spans="1:26" ht="18.600000000000001" customHeight="1" x14ac:dyDescent="0.35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spans="1:26" ht="18.600000000000001" customHeight="1" x14ac:dyDescent="0.35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spans="1:26" ht="18.600000000000001" customHeight="1" x14ac:dyDescent="0.35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spans="1:26" ht="18.600000000000001" customHeight="1" x14ac:dyDescent="0.35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spans="1:26" ht="18.600000000000001" customHeight="1" x14ac:dyDescent="0.35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spans="1:26" ht="18.600000000000001" customHeight="1" x14ac:dyDescent="0.35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spans="1:26" ht="18.600000000000001" customHeight="1" x14ac:dyDescent="0.35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spans="1:26" ht="18.600000000000001" customHeight="1" x14ac:dyDescent="0.35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spans="1:26" ht="18.600000000000001" customHeight="1" x14ac:dyDescent="0.35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spans="1:26" ht="18.600000000000001" customHeight="1" x14ac:dyDescent="0.35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spans="1:26" ht="18.600000000000001" customHeight="1" x14ac:dyDescent="0.35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spans="1:26" ht="18.600000000000001" customHeight="1" x14ac:dyDescent="0.35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spans="1:26" ht="18.600000000000001" customHeight="1" x14ac:dyDescent="0.35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spans="1:26" ht="18.600000000000001" customHeight="1" x14ac:dyDescent="0.35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spans="1:26" ht="18.600000000000001" customHeight="1" x14ac:dyDescent="0.35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spans="1:26" ht="18.600000000000001" customHeight="1" x14ac:dyDescent="0.35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spans="1:26" ht="18.600000000000001" customHeight="1" x14ac:dyDescent="0.35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spans="1:26" ht="18.600000000000001" customHeight="1" x14ac:dyDescent="0.35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spans="1:26" ht="18.600000000000001" customHeight="1" x14ac:dyDescent="0.35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spans="1:26" ht="18.600000000000001" customHeight="1" x14ac:dyDescent="0.35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spans="1:26" ht="18.600000000000001" customHeight="1" x14ac:dyDescent="0.35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spans="1:26" ht="18.600000000000001" customHeight="1" x14ac:dyDescent="0.35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spans="1:26" ht="18.600000000000001" customHeight="1" x14ac:dyDescent="0.35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spans="1:26" ht="18.600000000000001" customHeight="1" x14ac:dyDescent="0.35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spans="1:26" ht="18.600000000000001" customHeight="1" x14ac:dyDescent="0.35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spans="1:26" ht="18.600000000000001" customHeight="1" x14ac:dyDescent="0.35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spans="1:26" ht="18.600000000000001" customHeight="1" x14ac:dyDescent="0.35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spans="1:26" ht="18.600000000000001" customHeight="1" x14ac:dyDescent="0.35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spans="1:26" ht="18.600000000000001" customHeight="1" x14ac:dyDescent="0.35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spans="1:26" ht="18.600000000000001" customHeight="1" x14ac:dyDescent="0.35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spans="1:26" ht="18.600000000000001" customHeight="1" x14ac:dyDescent="0.35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spans="1:26" ht="18.600000000000001" customHeight="1" x14ac:dyDescent="0.35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spans="1:26" ht="18.600000000000001" customHeight="1" x14ac:dyDescent="0.35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spans="1:26" ht="18.600000000000001" customHeight="1" x14ac:dyDescent="0.35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spans="1:26" ht="18.600000000000001" customHeight="1" x14ac:dyDescent="0.35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spans="1:26" ht="18.600000000000001" customHeight="1" x14ac:dyDescent="0.35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spans="1:26" ht="18.600000000000001" customHeight="1" x14ac:dyDescent="0.35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spans="1:26" ht="18.600000000000001" customHeight="1" x14ac:dyDescent="0.35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spans="1:26" ht="18.600000000000001" customHeight="1" x14ac:dyDescent="0.35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spans="1:26" ht="18.600000000000001" customHeight="1" x14ac:dyDescent="0.35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spans="1:26" ht="18.600000000000001" customHeight="1" x14ac:dyDescent="0.35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spans="1:26" ht="18.600000000000001" customHeight="1" x14ac:dyDescent="0.35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spans="1:26" ht="18.600000000000001" customHeight="1" x14ac:dyDescent="0.35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spans="1:26" ht="18.600000000000001" customHeight="1" x14ac:dyDescent="0.35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spans="1:26" ht="18.600000000000001" customHeight="1" x14ac:dyDescent="0.35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spans="1:26" ht="18.600000000000001" customHeight="1" x14ac:dyDescent="0.35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spans="1:26" ht="18.600000000000001" customHeight="1" x14ac:dyDescent="0.35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spans="1:26" ht="18.600000000000001" customHeight="1" x14ac:dyDescent="0.35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spans="1:26" ht="18.600000000000001" customHeight="1" x14ac:dyDescent="0.35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spans="1:26" ht="18.600000000000001" customHeight="1" x14ac:dyDescent="0.35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spans="1:26" ht="18.600000000000001" customHeight="1" x14ac:dyDescent="0.35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spans="1:26" ht="18.600000000000001" customHeight="1" x14ac:dyDescent="0.35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spans="1:26" ht="18.600000000000001" customHeight="1" x14ac:dyDescent="0.35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spans="1:26" ht="18.600000000000001" customHeight="1" x14ac:dyDescent="0.35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spans="1:26" ht="18.600000000000001" customHeight="1" x14ac:dyDescent="0.35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spans="1:26" ht="18.600000000000001" customHeight="1" x14ac:dyDescent="0.35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spans="1:26" ht="18.600000000000001" customHeight="1" x14ac:dyDescent="0.35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spans="1:26" ht="18.600000000000001" customHeight="1" x14ac:dyDescent="0.35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spans="1:26" ht="18.600000000000001" customHeight="1" x14ac:dyDescent="0.35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spans="1:26" ht="18.600000000000001" customHeight="1" x14ac:dyDescent="0.35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spans="1:26" ht="18.600000000000001" customHeight="1" x14ac:dyDescent="0.35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spans="1:26" ht="18.600000000000001" customHeight="1" x14ac:dyDescent="0.35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spans="1:26" ht="18.600000000000001" customHeight="1" x14ac:dyDescent="0.35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spans="1:26" ht="18.600000000000001" customHeight="1" x14ac:dyDescent="0.35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spans="1:26" ht="18.600000000000001" customHeight="1" x14ac:dyDescent="0.35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spans="1:26" ht="18.600000000000001" customHeight="1" x14ac:dyDescent="0.35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spans="1:26" ht="18.600000000000001" customHeight="1" x14ac:dyDescent="0.35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spans="1:26" ht="18.600000000000001" customHeight="1" x14ac:dyDescent="0.35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spans="1:26" ht="18.600000000000001" customHeight="1" x14ac:dyDescent="0.35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spans="1:26" ht="18.600000000000001" customHeight="1" x14ac:dyDescent="0.35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spans="1:26" ht="18.600000000000001" customHeight="1" x14ac:dyDescent="0.35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spans="1:26" ht="18.600000000000001" customHeight="1" x14ac:dyDescent="0.35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spans="1:26" ht="18.600000000000001" customHeight="1" x14ac:dyDescent="0.35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spans="1:26" ht="18.600000000000001" customHeight="1" x14ac:dyDescent="0.35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spans="1:26" ht="18.600000000000001" customHeight="1" x14ac:dyDescent="0.35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spans="1:26" ht="18.600000000000001" customHeight="1" x14ac:dyDescent="0.35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spans="1:26" ht="18.600000000000001" customHeight="1" x14ac:dyDescent="0.35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spans="1:26" ht="18.600000000000001" customHeight="1" x14ac:dyDescent="0.35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spans="1:26" ht="18.600000000000001" customHeight="1" x14ac:dyDescent="0.35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spans="1:26" ht="18.600000000000001" customHeight="1" x14ac:dyDescent="0.35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spans="1:26" ht="18.600000000000001" customHeight="1" x14ac:dyDescent="0.35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spans="1:26" ht="18.600000000000001" customHeight="1" x14ac:dyDescent="0.35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spans="1:26" ht="18.600000000000001" customHeight="1" x14ac:dyDescent="0.35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spans="1:26" ht="18.600000000000001" customHeight="1" x14ac:dyDescent="0.35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spans="1:26" ht="18.600000000000001" customHeight="1" x14ac:dyDescent="0.35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spans="1:26" ht="18.600000000000001" customHeight="1" x14ac:dyDescent="0.35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spans="1:26" ht="18.600000000000001" customHeight="1" x14ac:dyDescent="0.35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spans="1:26" ht="18.600000000000001" customHeight="1" x14ac:dyDescent="0.35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spans="1:26" ht="18.600000000000001" customHeight="1" x14ac:dyDescent="0.35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spans="1:26" ht="18.600000000000001" customHeight="1" x14ac:dyDescent="0.35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spans="1:26" ht="18.600000000000001" customHeight="1" x14ac:dyDescent="0.35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spans="1:26" ht="18.600000000000001" customHeight="1" x14ac:dyDescent="0.35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spans="1:26" ht="18.600000000000001" customHeight="1" x14ac:dyDescent="0.35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spans="1:26" ht="18.600000000000001" customHeight="1" x14ac:dyDescent="0.35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spans="1:26" ht="18.600000000000001" customHeight="1" x14ac:dyDescent="0.35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spans="1:26" ht="18.600000000000001" customHeight="1" x14ac:dyDescent="0.35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spans="1:26" ht="18.600000000000001" customHeight="1" x14ac:dyDescent="0.35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spans="1:26" ht="18.600000000000001" customHeight="1" x14ac:dyDescent="0.35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spans="1:26" ht="18.600000000000001" customHeight="1" x14ac:dyDescent="0.35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spans="1:26" ht="18.600000000000001" customHeight="1" x14ac:dyDescent="0.35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spans="1:26" ht="18.600000000000001" customHeight="1" x14ac:dyDescent="0.35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spans="1:26" ht="18.600000000000001" customHeight="1" x14ac:dyDescent="0.35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spans="1:26" ht="18.600000000000001" customHeight="1" x14ac:dyDescent="0.35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spans="1:26" ht="18.600000000000001" customHeight="1" x14ac:dyDescent="0.35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spans="1:26" ht="18.600000000000001" customHeight="1" x14ac:dyDescent="0.35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spans="1:26" ht="18.600000000000001" customHeight="1" x14ac:dyDescent="0.35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spans="1:26" ht="18.600000000000001" customHeight="1" x14ac:dyDescent="0.35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spans="1:26" ht="18.600000000000001" customHeight="1" x14ac:dyDescent="0.35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spans="1:26" ht="18.600000000000001" customHeight="1" x14ac:dyDescent="0.35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spans="1:26" ht="18.600000000000001" customHeight="1" x14ac:dyDescent="0.35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spans="1:26" ht="18.600000000000001" customHeight="1" x14ac:dyDescent="0.35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spans="1:26" ht="18.600000000000001" customHeight="1" x14ac:dyDescent="0.35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spans="1:26" ht="18.600000000000001" customHeight="1" x14ac:dyDescent="0.35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spans="1:26" ht="18.600000000000001" customHeight="1" x14ac:dyDescent="0.35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spans="1:26" ht="18.600000000000001" customHeight="1" x14ac:dyDescent="0.35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spans="1:26" ht="18.600000000000001" customHeight="1" x14ac:dyDescent="0.35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spans="1:26" ht="18.600000000000001" customHeight="1" x14ac:dyDescent="0.35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spans="1:26" ht="18.600000000000001" customHeight="1" x14ac:dyDescent="0.35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spans="1:26" ht="18.600000000000001" customHeight="1" x14ac:dyDescent="0.35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spans="1:26" ht="18.600000000000001" customHeight="1" x14ac:dyDescent="0.35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spans="1:26" ht="18.600000000000001" customHeight="1" x14ac:dyDescent="0.35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spans="1:26" ht="18.600000000000001" customHeight="1" x14ac:dyDescent="0.35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spans="1:26" ht="18.600000000000001" customHeight="1" x14ac:dyDescent="0.35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spans="1:26" ht="18.600000000000001" customHeight="1" x14ac:dyDescent="0.35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spans="1:26" ht="18.600000000000001" customHeight="1" x14ac:dyDescent="0.35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spans="1:26" ht="18.600000000000001" customHeight="1" x14ac:dyDescent="0.35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spans="1:26" ht="18.600000000000001" customHeight="1" x14ac:dyDescent="0.35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spans="1:26" ht="18.600000000000001" customHeight="1" x14ac:dyDescent="0.35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spans="1:26" ht="18.600000000000001" customHeight="1" x14ac:dyDescent="0.35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spans="1:26" ht="18.600000000000001" customHeight="1" x14ac:dyDescent="0.35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spans="1:26" ht="18.600000000000001" customHeight="1" x14ac:dyDescent="0.35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spans="1:26" ht="18.600000000000001" customHeight="1" x14ac:dyDescent="0.35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spans="1:26" ht="18.600000000000001" customHeight="1" x14ac:dyDescent="0.35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spans="1:26" ht="18.600000000000001" customHeight="1" x14ac:dyDescent="0.35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spans="1:26" ht="18.600000000000001" customHeight="1" x14ac:dyDescent="0.35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spans="1:26" ht="18.600000000000001" customHeight="1" x14ac:dyDescent="0.35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spans="1:26" ht="18.600000000000001" customHeight="1" x14ac:dyDescent="0.35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spans="1:26" ht="18.600000000000001" customHeight="1" x14ac:dyDescent="0.35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spans="1:26" ht="18.600000000000001" customHeight="1" x14ac:dyDescent="0.35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spans="1:26" ht="18.600000000000001" customHeight="1" x14ac:dyDescent="0.35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spans="1:26" ht="18.600000000000001" customHeight="1" x14ac:dyDescent="0.35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spans="1:26" ht="18.600000000000001" customHeight="1" x14ac:dyDescent="0.35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spans="1:26" ht="18.600000000000001" customHeight="1" x14ac:dyDescent="0.35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spans="1:26" ht="18.600000000000001" customHeight="1" x14ac:dyDescent="0.35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spans="1:26" ht="18.600000000000001" customHeight="1" x14ac:dyDescent="0.35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spans="1:26" ht="18.600000000000001" customHeight="1" x14ac:dyDescent="0.35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spans="1:26" ht="18.600000000000001" customHeight="1" x14ac:dyDescent="0.35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spans="1:26" ht="18.600000000000001" customHeight="1" x14ac:dyDescent="0.35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spans="1:26" ht="18.600000000000001" customHeight="1" x14ac:dyDescent="0.35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spans="1:26" ht="18.600000000000001" customHeight="1" x14ac:dyDescent="0.35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spans="1:26" ht="18.600000000000001" customHeight="1" x14ac:dyDescent="0.35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spans="1:26" ht="18.600000000000001" customHeight="1" x14ac:dyDescent="0.35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spans="1:26" ht="18.600000000000001" customHeight="1" x14ac:dyDescent="0.35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spans="1:26" ht="18.600000000000001" customHeight="1" x14ac:dyDescent="0.35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spans="1:26" ht="18.600000000000001" customHeight="1" x14ac:dyDescent="0.35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spans="1:26" ht="18.600000000000001" customHeight="1" x14ac:dyDescent="0.35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spans="1:26" ht="18.600000000000001" customHeight="1" x14ac:dyDescent="0.35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spans="1:26" ht="18.600000000000001" customHeight="1" x14ac:dyDescent="0.35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spans="1:26" ht="18.600000000000001" customHeight="1" x14ac:dyDescent="0.35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spans="1:26" ht="18.600000000000001" customHeight="1" x14ac:dyDescent="0.35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spans="1:26" ht="18.600000000000001" customHeight="1" x14ac:dyDescent="0.35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spans="1:26" ht="18.600000000000001" customHeight="1" x14ac:dyDescent="0.35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spans="1:26" ht="18.600000000000001" customHeight="1" x14ac:dyDescent="0.35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spans="1:26" ht="18.600000000000001" customHeight="1" x14ac:dyDescent="0.35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spans="1:26" ht="18.600000000000001" customHeight="1" x14ac:dyDescent="0.35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spans="1:26" ht="18.600000000000001" customHeight="1" x14ac:dyDescent="0.35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spans="1:26" ht="18.600000000000001" customHeight="1" x14ac:dyDescent="0.35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spans="1:26" ht="18.600000000000001" customHeight="1" x14ac:dyDescent="0.35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spans="1:26" ht="18.600000000000001" customHeight="1" x14ac:dyDescent="0.35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spans="1:26" ht="18.600000000000001" customHeight="1" x14ac:dyDescent="0.35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spans="1:26" ht="18.600000000000001" customHeight="1" x14ac:dyDescent="0.35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spans="1:26" ht="18.600000000000001" customHeight="1" x14ac:dyDescent="0.35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spans="1:26" ht="18.600000000000001" customHeight="1" x14ac:dyDescent="0.35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spans="1:26" ht="18.600000000000001" customHeight="1" x14ac:dyDescent="0.35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spans="1:26" ht="18.600000000000001" customHeight="1" x14ac:dyDescent="0.35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spans="1:26" ht="18.600000000000001" customHeight="1" x14ac:dyDescent="0.35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spans="1:26" ht="18.600000000000001" customHeight="1" x14ac:dyDescent="0.35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spans="1:26" ht="18.600000000000001" customHeight="1" x14ac:dyDescent="0.35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spans="1:26" ht="18.600000000000001" customHeight="1" x14ac:dyDescent="0.35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spans="1:26" ht="18.600000000000001" customHeight="1" x14ac:dyDescent="0.35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spans="1:26" ht="18.600000000000001" customHeight="1" x14ac:dyDescent="0.35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spans="1:26" ht="18.600000000000001" customHeight="1" x14ac:dyDescent="0.35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spans="1:26" ht="18.600000000000001" customHeight="1" x14ac:dyDescent="0.35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spans="1:26" ht="18.600000000000001" customHeight="1" x14ac:dyDescent="0.35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spans="1:26" ht="18.600000000000001" customHeight="1" x14ac:dyDescent="0.35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spans="1:26" ht="18.600000000000001" customHeight="1" x14ac:dyDescent="0.35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spans="1:26" ht="18.600000000000001" customHeight="1" x14ac:dyDescent="0.35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spans="1:26" ht="18.600000000000001" customHeight="1" x14ac:dyDescent="0.35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spans="1:26" ht="18.600000000000001" customHeight="1" x14ac:dyDescent="0.35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spans="1:26" ht="18.600000000000001" customHeight="1" x14ac:dyDescent="0.35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spans="1:26" ht="18.600000000000001" customHeight="1" x14ac:dyDescent="0.35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spans="1:26" ht="18.600000000000001" customHeight="1" x14ac:dyDescent="0.35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spans="1:26" ht="18.600000000000001" customHeight="1" x14ac:dyDescent="0.35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spans="1:26" ht="18.600000000000001" customHeight="1" x14ac:dyDescent="0.35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spans="1:26" ht="18.600000000000001" customHeight="1" x14ac:dyDescent="0.35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spans="1:26" ht="18.600000000000001" customHeight="1" x14ac:dyDescent="0.35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spans="1:26" ht="18.600000000000001" customHeight="1" x14ac:dyDescent="0.35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spans="1:26" ht="18.600000000000001" customHeight="1" x14ac:dyDescent="0.35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spans="1:26" ht="18.600000000000001" customHeight="1" x14ac:dyDescent="0.35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spans="1:26" ht="18.600000000000001" customHeight="1" x14ac:dyDescent="0.35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spans="1:26" ht="18.600000000000001" customHeight="1" x14ac:dyDescent="0.35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spans="1:26" ht="18.600000000000001" customHeight="1" x14ac:dyDescent="0.35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spans="1:26" ht="18.600000000000001" customHeight="1" x14ac:dyDescent="0.35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spans="1:26" ht="18.600000000000001" customHeight="1" x14ac:dyDescent="0.35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spans="1:26" ht="18.600000000000001" customHeight="1" x14ac:dyDescent="0.35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spans="1:26" ht="18.600000000000001" customHeight="1" x14ac:dyDescent="0.35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spans="1:26" ht="18.600000000000001" customHeight="1" x14ac:dyDescent="0.35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spans="1:26" ht="18.600000000000001" customHeight="1" x14ac:dyDescent="0.35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spans="1:26" ht="18.600000000000001" customHeight="1" x14ac:dyDescent="0.35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spans="1:26" ht="18.600000000000001" customHeight="1" x14ac:dyDescent="0.35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spans="1:26" ht="18.600000000000001" customHeight="1" x14ac:dyDescent="0.35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spans="1:26" ht="18.600000000000001" customHeight="1" x14ac:dyDescent="0.35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spans="1:26" ht="18.600000000000001" customHeight="1" x14ac:dyDescent="0.35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spans="1:26" ht="18.600000000000001" customHeight="1" x14ac:dyDescent="0.35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spans="1:26" ht="18.600000000000001" customHeight="1" x14ac:dyDescent="0.35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spans="1:26" ht="18.600000000000001" customHeight="1" x14ac:dyDescent="0.35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spans="1:26" ht="18.600000000000001" customHeight="1" x14ac:dyDescent="0.35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spans="1:26" ht="18.600000000000001" customHeight="1" x14ac:dyDescent="0.35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spans="1:26" ht="18.600000000000001" customHeight="1" x14ac:dyDescent="0.35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spans="1:26" ht="18.600000000000001" customHeight="1" x14ac:dyDescent="0.35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spans="1:26" ht="18.600000000000001" customHeight="1" x14ac:dyDescent="0.35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spans="1:26" ht="18.600000000000001" customHeight="1" x14ac:dyDescent="0.35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spans="1:26" ht="18.600000000000001" customHeight="1" x14ac:dyDescent="0.35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spans="1:26" ht="18.600000000000001" customHeight="1" x14ac:dyDescent="0.35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spans="1:26" ht="18.600000000000001" customHeight="1" x14ac:dyDescent="0.35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spans="1:26" ht="18.600000000000001" customHeight="1" x14ac:dyDescent="0.35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spans="1:26" ht="18.600000000000001" customHeight="1" x14ac:dyDescent="0.35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spans="1:26" ht="18.600000000000001" customHeight="1" x14ac:dyDescent="0.35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spans="1:26" ht="18.600000000000001" customHeight="1" x14ac:dyDescent="0.35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spans="1:26" ht="18.600000000000001" customHeight="1" x14ac:dyDescent="0.35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spans="1:26" ht="18.600000000000001" customHeight="1" x14ac:dyDescent="0.35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spans="1:26" ht="18.600000000000001" customHeight="1" x14ac:dyDescent="0.35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spans="1:26" ht="18.600000000000001" customHeight="1" x14ac:dyDescent="0.35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spans="1:26" ht="18.600000000000001" customHeight="1" x14ac:dyDescent="0.35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spans="1:26" ht="18.600000000000001" customHeight="1" x14ac:dyDescent="0.35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spans="1:26" ht="18.600000000000001" customHeight="1" x14ac:dyDescent="0.35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spans="1:26" ht="18.600000000000001" customHeight="1" x14ac:dyDescent="0.35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spans="1:26" ht="18.600000000000001" customHeight="1" x14ac:dyDescent="0.35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spans="1:26" ht="18.600000000000001" customHeight="1" x14ac:dyDescent="0.35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spans="1:26" ht="18.600000000000001" customHeight="1" x14ac:dyDescent="0.35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spans="1:26" ht="18.600000000000001" customHeight="1" x14ac:dyDescent="0.35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spans="1:26" ht="18.600000000000001" customHeight="1" x14ac:dyDescent="0.35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spans="1:26" ht="18.600000000000001" customHeight="1" x14ac:dyDescent="0.35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spans="1:26" ht="18.600000000000001" customHeight="1" x14ac:dyDescent="0.35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spans="1:26" ht="18.600000000000001" customHeight="1" x14ac:dyDescent="0.35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spans="1:26" ht="18.600000000000001" customHeight="1" x14ac:dyDescent="0.35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spans="1:26" ht="18.600000000000001" customHeight="1" x14ac:dyDescent="0.35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spans="1:26" ht="18.600000000000001" customHeight="1" x14ac:dyDescent="0.35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spans="1:26" ht="18.600000000000001" customHeight="1" x14ac:dyDescent="0.35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spans="1:26" ht="18.600000000000001" customHeight="1" x14ac:dyDescent="0.35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spans="1:26" ht="18.600000000000001" customHeight="1" x14ac:dyDescent="0.35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spans="1:26" ht="18.600000000000001" customHeight="1" x14ac:dyDescent="0.35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spans="1:26" ht="18.600000000000001" customHeight="1" x14ac:dyDescent="0.35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spans="1:26" ht="18.600000000000001" customHeight="1" x14ac:dyDescent="0.35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spans="1:26" ht="18.600000000000001" customHeight="1" x14ac:dyDescent="0.35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spans="1:26" ht="18.600000000000001" customHeight="1" x14ac:dyDescent="0.35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spans="1:26" ht="18.600000000000001" customHeight="1" x14ac:dyDescent="0.35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spans="1:26" ht="18.600000000000001" customHeight="1" x14ac:dyDescent="0.35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spans="1:26" ht="18.600000000000001" customHeight="1" x14ac:dyDescent="0.35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spans="1:26" ht="18.600000000000001" customHeight="1" x14ac:dyDescent="0.35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spans="1:26" ht="18.600000000000001" customHeight="1" x14ac:dyDescent="0.35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spans="1:26" ht="18.600000000000001" customHeight="1" x14ac:dyDescent="0.35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spans="1:26" ht="18.600000000000001" customHeight="1" x14ac:dyDescent="0.35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spans="1:26" ht="18.600000000000001" customHeight="1" x14ac:dyDescent="0.35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spans="1:26" ht="18.600000000000001" customHeight="1" x14ac:dyDescent="0.35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spans="1:26" ht="18.600000000000001" customHeight="1" x14ac:dyDescent="0.35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spans="1:26" ht="18.600000000000001" customHeight="1" x14ac:dyDescent="0.35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spans="1:26" ht="18.600000000000001" customHeight="1" x14ac:dyDescent="0.35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spans="1:26" ht="18.600000000000001" customHeight="1" x14ac:dyDescent="0.35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spans="1:26" ht="18.600000000000001" customHeight="1" x14ac:dyDescent="0.35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spans="1:26" ht="18.600000000000001" customHeight="1" x14ac:dyDescent="0.35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spans="1:26" ht="18.600000000000001" customHeight="1" x14ac:dyDescent="0.35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spans="1:26" ht="18.600000000000001" customHeight="1" x14ac:dyDescent="0.35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spans="1:26" ht="18.600000000000001" customHeight="1" x14ac:dyDescent="0.35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spans="1:26" ht="18.600000000000001" customHeight="1" x14ac:dyDescent="0.35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spans="1:26" ht="18.600000000000001" customHeight="1" x14ac:dyDescent="0.35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spans="1:26" ht="18.600000000000001" customHeight="1" x14ac:dyDescent="0.35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spans="1:26" ht="18.600000000000001" customHeight="1" x14ac:dyDescent="0.35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spans="1:26" ht="18.600000000000001" customHeight="1" x14ac:dyDescent="0.35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spans="1:26" ht="18.600000000000001" customHeight="1" x14ac:dyDescent="0.35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spans="1:26" ht="18.600000000000001" customHeight="1" x14ac:dyDescent="0.35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spans="1:26" ht="18.600000000000001" customHeight="1" x14ac:dyDescent="0.35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spans="1:26" ht="18.600000000000001" customHeight="1" x14ac:dyDescent="0.35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spans="1:26" ht="18.600000000000001" customHeight="1" x14ac:dyDescent="0.35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spans="1:26" ht="18.600000000000001" customHeight="1" x14ac:dyDescent="0.35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spans="1:26" ht="18.600000000000001" customHeight="1" x14ac:dyDescent="0.35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spans="1:26" ht="18.600000000000001" customHeight="1" x14ac:dyDescent="0.35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spans="1:26" ht="18.600000000000001" customHeight="1" x14ac:dyDescent="0.35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spans="1:26" ht="18.600000000000001" customHeight="1" x14ac:dyDescent="0.35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spans="1:26" ht="18.600000000000001" customHeight="1" x14ac:dyDescent="0.35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spans="1:26" ht="18.600000000000001" customHeight="1" x14ac:dyDescent="0.35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spans="1:26" ht="18.600000000000001" customHeight="1" x14ac:dyDescent="0.35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spans="1:26" ht="18.600000000000001" customHeight="1" x14ac:dyDescent="0.35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spans="1:26" ht="18.600000000000001" customHeight="1" x14ac:dyDescent="0.35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spans="1:26" ht="18.600000000000001" customHeight="1" x14ac:dyDescent="0.35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spans="1:26" ht="18.600000000000001" customHeight="1" x14ac:dyDescent="0.35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spans="1:26" ht="18.600000000000001" customHeight="1" x14ac:dyDescent="0.35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spans="1:26" ht="18.600000000000001" customHeight="1" x14ac:dyDescent="0.35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spans="1:26" ht="18.600000000000001" customHeight="1" x14ac:dyDescent="0.35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spans="1:26" ht="18.600000000000001" customHeight="1" x14ac:dyDescent="0.35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spans="1:26" ht="18.600000000000001" customHeight="1" x14ac:dyDescent="0.35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spans="1:26" ht="18.600000000000001" customHeight="1" x14ac:dyDescent="0.35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spans="1:26" ht="18.600000000000001" customHeight="1" x14ac:dyDescent="0.35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spans="1:26" ht="18.600000000000001" customHeight="1" x14ac:dyDescent="0.35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spans="1:26" ht="18.600000000000001" customHeight="1" x14ac:dyDescent="0.35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spans="1:26" ht="18.600000000000001" customHeight="1" x14ac:dyDescent="0.35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spans="1:26" ht="18.600000000000001" customHeight="1" x14ac:dyDescent="0.35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spans="1:26" ht="18.600000000000001" customHeight="1" x14ac:dyDescent="0.35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spans="1:26" ht="18.600000000000001" customHeight="1" x14ac:dyDescent="0.35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spans="1:26" ht="18.600000000000001" customHeight="1" x14ac:dyDescent="0.35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spans="1:26" ht="18.600000000000001" customHeight="1" x14ac:dyDescent="0.35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spans="1:26" ht="18.600000000000001" customHeight="1" x14ac:dyDescent="0.35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spans="1:26" ht="18.600000000000001" customHeight="1" x14ac:dyDescent="0.35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spans="1:26" ht="18.600000000000001" customHeight="1" x14ac:dyDescent="0.35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spans="1:26" ht="18.600000000000001" customHeight="1" x14ac:dyDescent="0.35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spans="1:26" ht="18.600000000000001" customHeight="1" x14ac:dyDescent="0.35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spans="1:26" ht="18.600000000000001" customHeight="1" x14ac:dyDescent="0.35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spans="1:26" ht="18.600000000000001" customHeight="1" x14ac:dyDescent="0.35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spans="1:26" ht="18.600000000000001" customHeight="1" x14ac:dyDescent="0.35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spans="1:26" ht="18.600000000000001" customHeight="1" x14ac:dyDescent="0.35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spans="1:26" ht="18.600000000000001" customHeight="1" x14ac:dyDescent="0.35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spans="1:26" ht="18.600000000000001" customHeight="1" x14ac:dyDescent="0.35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spans="1:26" ht="18.600000000000001" customHeight="1" x14ac:dyDescent="0.35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spans="1:26" ht="18.600000000000001" customHeight="1" x14ac:dyDescent="0.35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spans="1:26" ht="18.600000000000001" customHeight="1" x14ac:dyDescent="0.35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spans="1:26" ht="18.600000000000001" customHeight="1" x14ac:dyDescent="0.35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spans="1:26" ht="18.600000000000001" customHeight="1" x14ac:dyDescent="0.35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spans="1:26" ht="18.600000000000001" customHeight="1" x14ac:dyDescent="0.35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spans="1:26" ht="18.600000000000001" customHeight="1" x14ac:dyDescent="0.35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spans="1:26" ht="18.600000000000001" customHeight="1" x14ac:dyDescent="0.35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spans="1:26" ht="18.600000000000001" customHeight="1" x14ac:dyDescent="0.35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spans="1:26" ht="18.600000000000001" customHeight="1" x14ac:dyDescent="0.35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spans="1:26" ht="18.600000000000001" customHeight="1" x14ac:dyDescent="0.35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spans="1:26" ht="18.600000000000001" customHeight="1" x14ac:dyDescent="0.35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spans="1:26" ht="18.600000000000001" customHeight="1" x14ac:dyDescent="0.35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spans="1:26" ht="18.600000000000001" customHeight="1" x14ac:dyDescent="0.35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spans="1:26" ht="18.600000000000001" customHeight="1" x14ac:dyDescent="0.35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spans="1:26" ht="18.600000000000001" customHeight="1" x14ac:dyDescent="0.35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spans="1:26" ht="18.600000000000001" customHeight="1" x14ac:dyDescent="0.35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spans="1:26" ht="18.600000000000001" customHeight="1" x14ac:dyDescent="0.35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spans="1:26" ht="18.600000000000001" customHeight="1" x14ac:dyDescent="0.35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spans="1:26" ht="18.600000000000001" customHeight="1" x14ac:dyDescent="0.35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spans="1:26" ht="18.600000000000001" customHeight="1" x14ac:dyDescent="0.35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spans="1:26" ht="18.600000000000001" customHeight="1" x14ac:dyDescent="0.35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spans="1:26" ht="18.600000000000001" customHeight="1" x14ac:dyDescent="0.35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spans="1:26" ht="18.600000000000001" customHeight="1" x14ac:dyDescent="0.35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spans="1:26" ht="18.600000000000001" customHeight="1" x14ac:dyDescent="0.35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spans="1:26" ht="18.600000000000001" customHeight="1" x14ac:dyDescent="0.35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spans="1:26" ht="18.600000000000001" customHeight="1" x14ac:dyDescent="0.35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spans="1:26" ht="18.600000000000001" customHeight="1" x14ac:dyDescent="0.35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spans="1:26" ht="18.600000000000001" customHeight="1" x14ac:dyDescent="0.35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spans="1:26" ht="18.600000000000001" customHeight="1" x14ac:dyDescent="0.35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spans="1:26" ht="18.600000000000001" customHeight="1" x14ac:dyDescent="0.35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spans="1:26" ht="18.600000000000001" customHeight="1" x14ac:dyDescent="0.35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spans="1:26" ht="18.600000000000001" customHeight="1" x14ac:dyDescent="0.35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spans="1:26" ht="18.600000000000001" customHeight="1" x14ac:dyDescent="0.35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spans="1:26" ht="18.600000000000001" customHeight="1" x14ac:dyDescent="0.35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spans="1:26" ht="18.600000000000001" customHeight="1" x14ac:dyDescent="0.35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spans="1:26" ht="18.600000000000001" customHeight="1" x14ac:dyDescent="0.35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spans="1:26" ht="18.600000000000001" customHeight="1" x14ac:dyDescent="0.35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spans="1:26" ht="18.600000000000001" customHeight="1" x14ac:dyDescent="0.35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spans="1:26" ht="18.600000000000001" customHeight="1" x14ac:dyDescent="0.35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spans="1:26" ht="18.600000000000001" customHeight="1" x14ac:dyDescent="0.35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spans="1:26" ht="18.600000000000001" customHeight="1" x14ac:dyDescent="0.35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spans="1:26" ht="18.600000000000001" customHeight="1" x14ac:dyDescent="0.35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spans="1:26" ht="18.600000000000001" customHeight="1" x14ac:dyDescent="0.35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spans="1:26" ht="18.600000000000001" customHeight="1" x14ac:dyDescent="0.35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spans="1:26" ht="18.600000000000001" customHeight="1" x14ac:dyDescent="0.35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spans="1:26" ht="18.600000000000001" customHeight="1" x14ac:dyDescent="0.35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spans="1:26" ht="18.600000000000001" customHeight="1" x14ac:dyDescent="0.35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spans="1:26" ht="18.600000000000001" customHeight="1" x14ac:dyDescent="0.35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spans="1:26" ht="18.600000000000001" customHeight="1" x14ac:dyDescent="0.35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spans="1:26" ht="18.600000000000001" customHeight="1" x14ac:dyDescent="0.35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spans="1:26" ht="18.600000000000001" customHeight="1" x14ac:dyDescent="0.35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spans="1:26" ht="18.600000000000001" customHeight="1" x14ac:dyDescent="0.35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spans="1:26" ht="18.600000000000001" customHeight="1" x14ac:dyDescent="0.35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spans="1:26" ht="18.600000000000001" customHeight="1" x14ac:dyDescent="0.35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spans="1:26" ht="18.600000000000001" customHeight="1" x14ac:dyDescent="0.35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spans="1:26" ht="18.600000000000001" customHeight="1" x14ac:dyDescent="0.35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spans="1:26" ht="18.600000000000001" customHeight="1" x14ac:dyDescent="0.35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spans="1:26" ht="18.600000000000001" customHeight="1" x14ac:dyDescent="0.35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spans="1:26" ht="18.600000000000001" customHeight="1" x14ac:dyDescent="0.35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spans="1:26" ht="18.600000000000001" customHeight="1" x14ac:dyDescent="0.35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spans="1:26" ht="18.600000000000001" customHeight="1" x14ac:dyDescent="0.35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spans="1:26" ht="18.600000000000001" customHeight="1" x14ac:dyDescent="0.35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spans="1:26" ht="18.600000000000001" customHeight="1" x14ac:dyDescent="0.35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spans="1:26" ht="18.600000000000001" customHeight="1" x14ac:dyDescent="0.35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spans="1:26" ht="18.600000000000001" customHeight="1" x14ac:dyDescent="0.35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spans="1:26" ht="18.600000000000001" customHeight="1" x14ac:dyDescent="0.35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spans="1:26" ht="18.600000000000001" customHeight="1" x14ac:dyDescent="0.35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spans="1:26" ht="18.600000000000001" customHeight="1" x14ac:dyDescent="0.35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spans="1:26" ht="18.600000000000001" customHeight="1" x14ac:dyDescent="0.35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spans="1:26" ht="18.600000000000001" customHeight="1" x14ac:dyDescent="0.35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spans="1:26" ht="18.600000000000001" customHeight="1" x14ac:dyDescent="0.35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spans="1:26" ht="18.600000000000001" customHeight="1" x14ac:dyDescent="0.35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spans="1:26" ht="18.600000000000001" customHeight="1" x14ac:dyDescent="0.35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spans="1:26" ht="18.600000000000001" customHeight="1" x14ac:dyDescent="0.35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spans="1:26" ht="18.600000000000001" customHeight="1" x14ac:dyDescent="0.35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spans="1:26" ht="18.600000000000001" customHeight="1" x14ac:dyDescent="0.35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spans="1:26" ht="18.600000000000001" customHeight="1" x14ac:dyDescent="0.35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spans="1:26" ht="18.600000000000001" customHeight="1" x14ac:dyDescent="0.35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spans="1:26" ht="18.600000000000001" customHeight="1" x14ac:dyDescent="0.35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spans="1:26" ht="18.600000000000001" customHeight="1" x14ac:dyDescent="0.35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spans="1:26" ht="18.600000000000001" customHeight="1" x14ac:dyDescent="0.35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spans="1:26" ht="18.600000000000001" customHeight="1" x14ac:dyDescent="0.35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spans="1:26" ht="18.600000000000001" customHeight="1" x14ac:dyDescent="0.35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spans="1:26" ht="18.600000000000001" customHeight="1" x14ac:dyDescent="0.35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spans="1:26" ht="18.600000000000001" customHeight="1" x14ac:dyDescent="0.35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spans="1:26" ht="18.600000000000001" customHeight="1" x14ac:dyDescent="0.35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spans="1:26" ht="18.600000000000001" customHeight="1" x14ac:dyDescent="0.35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spans="1:26" ht="18.600000000000001" customHeight="1" x14ac:dyDescent="0.35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spans="1:26" ht="18.600000000000001" customHeight="1" x14ac:dyDescent="0.35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spans="1:26" ht="18.600000000000001" customHeight="1" x14ac:dyDescent="0.35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spans="1:26" ht="18.600000000000001" customHeight="1" x14ac:dyDescent="0.35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spans="1:26" ht="18.600000000000001" customHeight="1" x14ac:dyDescent="0.35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spans="1:26" ht="18.600000000000001" customHeight="1" x14ac:dyDescent="0.35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spans="1:26" ht="18.600000000000001" customHeight="1" x14ac:dyDescent="0.35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spans="1:26" ht="18.600000000000001" customHeight="1" x14ac:dyDescent="0.35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spans="1:26" ht="18.600000000000001" customHeight="1" x14ac:dyDescent="0.35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spans="1:26" ht="18.600000000000001" customHeight="1" x14ac:dyDescent="0.35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spans="1:26" ht="18.600000000000001" customHeight="1" x14ac:dyDescent="0.35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spans="1:26" ht="18.600000000000001" customHeight="1" x14ac:dyDescent="0.35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spans="1:26" ht="18.600000000000001" customHeight="1" x14ac:dyDescent="0.35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spans="1:26" ht="18.600000000000001" customHeight="1" x14ac:dyDescent="0.35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spans="1:26" ht="18.600000000000001" customHeight="1" x14ac:dyDescent="0.35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spans="1:26" ht="18.600000000000001" customHeight="1" x14ac:dyDescent="0.35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spans="1:26" ht="18.600000000000001" customHeight="1" x14ac:dyDescent="0.35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spans="1:26" ht="18.600000000000001" customHeight="1" x14ac:dyDescent="0.35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spans="1:26" ht="18.600000000000001" customHeight="1" x14ac:dyDescent="0.35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spans="1:26" ht="18.600000000000001" customHeight="1" x14ac:dyDescent="0.35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spans="1:26" ht="18.600000000000001" customHeight="1" x14ac:dyDescent="0.35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spans="1:26" ht="18.600000000000001" customHeight="1" x14ac:dyDescent="0.35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spans="1:26" ht="18.600000000000001" customHeight="1" x14ac:dyDescent="0.35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spans="1:26" ht="18.600000000000001" customHeight="1" x14ac:dyDescent="0.35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spans="1:26" ht="18.600000000000001" customHeight="1" x14ac:dyDescent="0.35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spans="1:26" ht="18.600000000000001" customHeight="1" x14ac:dyDescent="0.35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spans="1:26" ht="18.600000000000001" customHeight="1" x14ac:dyDescent="0.35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spans="1:26" ht="18.600000000000001" customHeight="1" x14ac:dyDescent="0.35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spans="1:26" ht="18.600000000000001" customHeight="1" x14ac:dyDescent="0.35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spans="1:26" ht="18.600000000000001" customHeight="1" x14ac:dyDescent="0.35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spans="1:26" ht="18.600000000000001" customHeight="1" x14ac:dyDescent="0.35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spans="1:26" ht="18.600000000000001" customHeight="1" x14ac:dyDescent="0.35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spans="1:26" ht="18.600000000000001" customHeight="1" x14ac:dyDescent="0.35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spans="1:26" ht="18.600000000000001" customHeight="1" x14ac:dyDescent="0.35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spans="1:26" ht="18.600000000000001" customHeight="1" x14ac:dyDescent="0.35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spans="1:26" ht="18.600000000000001" customHeight="1" x14ac:dyDescent="0.35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spans="1:26" ht="18.600000000000001" customHeight="1" x14ac:dyDescent="0.35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spans="1:26" ht="18.600000000000001" customHeight="1" x14ac:dyDescent="0.35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spans="1:26" ht="18.600000000000001" customHeight="1" x14ac:dyDescent="0.35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spans="1:26" ht="18.600000000000001" customHeight="1" x14ac:dyDescent="0.35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spans="1:26" ht="18.600000000000001" customHeight="1" x14ac:dyDescent="0.35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spans="1:26" ht="18.600000000000001" customHeight="1" x14ac:dyDescent="0.35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spans="1:26" ht="18.600000000000001" customHeight="1" x14ac:dyDescent="0.35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spans="1:26" ht="18.600000000000001" customHeight="1" x14ac:dyDescent="0.35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spans="1:26" ht="18.600000000000001" customHeight="1" x14ac:dyDescent="0.35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spans="1:26" ht="18.600000000000001" customHeight="1" x14ac:dyDescent="0.35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spans="1:26" ht="18.600000000000001" customHeight="1" x14ac:dyDescent="0.35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spans="1:26" ht="18.600000000000001" customHeight="1" x14ac:dyDescent="0.35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spans="1:26" ht="18.600000000000001" customHeight="1" x14ac:dyDescent="0.35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spans="1:26" ht="18.600000000000001" customHeight="1" x14ac:dyDescent="0.35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spans="1:26" ht="18.600000000000001" customHeight="1" x14ac:dyDescent="0.35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spans="1:26" ht="18.600000000000001" customHeight="1" x14ac:dyDescent="0.35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spans="1:26" ht="18.600000000000001" customHeight="1" x14ac:dyDescent="0.35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spans="1:26" ht="18.600000000000001" customHeight="1" x14ac:dyDescent="0.35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spans="1:26" ht="18.600000000000001" customHeight="1" x14ac:dyDescent="0.35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spans="1:26" ht="18.600000000000001" customHeight="1" x14ac:dyDescent="0.35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spans="1:26" ht="18.600000000000001" customHeight="1" x14ac:dyDescent="0.35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spans="1:26" ht="18.600000000000001" customHeight="1" x14ac:dyDescent="0.35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spans="1:26" ht="18.600000000000001" customHeight="1" x14ac:dyDescent="0.35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spans="1:26" ht="18.600000000000001" customHeight="1" x14ac:dyDescent="0.35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spans="1:26" ht="18.600000000000001" customHeight="1" x14ac:dyDescent="0.35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spans="1:26" ht="18.600000000000001" customHeight="1" x14ac:dyDescent="0.35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spans="1:26" ht="18.600000000000001" customHeight="1" x14ac:dyDescent="0.35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spans="1:26" ht="18.600000000000001" customHeight="1" x14ac:dyDescent="0.35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spans="1:26" ht="18.600000000000001" customHeight="1" x14ac:dyDescent="0.35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spans="1:26" ht="18.600000000000001" customHeight="1" x14ac:dyDescent="0.35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spans="1:26" ht="18.600000000000001" customHeight="1" x14ac:dyDescent="0.35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spans="1:26" ht="18.600000000000001" customHeight="1" x14ac:dyDescent="0.35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spans="1:26" ht="18.600000000000001" customHeight="1" x14ac:dyDescent="0.35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spans="1:26" ht="18.600000000000001" customHeight="1" x14ac:dyDescent="0.35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spans="1:26" ht="18.600000000000001" customHeight="1" x14ac:dyDescent="0.35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spans="1:26" ht="18.600000000000001" customHeight="1" x14ac:dyDescent="0.35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spans="1:26" ht="18.600000000000001" customHeight="1" x14ac:dyDescent="0.35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spans="1:26" ht="18.600000000000001" customHeight="1" x14ac:dyDescent="0.35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spans="1:26" ht="18.600000000000001" customHeight="1" x14ac:dyDescent="0.35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spans="1:26" ht="18.600000000000001" customHeight="1" x14ac:dyDescent="0.35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spans="1:26" ht="18.600000000000001" customHeight="1" x14ac:dyDescent="0.35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spans="1:26" ht="18.600000000000001" customHeight="1" x14ac:dyDescent="0.35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spans="1:26" ht="18.600000000000001" customHeight="1" x14ac:dyDescent="0.35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spans="1:26" ht="18.600000000000001" customHeight="1" x14ac:dyDescent="0.35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spans="1:26" ht="18.600000000000001" customHeight="1" x14ac:dyDescent="0.35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spans="1:26" ht="18.600000000000001" customHeight="1" x14ac:dyDescent="0.35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spans="1:26" ht="18.600000000000001" customHeight="1" x14ac:dyDescent="0.35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spans="1:26" ht="18.600000000000001" customHeight="1" x14ac:dyDescent="0.35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spans="1:26" ht="18.600000000000001" customHeight="1" x14ac:dyDescent="0.35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spans="1:26" ht="18.600000000000001" customHeight="1" x14ac:dyDescent="0.35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spans="1:26" ht="18.600000000000001" customHeight="1" x14ac:dyDescent="0.35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spans="1:26" ht="18.600000000000001" customHeight="1" x14ac:dyDescent="0.35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spans="1:26" ht="18.600000000000001" customHeight="1" x14ac:dyDescent="0.35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spans="1:26" ht="18.600000000000001" customHeight="1" x14ac:dyDescent="0.35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spans="1:26" ht="18.600000000000001" customHeight="1" x14ac:dyDescent="0.35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spans="1:26" ht="18.600000000000001" customHeight="1" x14ac:dyDescent="0.35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spans="1:26" ht="18.600000000000001" customHeight="1" x14ac:dyDescent="0.35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spans="1:26" ht="18.600000000000001" customHeight="1" x14ac:dyDescent="0.35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spans="1:26" ht="18.600000000000001" customHeight="1" x14ac:dyDescent="0.35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spans="1:26" ht="18.600000000000001" customHeight="1" x14ac:dyDescent="0.35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spans="1:26" ht="18.600000000000001" customHeight="1" x14ac:dyDescent="0.35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spans="1:26" ht="18.600000000000001" customHeight="1" x14ac:dyDescent="0.35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spans="1:26" ht="18.600000000000001" customHeight="1" x14ac:dyDescent="0.35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spans="1:26" ht="18.600000000000001" customHeight="1" x14ac:dyDescent="0.35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spans="1:26" ht="18.600000000000001" customHeight="1" x14ac:dyDescent="0.35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spans="1:26" ht="18.600000000000001" customHeight="1" x14ac:dyDescent="0.35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spans="1:26" ht="18.600000000000001" customHeight="1" x14ac:dyDescent="0.35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spans="1:26" ht="18.600000000000001" customHeight="1" x14ac:dyDescent="0.35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spans="1:26" ht="18.600000000000001" customHeight="1" x14ac:dyDescent="0.35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spans="1:26" ht="18.600000000000001" customHeight="1" x14ac:dyDescent="0.35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spans="1:26" ht="18.600000000000001" customHeight="1" x14ac:dyDescent="0.35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spans="1:26" ht="18.600000000000001" customHeight="1" x14ac:dyDescent="0.35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spans="1:26" ht="18.600000000000001" customHeight="1" x14ac:dyDescent="0.35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spans="1:26" ht="18.600000000000001" customHeight="1" x14ac:dyDescent="0.35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spans="1:26" ht="18.600000000000001" customHeight="1" x14ac:dyDescent="0.35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spans="1:26" ht="18.600000000000001" customHeight="1" x14ac:dyDescent="0.35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spans="1:26" ht="18.600000000000001" customHeight="1" x14ac:dyDescent="0.35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spans="1:26" ht="18.600000000000001" customHeight="1" x14ac:dyDescent="0.35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spans="1:26" ht="18.600000000000001" customHeight="1" x14ac:dyDescent="0.35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spans="1:26" ht="18.600000000000001" customHeight="1" x14ac:dyDescent="0.35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spans="1:26" ht="18.600000000000001" customHeight="1" x14ac:dyDescent="0.35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spans="1:26" ht="18.600000000000001" customHeight="1" x14ac:dyDescent="0.35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spans="1:26" ht="18.600000000000001" customHeight="1" x14ac:dyDescent="0.35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spans="1:26" ht="18.600000000000001" customHeight="1" x14ac:dyDescent="0.35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spans="1:26" ht="18.600000000000001" customHeight="1" x14ac:dyDescent="0.35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spans="1:26" ht="18.600000000000001" customHeight="1" x14ac:dyDescent="0.35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spans="1:26" ht="18.600000000000001" customHeight="1" x14ac:dyDescent="0.35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spans="1:26" ht="18.600000000000001" customHeight="1" x14ac:dyDescent="0.35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spans="1:26" ht="18.600000000000001" customHeight="1" x14ac:dyDescent="0.35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spans="1:26" ht="18.600000000000001" customHeight="1" x14ac:dyDescent="0.35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spans="1:26" ht="18.600000000000001" customHeight="1" x14ac:dyDescent="0.35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spans="1:26" ht="18.600000000000001" customHeight="1" x14ac:dyDescent="0.35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spans="1:26" ht="18.600000000000001" customHeight="1" x14ac:dyDescent="0.35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spans="1:26" ht="18.600000000000001" customHeight="1" x14ac:dyDescent="0.35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spans="1:26" ht="18.600000000000001" customHeight="1" x14ac:dyDescent="0.35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spans="1:26" ht="18.600000000000001" customHeight="1" x14ac:dyDescent="0.35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spans="1:26" ht="18.600000000000001" customHeight="1" x14ac:dyDescent="0.35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spans="1:26" ht="18.600000000000001" customHeight="1" x14ac:dyDescent="0.35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spans="1:26" ht="18.600000000000001" customHeight="1" x14ac:dyDescent="0.35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spans="1:26" ht="18.600000000000001" customHeight="1" x14ac:dyDescent="0.35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spans="1:26" ht="18.600000000000001" customHeight="1" x14ac:dyDescent="0.35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spans="1:26" ht="18.600000000000001" customHeight="1" x14ac:dyDescent="0.35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spans="1:26" ht="18.600000000000001" customHeight="1" x14ac:dyDescent="0.35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spans="1:26" ht="18.600000000000001" customHeight="1" x14ac:dyDescent="0.35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spans="1:26" ht="18.600000000000001" customHeight="1" x14ac:dyDescent="0.35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spans="1:26" ht="18.600000000000001" customHeight="1" x14ac:dyDescent="0.35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spans="1:26" ht="18.600000000000001" customHeight="1" x14ac:dyDescent="0.35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spans="1:26" ht="18.600000000000001" customHeight="1" x14ac:dyDescent="0.35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spans="1:26" ht="18.600000000000001" customHeight="1" x14ac:dyDescent="0.35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spans="1:26" ht="18.600000000000001" customHeight="1" x14ac:dyDescent="0.35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spans="1:26" ht="18.600000000000001" customHeight="1" x14ac:dyDescent="0.35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spans="1:26" ht="18.600000000000001" customHeight="1" x14ac:dyDescent="0.35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spans="1:26" ht="18.600000000000001" customHeight="1" x14ac:dyDescent="0.35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spans="1:26" ht="18.600000000000001" customHeight="1" x14ac:dyDescent="0.35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spans="1:26" ht="18.600000000000001" customHeight="1" x14ac:dyDescent="0.35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E188-AB80-487C-BC94-C36B66BD3A12}">
  <dimension ref="A1:D22"/>
  <sheetViews>
    <sheetView workbookViewId="0">
      <selection activeCell="C23" sqref="C23"/>
    </sheetView>
  </sheetViews>
  <sheetFormatPr defaultColWidth="16.33203125" defaultRowHeight="18" x14ac:dyDescent="0.3"/>
  <cols>
    <col min="1" max="1" width="11.88671875" style="30" customWidth="1"/>
    <col min="2" max="2" width="17.88671875" style="30" customWidth="1"/>
    <col min="3" max="3" width="13.21875" style="30" customWidth="1"/>
    <col min="4" max="4" width="22.33203125" style="30" customWidth="1"/>
    <col min="5" max="16384" width="16.33203125" style="30"/>
  </cols>
  <sheetData>
    <row r="1" spans="1:4" ht="21" x14ac:dyDescent="0.3">
      <c r="A1" s="451" t="s">
        <v>101</v>
      </c>
      <c r="B1" s="451" t="s">
        <v>354</v>
      </c>
      <c r="C1" s="451" t="s">
        <v>355</v>
      </c>
      <c r="D1" s="451" t="s">
        <v>356</v>
      </c>
    </row>
    <row r="2" spans="1:4" x14ac:dyDescent="0.3">
      <c r="A2" s="224">
        <v>1</v>
      </c>
      <c r="B2" s="224" t="s">
        <v>33</v>
      </c>
      <c r="C2" s="224">
        <v>5</v>
      </c>
      <c r="D2" s="224" t="str" cm="1">
        <f t="array" ref="D2">_xlfn.SWITCH(C2, 1, "Poor", 2, "Average", 3, "Good", 4, "Very good", 5, "Fabulous")</f>
        <v>Fabulous</v>
      </c>
    </row>
    <row r="3" spans="1:4" x14ac:dyDescent="0.3">
      <c r="A3" s="224">
        <v>2</v>
      </c>
      <c r="B3" s="224" t="s">
        <v>35</v>
      </c>
      <c r="C3" s="224">
        <v>3</v>
      </c>
      <c r="D3" s="224" t="str" cm="1">
        <f t="array" ref="D3">_xlfn.SWITCH(C3, 1, "Poor", 2, "Average", 3, "Good", 4, "Very good", 5, "Fabulous")</f>
        <v>Good</v>
      </c>
    </row>
    <row r="4" spans="1:4" x14ac:dyDescent="0.3">
      <c r="A4" s="224">
        <v>3</v>
      </c>
      <c r="B4" s="224" t="s">
        <v>36</v>
      </c>
      <c r="C4" s="224">
        <v>5</v>
      </c>
      <c r="D4" s="224" t="str" cm="1">
        <f t="array" ref="D4">_xlfn.SWITCH(C4, 1, "Poor", 2, "Average", 3, "Good", 4, "Very good", 5, "Fabulous")</f>
        <v>Fabulous</v>
      </c>
    </row>
    <row r="5" spans="1:4" x14ac:dyDescent="0.3">
      <c r="A5" s="224">
        <v>4</v>
      </c>
      <c r="B5" s="224" t="s">
        <v>37</v>
      </c>
      <c r="C5" s="224">
        <v>4</v>
      </c>
      <c r="D5" s="224" t="str" cm="1">
        <f t="array" ref="D5">_xlfn.SWITCH(C5, 1, "Poor", 2, "Average", 3, "Good", 4, "Very good", 5, "Fabulous")</f>
        <v>Very good</v>
      </c>
    </row>
    <row r="6" spans="1:4" x14ac:dyDescent="0.3">
      <c r="A6" s="224">
        <v>5</v>
      </c>
      <c r="B6" s="224" t="s">
        <v>38</v>
      </c>
      <c r="C6" s="224">
        <v>2</v>
      </c>
      <c r="D6" s="224" t="str" cm="1">
        <f t="array" ref="D6">_xlfn.SWITCH(C6, 1, "Poor", 2, "Average", 3, "Good", 4, "Very good", 5, "Fabulous")</f>
        <v>Average</v>
      </c>
    </row>
    <row r="7" spans="1:4" x14ac:dyDescent="0.3">
      <c r="A7" s="224">
        <v>6</v>
      </c>
      <c r="B7" s="224" t="s">
        <v>39</v>
      </c>
      <c r="C7" s="224">
        <v>1</v>
      </c>
      <c r="D7" s="224" t="str" cm="1">
        <f t="array" ref="D7">_xlfn.SWITCH(C7, 1, "Poor", 2, "Average", 3, "Good", 4, "Very good", 5, "Fabulous")</f>
        <v>Poor</v>
      </c>
    </row>
    <row r="8" spans="1:4" x14ac:dyDescent="0.3">
      <c r="A8" s="224">
        <v>7</v>
      </c>
      <c r="B8" s="224" t="s">
        <v>40</v>
      </c>
      <c r="C8" s="224">
        <v>4</v>
      </c>
      <c r="D8" s="224" t="str" cm="1">
        <f t="array" ref="D8">_xlfn.SWITCH(C8, 1, "Poor", 2, "Average", 3, "Good", 4, "Very good", 5, "Fabulous")</f>
        <v>Very good</v>
      </c>
    </row>
    <row r="9" spans="1:4" x14ac:dyDescent="0.3">
      <c r="A9" s="224">
        <v>8</v>
      </c>
      <c r="B9" s="224" t="s">
        <v>41</v>
      </c>
      <c r="C9" s="224">
        <v>3</v>
      </c>
      <c r="D9" s="224" t="str" cm="1">
        <f t="array" ref="D9">_xlfn.SWITCH(C9, 1, "Poor", 2, "Average", 3, "Good", 4, "Very good", 5, "Fabulous")</f>
        <v>Good</v>
      </c>
    </row>
    <row r="10" spans="1:4" x14ac:dyDescent="0.3">
      <c r="A10" s="224">
        <v>9</v>
      </c>
      <c r="B10" s="224" t="s">
        <v>42</v>
      </c>
      <c r="C10" s="224">
        <v>3</v>
      </c>
      <c r="D10" s="224" t="str" cm="1">
        <f t="array" ref="D10">_xlfn.SWITCH(C10, 1, "Poor", 2, "Average", 3, "Good", 4, "Very good", 5, "Fabulous")</f>
        <v>Good</v>
      </c>
    </row>
    <row r="11" spans="1:4" x14ac:dyDescent="0.3">
      <c r="A11" s="224">
        <v>10</v>
      </c>
      <c r="B11" s="224" t="s">
        <v>43</v>
      </c>
      <c r="C11" s="224">
        <v>5</v>
      </c>
      <c r="D11" s="224" t="str" cm="1">
        <f t="array" ref="D11">_xlfn.SWITCH(C11, 1, "Poor", 2, "Average", 3, "Good", 4, "Very good", 5, "Fabulous")</f>
        <v>Fabulous</v>
      </c>
    </row>
    <row r="12" spans="1:4" x14ac:dyDescent="0.3">
      <c r="A12" s="224">
        <v>11</v>
      </c>
      <c r="B12" s="224" t="s">
        <v>44</v>
      </c>
      <c r="C12" s="224">
        <v>1</v>
      </c>
      <c r="D12" s="224" t="str" cm="1">
        <f t="array" ref="D12">_xlfn.SWITCH(C12, 1, "Poor", 2, "Average", 3, "Good", 4, "Very good", 5, "Fabulous")</f>
        <v>Poor</v>
      </c>
    </row>
    <row r="13" spans="1:4" x14ac:dyDescent="0.3">
      <c r="A13" s="224">
        <v>12</v>
      </c>
      <c r="B13" s="224" t="s">
        <v>45</v>
      </c>
      <c r="C13" s="224">
        <v>2</v>
      </c>
      <c r="D13" s="224" t="str" cm="1">
        <f t="array" ref="D13">_xlfn.SWITCH(C13, 1, "Poor", 2, "Average", 3, "Good", 4, "Very good", 5, "Fabulous")</f>
        <v>Average</v>
      </c>
    </row>
    <row r="14" spans="1:4" x14ac:dyDescent="0.3">
      <c r="A14" s="224">
        <v>13</v>
      </c>
      <c r="B14" s="224" t="s">
        <v>46</v>
      </c>
      <c r="C14" s="224">
        <v>1</v>
      </c>
      <c r="D14" s="224" t="str" cm="1">
        <f t="array" ref="D14">_xlfn.SWITCH(C14, 1, "Poor", 2, "Average", 3, "Good", 4, "Very good", 5, "Fabulous")</f>
        <v>Poor</v>
      </c>
    </row>
    <row r="15" spans="1:4" x14ac:dyDescent="0.3">
      <c r="A15" s="224">
        <v>14</v>
      </c>
      <c r="B15" s="224" t="s">
        <v>34</v>
      </c>
      <c r="C15" s="224">
        <v>5</v>
      </c>
      <c r="D15" s="224" t="str" cm="1">
        <f t="array" ref="D15">_xlfn.SWITCH(C15, 1, "Poor", 2, "Average", 3, "Good", 4, "Very good", 5, "Fabulous")</f>
        <v>Fabulous</v>
      </c>
    </row>
    <row r="16" spans="1:4" x14ac:dyDescent="0.3">
      <c r="A16" s="224">
        <v>15</v>
      </c>
      <c r="B16" s="224" t="s">
        <v>245</v>
      </c>
      <c r="C16" s="224">
        <v>3</v>
      </c>
      <c r="D16" s="224" t="str" cm="1">
        <f t="array" ref="D16">_xlfn.SWITCH(C16, 1, "Poor", 2, "Average", 3, "Good", 4, "Very good", 5, "Fabulous")</f>
        <v>Good</v>
      </c>
    </row>
    <row r="17" spans="1:4" x14ac:dyDescent="0.3">
      <c r="A17" s="224">
        <v>16</v>
      </c>
      <c r="B17" s="224" t="s">
        <v>247</v>
      </c>
      <c r="C17" s="224">
        <v>4</v>
      </c>
      <c r="D17" s="224" t="str" cm="1">
        <f t="array" ref="D17">_xlfn.SWITCH(C17, 1, "Poor", 2, "Average", 3, "Good", 4, "Very good", 5, "Fabulous")</f>
        <v>Very good</v>
      </c>
    </row>
    <row r="18" spans="1:4" x14ac:dyDescent="0.3">
      <c r="A18" s="224">
        <v>17</v>
      </c>
      <c r="B18" s="224" t="s">
        <v>248</v>
      </c>
      <c r="C18" s="224">
        <v>2</v>
      </c>
      <c r="D18" s="224" t="str" cm="1">
        <f t="array" ref="D18">_xlfn.SWITCH(C18, 1, "Poor", 2, "Average", 3, "Good", 4, "Very good", 5, "Fabulous")</f>
        <v>Average</v>
      </c>
    </row>
    <row r="19" spans="1:4" x14ac:dyDescent="0.3">
      <c r="A19" s="224">
        <v>18</v>
      </c>
      <c r="B19" s="224" t="s">
        <v>249</v>
      </c>
      <c r="C19" s="224">
        <v>3</v>
      </c>
      <c r="D19" s="224" t="str" cm="1">
        <f t="array" ref="D19">_xlfn.SWITCH(C19, 1, "Poor", 2, "Average", 3, "Good", 4, "Very good", 5, "Fabulous")</f>
        <v>Good</v>
      </c>
    </row>
    <row r="20" spans="1:4" x14ac:dyDescent="0.3">
      <c r="A20" s="224">
        <v>19</v>
      </c>
      <c r="B20" s="224" t="s">
        <v>250</v>
      </c>
      <c r="C20" s="224">
        <v>3</v>
      </c>
      <c r="D20" s="224" t="str" cm="1">
        <f t="array" ref="D20">_xlfn.SWITCH(C20, 1, "Poor", 2, "Average", 3, "Good", 4, "Very good", 5, "Fabulous")</f>
        <v>Good</v>
      </c>
    </row>
    <row r="21" spans="1:4" x14ac:dyDescent="0.3">
      <c r="A21" s="224">
        <v>20</v>
      </c>
      <c r="B21" s="224" t="s">
        <v>251</v>
      </c>
      <c r="C21" s="224">
        <v>6</v>
      </c>
      <c r="D21" s="224" t="e" cm="1">
        <f t="array" ref="D21">_xlfn.SWITCH(C21, 1, "Poor", 2, "Average", 3, "Good", 4, "Very good", 5, "Fabulous")</f>
        <v>#N/A</v>
      </c>
    </row>
    <row r="22" spans="1:4" x14ac:dyDescent="0.3">
      <c r="A22" s="224">
        <v>21</v>
      </c>
      <c r="B22" s="224" t="s">
        <v>252</v>
      </c>
      <c r="C22" s="224">
        <v>7</v>
      </c>
      <c r="D22" s="224" t="e" cm="1">
        <f t="array" ref="D22">_xlfn.SWITCH(C22, 1, "Poor", 2, "Average", 3, "Good", 4, "Very good", 5, "Fabulous")</f>
        <v>#N/A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ADEE-B35D-41BE-AA1D-DEB578FB6397}">
  <sheetPr>
    <tabColor rgb="FFC00000"/>
  </sheetPr>
  <dimension ref="A1:Z1008"/>
  <sheetViews>
    <sheetView topLeftCell="A50" zoomScale="90" zoomScaleNormal="90" workbookViewId="0">
      <selection activeCell="I60" sqref="I60"/>
    </sheetView>
  </sheetViews>
  <sheetFormatPr defaultColWidth="14.6640625" defaultRowHeight="18" x14ac:dyDescent="0.35"/>
  <cols>
    <col min="1" max="1" width="8.88671875" style="293" customWidth="1"/>
    <col min="2" max="2" width="23.6640625" style="293" customWidth="1"/>
    <col min="3" max="3" width="19.44140625" style="293" customWidth="1"/>
    <col min="4" max="4" width="16.5546875" style="293" customWidth="1"/>
    <col min="5" max="5" width="17.21875" style="293" customWidth="1"/>
    <col min="6" max="6" width="22.6640625" style="293" bestFit="1" customWidth="1"/>
    <col min="7" max="7" width="22.21875" style="293" bestFit="1" customWidth="1"/>
    <col min="8" max="8" width="24.21875" style="293" bestFit="1" customWidth="1"/>
    <col min="9" max="9" width="27.6640625" style="293" bestFit="1" customWidth="1"/>
    <col min="10" max="10" width="26.88671875" style="293" customWidth="1"/>
    <col min="11" max="11" width="21.5546875" style="293" customWidth="1"/>
    <col min="12" max="12" width="20.33203125" style="293" customWidth="1"/>
    <col min="13" max="13" width="13.6640625" style="293" bestFit="1" customWidth="1"/>
    <col min="14" max="14" width="13.21875" style="293" bestFit="1" customWidth="1"/>
    <col min="15" max="16" width="13.6640625" style="293" bestFit="1" customWidth="1"/>
    <col min="17" max="18" width="19.21875" style="293" bestFit="1" customWidth="1"/>
    <col min="19" max="20" width="16.109375" style="293" bestFit="1" customWidth="1"/>
    <col min="21" max="26" width="8.88671875" style="293" customWidth="1"/>
    <col min="27" max="16384" width="14.6640625" style="293"/>
  </cols>
  <sheetData>
    <row r="1" spans="1:26" x14ac:dyDescent="0.35">
      <c r="A1" s="292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26" x14ac:dyDescent="0.35">
      <c r="A2" s="292"/>
      <c r="B2" s="292"/>
      <c r="C2" s="292"/>
      <c r="D2" s="294"/>
      <c r="E2" s="294"/>
      <c r="F2" s="294"/>
      <c r="G2" s="294"/>
      <c r="H2" s="294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</row>
    <row r="3" spans="1:26" ht="23.4" x14ac:dyDescent="0.35">
      <c r="A3" s="292"/>
      <c r="B3" s="441" t="s">
        <v>65</v>
      </c>
      <c r="C3" s="441" t="s">
        <v>307</v>
      </c>
      <c r="D3" s="294"/>
      <c r="E3" s="294"/>
      <c r="F3" s="294"/>
      <c r="G3" s="294"/>
      <c r="H3" s="294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spans="1:26" ht="36" x14ac:dyDescent="0.35">
      <c r="A4" s="292"/>
      <c r="B4" s="295" t="s">
        <v>88</v>
      </c>
      <c r="C4" s="296">
        <v>2000</v>
      </c>
      <c r="D4" s="294"/>
      <c r="E4" s="294"/>
      <c r="F4" s="297" t="s">
        <v>308</v>
      </c>
      <c r="G4" s="298" t="s">
        <v>307</v>
      </c>
      <c r="H4" s="298" t="s">
        <v>311</v>
      </c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</row>
    <row r="5" spans="1:26" x14ac:dyDescent="0.35">
      <c r="A5" s="292"/>
      <c r="B5" s="301" t="s">
        <v>88</v>
      </c>
      <c r="C5" s="302">
        <v>20000</v>
      </c>
      <c r="D5" s="294"/>
      <c r="E5" s="294"/>
      <c r="F5" s="297" t="s">
        <v>305</v>
      </c>
      <c r="G5" s="299">
        <f>LOOKUP(F5, $B$3:$B$24, $C$3:$C$24)</f>
        <v>40000</v>
      </c>
      <c r="H5" s="299">
        <f>LOOKUP(F5, $B$3:$C$24)</f>
        <v>40000</v>
      </c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</row>
    <row r="6" spans="1:26" x14ac:dyDescent="0.35">
      <c r="A6" s="292"/>
      <c r="B6" s="295" t="s">
        <v>303</v>
      </c>
      <c r="C6" s="296">
        <v>14000</v>
      </c>
      <c r="D6" s="294"/>
      <c r="E6" s="300"/>
      <c r="F6" s="297" t="s">
        <v>300</v>
      </c>
      <c r="G6" s="299">
        <f t="shared" ref="G6:G10" si="0">LOOKUP(F6, $B$3:$B$24, $C$3:$C$24)</f>
        <v>17000</v>
      </c>
      <c r="H6" s="299">
        <f t="shared" ref="H6:H10" si="1">LOOKUP(F6, $B$3:$C$24)</f>
        <v>17000</v>
      </c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</row>
    <row r="7" spans="1:26" x14ac:dyDescent="0.35">
      <c r="A7" s="292"/>
      <c r="B7" s="301" t="s">
        <v>303</v>
      </c>
      <c r="C7" s="302">
        <v>25000</v>
      </c>
      <c r="D7" s="294"/>
      <c r="E7" s="300"/>
      <c r="F7" s="297" t="s">
        <v>303</v>
      </c>
      <c r="G7" s="299">
        <f t="shared" si="0"/>
        <v>25000</v>
      </c>
      <c r="H7" s="299">
        <f t="shared" si="1"/>
        <v>25000</v>
      </c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</row>
    <row r="8" spans="1:26" x14ac:dyDescent="0.35">
      <c r="A8" s="292"/>
      <c r="B8" s="295" t="s">
        <v>304</v>
      </c>
      <c r="C8" s="296">
        <v>16000</v>
      </c>
      <c r="D8" s="294"/>
      <c r="E8" s="300"/>
      <c r="F8" s="297" t="s">
        <v>310</v>
      </c>
      <c r="G8" s="299">
        <f t="shared" si="0"/>
        <v>40000</v>
      </c>
      <c r="H8" s="299">
        <f t="shared" si="1"/>
        <v>40000</v>
      </c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</row>
    <row r="9" spans="1:26" x14ac:dyDescent="0.35">
      <c r="A9" s="292"/>
      <c r="B9" s="295" t="s">
        <v>304</v>
      </c>
      <c r="C9" s="296">
        <v>4000</v>
      </c>
      <c r="D9" s="294"/>
      <c r="E9" s="300"/>
      <c r="F9" s="297" t="s">
        <v>309</v>
      </c>
      <c r="G9" s="299">
        <f t="shared" si="0"/>
        <v>50000</v>
      </c>
      <c r="H9" s="299">
        <f t="shared" si="1"/>
        <v>50000</v>
      </c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</row>
    <row r="10" spans="1:26" ht="23.4" customHeight="1" x14ac:dyDescent="0.35">
      <c r="A10" s="292"/>
      <c r="B10" s="295" t="s">
        <v>309</v>
      </c>
      <c r="C10" s="296">
        <v>30000</v>
      </c>
      <c r="D10" s="294"/>
      <c r="E10" s="300"/>
      <c r="F10" s="297" t="s">
        <v>88</v>
      </c>
      <c r="G10" s="299">
        <f t="shared" si="0"/>
        <v>20000</v>
      </c>
      <c r="H10" s="299">
        <f t="shared" si="1"/>
        <v>20000</v>
      </c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</row>
    <row r="11" spans="1:26" x14ac:dyDescent="0.35">
      <c r="A11" s="292"/>
      <c r="B11" s="301" t="s">
        <v>309</v>
      </c>
      <c r="C11" s="302">
        <v>50000</v>
      </c>
      <c r="D11" s="294"/>
      <c r="E11" s="294"/>
      <c r="F11" s="294"/>
      <c r="G11" s="294"/>
      <c r="H11" s="294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</row>
    <row r="12" spans="1:26" x14ac:dyDescent="0.35">
      <c r="A12" s="292"/>
      <c r="B12" s="295" t="s">
        <v>300</v>
      </c>
      <c r="C12" s="296">
        <v>4000</v>
      </c>
      <c r="D12" s="294"/>
      <c r="E12" s="294"/>
      <c r="F12" s="294"/>
      <c r="G12" s="294"/>
      <c r="H12" s="294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 spans="1:26" x14ac:dyDescent="0.35">
      <c r="A13" s="292"/>
      <c r="B13" s="301" t="s">
        <v>300</v>
      </c>
      <c r="C13" s="302">
        <v>17000</v>
      </c>
      <c r="D13" s="294"/>
      <c r="E13" s="294"/>
      <c r="F13" s="294"/>
      <c r="G13" s="294"/>
      <c r="H13" s="294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</row>
    <row r="14" spans="1:26" x14ac:dyDescent="0.35">
      <c r="A14" s="292"/>
      <c r="B14" s="295" t="s">
        <v>310</v>
      </c>
      <c r="C14" s="296">
        <v>20000</v>
      </c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</row>
    <row r="15" spans="1:26" x14ac:dyDescent="0.35">
      <c r="A15" s="292"/>
      <c r="B15" s="301" t="s">
        <v>310</v>
      </c>
      <c r="C15" s="302">
        <v>40000</v>
      </c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</row>
    <row r="16" spans="1:26" x14ac:dyDescent="0.35">
      <c r="A16" s="292"/>
      <c r="B16" s="295" t="s">
        <v>301</v>
      </c>
      <c r="C16" s="296">
        <v>16000</v>
      </c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 spans="1:26" x14ac:dyDescent="0.35">
      <c r="A17" s="292"/>
      <c r="B17" s="301" t="s">
        <v>301</v>
      </c>
      <c r="C17" s="302">
        <v>20000</v>
      </c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 spans="1:26" x14ac:dyDescent="0.35">
      <c r="A18" s="292"/>
      <c r="B18" s="295" t="s">
        <v>84</v>
      </c>
      <c r="C18" s="296">
        <v>25000</v>
      </c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</row>
    <row r="19" spans="1:26" x14ac:dyDescent="0.35">
      <c r="A19" s="292"/>
      <c r="B19" s="301" t="s">
        <v>84</v>
      </c>
      <c r="C19" s="302">
        <v>30000</v>
      </c>
      <c r="D19" s="303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</row>
    <row r="20" spans="1:26" x14ac:dyDescent="0.35">
      <c r="A20" s="292"/>
      <c r="B20" s="295" t="s">
        <v>305</v>
      </c>
      <c r="C20" s="296">
        <v>20000</v>
      </c>
      <c r="D20" s="303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</row>
    <row r="21" spans="1:26" x14ac:dyDescent="0.35">
      <c r="A21" s="292"/>
      <c r="B21" s="301" t="s">
        <v>305</v>
      </c>
      <c r="C21" s="302">
        <v>40000</v>
      </c>
      <c r="D21" s="303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</row>
    <row r="22" spans="1:26" x14ac:dyDescent="0.35">
      <c r="A22" s="292"/>
      <c r="B22" s="295" t="s">
        <v>302</v>
      </c>
      <c r="C22" s="296">
        <v>10000</v>
      </c>
      <c r="D22" s="303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</row>
    <row r="23" spans="1:26" x14ac:dyDescent="0.35">
      <c r="A23" s="292"/>
      <c r="B23" s="301" t="s">
        <v>302</v>
      </c>
      <c r="C23" s="302">
        <v>35000</v>
      </c>
      <c r="D23" s="303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</row>
    <row r="24" spans="1:26" x14ac:dyDescent="0.35">
      <c r="A24" s="292"/>
      <c r="B24" s="295" t="s">
        <v>306</v>
      </c>
      <c r="C24" s="296">
        <v>25000</v>
      </c>
      <c r="D24" s="303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</row>
    <row r="25" spans="1:26" x14ac:dyDescent="0.35">
      <c r="A25" s="292"/>
      <c r="B25" s="304"/>
      <c r="C25" s="305"/>
      <c r="D25" s="303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26" spans="1:26" x14ac:dyDescent="0.35">
      <c r="A26" s="292"/>
      <c r="B26" s="304"/>
      <c r="C26" s="305"/>
      <c r="D26" s="303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 spans="1:26" x14ac:dyDescent="0.35">
      <c r="A27" s="292"/>
      <c r="B27" s="303"/>
      <c r="C27" s="303"/>
      <c r="D27" s="303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</row>
    <row r="28" spans="1:26" x14ac:dyDescent="0.35">
      <c r="A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</row>
    <row r="29" spans="1:26" x14ac:dyDescent="0.35">
      <c r="A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</row>
    <row r="30" spans="1:26" x14ac:dyDescent="0.35">
      <c r="A30" s="292"/>
      <c r="B30" s="306" t="s">
        <v>65</v>
      </c>
      <c r="C30" s="306" t="s">
        <v>174</v>
      </c>
      <c r="D30" s="306" t="s">
        <v>299</v>
      </c>
      <c r="E30" s="306" t="s">
        <v>307</v>
      </c>
      <c r="F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</row>
    <row r="31" spans="1:26" x14ac:dyDescent="0.35">
      <c r="A31" s="292"/>
      <c r="B31" s="308" t="s">
        <v>88</v>
      </c>
      <c r="C31" s="309">
        <v>36526</v>
      </c>
      <c r="D31" s="309" t="s">
        <v>81</v>
      </c>
      <c r="E31" s="296">
        <v>14000</v>
      </c>
      <c r="F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</row>
    <row r="32" spans="1:26" x14ac:dyDescent="0.35">
      <c r="A32" s="292"/>
      <c r="B32" s="315" t="s">
        <v>88</v>
      </c>
      <c r="C32" s="442">
        <v>36528</v>
      </c>
      <c r="D32" s="442" t="s">
        <v>71</v>
      </c>
      <c r="E32" s="302">
        <v>16000</v>
      </c>
      <c r="F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</row>
    <row r="33" spans="1:26" x14ac:dyDescent="0.35">
      <c r="A33" s="292"/>
      <c r="B33" s="308" t="s">
        <v>303</v>
      </c>
      <c r="C33" s="309">
        <v>36533</v>
      </c>
      <c r="D33" s="309" t="s">
        <v>73</v>
      </c>
      <c r="E33" s="296">
        <v>2000</v>
      </c>
      <c r="F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</row>
    <row r="34" spans="1:26" ht="36" x14ac:dyDescent="0.35">
      <c r="A34" s="292"/>
      <c r="B34" s="308" t="s">
        <v>303</v>
      </c>
      <c r="C34" s="309">
        <v>36531</v>
      </c>
      <c r="D34" s="309" t="s">
        <v>73</v>
      </c>
      <c r="E34" s="296">
        <v>4000</v>
      </c>
      <c r="F34" s="292"/>
      <c r="G34" s="297" t="s">
        <v>308</v>
      </c>
      <c r="H34" s="307" t="s">
        <v>351</v>
      </c>
      <c r="I34" s="307" t="s">
        <v>350</v>
      </c>
      <c r="J34" s="307" t="s">
        <v>349</v>
      </c>
      <c r="K34" s="307" t="s">
        <v>348</v>
      </c>
      <c r="L34" s="307" t="s">
        <v>352</v>
      </c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</row>
    <row r="35" spans="1:26" ht="16.8" customHeight="1" x14ac:dyDescent="0.35">
      <c r="A35" s="292"/>
      <c r="B35" s="315" t="s">
        <v>303</v>
      </c>
      <c r="C35" s="442">
        <v>36537</v>
      </c>
      <c r="D35" s="442" t="s">
        <v>78</v>
      </c>
      <c r="E35" s="302">
        <v>50000</v>
      </c>
      <c r="F35" s="292"/>
      <c r="G35" s="297" t="s">
        <v>305</v>
      </c>
      <c r="H35" s="299">
        <f>LOOKUP(G35, $B$30:$B$48, $E$30:$E$48)</f>
        <v>28000</v>
      </c>
      <c r="I35" s="299">
        <f>LOOKUP(G35, $B$30:$E$48)</f>
        <v>28000</v>
      </c>
      <c r="J35" s="310" t="str">
        <f>LOOKUP(G35, $B$30:$B$48, $D$30:$D$48)</f>
        <v>South</v>
      </c>
      <c r="K35" s="310" t="str">
        <f>LOOKUP(G35, $B$30:$D$48)</f>
        <v>South</v>
      </c>
      <c r="L35" s="310">
        <f>LOOKUP(G35, $B$30:$C$48)</f>
        <v>36540</v>
      </c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</row>
    <row r="36" spans="1:26" x14ac:dyDescent="0.35">
      <c r="A36" s="292"/>
      <c r="B36" s="308" t="s">
        <v>304</v>
      </c>
      <c r="C36" s="309">
        <v>36544</v>
      </c>
      <c r="D36" s="308" t="s">
        <v>81</v>
      </c>
      <c r="E36" s="296">
        <v>18000</v>
      </c>
      <c r="F36" s="292"/>
      <c r="G36" s="297" t="s">
        <v>300</v>
      </c>
      <c r="H36" s="299">
        <f t="shared" ref="H36:H41" si="2">LOOKUP(G36, $B$30:$B$48, $E$30:$E$48)</f>
        <v>20000</v>
      </c>
      <c r="I36" s="299">
        <f t="shared" ref="I36:I41" si="3">LOOKUP(G36, $B$30:$E$48)</f>
        <v>20000</v>
      </c>
      <c r="J36" s="310" t="str">
        <f t="shared" ref="J36:J41" si="4">LOOKUP(G36, $B$30:$B$48, $D$30:$D$48)</f>
        <v>South</v>
      </c>
      <c r="K36" s="310" t="str">
        <f t="shared" ref="K36:K41" si="5">LOOKUP(G36, $B$30:$D$48)</f>
        <v>South</v>
      </c>
      <c r="L36" s="310">
        <f t="shared" ref="L36:L41" si="6">LOOKUP(G36, $B$30:$C$48)</f>
        <v>36538</v>
      </c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</row>
    <row r="37" spans="1:26" x14ac:dyDescent="0.35">
      <c r="A37" s="292"/>
      <c r="B37" s="308" t="s">
        <v>304</v>
      </c>
      <c r="C37" s="309">
        <v>36538</v>
      </c>
      <c r="D37" s="309" t="s">
        <v>71</v>
      </c>
      <c r="E37" s="296">
        <v>30000</v>
      </c>
      <c r="F37" s="292"/>
      <c r="G37" s="297" t="s">
        <v>303</v>
      </c>
      <c r="H37" s="299">
        <f t="shared" si="2"/>
        <v>50000</v>
      </c>
      <c r="I37" s="299">
        <f t="shared" si="3"/>
        <v>50000</v>
      </c>
      <c r="J37" s="310" t="str">
        <f t="shared" si="4"/>
        <v>West</v>
      </c>
      <c r="K37" s="310" t="str">
        <f t="shared" si="5"/>
        <v>West</v>
      </c>
      <c r="L37" s="310">
        <f t="shared" si="6"/>
        <v>36537</v>
      </c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</row>
    <row r="38" spans="1:26" x14ac:dyDescent="0.35">
      <c r="A38" s="292"/>
      <c r="B38" s="308" t="s">
        <v>309</v>
      </c>
      <c r="C38" s="309">
        <v>36542</v>
      </c>
      <c r="D38" s="309" t="s">
        <v>73</v>
      </c>
      <c r="E38" s="296">
        <v>6000</v>
      </c>
      <c r="F38" s="292"/>
      <c r="G38" s="297" t="s">
        <v>310</v>
      </c>
      <c r="H38" s="299">
        <f t="shared" si="2"/>
        <v>42000</v>
      </c>
      <c r="I38" s="299">
        <f t="shared" si="3"/>
        <v>42000</v>
      </c>
      <c r="J38" s="310" t="str">
        <f t="shared" si="4"/>
        <v>West</v>
      </c>
      <c r="K38" s="310" t="str">
        <f t="shared" si="5"/>
        <v>West</v>
      </c>
      <c r="L38" s="310">
        <f t="shared" si="6"/>
        <v>36529</v>
      </c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</row>
    <row r="39" spans="1:26" ht="21.6" customHeight="1" x14ac:dyDescent="0.35">
      <c r="A39" s="292"/>
      <c r="B39" s="315" t="s">
        <v>309</v>
      </c>
      <c r="C39" s="442">
        <v>36532</v>
      </c>
      <c r="D39" s="442" t="s">
        <v>78</v>
      </c>
      <c r="E39" s="302">
        <v>38000</v>
      </c>
      <c r="F39" s="292"/>
      <c r="G39" s="297" t="s">
        <v>316</v>
      </c>
      <c r="H39" s="299">
        <f t="shared" si="2"/>
        <v>16000</v>
      </c>
      <c r="I39" s="299">
        <f t="shared" si="3"/>
        <v>16000</v>
      </c>
      <c r="J39" s="310" t="str">
        <f t="shared" si="4"/>
        <v>South</v>
      </c>
      <c r="K39" s="310" t="str">
        <f t="shared" si="5"/>
        <v>South</v>
      </c>
      <c r="L39" s="310">
        <f t="shared" si="6"/>
        <v>36528</v>
      </c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</row>
    <row r="40" spans="1:26" x14ac:dyDescent="0.35">
      <c r="A40" s="292"/>
      <c r="B40" s="315" t="s">
        <v>300</v>
      </c>
      <c r="C40" s="442">
        <v>36538</v>
      </c>
      <c r="D40" s="442" t="s">
        <v>71</v>
      </c>
      <c r="E40" s="302">
        <v>20000</v>
      </c>
      <c r="F40" s="292"/>
      <c r="G40" s="297" t="s">
        <v>302</v>
      </c>
      <c r="H40" s="299">
        <f t="shared" si="2"/>
        <v>25000</v>
      </c>
      <c r="I40" s="299">
        <f t="shared" si="3"/>
        <v>25000</v>
      </c>
      <c r="J40" s="310" t="str">
        <f t="shared" si="4"/>
        <v>North</v>
      </c>
      <c r="K40" s="310" t="str">
        <f t="shared" si="5"/>
        <v>North</v>
      </c>
      <c r="L40" s="310">
        <f t="shared" si="6"/>
        <v>36535</v>
      </c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</row>
    <row r="41" spans="1:26" x14ac:dyDescent="0.35">
      <c r="A41" s="292"/>
      <c r="B41" s="315" t="s">
        <v>310</v>
      </c>
      <c r="C41" s="442">
        <v>36529</v>
      </c>
      <c r="D41" s="442" t="s">
        <v>78</v>
      </c>
      <c r="E41" s="302">
        <v>42000</v>
      </c>
      <c r="F41" s="292"/>
      <c r="G41" s="297" t="s">
        <v>309</v>
      </c>
      <c r="H41" s="299">
        <f t="shared" si="2"/>
        <v>38000</v>
      </c>
      <c r="I41" s="299">
        <f t="shared" si="3"/>
        <v>38000</v>
      </c>
      <c r="J41" s="310" t="str">
        <f t="shared" si="4"/>
        <v>West</v>
      </c>
      <c r="K41" s="310" t="str">
        <f t="shared" si="5"/>
        <v>West</v>
      </c>
      <c r="L41" s="310">
        <f t="shared" si="6"/>
        <v>36532</v>
      </c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</row>
    <row r="42" spans="1:26" x14ac:dyDescent="0.35">
      <c r="A42" s="292"/>
      <c r="B42" s="308" t="s">
        <v>301</v>
      </c>
      <c r="C42" s="309">
        <v>36535</v>
      </c>
      <c r="D42" s="309" t="s">
        <v>73</v>
      </c>
      <c r="E42" s="296">
        <v>8000</v>
      </c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</row>
    <row r="43" spans="1:26" x14ac:dyDescent="0.35">
      <c r="A43" s="292"/>
      <c r="B43" s="308" t="s">
        <v>301</v>
      </c>
      <c r="C43" s="309">
        <v>36545</v>
      </c>
      <c r="D43" s="308" t="s">
        <v>81</v>
      </c>
      <c r="E43" s="296">
        <v>20000</v>
      </c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</row>
    <row r="44" spans="1:26" x14ac:dyDescent="0.35">
      <c r="A44" s="292"/>
      <c r="B44" s="308" t="s">
        <v>301</v>
      </c>
      <c r="C44" s="309">
        <v>36547</v>
      </c>
      <c r="D44" s="308" t="s">
        <v>78</v>
      </c>
      <c r="E44" s="296">
        <v>40000</v>
      </c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</row>
    <row r="45" spans="1:26" x14ac:dyDescent="0.35">
      <c r="A45" s="292"/>
      <c r="B45" s="308" t="s">
        <v>305</v>
      </c>
      <c r="C45" s="309">
        <v>36531</v>
      </c>
      <c r="D45" s="309" t="s">
        <v>73</v>
      </c>
      <c r="E45" s="296">
        <v>10000</v>
      </c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</row>
    <row r="46" spans="1:26" x14ac:dyDescent="0.35">
      <c r="A46" s="292"/>
      <c r="B46" s="316" t="s">
        <v>305</v>
      </c>
      <c r="C46" s="443">
        <v>36540</v>
      </c>
      <c r="D46" s="443" t="s">
        <v>71</v>
      </c>
      <c r="E46" s="302">
        <v>28000</v>
      </c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</row>
    <row r="47" spans="1:26" x14ac:dyDescent="0.35">
      <c r="A47" s="292"/>
      <c r="B47" s="317" t="s">
        <v>302</v>
      </c>
      <c r="C47" s="444">
        <v>36535</v>
      </c>
      <c r="D47" s="444" t="s">
        <v>81</v>
      </c>
      <c r="E47" s="302">
        <v>25000</v>
      </c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</row>
    <row r="48" spans="1:26" x14ac:dyDescent="0.35">
      <c r="A48" s="292"/>
      <c r="B48" s="308" t="s">
        <v>306</v>
      </c>
      <c r="C48" s="309">
        <v>36536</v>
      </c>
      <c r="D48" s="309" t="s">
        <v>78</v>
      </c>
      <c r="E48" s="296">
        <v>36000</v>
      </c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</row>
    <row r="49" spans="1:26" x14ac:dyDescent="0.35">
      <c r="A49" s="292"/>
      <c r="B49" s="294"/>
      <c r="C49" s="313"/>
      <c r="D49" s="313"/>
      <c r="E49" s="314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</row>
    <row r="50" spans="1:26" x14ac:dyDescent="0.35">
      <c r="A50" s="292"/>
      <c r="B50" s="294"/>
      <c r="C50" s="313"/>
      <c r="D50" s="313"/>
      <c r="E50" s="314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</row>
    <row r="51" spans="1:26" x14ac:dyDescent="0.35">
      <c r="A51" s="292"/>
      <c r="B51" s="294"/>
      <c r="C51" s="313"/>
      <c r="D51" s="294"/>
      <c r="E51" s="314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</row>
    <row r="52" spans="1:26" ht="36" x14ac:dyDescent="0.35">
      <c r="A52" s="292"/>
      <c r="B52" s="445" t="s">
        <v>65</v>
      </c>
      <c r="C52" s="315" t="s">
        <v>88</v>
      </c>
      <c r="D52" s="315" t="s">
        <v>88</v>
      </c>
      <c r="E52" s="315" t="s">
        <v>303</v>
      </c>
      <c r="F52" s="315" t="s">
        <v>303</v>
      </c>
      <c r="G52" s="315" t="s">
        <v>303</v>
      </c>
      <c r="H52" s="315" t="s">
        <v>304</v>
      </c>
      <c r="I52" s="315" t="s">
        <v>304</v>
      </c>
      <c r="J52" s="315" t="s">
        <v>309</v>
      </c>
      <c r="K52" s="315" t="s">
        <v>309</v>
      </c>
      <c r="L52" s="315" t="s">
        <v>300</v>
      </c>
      <c r="M52" s="315" t="s">
        <v>310</v>
      </c>
      <c r="N52" s="315" t="s">
        <v>301</v>
      </c>
      <c r="O52" s="315" t="s">
        <v>301</v>
      </c>
      <c r="P52" s="315" t="s">
        <v>301</v>
      </c>
      <c r="Q52" s="315" t="s">
        <v>305</v>
      </c>
      <c r="R52" s="316" t="s">
        <v>305</v>
      </c>
      <c r="S52" s="317" t="s">
        <v>302</v>
      </c>
      <c r="T52" s="315" t="s">
        <v>306</v>
      </c>
      <c r="U52" s="292"/>
      <c r="V52" s="292"/>
      <c r="W52" s="292"/>
      <c r="X52" s="292"/>
      <c r="Y52" s="292"/>
      <c r="Z52" s="292"/>
    </row>
    <row r="53" spans="1:26" ht="23.4" x14ac:dyDescent="0.35">
      <c r="A53" s="292"/>
      <c r="B53" s="445" t="s">
        <v>174</v>
      </c>
      <c r="C53" s="309">
        <v>36526</v>
      </c>
      <c r="D53" s="309">
        <v>36528</v>
      </c>
      <c r="E53" s="309">
        <v>36533</v>
      </c>
      <c r="F53" s="309">
        <v>36531</v>
      </c>
      <c r="G53" s="309">
        <v>36537</v>
      </c>
      <c r="H53" s="309">
        <v>36544</v>
      </c>
      <c r="I53" s="309">
        <v>36538</v>
      </c>
      <c r="J53" s="309">
        <v>36542</v>
      </c>
      <c r="K53" s="309">
        <v>36532</v>
      </c>
      <c r="L53" s="309">
        <v>36538</v>
      </c>
      <c r="M53" s="309">
        <v>36529</v>
      </c>
      <c r="N53" s="309">
        <v>36535</v>
      </c>
      <c r="O53" s="309">
        <v>36545</v>
      </c>
      <c r="P53" s="309">
        <v>36547</v>
      </c>
      <c r="Q53" s="309">
        <v>36531</v>
      </c>
      <c r="R53" s="311">
        <v>36540</v>
      </c>
      <c r="S53" s="312">
        <v>36535</v>
      </c>
      <c r="T53" s="309">
        <v>36536</v>
      </c>
      <c r="U53" s="292"/>
      <c r="V53" s="292"/>
      <c r="W53" s="292"/>
      <c r="X53" s="292"/>
      <c r="Y53" s="292"/>
      <c r="Z53" s="292"/>
    </row>
    <row r="54" spans="1:26" ht="23.4" x14ac:dyDescent="0.35">
      <c r="A54" s="292"/>
      <c r="B54" s="445" t="s">
        <v>299</v>
      </c>
      <c r="C54" s="309" t="s">
        <v>81</v>
      </c>
      <c r="D54" s="309" t="s">
        <v>71</v>
      </c>
      <c r="E54" s="309" t="s">
        <v>73</v>
      </c>
      <c r="F54" s="309" t="s">
        <v>73</v>
      </c>
      <c r="G54" s="309" t="s">
        <v>78</v>
      </c>
      <c r="H54" s="308" t="s">
        <v>81</v>
      </c>
      <c r="I54" s="309" t="s">
        <v>71</v>
      </c>
      <c r="J54" s="309" t="s">
        <v>73</v>
      </c>
      <c r="K54" s="309" t="s">
        <v>78</v>
      </c>
      <c r="L54" s="309" t="s">
        <v>71</v>
      </c>
      <c r="M54" s="309" t="s">
        <v>78</v>
      </c>
      <c r="N54" s="309" t="s">
        <v>73</v>
      </c>
      <c r="O54" s="308" t="s">
        <v>81</v>
      </c>
      <c r="P54" s="308" t="s">
        <v>78</v>
      </c>
      <c r="Q54" s="309" t="s">
        <v>73</v>
      </c>
      <c r="R54" s="311" t="s">
        <v>71</v>
      </c>
      <c r="S54" s="312" t="s">
        <v>81</v>
      </c>
      <c r="T54" s="309" t="s">
        <v>78</v>
      </c>
      <c r="U54" s="292"/>
      <c r="V54" s="292"/>
      <c r="W54" s="292"/>
      <c r="X54" s="292"/>
      <c r="Y54" s="292"/>
      <c r="Z54" s="292"/>
    </row>
    <row r="55" spans="1:26" ht="23.4" x14ac:dyDescent="0.35">
      <c r="A55" s="292"/>
      <c r="B55" s="445" t="s">
        <v>307</v>
      </c>
      <c r="C55" s="296">
        <v>14000</v>
      </c>
      <c r="D55" s="296">
        <v>16000</v>
      </c>
      <c r="E55" s="296">
        <v>2000</v>
      </c>
      <c r="F55" s="296">
        <v>4000</v>
      </c>
      <c r="G55" s="296">
        <v>50000</v>
      </c>
      <c r="H55" s="296">
        <v>18000</v>
      </c>
      <c r="I55" s="296">
        <v>30000</v>
      </c>
      <c r="J55" s="296">
        <v>6000</v>
      </c>
      <c r="K55" s="296">
        <v>38000</v>
      </c>
      <c r="L55" s="296">
        <v>20000</v>
      </c>
      <c r="M55" s="296">
        <v>42000</v>
      </c>
      <c r="N55" s="296">
        <v>8000</v>
      </c>
      <c r="O55" s="296">
        <v>20000</v>
      </c>
      <c r="P55" s="296">
        <v>40000</v>
      </c>
      <c r="Q55" s="296">
        <v>10000</v>
      </c>
      <c r="R55" s="296">
        <v>28000</v>
      </c>
      <c r="S55" s="296">
        <v>25000</v>
      </c>
      <c r="T55" s="296">
        <v>36000</v>
      </c>
      <c r="U55" s="292"/>
      <c r="V55" s="292"/>
      <c r="W55" s="292"/>
      <c r="X55" s="292"/>
      <c r="Y55" s="292"/>
      <c r="Z55" s="292"/>
    </row>
    <row r="56" spans="1:26" x14ac:dyDescent="0.35">
      <c r="A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</row>
    <row r="57" spans="1:26" x14ac:dyDescent="0.35">
      <c r="A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</row>
    <row r="58" spans="1:26" ht="36" x14ac:dyDescent="0.35">
      <c r="A58" s="292"/>
      <c r="B58" s="297" t="s">
        <v>308</v>
      </c>
      <c r="C58" s="297" t="s">
        <v>305</v>
      </c>
      <c r="D58" s="297" t="s">
        <v>300</v>
      </c>
      <c r="E58" s="297" t="s">
        <v>303</v>
      </c>
      <c r="F58" s="297" t="s">
        <v>310</v>
      </c>
      <c r="G58" s="297" t="s">
        <v>316</v>
      </c>
      <c r="H58" s="297" t="s">
        <v>302</v>
      </c>
      <c r="I58" s="297" t="s">
        <v>309</v>
      </c>
      <c r="J58" s="661" t="s">
        <v>317</v>
      </c>
      <c r="K58" s="661"/>
      <c r="L58" s="661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</row>
    <row r="59" spans="1:26" ht="36" x14ac:dyDescent="0.35">
      <c r="A59" s="292"/>
      <c r="B59" s="307" t="s">
        <v>312</v>
      </c>
      <c r="C59" s="299"/>
      <c r="D59" s="299"/>
      <c r="E59" s="299"/>
      <c r="F59" s="299"/>
      <c r="G59" s="299"/>
      <c r="H59" s="299"/>
      <c r="I59" s="299"/>
      <c r="J59" s="661"/>
      <c r="K59" s="661"/>
      <c r="L59" s="661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</row>
    <row r="60" spans="1:26" ht="36" x14ac:dyDescent="0.35">
      <c r="A60" s="292"/>
      <c r="B60" s="307" t="s">
        <v>313</v>
      </c>
      <c r="C60" s="299"/>
      <c r="D60" s="299"/>
      <c r="E60" s="299"/>
      <c r="F60" s="299"/>
      <c r="G60" s="299"/>
      <c r="H60" s="299"/>
      <c r="I60" s="299"/>
      <c r="J60" s="661"/>
      <c r="K60" s="661"/>
      <c r="L60" s="661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</row>
    <row r="61" spans="1:26" ht="54" x14ac:dyDescent="0.35">
      <c r="A61" s="292"/>
      <c r="B61" s="307" t="s">
        <v>314</v>
      </c>
      <c r="C61" s="310"/>
      <c r="D61" s="310"/>
      <c r="E61" s="310"/>
      <c r="F61" s="310"/>
      <c r="G61" s="310"/>
      <c r="H61" s="310"/>
      <c r="I61" s="310"/>
      <c r="J61" s="661"/>
      <c r="K61" s="661"/>
      <c r="L61" s="661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</row>
    <row r="62" spans="1:26" ht="36" x14ac:dyDescent="0.35">
      <c r="A62" s="292"/>
      <c r="B62" s="307" t="s">
        <v>315</v>
      </c>
      <c r="C62" s="310"/>
      <c r="D62" s="310"/>
      <c r="E62" s="310"/>
      <c r="F62" s="310"/>
      <c r="G62" s="310"/>
      <c r="H62" s="310"/>
      <c r="I62" s="310"/>
      <c r="J62" s="661"/>
      <c r="K62" s="661"/>
      <c r="L62" s="661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</row>
    <row r="63" spans="1:26" x14ac:dyDescent="0.35">
      <c r="A63" s="292"/>
      <c r="B63" s="292"/>
      <c r="C63" s="292"/>
      <c r="D63" s="292"/>
      <c r="E63" s="292"/>
      <c r="F63" s="292"/>
      <c r="G63" s="292"/>
      <c r="H63" s="292"/>
      <c r="I63" s="292"/>
      <c r="J63" s="661"/>
      <c r="K63" s="661"/>
      <c r="L63" s="661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</row>
    <row r="64" spans="1:26" x14ac:dyDescent="0.35">
      <c r="A64" s="292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</row>
    <row r="65" spans="1:26" x14ac:dyDescent="0.35">
      <c r="A65" s="292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</row>
    <row r="66" spans="1:26" x14ac:dyDescent="0.35">
      <c r="A66" s="292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</row>
    <row r="67" spans="1:26" x14ac:dyDescent="0.35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</row>
    <row r="68" spans="1:26" x14ac:dyDescent="0.35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</row>
    <row r="69" spans="1:26" x14ac:dyDescent="0.35">
      <c r="A69" s="292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</row>
    <row r="70" spans="1:26" x14ac:dyDescent="0.35">
      <c r="A70" s="292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</row>
    <row r="71" spans="1:26" x14ac:dyDescent="0.35">
      <c r="A71" s="292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</row>
    <row r="72" spans="1:26" x14ac:dyDescent="0.35">
      <c r="A72" s="292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</row>
    <row r="73" spans="1:26" x14ac:dyDescent="0.35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</row>
    <row r="74" spans="1:26" x14ac:dyDescent="0.35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</row>
    <row r="75" spans="1:26" x14ac:dyDescent="0.35">
      <c r="A75" s="292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</row>
    <row r="76" spans="1:26" x14ac:dyDescent="0.35">
      <c r="A76" s="292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</row>
    <row r="77" spans="1:26" x14ac:dyDescent="0.35">
      <c r="A77" s="292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</row>
    <row r="78" spans="1:26" x14ac:dyDescent="0.35">
      <c r="A78" s="292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</row>
    <row r="79" spans="1:26" x14ac:dyDescent="0.35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</row>
    <row r="80" spans="1:26" x14ac:dyDescent="0.35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</row>
    <row r="81" spans="1:26" x14ac:dyDescent="0.35">
      <c r="A81" s="292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</row>
    <row r="82" spans="1:26" x14ac:dyDescent="0.35">
      <c r="A82" s="292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</row>
    <row r="83" spans="1:26" x14ac:dyDescent="0.35">
      <c r="A83" s="292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</row>
    <row r="84" spans="1:26" x14ac:dyDescent="0.35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</row>
    <row r="85" spans="1:26" x14ac:dyDescent="0.35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</row>
    <row r="86" spans="1:26" x14ac:dyDescent="0.35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</row>
    <row r="87" spans="1:26" x14ac:dyDescent="0.35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</row>
    <row r="88" spans="1:26" x14ac:dyDescent="0.35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</row>
    <row r="89" spans="1:26" x14ac:dyDescent="0.35">
      <c r="A89" s="292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</row>
    <row r="90" spans="1:26" x14ac:dyDescent="0.35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</row>
    <row r="91" spans="1:26" x14ac:dyDescent="0.35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</row>
    <row r="92" spans="1:26" x14ac:dyDescent="0.35">
      <c r="A92" s="292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</row>
    <row r="93" spans="1:26" x14ac:dyDescent="0.35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</row>
    <row r="94" spans="1:26" x14ac:dyDescent="0.35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  <c r="Z94" s="292"/>
    </row>
    <row r="95" spans="1:26" x14ac:dyDescent="0.35">
      <c r="A95" s="292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</row>
    <row r="96" spans="1:26" x14ac:dyDescent="0.35">
      <c r="A96" s="292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</row>
    <row r="97" spans="1:26" x14ac:dyDescent="0.35">
      <c r="A97" s="292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</row>
    <row r="98" spans="1:26" x14ac:dyDescent="0.35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</row>
    <row r="99" spans="1:26" x14ac:dyDescent="0.35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</row>
    <row r="100" spans="1:26" x14ac:dyDescent="0.35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</row>
    <row r="101" spans="1:26" x14ac:dyDescent="0.35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</row>
    <row r="102" spans="1:26" x14ac:dyDescent="0.35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</row>
    <row r="103" spans="1:26" x14ac:dyDescent="0.35">
      <c r="A103" s="292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</row>
    <row r="104" spans="1:26" x14ac:dyDescent="0.35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</row>
    <row r="105" spans="1:26" x14ac:dyDescent="0.35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  <c r="Z105" s="292"/>
    </row>
    <row r="106" spans="1:26" x14ac:dyDescent="0.35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</row>
    <row r="107" spans="1:26" x14ac:dyDescent="0.35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</row>
    <row r="108" spans="1:26" x14ac:dyDescent="0.35">
      <c r="A108" s="292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</row>
    <row r="109" spans="1:26" x14ac:dyDescent="0.35">
      <c r="A109" s="292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</row>
    <row r="110" spans="1:26" x14ac:dyDescent="0.35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</row>
    <row r="111" spans="1:26" x14ac:dyDescent="0.35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</row>
    <row r="112" spans="1:26" x14ac:dyDescent="0.35">
      <c r="A112" s="292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  <c r="X112" s="292"/>
      <c r="Y112" s="292"/>
      <c r="Z112" s="292"/>
    </row>
    <row r="113" spans="1:26" x14ac:dyDescent="0.35">
      <c r="A113" s="292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  <c r="X113" s="292"/>
      <c r="Y113" s="292"/>
      <c r="Z113" s="292"/>
    </row>
    <row r="114" spans="1:26" x14ac:dyDescent="0.35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</row>
    <row r="115" spans="1:26" x14ac:dyDescent="0.35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</row>
    <row r="116" spans="1:26" x14ac:dyDescent="0.35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</row>
    <row r="117" spans="1:26" x14ac:dyDescent="0.35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</row>
    <row r="118" spans="1:26" x14ac:dyDescent="0.35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</row>
    <row r="119" spans="1:26" x14ac:dyDescent="0.35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</row>
    <row r="120" spans="1:26" x14ac:dyDescent="0.35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</row>
    <row r="121" spans="1:26" x14ac:dyDescent="0.35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  <c r="X121" s="292"/>
      <c r="Y121" s="292"/>
      <c r="Z121" s="292"/>
    </row>
    <row r="122" spans="1:26" x14ac:dyDescent="0.35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</row>
    <row r="123" spans="1:26" x14ac:dyDescent="0.35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</row>
    <row r="124" spans="1:26" x14ac:dyDescent="0.35">
      <c r="A124" s="292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</row>
    <row r="125" spans="1:26" x14ac:dyDescent="0.35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</row>
    <row r="126" spans="1:26" x14ac:dyDescent="0.35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</row>
    <row r="127" spans="1:26" x14ac:dyDescent="0.35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</row>
    <row r="128" spans="1:26" x14ac:dyDescent="0.35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</row>
    <row r="129" spans="1:26" x14ac:dyDescent="0.35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</row>
    <row r="130" spans="1:26" x14ac:dyDescent="0.35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</row>
    <row r="131" spans="1:26" x14ac:dyDescent="0.35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</row>
    <row r="132" spans="1:26" x14ac:dyDescent="0.35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</row>
    <row r="133" spans="1:26" x14ac:dyDescent="0.35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  <c r="X133" s="292"/>
      <c r="Y133" s="292"/>
      <c r="Z133" s="292"/>
    </row>
    <row r="134" spans="1:26" x14ac:dyDescent="0.35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</row>
    <row r="135" spans="1:26" x14ac:dyDescent="0.35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</row>
    <row r="136" spans="1:26" x14ac:dyDescent="0.35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</row>
    <row r="137" spans="1:26" x14ac:dyDescent="0.35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  <c r="X137" s="292"/>
      <c r="Y137" s="292"/>
      <c r="Z137" s="292"/>
    </row>
    <row r="138" spans="1:26" x14ac:dyDescent="0.35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  <c r="X138" s="292"/>
      <c r="Y138" s="292"/>
      <c r="Z138" s="292"/>
    </row>
    <row r="139" spans="1:26" x14ac:dyDescent="0.35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</row>
    <row r="140" spans="1:26" x14ac:dyDescent="0.35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</row>
    <row r="141" spans="1:26" x14ac:dyDescent="0.35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</row>
    <row r="142" spans="1:26" x14ac:dyDescent="0.35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</row>
    <row r="143" spans="1:26" x14ac:dyDescent="0.35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</row>
    <row r="144" spans="1:26" x14ac:dyDescent="0.35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  <c r="X144" s="292"/>
      <c r="Y144" s="292"/>
      <c r="Z144" s="292"/>
    </row>
    <row r="145" spans="1:26" x14ac:dyDescent="0.35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</row>
    <row r="146" spans="1:26" x14ac:dyDescent="0.35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</row>
    <row r="147" spans="1:26" x14ac:dyDescent="0.35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</row>
    <row r="148" spans="1:26" x14ac:dyDescent="0.35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</row>
    <row r="149" spans="1:26" x14ac:dyDescent="0.35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</row>
    <row r="150" spans="1:26" x14ac:dyDescent="0.35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  <c r="X150" s="292"/>
      <c r="Y150" s="292"/>
      <c r="Z150" s="292"/>
    </row>
    <row r="151" spans="1:26" x14ac:dyDescent="0.35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  <c r="X151" s="292"/>
      <c r="Y151" s="292"/>
      <c r="Z151" s="292"/>
    </row>
    <row r="152" spans="1:26" x14ac:dyDescent="0.35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  <c r="X152" s="292"/>
      <c r="Y152" s="292"/>
      <c r="Z152" s="292"/>
    </row>
    <row r="153" spans="1:26" x14ac:dyDescent="0.35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</row>
    <row r="154" spans="1:26" x14ac:dyDescent="0.35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</row>
    <row r="155" spans="1:26" x14ac:dyDescent="0.3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</row>
    <row r="156" spans="1:26" x14ac:dyDescent="0.35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</row>
    <row r="157" spans="1:26" x14ac:dyDescent="0.35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</row>
    <row r="158" spans="1:26" x14ac:dyDescent="0.35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  <c r="X158" s="292"/>
      <c r="Y158" s="292"/>
      <c r="Z158" s="292"/>
    </row>
    <row r="159" spans="1:26" x14ac:dyDescent="0.35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</row>
    <row r="160" spans="1:26" x14ac:dyDescent="0.35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</row>
    <row r="161" spans="1:26" x14ac:dyDescent="0.35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</row>
    <row r="162" spans="1:26" x14ac:dyDescent="0.35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</row>
    <row r="163" spans="1:26" x14ac:dyDescent="0.35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</row>
    <row r="164" spans="1:26" x14ac:dyDescent="0.35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</row>
    <row r="165" spans="1:26" x14ac:dyDescent="0.3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</row>
    <row r="166" spans="1:26" x14ac:dyDescent="0.35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</row>
    <row r="167" spans="1:26" x14ac:dyDescent="0.35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</row>
    <row r="168" spans="1:26" x14ac:dyDescent="0.35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</row>
    <row r="169" spans="1:26" x14ac:dyDescent="0.35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</row>
    <row r="170" spans="1:26" x14ac:dyDescent="0.35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</row>
    <row r="171" spans="1:26" x14ac:dyDescent="0.35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</row>
    <row r="172" spans="1:26" x14ac:dyDescent="0.35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</row>
    <row r="173" spans="1:26" x14ac:dyDescent="0.35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  <c r="X173" s="292"/>
      <c r="Y173" s="292"/>
      <c r="Z173" s="292"/>
    </row>
    <row r="174" spans="1:26" x14ac:dyDescent="0.35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</row>
    <row r="175" spans="1:26" x14ac:dyDescent="0.35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</row>
    <row r="176" spans="1:26" x14ac:dyDescent="0.35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</row>
    <row r="177" spans="1:26" x14ac:dyDescent="0.35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</row>
    <row r="178" spans="1:26" x14ac:dyDescent="0.35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</row>
    <row r="179" spans="1:26" x14ac:dyDescent="0.35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</row>
    <row r="180" spans="1:26" x14ac:dyDescent="0.35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</row>
    <row r="181" spans="1:26" x14ac:dyDescent="0.35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</row>
    <row r="182" spans="1:26" x14ac:dyDescent="0.35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</row>
    <row r="183" spans="1:26" x14ac:dyDescent="0.35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</row>
    <row r="184" spans="1:26" x14ac:dyDescent="0.35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</row>
    <row r="185" spans="1:26" x14ac:dyDescent="0.35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</row>
    <row r="186" spans="1:26" x14ac:dyDescent="0.35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</row>
    <row r="187" spans="1:26" x14ac:dyDescent="0.35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</row>
    <row r="188" spans="1:26" x14ac:dyDescent="0.35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</row>
    <row r="189" spans="1:26" x14ac:dyDescent="0.35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</row>
    <row r="190" spans="1:26" x14ac:dyDescent="0.35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</row>
    <row r="191" spans="1:26" x14ac:dyDescent="0.35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</row>
    <row r="192" spans="1:26" x14ac:dyDescent="0.35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</row>
    <row r="193" spans="1:26" x14ac:dyDescent="0.35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</row>
    <row r="194" spans="1:26" x14ac:dyDescent="0.35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</row>
    <row r="195" spans="1:26" x14ac:dyDescent="0.35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</row>
    <row r="196" spans="1:26" x14ac:dyDescent="0.35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</row>
    <row r="197" spans="1:26" x14ac:dyDescent="0.35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</row>
    <row r="198" spans="1:26" x14ac:dyDescent="0.35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</row>
    <row r="199" spans="1:26" x14ac:dyDescent="0.35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</row>
    <row r="200" spans="1:26" x14ac:dyDescent="0.35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</row>
    <row r="201" spans="1:26" x14ac:dyDescent="0.35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</row>
    <row r="202" spans="1:26" x14ac:dyDescent="0.35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</row>
    <row r="203" spans="1:26" x14ac:dyDescent="0.35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</row>
    <row r="204" spans="1:26" x14ac:dyDescent="0.35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</row>
    <row r="205" spans="1:26" x14ac:dyDescent="0.35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</row>
    <row r="206" spans="1:26" x14ac:dyDescent="0.35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</row>
    <row r="207" spans="1:26" x14ac:dyDescent="0.35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</row>
    <row r="208" spans="1:26" x14ac:dyDescent="0.35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</row>
    <row r="209" spans="1:26" x14ac:dyDescent="0.3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</row>
    <row r="210" spans="1:26" x14ac:dyDescent="0.35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</row>
    <row r="211" spans="1:26" x14ac:dyDescent="0.35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</row>
    <row r="212" spans="1:26" x14ac:dyDescent="0.35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</row>
    <row r="213" spans="1:26" x14ac:dyDescent="0.35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</row>
    <row r="214" spans="1:26" x14ac:dyDescent="0.35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</row>
    <row r="215" spans="1:26" x14ac:dyDescent="0.3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</row>
    <row r="216" spans="1:26" x14ac:dyDescent="0.35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</row>
    <row r="217" spans="1:26" x14ac:dyDescent="0.35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</row>
    <row r="218" spans="1:26" x14ac:dyDescent="0.35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</row>
    <row r="219" spans="1:26" x14ac:dyDescent="0.35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</row>
    <row r="220" spans="1:26" x14ac:dyDescent="0.35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</row>
    <row r="221" spans="1:26" x14ac:dyDescent="0.35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</row>
    <row r="222" spans="1:26" x14ac:dyDescent="0.35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</row>
    <row r="223" spans="1:26" x14ac:dyDescent="0.35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</row>
    <row r="224" spans="1:26" x14ac:dyDescent="0.35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</row>
    <row r="225" spans="1:26" x14ac:dyDescent="0.3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</row>
    <row r="226" spans="1:26" x14ac:dyDescent="0.35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</row>
    <row r="227" spans="1:26" x14ac:dyDescent="0.35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</row>
    <row r="228" spans="1:26" x14ac:dyDescent="0.35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</row>
    <row r="229" spans="1:26" x14ac:dyDescent="0.35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</row>
    <row r="230" spans="1:26" x14ac:dyDescent="0.35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</row>
    <row r="231" spans="1:26" x14ac:dyDescent="0.35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</row>
    <row r="232" spans="1:26" x14ac:dyDescent="0.35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</row>
    <row r="233" spans="1:26" x14ac:dyDescent="0.35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</row>
    <row r="234" spans="1:26" x14ac:dyDescent="0.35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</row>
    <row r="235" spans="1:26" x14ac:dyDescent="0.3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</row>
    <row r="236" spans="1:26" x14ac:dyDescent="0.35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</row>
    <row r="237" spans="1:26" x14ac:dyDescent="0.35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</row>
    <row r="238" spans="1:26" x14ac:dyDescent="0.35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</row>
    <row r="239" spans="1:26" x14ac:dyDescent="0.35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</row>
    <row r="240" spans="1:26" x14ac:dyDescent="0.35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</row>
    <row r="241" spans="1:26" x14ac:dyDescent="0.35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</row>
    <row r="242" spans="1:26" x14ac:dyDescent="0.35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</row>
    <row r="243" spans="1:26" x14ac:dyDescent="0.35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</row>
    <row r="244" spans="1:26" x14ac:dyDescent="0.35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</row>
    <row r="245" spans="1:26" x14ac:dyDescent="0.3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</row>
    <row r="246" spans="1:26" x14ac:dyDescent="0.35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</row>
    <row r="247" spans="1:26" x14ac:dyDescent="0.35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</row>
    <row r="248" spans="1:26" x14ac:dyDescent="0.35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</row>
    <row r="249" spans="1:26" x14ac:dyDescent="0.35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</row>
    <row r="250" spans="1:26" x14ac:dyDescent="0.35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</row>
    <row r="251" spans="1:26" x14ac:dyDescent="0.35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</row>
    <row r="252" spans="1:26" x14ac:dyDescent="0.35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</row>
    <row r="253" spans="1:26" x14ac:dyDescent="0.35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</row>
    <row r="254" spans="1:26" x14ac:dyDescent="0.35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</row>
    <row r="255" spans="1:26" x14ac:dyDescent="0.3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</row>
    <row r="256" spans="1:26" x14ac:dyDescent="0.35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</row>
    <row r="257" spans="1:26" x14ac:dyDescent="0.35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</row>
    <row r="258" spans="1:26" x14ac:dyDescent="0.35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</row>
    <row r="259" spans="1:26" x14ac:dyDescent="0.35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</row>
    <row r="260" spans="1:26" x14ac:dyDescent="0.35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</row>
    <row r="261" spans="1:26" x14ac:dyDescent="0.35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</row>
    <row r="262" spans="1:26" x14ac:dyDescent="0.35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</row>
    <row r="263" spans="1:26" x14ac:dyDescent="0.35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</row>
    <row r="264" spans="1:26" x14ac:dyDescent="0.35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</row>
    <row r="265" spans="1:26" x14ac:dyDescent="0.3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</row>
    <row r="266" spans="1:26" x14ac:dyDescent="0.35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</row>
    <row r="267" spans="1:26" x14ac:dyDescent="0.35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</row>
    <row r="268" spans="1:26" x14ac:dyDescent="0.35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</row>
    <row r="269" spans="1:26" x14ac:dyDescent="0.35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</row>
    <row r="270" spans="1:26" x14ac:dyDescent="0.35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</row>
    <row r="271" spans="1:26" x14ac:dyDescent="0.35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</row>
    <row r="272" spans="1:26" x14ac:dyDescent="0.35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</row>
    <row r="273" spans="1:26" x14ac:dyDescent="0.35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</row>
    <row r="274" spans="1:26" x14ac:dyDescent="0.35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</row>
    <row r="275" spans="1:26" x14ac:dyDescent="0.3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</row>
    <row r="276" spans="1:26" x14ac:dyDescent="0.35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</row>
    <row r="277" spans="1:26" x14ac:dyDescent="0.35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</row>
    <row r="278" spans="1:26" x14ac:dyDescent="0.35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</row>
    <row r="279" spans="1:26" x14ac:dyDescent="0.35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</row>
    <row r="280" spans="1:26" x14ac:dyDescent="0.35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</row>
    <row r="281" spans="1:26" x14ac:dyDescent="0.35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</row>
    <row r="282" spans="1:26" x14ac:dyDescent="0.35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</row>
    <row r="283" spans="1:26" x14ac:dyDescent="0.35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</row>
    <row r="284" spans="1:26" x14ac:dyDescent="0.35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</row>
    <row r="285" spans="1:26" x14ac:dyDescent="0.3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</row>
    <row r="286" spans="1:26" x14ac:dyDescent="0.35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</row>
    <row r="287" spans="1:26" x14ac:dyDescent="0.35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</row>
    <row r="288" spans="1:26" x14ac:dyDescent="0.35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</row>
    <row r="289" spans="1:26" x14ac:dyDescent="0.35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</row>
    <row r="290" spans="1:26" x14ac:dyDescent="0.35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</row>
    <row r="291" spans="1:26" x14ac:dyDescent="0.35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</row>
    <row r="292" spans="1:26" x14ac:dyDescent="0.35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</row>
    <row r="293" spans="1:26" x14ac:dyDescent="0.35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</row>
    <row r="294" spans="1:26" x14ac:dyDescent="0.35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</row>
    <row r="295" spans="1:26" x14ac:dyDescent="0.3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</row>
    <row r="296" spans="1:26" x14ac:dyDescent="0.35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</row>
    <row r="297" spans="1:26" x14ac:dyDescent="0.35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</row>
    <row r="298" spans="1:26" x14ac:dyDescent="0.35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</row>
    <row r="299" spans="1:26" x14ac:dyDescent="0.35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</row>
    <row r="300" spans="1:26" x14ac:dyDescent="0.35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</row>
    <row r="301" spans="1:26" x14ac:dyDescent="0.35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</row>
    <row r="302" spans="1:26" x14ac:dyDescent="0.35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</row>
    <row r="303" spans="1:26" x14ac:dyDescent="0.35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</row>
    <row r="304" spans="1:26" x14ac:dyDescent="0.35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</row>
    <row r="305" spans="1:26" x14ac:dyDescent="0.3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</row>
    <row r="306" spans="1:26" x14ac:dyDescent="0.35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</row>
    <row r="307" spans="1:26" x14ac:dyDescent="0.35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</row>
    <row r="308" spans="1:26" x14ac:dyDescent="0.35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</row>
    <row r="309" spans="1:26" x14ac:dyDescent="0.35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</row>
    <row r="310" spans="1:26" x14ac:dyDescent="0.35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</row>
    <row r="311" spans="1:26" x14ac:dyDescent="0.35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</row>
    <row r="312" spans="1:26" x14ac:dyDescent="0.35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</row>
    <row r="313" spans="1:26" x14ac:dyDescent="0.35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</row>
    <row r="314" spans="1:26" x14ac:dyDescent="0.35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</row>
    <row r="315" spans="1:26" x14ac:dyDescent="0.3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</row>
    <row r="316" spans="1:26" x14ac:dyDescent="0.35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</row>
    <row r="317" spans="1:26" x14ac:dyDescent="0.35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</row>
    <row r="318" spans="1:26" x14ac:dyDescent="0.35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</row>
    <row r="319" spans="1:26" x14ac:dyDescent="0.35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</row>
    <row r="320" spans="1:26" x14ac:dyDescent="0.35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</row>
    <row r="321" spans="1:26" x14ac:dyDescent="0.35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</row>
    <row r="322" spans="1:26" x14ac:dyDescent="0.35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</row>
    <row r="323" spans="1:26" x14ac:dyDescent="0.35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</row>
    <row r="324" spans="1:26" x14ac:dyDescent="0.35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</row>
    <row r="325" spans="1:26" x14ac:dyDescent="0.3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</row>
    <row r="326" spans="1:26" x14ac:dyDescent="0.35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</row>
    <row r="327" spans="1:26" x14ac:dyDescent="0.35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</row>
    <row r="328" spans="1:26" x14ac:dyDescent="0.35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</row>
    <row r="329" spans="1:26" x14ac:dyDescent="0.35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</row>
    <row r="330" spans="1:26" x14ac:dyDescent="0.35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</row>
    <row r="331" spans="1:26" x14ac:dyDescent="0.35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</row>
    <row r="332" spans="1:26" x14ac:dyDescent="0.35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</row>
    <row r="333" spans="1:26" x14ac:dyDescent="0.35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</row>
    <row r="334" spans="1:26" x14ac:dyDescent="0.35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</row>
    <row r="335" spans="1:26" x14ac:dyDescent="0.3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</row>
    <row r="336" spans="1:26" x14ac:dyDescent="0.35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</row>
    <row r="337" spans="1:26" x14ac:dyDescent="0.35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</row>
    <row r="338" spans="1:26" x14ac:dyDescent="0.35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</row>
    <row r="339" spans="1:26" x14ac:dyDescent="0.35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</row>
    <row r="340" spans="1:26" x14ac:dyDescent="0.35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</row>
    <row r="341" spans="1:26" x14ac:dyDescent="0.35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</row>
    <row r="342" spans="1:26" x14ac:dyDescent="0.35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</row>
    <row r="343" spans="1:26" x14ac:dyDescent="0.35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</row>
    <row r="344" spans="1:26" x14ac:dyDescent="0.35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</row>
    <row r="345" spans="1:26" x14ac:dyDescent="0.3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</row>
    <row r="346" spans="1:26" x14ac:dyDescent="0.35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</row>
    <row r="347" spans="1:26" x14ac:dyDescent="0.35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</row>
    <row r="348" spans="1:26" x14ac:dyDescent="0.35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</row>
    <row r="349" spans="1:26" x14ac:dyDescent="0.35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</row>
    <row r="350" spans="1:26" x14ac:dyDescent="0.35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</row>
    <row r="351" spans="1:26" x14ac:dyDescent="0.35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</row>
    <row r="352" spans="1:26" x14ac:dyDescent="0.35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</row>
    <row r="353" spans="1:26" x14ac:dyDescent="0.35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</row>
    <row r="354" spans="1:26" x14ac:dyDescent="0.35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</row>
    <row r="355" spans="1:26" x14ac:dyDescent="0.3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</row>
    <row r="356" spans="1:26" x14ac:dyDescent="0.35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</row>
    <row r="357" spans="1:26" x14ac:dyDescent="0.35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</row>
    <row r="358" spans="1:26" x14ac:dyDescent="0.35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</row>
    <row r="359" spans="1:26" x14ac:dyDescent="0.35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</row>
    <row r="360" spans="1:26" x14ac:dyDescent="0.35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</row>
    <row r="361" spans="1:26" x14ac:dyDescent="0.35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</row>
    <row r="362" spans="1:26" x14ac:dyDescent="0.35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</row>
    <row r="363" spans="1:26" x14ac:dyDescent="0.35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</row>
    <row r="364" spans="1:26" x14ac:dyDescent="0.35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</row>
    <row r="365" spans="1:26" x14ac:dyDescent="0.3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</row>
    <row r="366" spans="1:26" x14ac:dyDescent="0.35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</row>
    <row r="367" spans="1:26" x14ac:dyDescent="0.35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</row>
    <row r="368" spans="1:26" x14ac:dyDescent="0.35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</row>
    <row r="369" spans="1:26" x14ac:dyDescent="0.35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</row>
    <row r="370" spans="1:26" x14ac:dyDescent="0.35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</row>
    <row r="371" spans="1:26" x14ac:dyDescent="0.35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</row>
    <row r="372" spans="1:26" x14ac:dyDescent="0.35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</row>
    <row r="373" spans="1:26" x14ac:dyDescent="0.35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</row>
    <row r="374" spans="1:26" x14ac:dyDescent="0.35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</row>
    <row r="375" spans="1:26" x14ac:dyDescent="0.3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</row>
    <row r="376" spans="1:26" x14ac:dyDescent="0.35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</row>
    <row r="377" spans="1:26" x14ac:dyDescent="0.35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</row>
    <row r="378" spans="1:26" x14ac:dyDescent="0.35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</row>
    <row r="379" spans="1:26" x14ac:dyDescent="0.35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</row>
    <row r="380" spans="1:26" x14ac:dyDescent="0.35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</row>
    <row r="381" spans="1:26" x14ac:dyDescent="0.35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</row>
    <row r="382" spans="1:26" x14ac:dyDescent="0.35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</row>
    <row r="383" spans="1:26" x14ac:dyDescent="0.35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</row>
    <row r="384" spans="1:26" x14ac:dyDescent="0.35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</row>
    <row r="385" spans="1:26" x14ac:dyDescent="0.3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</row>
    <row r="386" spans="1:26" x14ac:dyDescent="0.35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</row>
    <row r="387" spans="1:26" x14ac:dyDescent="0.35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</row>
    <row r="388" spans="1:26" x14ac:dyDescent="0.35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</row>
    <row r="389" spans="1:26" x14ac:dyDescent="0.35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</row>
    <row r="390" spans="1:26" x14ac:dyDescent="0.35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</row>
    <row r="391" spans="1:26" x14ac:dyDescent="0.35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</row>
    <row r="392" spans="1:26" x14ac:dyDescent="0.35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</row>
    <row r="393" spans="1:26" x14ac:dyDescent="0.35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</row>
    <row r="394" spans="1:26" x14ac:dyDescent="0.35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</row>
    <row r="395" spans="1:26" x14ac:dyDescent="0.3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</row>
    <row r="396" spans="1:26" x14ac:dyDescent="0.35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</row>
    <row r="397" spans="1:26" x14ac:dyDescent="0.35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</row>
    <row r="398" spans="1:26" x14ac:dyDescent="0.35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</row>
    <row r="399" spans="1:26" x14ac:dyDescent="0.35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</row>
    <row r="400" spans="1:26" x14ac:dyDescent="0.35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</row>
    <row r="401" spans="1:26" x14ac:dyDescent="0.35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</row>
    <row r="402" spans="1:26" x14ac:dyDescent="0.35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</row>
    <row r="403" spans="1:26" x14ac:dyDescent="0.35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</row>
    <row r="404" spans="1:26" x14ac:dyDescent="0.35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</row>
    <row r="405" spans="1:26" x14ac:dyDescent="0.3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</row>
    <row r="406" spans="1:26" x14ac:dyDescent="0.35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</row>
    <row r="407" spans="1:26" x14ac:dyDescent="0.35">
      <c r="A407" s="292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  <c r="V407" s="292"/>
      <c r="W407" s="292"/>
      <c r="X407" s="292"/>
      <c r="Y407" s="292"/>
      <c r="Z407" s="292"/>
    </row>
    <row r="408" spans="1:26" x14ac:dyDescent="0.35">
      <c r="A408" s="292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  <c r="V408" s="292"/>
      <c r="W408" s="292"/>
      <c r="X408" s="292"/>
      <c r="Y408" s="292"/>
      <c r="Z408" s="292"/>
    </row>
    <row r="409" spans="1:26" x14ac:dyDescent="0.35">
      <c r="A409" s="292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  <c r="X409" s="292"/>
      <c r="Y409" s="292"/>
      <c r="Z409" s="292"/>
    </row>
    <row r="410" spans="1:26" x14ac:dyDescent="0.35">
      <c r="A410" s="292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  <c r="X410" s="292"/>
      <c r="Y410" s="292"/>
      <c r="Z410" s="292"/>
    </row>
    <row r="411" spans="1:26" x14ac:dyDescent="0.35">
      <c r="A411" s="292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  <c r="V411" s="292"/>
      <c r="W411" s="292"/>
      <c r="X411" s="292"/>
      <c r="Y411" s="292"/>
      <c r="Z411" s="292"/>
    </row>
    <row r="412" spans="1:26" x14ac:dyDescent="0.35">
      <c r="A412" s="292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  <c r="V412" s="292"/>
      <c r="W412" s="292"/>
      <c r="X412" s="292"/>
      <c r="Y412" s="292"/>
      <c r="Z412" s="292"/>
    </row>
    <row r="413" spans="1:26" x14ac:dyDescent="0.35">
      <c r="A413" s="292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  <c r="V413" s="292"/>
      <c r="W413" s="292"/>
      <c r="X413" s="292"/>
      <c r="Y413" s="292"/>
      <c r="Z413" s="292"/>
    </row>
    <row r="414" spans="1:26" x14ac:dyDescent="0.35">
      <c r="A414" s="292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  <c r="V414" s="292"/>
      <c r="W414" s="292"/>
      <c r="X414" s="292"/>
      <c r="Y414" s="292"/>
      <c r="Z414" s="292"/>
    </row>
    <row r="415" spans="1:26" x14ac:dyDescent="0.35">
      <c r="A415" s="292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  <c r="V415" s="292"/>
      <c r="W415" s="292"/>
      <c r="X415" s="292"/>
      <c r="Y415" s="292"/>
      <c r="Z415" s="292"/>
    </row>
    <row r="416" spans="1:26" x14ac:dyDescent="0.35">
      <c r="A416" s="292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  <c r="V416" s="292"/>
      <c r="W416" s="292"/>
      <c r="X416" s="292"/>
      <c r="Y416" s="292"/>
      <c r="Z416" s="292"/>
    </row>
    <row r="417" spans="1:26" x14ac:dyDescent="0.35">
      <c r="A417" s="292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  <c r="V417" s="292"/>
      <c r="W417" s="292"/>
      <c r="X417" s="292"/>
      <c r="Y417" s="292"/>
      <c r="Z417" s="292"/>
    </row>
    <row r="418" spans="1:26" x14ac:dyDescent="0.35">
      <c r="A418" s="292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  <c r="V418" s="292"/>
      <c r="W418" s="292"/>
      <c r="X418" s="292"/>
      <c r="Y418" s="292"/>
      <c r="Z418" s="292"/>
    </row>
    <row r="419" spans="1:26" x14ac:dyDescent="0.35">
      <c r="A419" s="292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  <c r="V419" s="292"/>
      <c r="W419" s="292"/>
      <c r="X419" s="292"/>
      <c r="Y419" s="292"/>
      <c r="Z419" s="292"/>
    </row>
    <row r="420" spans="1:26" x14ac:dyDescent="0.35">
      <c r="A420" s="292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  <c r="V420" s="292"/>
      <c r="W420" s="292"/>
      <c r="X420" s="292"/>
      <c r="Y420" s="292"/>
      <c r="Z420" s="292"/>
    </row>
    <row r="421" spans="1:26" x14ac:dyDescent="0.35">
      <c r="A421" s="292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  <c r="V421" s="292"/>
      <c r="W421" s="292"/>
      <c r="X421" s="292"/>
      <c r="Y421" s="292"/>
      <c r="Z421" s="292"/>
    </row>
    <row r="422" spans="1:26" x14ac:dyDescent="0.35">
      <c r="A422" s="292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  <c r="V422" s="292"/>
      <c r="W422" s="292"/>
      <c r="X422" s="292"/>
      <c r="Y422" s="292"/>
      <c r="Z422" s="292"/>
    </row>
    <row r="423" spans="1:26" x14ac:dyDescent="0.35">
      <c r="A423" s="292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  <c r="V423" s="292"/>
      <c r="W423" s="292"/>
      <c r="X423" s="292"/>
      <c r="Y423" s="292"/>
      <c r="Z423" s="292"/>
    </row>
    <row r="424" spans="1:26" x14ac:dyDescent="0.35">
      <c r="A424" s="292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  <c r="V424" s="292"/>
      <c r="W424" s="292"/>
      <c r="X424" s="292"/>
      <c r="Y424" s="292"/>
      <c r="Z424" s="292"/>
    </row>
    <row r="425" spans="1:26" x14ac:dyDescent="0.35">
      <c r="A425" s="292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  <c r="V425" s="292"/>
      <c r="W425" s="292"/>
      <c r="X425" s="292"/>
      <c r="Y425" s="292"/>
      <c r="Z425" s="292"/>
    </row>
    <row r="426" spans="1:26" x14ac:dyDescent="0.35">
      <c r="A426" s="292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  <c r="V426" s="292"/>
      <c r="W426" s="292"/>
      <c r="X426" s="292"/>
      <c r="Y426" s="292"/>
      <c r="Z426" s="292"/>
    </row>
    <row r="427" spans="1:26" x14ac:dyDescent="0.35">
      <c r="A427" s="292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  <c r="V427" s="292"/>
      <c r="W427" s="292"/>
      <c r="X427" s="292"/>
      <c r="Y427" s="292"/>
      <c r="Z427" s="292"/>
    </row>
    <row r="428" spans="1:26" x14ac:dyDescent="0.35">
      <c r="A428" s="292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  <c r="V428" s="292"/>
      <c r="W428" s="292"/>
      <c r="X428" s="292"/>
      <c r="Y428" s="292"/>
      <c r="Z428" s="292"/>
    </row>
    <row r="429" spans="1:26" x14ac:dyDescent="0.35">
      <c r="A429" s="292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  <c r="X429" s="292"/>
      <c r="Y429" s="292"/>
      <c r="Z429" s="292"/>
    </row>
    <row r="430" spans="1:26" x14ac:dyDescent="0.35">
      <c r="A430" s="292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  <c r="X430" s="292"/>
      <c r="Y430" s="292"/>
      <c r="Z430" s="292"/>
    </row>
    <row r="431" spans="1:26" x14ac:dyDescent="0.35">
      <c r="A431" s="292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  <c r="V431" s="292"/>
      <c r="W431" s="292"/>
      <c r="X431" s="292"/>
      <c r="Y431" s="292"/>
      <c r="Z431" s="292"/>
    </row>
    <row r="432" spans="1:26" x14ac:dyDescent="0.35">
      <c r="A432" s="292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  <c r="V432" s="292"/>
      <c r="W432" s="292"/>
      <c r="X432" s="292"/>
      <c r="Y432" s="292"/>
      <c r="Z432" s="292"/>
    </row>
    <row r="433" spans="1:26" x14ac:dyDescent="0.35">
      <c r="A433" s="292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  <c r="V433" s="292"/>
      <c r="W433" s="292"/>
      <c r="X433" s="292"/>
      <c r="Y433" s="292"/>
      <c r="Z433" s="292"/>
    </row>
    <row r="434" spans="1:26" x14ac:dyDescent="0.35">
      <c r="A434" s="292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  <c r="V434" s="292"/>
      <c r="W434" s="292"/>
      <c r="X434" s="292"/>
      <c r="Y434" s="292"/>
      <c r="Z434" s="292"/>
    </row>
    <row r="435" spans="1:26" x14ac:dyDescent="0.35">
      <c r="A435" s="292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  <c r="V435" s="292"/>
      <c r="W435" s="292"/>
      <c r="X435" s="292"/>
      <c r="Y435" s="292"/>
      <c r="Z435" s="292"/>
    </row>
    <row r="436" spans="1:26" x14ac:dyDescent="0.35">
      <c r="A436" s="292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  <c r="V436" s="292"/>
      <c r="W436" s="292"/>
      <c r="X436" s="292"/>
      <c r="Y436" s="292"/>
      <c r="Z436" s="292"/>
    </row>
    <row r="437" spans="1:26" x14ac:dyDescent="0.35">
      <c r="A437" s="292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  <c r="V437" s="292"/>
      <c r="W437" s="292"/>
      <c r="X437" s="292"/>
      <c r="Y437" s="292"/>
      <c r="Z437" s="292"/>
    </row>
    <row r="438" spans="1:26" x14ac:dyDescent="0.35">
      <c r="A438" s="292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  <c r="V438" s="292"/>
      <c r="W438" s="292"/>
      <c r="X438" s="292"/>
      <c r="Y438" s="292"/>
      <c r="Z438" s="292"/>
    </row>
    <row r="439" spans="1:26" x14ac:dyDescent="0.35">
      <c r="A439" s="292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  <c r="V439" s="292"/>
      <c r="W439" s="292"/>
      <c r="X439" s="292"/>
      <c r="Y439" s="292"/>
      <c r="Z439" s="292"/>
    </row>
    <row r="440" spans="1:26" x14ac:dyDescent="0.35">
      <c r="A440" s="292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  <c r="V440" s="292"/>
      <c r="W440" s="292"/>
      <c r="X440" s="292"/>
      <c r="Y440" s="292"/>
      <c r="Z440" s="292"/>
    </row>
    <row r="441" spans="1:26" x14ac:dyDescent="0.35">
      <c r="A441" s="292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  <c r="V441" s="292"/>
      <c r="W441" s="292"/>
      <c r="X441" s="292"/>
      <c r="Y441" s="292"/>
      <c r="Z441" s="292"/>
    </row>
    <row r="442" spans="1:26" x14ac:dyDescent="0.35">
      <c r="A442" s="292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  <c r="V442" s="292"/>
      <c r="W442" s="292"/>
      <c r="X442" s="292"/>
      <c r="Y442" s="292"/>
      <c r="Z442" s="292"/>
    </row>
    <row r="443" spans="1:26" x14ac:dyDescent="0.35">
      <c r="A443" s="292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  <c r="V443" s="292"/>
      <c r="W443" s="292"/>
      <c r="X443" s="292"/>
      <c r="Y443" s="292"/>
      <c r="Z443" s="292"/>
    </row>
    <row r="444" spans="1:26" x14ac:dyDescent="0.35">
      <c r="A444" s="292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  <c r="V444" s="292"/>
      <c r="W444" s="292"/>
      <c r="X444" s="292"/>
      <c r="Y444" s="292"/>
      <c r="Z444" s="292"/>
    </row>
    <row r="445" spans="1:26" x14ac:dyDescent="0.35">
      <c r="A445" s="292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  <c r="V445" s="292"/>
      <c r="W445" s="292"/>
      <c r="X445" s="292"/>
      <c r="Y445" s="292"/>
      <c r="Z445" s="292"/>
    </row>
    <row r="446" spans="1:26" x14ac:dyDescent="0.35">
      <c r="A446" s="292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  <c r="V446" s="292"/>
      <c r="W446" s="292"/>
      <c r="X446" s="292"/>
      <c r="Y446" s="292"/>
      <c r="Z446" s="292"/>
    </row>
    <row r="447" spans="1:26" x14ac:dyDescent="0.35">
      <c r="A447" s="292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  <c r="V447" s="292"/>
      <c r="W447" s="292"/>
      <c r="X447" s="292"/>
      <c r="Y447" s="292"/>
      <c r="Z447" s="292"/>
    </row>
    <row r="448" spans="1:26" x14ac:dyDescent="0.35">
      <c r="A448" s="292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  <c r="V448" s="292"/>
      <c r="W448" s="292"/>
      <c r="X448" s="292"/>
      <c r="Y448" s="292"/>
      <c r="Z448" s="292"/>
    </row>
    <row r="449" spans="1:26" x14ac:dyDescent="0.35">
      <c r="A449" s="292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  <c r="V449" s="292"/>
      <c r="W449" s="292"/>
      <c r="X449" s="292"/>
      <c r="Y449" s="292"/>
      <c r="Z449" s="292"/>
    </row>
    <row r="450" spans="1:26" x14ac:dyDescent="0.35">
      <c r="A450" s="292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  <c r="V450" s="292"/>
      <c r="W450" s="292"/>
      <c r="X450" s="292"/>
      <c r="Y450" s="292"/>
      <c r="Z450" s="292"/>
    </row>
    <row r="451" spans="1:26" x14ac:dyDescent="0.35">
      <c r="A451" s="292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  <c r="V451" s="292"/>
      <c r="W451" s="292"/>
      <c r="X451" s="292"/>
      <c r="Y451" s="292"/>
      <c r="Z451" s="292"/>
    </row>
    <row r="452" spans="1:26" x14ac:dyDescent="0.35">
      <c r="A452" s="292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  <c r="V452" s="292"/>
      <c r="W452" s="292"/>
      <c r="X452" s="292"/>
      <c r="Y452" s="292"/>
      <c r="Z452" s="292"/>
    </row>
    <row r="453" spans="1:26" x14ac:dyDescent="0.35">
      <c r="A453" s="292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  <c r="V453" s="292"/>
      <c r="W453" s="292"/>
      <c r="X453" s="292"/>
      <c r="Y453" s="292"/>
      <c r="Z453" s="292"/>
    </row>
    <row r="454" spans="1:26" x14ac:dyDescent="0.35">
      <c r="A454" s="292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  <c r="V454" s="292"/>
      <c r="W454" s="292"/>
      <c r="X454" s="292"/>
      <c r="Y454" s="292"/>
      <c r="Z454" s="292"/>
    </row>
    <row r="455" spans="1:26" x14ac:dyDescent="0.35">
      <c r="A455" s="292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  <c r="V455" s="292"/>
      <c r="W455" s="292"/>
      <c r="X455" s="292"/>
      <c r="Y455" s="292"/>
      <c r="Z455" s="292"/>
    </row>
    <row r="456" spans="1:26" x14ac:dyDescent="0.35">
      <c r="A456" s="292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  <c r="V456" s="292"/>
      <c r="W456" s="292"/>
      <c r="X456" s="292"/>
      <c r="Y456" s="292"/>
      <c r="Z456" s="292"/>
    </row>
    <row r="457" spans="1:26" x14ac:dyDescent="0.35">
      <c r="A457" s="292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  <c r="V457" s="292"/>
      <c r="W457" s="292"/>
      <c r="X457" s="292"/>
      <c r="Y457" s="292"/>
      <c r="Z457" s="292"/>
    </row>
    <row r="458" spans="1:26" x14ac:dyDescent="0.35">
      <c r="A458" s="292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  <c r="V458" s="292"/>
      <c r="W458" s="292"/>
      <c r="X458" s="292"/>
      <c r="Y458" s="292"/>
      <c r="Z458" s="292"/>
    </row>
    <row r="459" spans="1:26" x14ac:dyDescent="0.35">
      <c r="A459" s="292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  <c r="V459" s="292"/>
      <c r="W459" s="292"/>
      <c r="X459" s="292"/>
      <c r="Y459" s="292"/>
      <c r="Z459" s="292"/>
    </row>
    <row r="460" spans="1:26" x14ac:dyDescent="0.35">
      <c r="A460" s="292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  <c r="V460" s="292"/>
      <c r="W460" s="292"/>
      <c r="X460" s="292"/>
      <c r="Y460" s="292"/>
      <c r="Z460" s="292"/>
    </row>
    <row r="461" spans="1:26" x14ac:dyDescent="0.35">
      <c r="A461" s="292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  <c r="V461" s="292"/>
      <c r="W461" s="292"/>
      <c r="X461" s="292"/>
      <c r="Y461" s="292"/>
      <c r="Z461" s="292"/>
    </row>
    <row r="462" spans="1:26" x14ac:dyDescent="0.35">
      <c r="A462" s="292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  <c r="V462" s="292"/>
      <c r="W462" s="292"/>
      <c r="X462" s="292"/>
      <c r="Y462" s="292"/>
      <c r="Z462" s="292"/>
    </row>
    <row r="463" spans="1:26" x14ac:dyDescent="0.35">
      <c r="A463" s="292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  <c r="V463" s="292"/>
      <c r="W463" s="292"/>
      <c r="X463" s="292"/>
      <c r="Y463" s="292"/>
      <c r="Z463" s="292"/>
    </row>
    <row r="464" spans="1:26" x14ac:dyDescent="0.35">
      <c r="A464" s="292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  <c r="V464" s="292"/>
      <c r="W464" s="292"/>
      <c r="X464" s="292"/>
      <c r="Y464" s="292"/>
      <c r="Z464" s="292"/>
    </row>
    <row r="465" spans="1:26" x14ac:dyDescent="0.35">
      <c r="A465" s="292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  <c r="V465" s="292"/>
      <c r="W465" s="292"/>
      <c r="X465" s="292"/>
      <c r="Y465" s="292"/>
      <c r="Z465" s="292"/>
    </row>
    <row r="466" spans="1:26" x14ac:dyDescent="0.35">
      <c r="A466" s="292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  <c r="V466" s="292"/>
      <c r="W466" s="292"/>
      <c r="X466" s="292"/>
      <c r="Y466" s="292"/>
      <c r="Z466" s="292"/>
    </row>
    <row r="467" spans="1:26" x14ac:dyDescent="0.35">
      <c r="A467" s="292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  <c r="V467" s="292"/>
      <c r="W467" s="292"/>
      <c r="X467" s="292"/>
      <c r="Y467" s="292"/>
      <c r="Z467" s="292"/>
    </row>
    <row r="468" spans="1:26" x14ac:dyDescent="0.35">
      <c r="A468" s="292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  <c r="V468" s="292"/>
      <c r="W468" s="292"/>
      <c r="X468" s="292"/>
      <c r="Y468" s="292"/>
      <c r="Z468" s="292"/>
    </row>
    <row r="469" spans="1:26" x14ac:dyDescent="0.35">
      <c r="A469" s="29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  <c r="X469" s="292"/>
      <c r="Y469" s="292"/>
      <c r="Z469" s="292"/>
    </row>
    <row r="470" spans="1:26" x14ac:dyDescent="0.35">
      <c r="A470" s="292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  <c r="V470" s="292"/>
      <c r="W470" s="292"/>
      <c r="X470" s="292"/>
      <c r="Y470" s="292"/>
      <c r="Z470" s="292"/>
    </row>
    <row r="471" spans="1:26" x14ac:dyDescent="0.35">
      <c r="A471" s="292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  <c r="X471" s="292"/>
      <c r="Y471" s="292"/>
      <c r="Z471" s="292"/>
    </row>
    <row r="472" spans="1:26" x14ac:dyDescent="0.35">
      <c r="A472" s="292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  <c r="X472" s="292"/>
      <c r="Y472" s="292"/>
      <c r="Z472" s="292"/>
    </row>
    <row r="473" spans="1:26" x14ac:dyDescent="0.35">
      <c r="A473" s="292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  <c r="X473" s="292"/>
      <c r="Y473" s="292"/>
      <c r="Z473" s="292"/>
    </row>
    <row r="474" spans="1:26" x14ac:dyDescent="0.35">
      <c r="A474" s="292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  <c r="X474" s="292"/>
      <c r="Y474" s="292"/>
      <c r="Z474" s="292"/>
    </row>
    <row r="475" spans="1:26" x14ac:dyDescent="0.35">
      <c r="A475" s="292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  <c r="V475" s="292"/>
      <c r="W475" s="292"/>
      <c r="X475" s="292"/>
      <c r="Y475" s="292"/>
      <c r="Z475" s="292"/>
    </row>
    <row r="476" spans="1:26" x14ac:dyDescent="0.35">
      <c r="A476" s="292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  <c r="V476" s="292"/>
      <c r="W476" s="292"/>
      <c r="X476" s="292"/>
      <c r="Y476" s="292"/>
      <c r="Z476" s="292"/>
    </row>
    <row r="477" spans="1:26" x14ac:dyDescent="0.35">
      <c r="A477" s="292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  <c r="V477" s="292"/>
      <c r="W477" s="292"/>
      <c r="X477" s="292"/>
      <c r="Y477" s="292"/>
      <c r="Z477" s="292"/>
    </row>
    <row r="478" spans="1:26" x14ac:dyDescent="0.35">
      <c r="A478" s="292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  <c r="V478" s="292"/>
      <c r="W478" s="292"/>
      <c r="X478" s="292"/>
      <c r="Y478" s="292"/>
      <c r="Z478" s="292"/>
    </row>
    <row r="479" spans="1:26" x14ac:dyDescent="0.35">
      <c r="A479" s="292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  <c r="V479" s="292"/>
      <c r="W479" s="292"/>
      <c r="X479" s="292"/>
      <c r="Y479" s="292"/>
      <c r="Z479" s="292"/>
    </row>
    <row r="480" spans="1:26" x14ac:dyDescent="0.35">
      <c r="A480" s="292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  <c r="V480" s="292"/>
      <c r="W480" s="292"/>
      <c r="X480" s="292"/>
      <c r="Y480" s="292"/>
      <c r="Z480" s="292"/>
    </row>
    <row r="481" spans="1:26" x14ac:dyDescent="0.35">
      <c r="A481" s="292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  <c r="V481" s="292"/>
      <c r="W481" s="292"/>
      <c r="X481" s="292"/>
      <c r="Y481" s="292"/>
      <c r="Z481" s="292"/>
    </row>
    <row r="482" spans="1:26" x14ac:dyDescent="0.35">
      <c r="A482" s="292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  <c r="V482" s="292"/>
      <c r="W482" s="292"/>
      <c r="X482" s="292"/>
      <c r="Y482" s="292"/>
      <c r="Z482" s="292"/>
    </row>
    <row r="483" spans="1:26" x14ac:dyDescent="0.35">
      <c r="A483" s="292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  <c r="V483" s="292"/>
      <c r="W483" s="292"/>
      <c r="X483" s="292"/>
      <c r="Y483" s="292"/>
      <c r="Z483" s="292"/>
    </row>
    <row r="484" spans="1:26" x14ac:dyDescent="0.35">
      <c r="A484" s="292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  <c r="V484" s="292"/>
      <c r="W484" s="292"/>
      <c r="X484" s="292"/>
      <c r="Y484" s="292"/>
      <c r="Z484" s="292"/>
    </row>
    <row r="485" spans="1:26" x14ac:dyDescent="0.35">
      <c r="A485" s="292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  <c r="V485" s="292"/>
      <c r="W485" s="292"/>
      <c r="X485" s="292"/>
      <c r="Y485" s="292"/>
      <c r="Z485" s="292"/>
    </row>
    <row r="486" spans="1:26" x14ac:dyDescent="0.35">
      <c r="A486" s="292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  <c r="V486" s="292"/>
      <c r="W486" s="292"/>
      <c r="X486" s="292"/>
      <c r="Y486" s="292"/>
      <c r="Z486" s="292"/>
    </row>
    <row r="487" spans="1:26" x14ac:dyDescent="0.35">
      <c r="A487" s="292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  <c r="V487" s="292"/>
      <c r="W487" s="292"/>
      <c r="X487" s="292"/>
      <c r="Y487" s="292"/>
      <c r="Z487" s="292"/>
    </row>
    <row r="488" spans="1:26" x14ac:dyDescent="0.35">
      <c r="A488" s="292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  <c r="V488" s="292"/>
      <c r="W488" s="292"/>
      <c r="X488" s="292"/>
      <c r="Y488" s="292"/>
      <c r="Z488" s="292"/>
    </row>
    <row r="489" spans="1:26" x14ac:dyDescent="0.35">
      <c r="A489" s="292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  <c r="V489" s="292"/>
      <c r="W489" s="292"/>
      <c r="X489" s="292"/>
      <c r="Y489" s="292"/>
      <c r="Z489" s="292"/>
    </row>
    <row r="490" spans="1:26" x14ac:dyDescent="0.35">
      <c r="A490" s="292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  <c r="V490" s="292"/>
      <c r="W490" s="292"/>
      <c r="X490" s="292"/>
      <c r="Y490" s="292"/>
      <c r="Z490" s="292"/>
    </row>
    <row r="491" spans="1:26" x14ac:dyDescent="0.35">
      <c r="A491" s="292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  <c r="V491" s="292"/>
      <c r="W491" s="292"/>
      <c r="X491" s="292"/>
      <c r="Y491" s="292"/>
      <c r="Z491" s="292"/>
    </row>
    <row r="492" spans="1:26" x14ac:dyDescent="0.35">
      <c r="A492" s="292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  <c r="V492" s="292"/>
      <c r="W492" s="292"/>
      <c r="X492" s="292"/>
      <c r="Y492" s="292"/>
      <c r="Z492" s="292"/>
    </row>
    <row r="493" spans="1:26" x14ac:dyDescent="0.35">
      <c r="A493" s="292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2"/>
      <c r="X493" s="292"/>
      <c r="Y493" s="292"/>
      <c r="Z493" s="292"/>
    </row>
    <row r="494" spans="1:26" x14ac:dyDescent="0.35">
      <c r="A494" s="292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  <c r="V494" s="292"/>
      <c r="W494" s="292"/>
      <c r="X494" s="292"/>
      <c r="Y494" s="292"/>
      <c r="Z494" s="292"/>
    </row>
    <row r="495" spans="1:26" x14ac:dyDescent="0.35">
      <c r="A495" s="292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  <c r="V495" s="292"/>
      <c r="W495" s="292"/>
      <c r="X495" s="292"/>
      <c r="Y495" s="292"/>
      <c r="Z495" s="292"/>
    </row>
    <row r="496" spans="1:26" x14ac:dyDescent="0.35">
      <c r="A496" s="292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  <c r="V496" s="292"/>
      <c r="W496" s="292"/>
      <c r="X496" s="292"/>
      <c r="Y496" s="292"/>
      <c r="Z496" s="292"/>
    </row>
    <row r="497" spans="1:26" x14ac:dyDescent="0.35">
      <c r="A497" s="292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  <c r="V497" s="292"/>
      <c r="W497" s="292"/>
      <c r="X497" s="292"/>
      <c r="Y497" s="292"/>
      <c r="Z497" s="292"/>
    </row>
    <row r="498" spans="1:26" x14ac:dyDescent="0.35">
      <c r="A498" s="292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  <c r="V498" s="292"/>
      <c r="W498" s="292"/>
      <c r="X498" s="292"/>
      <c r="Y498" s="292"/>
      <c r="Z498" s="292"/>
    </row>
    <row r="499" spans="1:26" x14ac:dyDescent="0.35">
      <c r="A499" s="292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  <c r="V499" s="292"/>
      <c r="W499" s="292"/>
      <c r="X499" s="292"/>
      <c r="Y499" s="292"/>
      <c r="Z499" s="292"/>
    </row>
    <row r="500" spans="1:26" x14ac:dyDescent="0.35">
      <c r="A500" s="292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  <c r="V500" s="292"/>
      <c r="W500" s="292"/>
      <c r="X500" s="292"/>
      <c r="Y500" s="292"/>
      <c r="Z500" s="292"/>
    </row>
    <row r="501" spans="1:26" x14ac:dyDescent="0.35">
      <c r="A501" s="292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  <c r="V501" s="292"/>
      <c r="W501" s="292"/>
      <c r="X501" s="292"/>
      <c r="Y501" s="292"/>
      <c r="Z501" s="292"/>
    </row>
    <row r="502" spans="1:26" x14ac:dyDescent="0.35">
      <c r="A502" s="292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  <c r="V502" s="292"/>
      <c r="W502" s="292"/>
      <c r="X502" s="292"/>
      <c r="Y502" s="292"/>
      <c r="Z502" s="292"/>
    </row>
    <row r="503" spans="1:26" x14ac:dyDescent="0.35">
      <c r="A503" s="292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  <c r="V503" s="292"/>
      <c r="W503" s="292"/>
      <c r="X503" s="292"/>
      <c r="Y503" s="292"/>
      <c r="Z503" s="292"/>
    </row>
    <row r="504" spans="1:26" x14ac:dyDescent="0.35">
      <c r="A504" s="292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  <c r="V504" s="292"/>
      <c r="W504" s="292"/>
      <c r="X504" s="292"/>
      <c r="Y504" s="292"/>
      <c r="Z504" s="292"/>
    </row>
    <row r="505" spans="1:26" x14ac:dyDescent="0.35">
      <c r="A505" s="292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  <c r="V505" s="292"/>
      <c r="W505" s="292"/>
      <c r="X505" s="292"/>
      <c r="Y505" s="292"/>
      <c r="Z505" s="292"/>
    </row>
    <row r="506" spans="1:26" x14ac:dyDescent="0.35">
      <c r="A506" s="292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  <c r="V506" s="292"/>
      <c r="W506" s="292"/>
      <c r="X506" s="292"/>
      <c r="Y506" s="292"/>
      <c r="Z506" s="292"/>
    </row>
    <row r="507" spans="1:26" x14ac:dyDescent="0.35">
      <c r="A507" s="292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  <c r="V507" s="292"/>
      <c r="W507" s="292"/>
      <c r="X507" s="292"/>
      <c r="Y507" s="292"/>
      <c r="Z507" s="292"/>
    </row>
    <row r="508" spans="1:26" x14ac:dyDescent="0.35">
      <c r="A508" s="292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  <c r="V508" s="292"/>
      <c r="W508" s="292"/>
      <c r="X508" s="292"/>
      <c r="Y508" s="292"/>
      <c r="Z508" s="292"/>
    </row>
    <row r="509" spans="1:26" x14ac:dyDescent="0.35">
      <c r="A509" s="292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  <c r="V509" s="292"/>
      <c r="W509" s="292"/>
      <c r="X509" s="292"/>
      <c r="Y509" s="292"/>
      <c r="Z509" s="292"/>
    </row>
    <row r="510" spans="1:26" x14ac:dyDescent="0.35">
      <c r="A510" s="292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  <c r="V510" s="292"/>
      <c r="W510" s="292"/>
      <c r="X510" s="292"/>
      <c r="Y510" s="292"/>
      <c r="Z510" s="292"/>
    </row>
    <row r="511" spans="1:26" x14ac:dyDescent="0.35">
      <c r="A511" s="292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  <c r="V511" s="292"/>
      <c r="W511" s="292"/>
      <c r="X511" s="292"/>
      <c r="Y511" s="292"/>
      <c r="Z511" s="292"/>
    </row>
    <row r="512" spans="1:26" x14ac:dyDescent="0.35">
      <c r="A512" s="292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  <c r="V512" s="292"/>
      <c r="W512" s="292"/>
      <c r="X512" s="292"/>
      <c r="Y512" s="292"/>
      <c r="Z512" s="292"/>
    </row>
    <row r="513" spans="1:26" x14ac:dyDescent="0.35">
      <c r="A513" s="292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  <c r="V513" s="292"/>
      <c r="W513" s="292"/>
      <c r="X513" s="292"/>
      <c r="Y513" s="292"/>
      <c r="Z513" s="292"/>
    </row>
    <row r="514" spans="1:26" x14ac:dyDescent="0.35">
      <c r="A514" s="292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  <c r="V514" s="292"/>
      <c r="W514" s="292"/>
      <c r="X514" s="292"/>
      <c r="Y514" s="292"/>
      <c r="Z514" s="292"/>
    </row>
    <row r="515" spans="1:26" x14ac:dyDescent="0.35">
      <c r="A515" s="292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  <c r="V515" s="292"/>
      <c r="W515" s="292"/>
      <c r="X515" s="292"/>
      <c r="Y515" s="292"/>
      <c r="Z515" s="292"/>
    </row>
    <row r="516" spans="1:26" x14ac:dyDescent="0.35">
      <c r="A516" s="292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  <c r="V516" s="292"/>
      <c r="W516" s="292"/>
      <c r="X516" s="292"/>
      <c r="Y516" s="292"/>
      <c r="Z516" s="292"/>
    </row>
    <row r="517" spans="1:26" x14ac:dyDescent="0.35">
      <c r="A517" s="292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  <c r="X517" s="292"/>
      <c r="Y517" s="292"/>
      <c r="Z517" s="292"/>
    </row>
    <row r="518" spans="1:26" x14ac:dyDescent="0.35">
      <c r="A518" s="292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  <c r="X518" s="292"/>
      <c r="Y518" s="292"/>
      <c r="Z518" s="292"/>
    </row>
    <row r="519" spans="1:26" x14ac:dyDescent="0.35">
      <c r="A519" s="292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  <c r="V519" s="292"/>
      <c r="W519" s="292"/>
      <c r="X519" s="292"/>
      <c r="Y519" s="292"/>
      <c r="Z519" s="292"/>
    </row>
    <row r="520" spans="1:26" x14ac:dyDescent="0.35">
      <c r="A520" s="292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  <c r="V520" s="292"/>
      <c r="W520" s="292"/>
      <c r="X520" s="292"/>
      <c r="Y520" s="292"/>
      <c r="Z520" s="292"/>
    </row>
    <row r="521" spans="1:26" x14ac:dyDescent="0.35">
      <c r="A521" s="292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  <c r="V521" s="292"/>
      <c r="W521" s="292"/>
      <c r="X521" s="292"/>
      <c r="Y521" s="292"/>
      <c r="Z521" s="292"/>
    </row>
    <row r="522" spans="1:26" x14ac:dyDescent="0.35">
      <c r="A522" s="292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  <c r="V522" s="292"/>
      <c r="W522" s="292"/>
      <c r="X522" s="292"/>
      <c r="Y522" s="292"/>
      <c r="Z522" s="292"/>
    </row>
    <row r="523" spans="1:26" x14ac:dyDescent="0.35">
      <c r="A523" s="292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  <c r="V523" s="292"/>
      <c r="W523" s="292"/>
      <c r="X523" s="292"/>
      <c r="Y523" s="292"/>
      <c r="Z523" s="292"/>
    </row>
    <row r="524" spans="1:26" x14ac:dyDescent="0.35">
      <c r="A524" s="292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  <c r="V524" s="292"/>
      <c r="W524" s="292"/>
      <c r="X524" s="292"/>
      <c r="Y524" s="292"/>
      <c r="Z524" s="292"/>
    </row>
    <row r="525" spans="1:26" x14ac:dyDescent="0.35">
      <c r="A525" s="292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  <c r="V525" s="292"/>
      <c r="W525" s="292"/>
      <c r="X525" s="292"/>
      <c r="Y525" s="292"/>
      <c r="Z525" s="292"/>
    </row>
    <row r="526" spans="1:26" x14ac:dyDescent="0.35">
      <c r="A526" s="292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  <c r="V526" s="292"/>
      <c r="W526" s="292"/>
      <c r="X526" s="292"/>
      <c r="Y526" s="292"/>
      <c r="Z526" s="292"/>
    </row>
    <row r="527" spans="1:26" x14ac:dyDescent="0.35">
      <c r="A527" s="292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  <c r="V527" s="292"/>
      <c r="W527" s="292"/>
      <c r="X527" s="292"/>
      <c r="Y527" s="292"/>
      <c r="Z527" s="292"/>
    </row>
    <row r="528" spans="1:26" x14ac:dyDescent="0.35">
      <c r="A528" s="292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  <c r="V528" s="292"/>
      <c r="W528" s="292"/>
      <c r="X528" s="292"/>
      <c r="Y528" s="292"/>
      <c r="Z528" s="292"/>
    </row>
    <row r="529" spans="1:26" x14ac:dyDescent="0.35">
      <c r="A529" s="292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  <c r="V529" s="292"/>
      <c r="W529" s="292"/>
      <c r="X529" s="292"/>
      <c r="Y529" s="292"/>
      <c r="Z529" s="292"/>
    </row>
    <row r="530" spans="1:26" x14ac:dyDescent="0.35">
      <c r="A530" s="292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  <c r="V530" s="292"/>
      <c r="W530" s="292"/>
      <c r="X530" s="292"/>
      <c r="Y530" s="292"/>
      <c r="Z530" s="292"/>
    </row>
    <row r="531" spans="1:26" x14ac:dyDescent="0.35">
      <c r="A531" s="292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  <c r="V531" s="292"/>
      <c r="W531" s="292"/>
      <c r="X531" s="292"/>
      <c r="Y531" s="292"/>
      <c r="Z531" s="292"/>
    </row>
    <row r="532" spans="1:26" x14ac:dyDescent="0.35">
      <c r="A532" s="292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  <c r="V532" s="292"/>
      <c r="W532" s="292"/>
      <c r="X532" s="292"/>
      <c r="Y532" s="292"/>
      <c r="Z532" s="292"/>
    </row>
    <row r="533" spans="1:26" x14ac:dyDescent="0.35">
      <c r="A533" s="292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  <c r="X533" s="292"/>
      <c r="Y533" s="292"/>
      <c r="Z533" s="292"/>
    </row>
    <row r="534" spans="1:26" x14ac:dyDescent="0.35">
      <c r="A534" s="292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  <c r="X534" s="292"/>
      <c r="Y534" s="292"/>
      <c r="Z534" s="292"/>
    </row>
    <row r="535" spans="1:26" x14ac:dyDescent="0.35">
      <c r="A535" s="292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  <c r="V535" s="292"/>
      <c r="W535" s="292"/>
      <c r="X535" s="292"/>
      <c r="Y535" s="292"/>
      <c r="Z535" s="292"/>
    </row>
    <row r="536" spans="1:26" x14ac:dyDescent="0.35">
      <c r="A536" s="292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  <c r="V536" s="292"/>
      <c r="W536" s="292"/>
      <c r="X536" s="292"/>
      <c r="Y536" s="292"/>
      <c r="Z536" s="292"/>
    </row>
    <row r="537" spans="1:26" x14ac:dyDescent="0.35">
      <c r="A537" s="292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  <c r="V537" s="292"/>
      <c r="W537" s="292"/>
      <c r="X537" s="292"/>
      <c r="Y537" s="292"/>
      <c r="Z537" s="292"/>
    </row>
    <row r="538" spans="1:26" x14ac:dyDescent="0.35">
      <c r="A538" s="292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  <c r="V538" s="292"/>
      <c r="W538" s="292"/>
      <c r="X538" s="292"/>
      <c r="Y538" s="292"/>
      <c r="Z538" s="292"/>
    </row>
    <row r="539" spans="1:26" x14ac:dyDescent="0.35">
      <c r="A539" s="292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  <c r="V539" s="292"/>
      <c r="W539" s="292"/>
      <c r="X539" s="292"/>
      <c r="Y539" s="292"/>
      <c r="Z539" s="292"/>
    </row>
    <row r="540" spans="1:26" x14ac:dyDescent="0.35">
      <c r="A540" s="292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  <c r="V540" s="292"/>
      <c r="W540" s="292"/>
      <c r="X540" s="292"/>
      <c r="Y540" s="292"/>
      <c r="Z540" s="292"/>
    </row>
    <row r="541" spans="1:26" x14ac:dyDescent="0.35">
      <c r="A541" s="292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  <c r="V541" s="292"/>
      <c r="W541" s="292"/>
      <c r="X541" s="292"/>
      <c r="Y541" s="292"/>
      <c r="Z541" s="292"/>
    </row>
    <row r="542" spans="1:26" x14ac:dyDescent="0.35">
      <c r="A542" s="292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  <c r="V542" s="292"/>
      <c r="W542" s="292"/>
      <c r="X542" s="292"/>
      <c r="Y542" s="292"/>
      <c r="Z542" s="292"/>
    </row>
    <row r="543" spans="1:26" x14ac:dyDescent="0.35">
      <c r="A543" s="292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  <c r="X543" s="292"/>
      <c r="Y543" s="292"/>
      <c r="Z543" s="292"/>
    </row>
    <row r="544" spans="1:26" x14ac:dyDescent="0.35">
      <c r="A544" s="292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  <c r="X544" s="292"/>
      <c r="Y544" s="292"/>
      <c r="Z544" s="292"/>
    </row>
    <row r="545" spans="1:26" x14ac:dyDescent="0.35">
      <c r="A545" s="292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  <c r="V545" s="292"/>
      <c r="W545" s="292"/>
      <c r="X545" s="292"/>
      <c r="Y545" s="292"/>
      <c r="Z545" s="292"/>
    </row>
    <row r="546" spans="1:26" x14ac:dyDescent="0.35">
      <c r="A546" s="292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  <c r="V546" s="292"/>
      <c r="W546" s="292"/>
      <c r="X546" s="292"/>
      <c r="Y546" s="292"/>
      <c r="Z546" s="292"/>
    </row>
    <row r="547" spans="1:26" x14ac:dyDescent="0.35">
      <c r="A547" s="292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  <c r="V547" s="292"/>
      <c r="W547" s="292"/>
      <c r="X547" s="292"/>
      <c r="Y547" s="292"/>
      <c r="Z547" s="292"/>
    </row>
    <row r="548" spans="1:26" x14ac:dyDescent="0.35">
      <c r="A548" s="292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  <c r="V548" s="292"/>
      <c r="W548" s="292"/>
      <c r="X548" s="292"/>
      <c r="Y548" s="292"/>
      <c r="Z548" s="292"/>
    </row>
    <row r="549" spans="1:26" x14ac:dyDescent="0.35">
      <c r="A549" s="292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  <c r="V549" s="292"/>
      <c r="W549" s="292"/>
      <c r="X549" s="292"/>
      <c r="Y549" s="292"/>
      <c r="Z549" s="292"/>
    </row>
    <row r="550" spans="1:26" x14ac:dyDescent="0.35">
      <c r="A550" s="292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  <c r="V550" s="292"/>
      <c r="W550" s="292"/>
      <c r="X550" s="292"/>
      <c r="Y550" s="292"/>
      <c r="Z550" s="292"/>
    </row>
    <row r="551" spans="1:26" x14ac:dyDescent="0.35">
      <c r="A551" s="292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  <c r="V551" s="292"/>
      <c r="W551" s="292"/>
      <c r="X551" s="292"/>
      <c r="Y551" s="292"/>
      <c r="Z551" s="292"/>
    </row>
    <row r="552" spans="1:26" x14ac:dyDescent="0.35">
      <c r="A552" s="292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  <c r="V552" s="292"/>
      <c r="W552" s="292"/>
      <c r="X552" s="292"/>
      <c r="Y552" s="292"/>
      <c r="Z552" s="292"/>
    </row>
    <row r="553" spans="1:26" x14ac:dyDescent="0.35">
      <c r="A553" s="292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  <c r="V553" s="292"/>
      <c r="W553" s="292"/>
      <c r="X553" s="292"/>
      <c r="Y553" s="292"/>
      <c r="Z553" s="292"/>
    </row>
    <row r="554" spans="1:26" x14ac:dyDescent="0.35">
      <c r="A554" s="292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  <c r="V554" s="292"/>
      <c r="W554" s="292"/>
      <c r="X554" s="292"/>
      <c r="Y554" s="292"/>
      <c r="Z554" s="292"/>
    </row>
    <row r="555" spans="1:26" x14ac:dyDescent="0.35">
      <c r="A555" s="292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  <c r="V555" s="292"/>
      <c r="W555" s="292"/>
      <c r="X555" s="292"/>
      <c r="Y555" s="292"/>
      <c r="Z555" s="292"/>
    </row>
    <row r="556" spans="1:26" x14ac:dyDescent="0.35">
      <c r="A556" s="292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  <c r="V556" s="292"/>
      <c r="W556" s="292"/>
      <c r="X556" s="292"/>
      <c r="Y556" s="292"/>
      <c r="Z556" s="292"/>
    </row>
    <row r="557" spans="1:26" x14ac:dyDescent="0.35">
      <c r="A557" s="292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  <c r="V557" s="292"/>
      <c r="W557" s="292"/>
      <c r="X557" s="292"/>
      <c r="Y557" s="292"/>
      <c r="Z557" s="292"/>
    </row>
    <row r="558" spans="1:26" x14ac:dyDescent="0.35">
      <c r="A558" s="292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  <c r="V558" s="292"/>
      <c r="W558" s="292"/>
      <c r="X558" s="292"/>
      <c r="Y558" s="292"/>
      <c r="Z558" s="292"/>
    </row>
    <row r="559" spans="1:26" x14ac:dyDescent="0.35">
      <c r="A559" s="292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  <c r="X559" s="292"/>
      <c r="Y559" s="292"/>
      <c r="Z559" s="292"/>
    </row>
    <row r="560" spans="1:26" x14ac:dyDescent="0.35">
      <c r="A560" s="292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  <c r="V560" s="292"/>
      <c r="W560" s="292"/>
      <c r="X560" s="292"/>
      <c r="Y560" s="292"/>
      <c r="Z560" s="292"/>
    </row>
    <row r="561" spans="1:26" x14ac:dyDescent="0.35">
      <c r="A561" s="292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  <c r="X561" s="292"/>
      <c r="Y561" s="292"/>
      <c r="Z561" s="292"/>
    </row>
    <row r="562" spans="1:26" x14ac:dyDescent="0.35">
      <c r="A562" s="292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  <c r="X562" s="292"/>
      <c r="Y562" s="292"/>
      <c r="Z562" s="292"/>
    </row>
    <row r="563" spans="1:26" x14ac:dyDescent="0.35">
      <c r="A563" s="292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  <c r="V563" s="292"/>
      <c r="W563" s="292"/>
      <c r="X563" s="292"/>
      <c r="Y563" s="292"/>
      <c r="Z563" s="292"/>
    </row>
    <row r="564" spans="1:26" x14ac:dyDescent="0.35">
      <c r="A564" s="292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  <c r="V564" s="292"/>
      <c r="W564" s="292"/>
      <c r="X564" s="292"/>
      <c r="Y564" s="292"/>
      <c r="Z564" s="292"/>
    </row>
    <row r="565" spans="1:26" x14ac:dyDescent="0.35">
      <c r="A565" s="292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  <c r="V565" s="292"/>
      <c r="W565" s="292"/>
      <c r="X565" s="292"/>
      <c r="Y565" s="292"/>
      <c r="Z565" s="292"/>
    </row>
    <row r="566" spans="1:26" x14ac:dyDescent="0.35">
      <c r="A566" s="292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  <c r="V566" s="292"/>
      <c r="W566" s="292"/>
      <c r="X566" s="292"/>
      <c r="Y566" s="292"/>
      <c r="Z566" s="292"/>
    </row>
    <row r="567" spans="1:26" x14ac:dyDescent="0.35">
      <c r="A567" s="292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  <c r="V567" s="292"/>
      <c r="W567" s="292"/>
      <c r="X567" s="292"/>
      <c r="Y567" s="292"/>
      <c r="Z567" s="292"/>
    </row>
    <row r="568" spans="1:26" x14ac:dyDescent="0.35">
      <c r="A568" s="292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  <c r="V568" s="292"/>
      <c r="W568" s="292"/>
      <c r="X568" s="292"/>
      <c r="Y568" s="292"/>
      <c r="Z568" s="292"/>
    </row>
    <row r="569" spans="1:26" x14ac:dyDescent="0.35">
      <c r="A569" s="292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  <c r="V569" s="292"/>
      <c r="W569" s="292"/>
      <c r="X569" s="292"/>
      <c r="Y569" s="292"/>
      <c r="Z569" s="292"/>
    </row>
    <row r="570" spans="1:26" x14ac:dyDescent="0.35">
      <c r="A570" s="292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  <c r="X570" s="292"/>
      <c r="Y570" s="292"/>
      <c r="Z570" s="292"/>
    </row>
    <row r="571" spans="1:26" x14ac:dyDescent="0.35">
      <c r="A571" s="292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  <c r="X571" s="292"/>
      <c r="Y571" s="292"/>
      <c r="Z571" s="292"/>
    </row>
    <row r="572" spans="1:26" x14ac:dyDescent="0.35">
      <c r="A572" s="292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  <c r="V572" s="292"/>
      <c r="W572" s="292"/>
      <c r="X572" s="292"/>
      <c r="Y572" s="292"/>
      <c r="Z572" s="292"/>
    </row>
    <row r="573" spans="1:26" x14ac:dyDescent="0.35">
      <c r="A573" s="292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  <c r="V573" s="292"/>
      <c r="W573" s="292"/>
      <c r="X573" s="292"/>
      <c r="Y573" s="292"/>
      <c r="Z573" s="292"/>
    </row>
    <row r="574" spans="1:26" x14ac:dyDescent="0.35">
      <c r="A574" s="292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  <c r="V574" s="292"/>
      <c r="W574" s="292"/>
      <c r="X574" s="292"/>
      <c r="Y574" s="292"/>
      <c r="Z574" s="292"/>
    </row>
    <row r="575" spans="1:26" x14ac:dyDescent="0.35">
      <c r="A575" s="292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  <c r="V575" s="292"/>
      <c r="W575" s="292"/>
      <c r="X575" s="292"/>
      <c r="Y575" s="292"/>
      <c r="Z575" s="292"/>
    </row>
    <row r="576" spans="1:26" x14ac:dyDescent="0.35">
      <c r="A576" s="292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  <c r="V576" s="292"/>
      <c r="W576" s="292"/>
      <c r="X576" s="292"/>
      <c r="Y576" s="292"/>
      <c r="Z576" s="292"/>
    </row>
    <row r="577" spans="1:26" x14ac:dyDescent="0.35">
      <c r="A577" s="292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  <c r="V577" s="292"/>
      <c r="W577" s="292"/>
      <c r="X577" s="292"/>
      <c r="Y577" s="292"/>
      <c r="Z577" s="292"/>
    </row>
    <row r="578" spans="1:26" x14ac:dyDescent="0.35">
      <c r="A578" s="292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  <c r="V578" s="292"/>
      <c r="W578" s="292"/>
      <c r="X578" s="292"/>
      <c r="Y578" s="292"/>
      <c r="Z578" s="292"/>
    </row>
    <row r="579" spans="1:26" x14ac:dyDescent="0.35">
      <c r="A579" s="292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  <c r="V579" s="292"/>
      <c r="W579" s="292"/>
      <c r="X579" s="292"/>
      <c r="Y579" s="292"/>
      <c r="Z579" s="292"/>
    </row>
    <row r="580" spans="1:26" x14ac:dyDescent="0.35">
      <c r="A580" s="292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  <c r="V580" s="292"/>
      <c r="W580" s="292"/>
      <c r="X580" s="292"/>
      <c r="Y580" s="292"/>
      <c r="Z580" s="292"/>
    </row>
    <row r="581" spans="1:26" x14ac:dyDescent="0.35">
      <c r="A581" s="292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  <c r="V581" s="292"/>
      <c r="W581" s="292"/>
      <c r="X581" s="292"/>
      <c r="Y581" s="292"/>
      <c r="Z581" s="292"/>
    </row>
    <row r="582" spans="1:26" x14ac:dyDescent="0.35">
      <c r="A582" s="292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  <c r="V582" s="292"/>
      <c r="W582" s="292"/>
      <c r="X582" s="292"/>
      <c r="Y582" s="292"/>
      <c r="Z582" s="292"/>
    </row>
    <row r="583" spans="1:26" x14ac:dyDescent="0.35">
      <c r="A583" s="292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  <c r="V583" s="292"/>
      <c r="W583" s="292"/>
      <c r="X583" s="292"/>
      <c r="Y583" s="292"/>
      <c r="Z583" s="292"/>
    </row>
    <row r="584" spans="1:26" x14ac:dyDescent="0.35">
      <c r="A584" s="292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  <c r="V584" s="292"/>
      <c r="W584" s="292"/>
      <c r="X584" s="292"/>
      <c r="Y584" s="292"/>
      <c r="Z584" s="292"/>
    </row>
    <row r="585" spans="1:26" x14ac:dyDescent="0.35">
      <c r="A585" s="292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  <c r="V585" s="292"/>
      <c r="W585" s="292"/>
      <c r="X585" s="292"/>
      <c r="Y585" s="292"/>
      <c r="Z585" s="292"/>
    </row>
    <row r="586" spans="1:26" x14ac:dyDescent="0.35">
      <c r="A586" s="292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  <c r="V586" s="292"/>
      <c r="W586" s="292"/>
      <c r="X586" s="292"/>
      <c r="Y586" s="292"/>
      <c r="Z586" s="292"/>
    </row>
    <row r="587" spans="1:26" x14ac:dyDescent="0.35">
      <c r="A587" s="292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  <c r="V587" s="292"/>
      <c r="W587" s="292"/>
      <c r="X587" s="292"/>
      <c r="Y587" s="292"/>
      <c r="Z587" s="292"/>
    </row>
    <row r="588" spans="1:26" x14ac:dyDescent="0.35">
      <c r="A588" s="292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  <c r="V588" s="292"/>
      <c r="W588" s="292"/>
      <c r="X588" s="292"/>
      <c r="Y588" s="292"/>
      <c r="Z588" s="292"/>
    </row>
    <row r="589" spans="1:26" x14ac:dyDescent="0.35">
      <c r="A589" s="292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  <c r="V589" s="292"/>
      <c r="W589" s="292"/>
      <c r="X589" s="292"/>
      <c r="Y589" s="292"/>
      <c r="Z589" s="292"/>
    </row>
    <row r="590" spans="1:26" x14ac:dyDescent="0.35">
      <c r="A590" s="292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  <c r="V590" s="292"/>
      <c r="W590" s="292"/>
      <c r="X590" s="292"/>
      <c r="Y590" s="292"/>
      <c r="Z590" s="292"/>
    </row>
    <row r="591" spans="1:26" x14ac:dyDescent="0.35">
      <c r="A591" s="292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  <c r="V591" s="292"/>
      <c r="W591" s="292"/>
      <c r="X591" s="292"/>
      <c r="Y591" s="292"/>
      <c r="Z591" s="292"/>
    </row>
    <row r="592" spans="1:26" x14ac:dyDescent="0.35">
      <c r="A592" s="292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  <c r="V592" s="292"/>
      <c r="W592" s="292"/>
      <c r="X592" s="292"/>
      <c r="Y592" s="292"/>
      <c r="Z592" s="292"/>
    </row>
    <row r="593" spans="1:26" x14ac:dyDescent="0.35">
      <c r="A593" s="292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  <c r="V593" s="292"/>
      <c r="W593" s="292"/>
      <c r="X593" s="292"/>
      <c r="Y593" s="292"/>
      <c r="Z593" s="292"/>
    </row>
    <row r="594" spans="1:26" x14ac:dyDescent="0.35">
      <c r="A594" s="292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  <c r="V594" s="292"/>
      <c r="W594" s="292"/>
      <c r="X594" s="292"/>
      <c r="Y594" s="292"/>
      <c r="Z594" s="292"/>
    </row>
    <row r="595" spans="1:26" x14ac:dyDescent="0.35">
      <c r="A595" s="292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  <c r="X595" s="292"/>
      <c r="Y595" s="292"/>
      <c r="Z595" s="292"/>
    </row>
    <row r="596" spans="1:26" x14ac:dyDescent="0.35">
      <c r="A596" s="292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  <c r="X596" s="292"/>
      <c r="Y596" s="292"/>
      <c r="Z596" s="292"/>
    </row>
    <row r="597" spans="1:26" x14ac:dyDescent="0.35">
      <c r="A597" s="292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  <c r="V597" s="292"/>
      <c r="W597" s="292"/>
      <c r="X597" s="292"/>
      <c r="Y597" s="292"/>
      <c r="Z597" s="292"/>
    </row>
    <row r="598" spans="1:26" x14ac:dyDescent="0.35">
      <c r="A598" s="292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  <c r="V598" s="292"/>
      <c r="W598" s="292"/>
      <c r="X598" s="292"/>
      <c r="Y598" s="292"/>
      <c r="Z598" s="292"/>
    </row>
    <row r="599" spans="1:26" x14ac:dyDescent="0.35">
      <c r="A599" s="292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  <c r="V599" s="292"/>
      <c r="W599" s="292"/>
      <c r="X599" s="292"/>
      <c r="Y599" s="292"/>
      <c r="Z599" s="292"/>
    </row>
    <row r="600" spans="1:26" x14ac:dyDescent="0.35">
      <c r="A600" s="292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  <c r="V600" s="292"/>
      <c r="W600" s="292"/>
      <c r="X600" s="292"/>
      <c r="Y600" s="292"/>
      <c r="Z600" s="292"/>
    </row>
    <row r="601" spans="1:26" x14ac:dyDescent="0.35">
      <c r="A601" s="292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  <c r="V601" s="292"/>
      <c r="W601" s="292"/>
      <c r="X601" s="292"/>
      <c r="Y601" s="292"/>
      <c r="Z601" s="292"/>
    </row>
    <row r="602" spans="1:26" x14ac:dyDescent="0.35">
      <c r="A602" s="292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  <c r="V602" s="292"/>
      <c r="W602" s="292"/>
      <c r="X602" s="292"/>
      <c r="Y602" s="292"/>
      <c r="Z602" s="292"/>
    </row>
    <row r="603" spans="1:26" x14ac:dyDescent="0.35">
      <c r="A603" s="292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  <c r="V603" s="292"/>
      <c r="W603" s="292"/>
      <c r="X603" s="292"/>
      <c r="Y603" s="292"/>
      <c r="Z603" s="292"/>
    </row>
    <row r="604" spans="1:26" x14ac:dyDescent="0.35">
      <c r="A604" s="292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  <c r="V604" s="292"/>
      <c r="W604" s="292"/>
      <c r="X604" s="292"/>
      <c r="Y604" s="292"/>
      <c r="Z604" s="292"/>
    </row>
    <row r="605" spans="1:26" x14ac:dyDescent="0.35">
      <c r="A605" s="292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  <c r="X605" s="292"/>
      <c r="Y605" s="292"/>
      <c r="Z605" s="292"/>
    </row>
    <row r="606" spans="1:26" x14ac:dyDescent="0.35">
      <c r="A606" s="292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  <c r="X606" s="292"/>
      <c r="Y606" s="292"/>
      <c r="Z606" s="292"/>
    </row>
    <row r="607" spans="1:26" x14ac:dyDescent="0.35">
      <c r="A607" s="292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  <c r="V607" s="292"/>
      <c r="W607" s="292"/>
      <c r="X607" s="292"/>
      <c r="Y607" s="292"/>
      <c r="Z607" s="292"/>
    </row>
    <row r="608" spans="1:26" x14ac:dyDescent="0.35">
      <c r="A608" s="292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  <c r="V608" s="292"/>
      <c r="W608" s="292"/>
      <c r="X608" s="292"/>
      <c r="Y608" s="292"/>
      <c r="Z608" s="292"/>
    </row>
    <row r="609" spans="1:26" x14ac:dyDescent="0.35">
      <c r="A609" s="292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  <c r="V609" s="292"/>
      <c r="W609" s="292"/>
      <c r="X609" s="292"/>
      <c r="Y609" s="292"/>
      <c r="Z609" s="292"/>
    </row>
    <row r="610" spans="1:26" x14ac:dyDescent="0.35">
      <c r="A610" s="292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  <c r="V610" s="292"/>
      <c r="W610" s="292"/>
      <c r="X610" s="292"/>
      <c r="Y610" s="292"/>
      <c r="Z610" s="292"/>
    </row>
    <row r="611" spans="1:26" x14ac:dyDescent="0.35">
      <c r="A611" s="292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  <c r="V611" s="292"/>
      <c r="W611" s="292"/>
      <c r="X611" s="292"/>
      <c r="Y611" s="292"/>
      <c r="Z611" s="292"/>
    </row>
    <row r="612" spans="1:26" x14ac:dyDescent="0.35">
      <c r="A612" s="292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  <c r="V612" s="292"/>
      <c r="W612" s="292"/>
      <c r="X612" s="292"/>
      <c r="Y612" s="292"/>
      <c r="Z612" s="292"/>
    </row>
    <row r="613" spans="1:26" x14ac:dyDescent="0.35">
      <c r="A613" s="292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  <c r="V613" s="292"/>
      <c r="W613" s="292"/>
      <c r="X613" s="292"/>
      <c r="Y613" s="292"/>
      <c r="Z613" s="292"/>
    </row>
    <row r="614" spans="1:26" x14ac:dyDescent="0.35">
      <c r="A614" s="292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  <c r="V614" s="292"/>
      <c r="W614" s="292"/>
      <c r="X614" s="292"/>
      <c r="Y614" s="292"/>
      <c r="Z614" s="292"/>
    </row>
    <row r="615" spans="1:26" x14ac:dyDescent="0.35">
      <c r="A615" s="292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  <c r="X615" s="292"/>
      <c r="Y615" s="292"/>
      <c r="Z615" s="292"/>
    </row>
    <row r="616" spans="1:26" x14ac:dyDescent="0.35">
      <c r="A616" s="292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  <c r="X616" s="292"/>
      <c r="Y616" s="292"/>
      <c r="Z616" s="292"/>
    </row>
    <row r="617" spans="1:26" x14ac:dyDescent="0.35">
      <c r="A617" s="292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  <c r="V617" s="292"/>
      <c r="W617" s="292"/>
      <c r="X617" s="292"/>
      <c r="Y617" s="292"/>
      <c r="Z617" s="292"/>
    </row>
    <row r="618" spans="1:26" x14ac:dyDescent="0.35">
      <c r="A618" s="292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  <c r="V618" s="292"/>
      <c r="W618" s="292"/>
      <c r="X618" s="292"/>
      <c r="Y618" s="292"/>
      <c r="Z618" s="292"/>
    </row>
    <row r="619" spans="1:26" x14ac:dyDescent="0.35">
      <c r="A619" s="292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  <c r="V619" s="292"/>
      <c r="W619" s="292"/>
      <c r="X619" s="292"/>
      <c r="Y619" s="292"/>
      <c r="Z619" s="292"/>
    </row>
    <row r="620" spans="1:26" x14ac:dyDescent="0.35">
      <c r="A620" s="292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  <c r="V620" s="292"/>
      <c r="W620" s="292"/>
      <c r="X620" s="292"/>
      <c r="Y620" s="292"/>
      <c r="Z620" s="292"/>
    </row>
    <row r="621" spans="1:26" x14ac:dyDescent="0.35">
      <c r="A621" s="292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  <c r="V621" s="292"/>
      <c r="W621" s="292"/>
      <c r="X621" s="292"/>
      <c r="Y621" s="292"/>
      <c r="Z621" s="292"/>
    </row>
    <row r="622" spans="1:26" x14ac:dyDescent="0.35">
      <c r="A622" s="292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  <c r="V622" s="292"/>
      <c r="W622" s="292"/>
      <c r="X622" s="292"/>
      <c r="Y622" s="292"/>
      <c r="Z622" s="292"/>
    </row>
    <row r="623" spans="1:26" x14ac:dyDescent="0.35">
      <c r="A623" s="292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  <c r="V623" s="292"/>
      <c r="W623" s="292"/>
      <c r="X623" s="292"/>
      <c r="Y623" s="292"/>
      <c r="Z623" s="292"/>
    </row>
    <row r="624" spans="1:26" x14ac:dyDescent="0.35">
      <c r="A624" s="292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  <c r="V624" s="292"/>
      <c r="W624" s="292"/>
      <c r="X624" s="292"/>
      <c r="Y624" s="292"/>
      <c r="Z624" s="292"/>
    </row>
    <row r="625" spans="1:26" x14ac:dyDescent="0.35">
      <c r="A625" s="292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  <c r="V625" s="292"/>
      <c r="W625" s="292"/>
      <c r="X625" s="292"/>
      <c r="Y625" s="292"/>
      <c r="Z625" s="292"/>
    </row>
    <row r="626" spans="1:26" x14ac:dyDescent="0.35">
      <c r="A626" s="292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  <c r="V626" s="292"/>
      <c r="W626" s="292"/>
      <c r="X626" s="292"/>
      <c r="Y626" s="292"/>
      <c r="Z626" s="292"/>
    </row>
    <row r="627" spans="1:26" x14ac:dyDescent="0.35">
      <c r="A627" s="292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  <c r="V627" s="292"/>
      <c r="W627" s="292"/>
      <c r="X627" s="292"/>
      <c r="Y627" s="292"/>
      <c r="Z627" s="292"/>
    </row>
    <row r="628" spans="1:26" x14ac:dyDescent="0.35">
      <c r="A628" s="292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  <c r="V628" s="292"/>
      <c r="W628" s="292"/>
      <c r="X628" s="292"/>
      <c r="Y628" s="292"/>
      <c r="Z628" s="292"/>
    </row>
    <row r="629" spans="1:26" x14ac:dyDescent="0.35">
      <c r="A629" s="292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  <c r="V629" s="292"/>
      <c r="W629" s="292"/>
      <c r="X629" s="292"/>
      <c r="Y629" s="292"/>
      <c r="Z629" s="292"/>
    </row>
    <row r="630" spans="1:26" x14ac:dyDescent="0.35">
      <c r="A630" s="292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  <c r="V630" s="292"/>
      <c r="W630" s="292"/>
      <c r="X630" s="292"/>
      <c r="Y630" s="292"/>
      <c r="Z630" s="292"/>
    </row>
    <row r="631" spans="1:26" x14ac:dyDescent="0.35">
      <c r="A631" s="292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  <c r="V631" s="292"/>
      <c r="W631" s="292"/>
      <c r="X631" s="292"/>
      <c r="Y631" s="292"/>
      <c r="Z631" s="292"/>
    </row>
    <row r="632" spans="1:26" x14ac:dyDescent="0.35">
      <c r="A632" s="292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  <c r="V632" s="292"/>
      <c r="W632" s="292"/>
      <c r="X632" s="292"/>
      <c r="Y632" s="292"/>
      <c r="Z632" s="292"/>
    </row>
    <row r="633" spans="1:26" x14ac:dyDescent="0.35">
      <c r="A633" s="292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  <c r="V633" s="292"/>
      <c r="W633" s="292"/>
      <c r="X633" s="292"/>
      <c r="Y633" s="292"/>
      <c r="Z633" s="292"/>
    </row>
    <row r="634" spans="1:26" x14ac:dyDescent="0.35">
      <c r="A634" s="292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  <c r="V634" s="292"/>
      <c r="W634" s="292"/>
      <c r="X634" s="292"/>
      <c r="Y634" s="292"/>
      <c r="Z634" s="292"/>
    </row>
    <row r="635" spans="1:26" x14ac:dyDescent="0.35">
      <c r="A635" s="292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  <c r="V635" s="292"/>
      <c r="W635" s="292"/>
      <c r="X635" s="292"/>
      <c r="Y635" s="292"/>
      <c r="Z635" s="292"/>
    </row>
    <row r="636" spans="1:26" x14ac:dyDescent="0.35">
      <c r="A636" s="292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  <c r="V636" s="292"/>
      <c r="W636" s="292"/>
      <c r="X636" s="292"/>
      <c r="Y636" s="292"/>
      <c r="Z636" s="292"/>
    </row>
    <row r="637" spans="1:26" x14ac:dyDescent="0.35">
      <c r="A637" s="292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  <c r="V637" s="292"/>
      <c r="W637" s="292"/>
      <c r="X637" s="292"/>
      <c r="Y637" s="292"/>
      <c r="Z637" s="292"/>
    </row>
    <row r="638" spans="1:26" x14ac:dyDescent="0.35">
      <c r="A638" s="292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  <c r="V638" s="292"/>
      <c r="W638" s="292"/>
      <c r="X638" s="292"/>
      <c r="Y638" s="292"/>
      <c r="Z638" s="292"/>
    </row>
    <row r="639" spans="1:26" x14ac:dyDescent="0.35">
      <c r="A639" s="292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  <c r="V639" s="292"/>
      <c r="W639" s="292"/>
      <c r="X639" s="292"/>
      <c r="Y639" s="292"/>
      <c r="Z639" s="292"/>
    </row>
    <row r="640" spans="1:26" x14ac:dyDescent="0.35">
      <c r="A640" s="292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  <c r="V640" s="292"/>
      <c r="W640" s="292"/>
      <c r="X640" s="292"/>
      <c r="Y640" s="292"/>
      <c r="Z640" s="292"/>
    </row>
    <row r="641" spans="1:26" x14ac:dyDescent="0.35">
      <c r="A641" s="292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  <c r="V641" s="292"/>
      <c r="W641" s="292"/>
      <c r="X641" s="292"/>
      <c r="Y641" s="292"/>
      <c r="Z641" s="292"/>
    </row>
    <row r="642" spans="1:26" x14ac:dyDescent="0.35">
      <c r="A642" s="292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  <c r="V642" s="292"/>
      <c r="W642" s="292"/>
      <c r="X642" s="292"/>
      <c r="Y642" s="292"/>
      <c r="Z642" s="292"/>
    </row>
    <row r="643" spans="1:26" x14ac:dyDescent="0.35">
      <c r="A643" s="292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  <c r="V643" s="292"/>
      <c r="W643" s="292"/>
      <c r="X643" s="292"/>
      <c r="Y643" s="292"/>
      <c r="Z643" s="292"/>
    </row>
    <row r="644" spans="1:26" x14ac:dyDescent="0.35">
      <c r="A644" s="292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  <c r="V644" s="292"/>
      <c r="W644" s="292"/>
      <c r="X644" s="292"/>
      <c r="Y644" s="292"/>
      <c r="Z644" s="292"/>
    </row>
    <row r="645" spans="1:26" x14ac:dyDescent="0.35">
      <c r="A645" s="292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  <c r="V645" s="292"/>
      <c r="W645" s="292"/>
      <c r="X645" s="292"/>
      <c r="Y645" s="292"/>
      <c r="Z645" s="292"/>
    </row>
    <row r="646" spans="1:26" x14ac:dyDescent="0.35">
      <c r="A646" s="292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  <c r="V646" s="292"/>
      <c r="W646" s="292"/>
      <c r="X646" s="292"/>
      <c r="Y646" s="292"/>
      <c r="Z646" s="292"/>
    </row>
    <row r="647" spans="1:26" x14ac:dyDescent="0.35">
      <c r="A647" s="292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  <c r="V647" s="292"/>
      <c r="W647" s="292"/>
      <c r="X647" s="292"/>
      <c r="Y647" s="292"/>
      <c r="Z647" s="292"/>
    </row>
    <row r="648" spans="1:26" x14ac:dyDescent="0.35">
      <c r="A648" s="292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  <c r="V648" s="292"/>
      <c r="W648" s="292"/>
      <c r="X648" s="292"/>
      <c r="Y648" s="292"/>
      <c r="Z648" s="292"/>
    </row>
    <row r="649" spans="1:26" x14ac:dyDescent="0.35">
      <c r="A649" s="292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  <c r="X649" s="292"/>
      <c r="Y649" s="292"/>
      <c r="Z649" s="292"/>
    </row>
    <row r="650" spans="1:26" x14ac:dyDescent="0.35">
      <c r="A650" s="292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  <c r="X650" s="292"/>
      <c r="Y650" s="292"/>
      <c r="Z650" s="292"/>
    </row>
    <row r="651" spans="1:26" x14ac:dyDescent="0.35">
      <c r="A651" s="292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  <c r="V651" s="292"/>
      <c r="W651" s="292"/>
      <c r="X651" s="292"/>
      <c r="Y651" s="292"/>
      <c r="Z651" s="292"/>
    </row>
    <row r="652" spans="1:26" x14ac:dyDescent="0.35">
      <c r="A652" s="292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  <c r="V652" s="292"/>
      <c r="W652" s="292"/>
      <c r="X652" s="292"/>
      <c r="Y652" s="292"/>
      <c r="Z652" s="292"/>
    </row>
    <row r="653" spans="1:26" x14ac:dyDescent="0.35">
      <c r="A653" s="292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  <c r="V653" s="292"/>
      <c r="W653" s="292"/>
      <c r="X653" s="292"/>
      <c r="Y653" s="292"/>
      <c r="Z653" s="292"/>
    </row>
    <row r="654" spans="1:26" x14ac:dyDescent="0.35">
      <c r="A654" s="292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  <c r="V654" s="292"/>
      <c r="W654" s="292"/>
      <c r="X654" s="292"/>
      <c r="Y654" s="292"/>
      <c r="Z654" s="292"/>
    </row>
    <row r="655" spans="1:26" x14ac:dyDescent="0.35">
      <c r="A655" s="292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  <c r="V655" s="292"/>
      <c r="W655" s="292"/>
      <c r="X655" s="292"/>
      <c r="Y655" s="292"/>
      <c r="Z655" s="292"/>
    </row>
    <row r="656" spans="1:26" x14ac:dyDescent="0.35">
      <c r="A656" s="292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  <c r="V656" s="292"/>
      <c r="W656" s="292"/>
      <c r="X656" s="292"/>
      <c r="Y656" s="292"/>
      <c r="Z656" s="292"/>
    </row>
    <row r="657" spans="1:26" x14ac:dyDescent="0.35">
      <c r="A657" s="292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  <c r="X657" s="292"/>
      <c r="Y657" s="292"/>
      <c r="Z657" s="292"/>
    </row>
    <row r="658" spans="1:26" x14ac:dyDescent="0.35">
      <c r="A658" s="292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  <c r="X658" s="292"/>
      <c r="Y658" s="292"/>
      <c r="Z658" s="292"/>
    </row>
    <row r="659" spans="1:26" x14ac:dyDescent="0.35">
      <c r="A659" s="292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  <c r="V659" s="292"/>
      <c r="W659" s="292"/>
      <c r="X659" s="292"/>
      <c r="Y659" s="292"/>
      <c r="Z659" s="292"/>
    </row>
    <row r="660" spans="1:26" x14ac:dyDescent="0.35">
      <c r="A660" s="292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  <c r="V660" s="292"/>
      <c r="W660" s="292"/>
      <c r="X660" s="292"/>
      <c r="Y660" s="292"/>
      <c r="Z660" s="292"/>
    </row>
    <row r="661" spans="1:26" x14ac:dyDescent="0.35">
      <c r="A661" s="292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  <c r="V661" s="292"/>
      <c r="W661" s="292"/>
      <c r="X661" s="292"/>
      <c r="Y661" s="292"/>
      <c r="Z661" s="292"/>
    </row>
    <row r="662" spans="1:26" x14ac:dyDescent="0.35">
      <c r="A662" s="292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  <c r="V662" s="292"/>
      <c r="W662" s="292"/>
      <c r="X662" s="292"/>
      <c r="Y662" s="292"/>
      <c r="Z662" s="292"/>
    </row>
    <row r="663" spans="1:26" x14ac:dyDescent="0.35">
      <c r="A663" s="292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  <c r="V663" s="292"/>
      <c r="W663" s="292"/>
      <c r="X663" s="292"/>
      <c r="Y663" s="292"/>
      <c r="Z663" s="292"/>
    </row>
    <row r="664" spans="1:26" x14ac:dyDescent="0.35">
      <c r="A664" s="292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  <c r="V664" s="292"/>
      <c r="W664" s="292"/>
      <c r="X664" s="292"/>
      <c r="Y664" s="292"/>
      <c r="Z664" s="292"/>
    </row>
    <row r="665" spans="1:26" x14ac:dyDescent="0.35">
      <c r="A665" s="292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  <c r="V665" s="292"/>
      <c r="W665" s="292"/>
      <c r="X665" s="292"/>
      <c r="Y665" s="292"/>
      <c r="Z665" s="292"/>
    </row>
    <row r="666" spans="1:26" x14ac:dyDescent="0.35">
      <c r="A666" s="292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  <c r="V666" s="292"/>
      <c r="W666" s="292"/>
      <c r="X666" s="292"/>
      <c r="Y666" s="292"/>
      <c r="Z666" s="292"/>
    </row>
    <row r="667" spans="1:26" x14ac:dyDescent="0.35">
      <c r="A667" s="292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  <c r="V667" s="292"/>
      <c r="W667" s="292"/>
      <c r="X667" s="292"/>
      <c r="Y667" s="292"/>
      <c r="Z667" s="292"/>
    </row>
    <row r="668" spans="1:26" x14ac:dyDescent="0.35">
      <c r="A668" s="292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  <c r="V668" s="292"/>
      <c r="W668" s="292"/>
      <c r="X668" s="292"/>
      <c r="Y668" s="292"/>
      <c r="Z668" s="292"/>
    </row>
    <row r="669" spans="1:26" x14ac:dyDescent="0.35">
      <c r="A669" s="292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  <c r="V669" s="292"/>
      <c r="W669" s="292"/>
      <c r="X669" s="292"/>
      <c r="Y669" s="292"/>
      <c r="Z669" s="292"/>
    </row>
    <row r="670" spans="1:26" x14ac:dyDescent="0.35">
      <c r="A670" s="292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  <c r="V670" s="292"/>
      <c r="W670" s="292"/>
      <c r="X670" s="292"/>
      <c r="Y670" s="292"/>
      <c r="Z670" s="292"/>
    </row>
    <row r="671" spans="1:26" x14ac:dyDescent="0.35">
      <c r="A671" s="292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  <c r="V671" s="292"/>
      <c r="W671" s="292"/>
      <c r="X671" s="292"/>
      <c r="Y671" s="292"/>
      <c r="Z671" s="292"/>
    </row>
    <row r="672" spans="1:26" x14ac:dyDescent="0.35">
      <c r="A672" s="292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  <c r="V672" s="292"/>
      <c r="W672" s="292"/>
      <c r="X672" s="292"/>
      <c r="Y672" s="292"/>
      <c r="Z672" s="292"/>
    </row>
    <row r="673" spans="1:26" x14ac:dyDescent="0.35">
      <c r="A673" s="292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  <c r="V673" s="292"/>
      <c r="W673" s="292"/>
      <c r="X673" s="292"/>
      <c r="Y673" s="292"/>
      <c r="Z673" s="292"/>
    </row>
    <row r="674" spans="1:26" x14ac:dyDescent="0.35">
      <c r="A674" s="292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  <c r="V674" s="292"/>
      <c r="W674" s="292"/>
      <c r="X674" s="292"/>
      <c r="Y674" s="292"/>
      <c r="Z674" s="292"/>
    </row>
    <row r="675" spans="1:26" x14ac:dyDescent="0.35">
      <c r="A675" s="292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  <c r="V675" s="292"/>
      <c r="W675" s="292"/>
      <c r="X675" s="292"/>
      <c r="Y675" s="292"/>
      <c r="Z675" s="292"/>
    </row>
    <row r="676" spans="1:26" x14ac:dyDescent="0.35">
      <c r="A676" s="292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  <c r="V676" s="292"/>
      <c r="W676" s="292"/>
      <c r="X676" s="292"/>
      <c r="Y676" s="292"/>
      <c r="Z676" s="292"/>
    </row>
    <row r="677" spans="1:26" x14ac:dyDescent="0.35">
      <c r="A677" s="292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  <c r="V677" s="292"/>
      <c r="W677" s="292"/>
      <c r="X677" s="292"/>
      <c r="Y677" s="292"/>
      <c r="Z677" s="292"/>
    </row>
    <row r="678" spans="1:26" x14ac:dyDescent="0.35">
      <c r="A678" s="292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  <c r="V678" s="292"/>
      <c r="W678" s="292"/>
      <c r="X678" s="292"/>
      <c r="Y678" s="292"/>
      <c r="Z678" s="292"/>
    </row>
    <row r="679" spans="1:26" x14ac:dyDescent="0.35">
      <c r="A679" s="292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  <c r="V679" s="292"/>
      <c r="W679" s="292"/>
      <c r="X679" s="292"/>
      <c r="Y679" s="292"/>
      <c r="Z679" s="292"/>
    </row>
    <row r="680" spans="1:26" x14ac:dyDescent="0.35">
      <c r="A680" s="292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  <c r="V680" s="292"/>
      <c r="W680" s="292"/>
      <c r="X680" s="292"/>
      <c r="Y680" s="292"/>
      <c r="Z680" s="292"/>
    </row>
    <row r="681" spans="1:26" x14ac:dyDescent="0.35">
      <c r="A681" s="292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  <c r="V681" s="292"/>
      <c r="W681" s="292"/>
      <c r="X681" s="292"/>
      <c r="Y681" s="292"/>
      <c r="Z681" s="292"/>
    </row>
    <row r="682" spans="1:26" x14ac:dyDescent="0.35">
      <c r="A682" s="292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  <c r="V682" s="292"/>
      <c r="W682" s="292"/>
      <c r="X682" s="292"/>
      <c r="Y682" s="292"/>
      <c r="Z682" s="292"/>
    </row>
    <row r="683" spans="1:26" x14ac:dyDescent="0.35">
      <c r="A683" s="292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  <c r="V683" s="292"/>
      <c r="W683" s="292"/>
      <c r="X683" s="292"/>
      <c r="Y683" s="292"/>
      <c r="Z683" s="292"/>
    </row>
    <row r="684" spans="1:26" x14ac:dyDescent="0.35">
      <c r="A684" s="292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  <c r="V684" s="292"/>
      <c r="W684" s="292"/>
      <c r="X684" s="292"/>
      <c r="Y684" s="292"/>
      <c r="Z684" s="292"/>
    </row>
    <row r="685" spans="1:26" x14ac:dyDescent="0.35">
      <c r="A685" s="292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  <c r="V685" s="292"/>
      <c r="W685" s="292"/>
      <c r="X685" s="292"/>
      <c r="Y685" s="292"/>
      <c r="Z685" s="292"/>
    </row>
    <row r="686" spans="1:26" x14ac:dyDescent="0.35">
      <c r="A686" s="292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  <c r="V686" s="292"/>
      <c r="W686" s="292"/>
      <c r="X686" s="292"/>
      <c r="Y686" s="292"/>
      <c r="Z686" s="292"/>
    </row>
    <row r="687" spans="1:26" x14ac:dyDescent="0.35">
      <c r="A687" s="292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  <c r="V687" s="292"/>
      <c r="W687" s="292"/>
      <c r="X687" s="292"/>
      <c r="Y687" s="292"/>
      <c r="Z687" s="292"/>
    </row>
    <row r="688" spans="1:26" x14ac:dyDescent="0.35">
      <c r="A688" s="292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  <c r="V688" s="292"/>
      <c r="W688" s="292"/>
      <c r="X688" s="292"/>
      <c r="Y688" s="292"/>
      <c r="Z688" s="292"/>
    </row>
    <row r="689" spans="1:26" x14ac:dyDescent="0.35">
      <c r="A689" s="292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  <c r="V689" s="292"/>
      <c r="W689" s="292"/>
      <c r="X689" s="292"/>
      <c r="Y689" s="292"/>
      <c r="Z689" s="292"/>
    </row>
    <row r="690" spans="1:26" x14ac:dyDescent="0.35">
      <c r="A690" s="292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  <c r="V690" s="292"/>
      <c r="W690" s="292"/>
      <c r="X690" s="292"/>
      <c r="Y690" s="292"/>
      <c r="Z690" s="292"/>
    </row>
    <row r="691" spans="1:26" x14ac:dyDescent="0.35">
      <c r="A691" s="292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  <c r="V691" s="292"/>
      <c r="W691" s="292"/>
      <c r="X691" s="292"/>
      <c r="Y691" s="292"/>
      <c r="Z691" s="292"/>
    </row>
    <row r="692" spans="1:26" x14ac:dyDescent="0.35">
      <c r="A692" s="292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  <c r="V692" s="292"/>
      <c r="W692" s="292"/>
      <c r="X692" s="292"/>
      <c r="Y692" s="292"/>
      <c r="Z692" s="292"/>
    </row>
    <row r="693" spans="1:26" x14ac:dyDescent="0.35">
      <c r="A693" s="292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  <c r="V693" s="292"/>
      <c r="W693" s="292"/>
      <c r="X693" s="292"/>
      <c r="Y693" s="292"/>
      <c r="Z693" s="292"/>
    </row>
    <row r="694" spans="1:26" x14ac:dyDescent="0.35">
      <c r="A694" s="292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  <c r="V694" s="292"/>
      <c r="W694" s="292"/>
      <c r="X694" s="292"/>
      <c r="Y694" s="292"/>
      <c r="Z694" s="292"/>
    </row>
    <row r="695" spans="1:26" x14ac:dyDescent="0.35">
      <c r="A695" s="292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  <c r="V695" s="292"/>
      <c r="W695" s="292"/>
      <c r="X695" s="292"/>
      <c r="Y695" s="292"/>
      <c r="Z695" s="292"/>
    </row>
    <row r="696" spans="1:26" x14ac:dyDescent="0.35">
      <c r="A696" s="292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  <c r="V696" s="292"/>
      <c r="W696" s="292"/>
      <c r="X696" s="292"/>
      <c r="Y696" s="292"/>
      <c r="Z696" s="292"/>
    </row>
    <row r="697" spans="1:26" x14ac:dyDescent="0.35">
      <c r="A697" s="292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  <c r="V697" s="292"/>
      <c r="W697" s="292"/>
      <c r="X697" s="292"/>
      <c r="Y697" s="292"/>
      <c r="Z697" s="292"/>
    </row>
    <row r="698" spans="1:26" x14ac:dyDescent="0.35">
      <c r="A698" s="292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  <c r="V698" s="292"/>
      <c r="W698" s="292"/>
      <c r="X698" s="292"/>
      <c r="Y698" s="292"/>
      <c r="Z698" s="292"/>
    </row>
    <row r="699" spans="1:26" x14ac:dyDescent="0.35">
      <c r="A699" s="292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  <c r="V699" s="292"/>
      <c r="W699" s="292"/>
      <c r="X699" s="292"/>
      <c r="Y699" s="292"/>
      <c r="Z699" s="292"/>
    </row>
    <row r="700" spans="1:26" x14ac:dyDescent="0.35">
      <c r="A700" s="292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  <c r="V700" s="292"/>
      <c r="W700" s="292"/>
      <c r="X700" s="292"/>
      <c r="Y700" s="292"/>
      <c r="Z700" s="292"/>
    </row>
    <row r="701" spans="1:26" x14ac:dyDescent="0.35">
      <c r="A701" s="292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  <c r="V701" s="292"/>
      <c r="W701" s="292"/>
      <c r="X701" s="292"/>
      <c r="Y701" s="292"/>
      <c r="Z701" s="292"/>
    </row>
    <row r="702" spans="1:26" x14ac:dyDescent="0.35">
      <c r="A702" s="292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  <c r="V702" s="292"/>
      <c r="W702" s="292"/>
      <c r="X702" s="292"/>
      <c r="Y702" s="292"/>
      <c r="Z702" s="292"/>
    </row>
    <row r="703" spans="1:26" x14ac:dyDescent="0.35">
      <c r="A703" s="292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  <c r="V703" s="292"/>
      <c r="W703" s="292"/>
      <c r="X703" s="292"/>
      <c r="Y703" s="292"/>
      <c r="Z703" s="292"/>
    </row>
    <row r="704" spans="1:26" x14ac:dyDescent="0.35">
      <c r="A704" s="292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  <c r="V704" s="292"/>
      <c r="W704" s="292"/>
      <c r="X704" s="292"/>
      <c r="Y704" s="292"/>
      <c r="Z704" s="292"/>
    </row>
    <row r="705" spans="1:26" x14ac:dyDescent="0.35">
      <c r="A705" s="292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  <c r="V705" s="292"/>
      <c r="W705" s="292"/>
      <c r="X705" s="292"/>
      <c r="Y705" s="292"/>
      <c r="Z705" s="292"/>
    </row>
    <row r="706" spans="1:26" x14ac:dyDescent="0.35">
      <c r="A706" s="292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  <c r="V706" s="292"/>
      <c r="W706" s="292"/>
      <c r="X706" s="292"/>
      <c r="Y706" s="292"/>
      <c r="Z706" s="292"/>
    </row>
    <row r="707" spans="1:26" x14ac:dyDescent="0.35">
      <c r="A707" s="292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  <c r="V707" s="292"/>
      <c r="W707" s="292"/>
      <c r="X707" s="292"/>
      <c r="Y707" s="292"/>
      <c r="Z707" s="292"/>
    </row>
    <row r="708" spans="1:26" x14ac:dyDescent="0.35">
      <c r="A708" s="292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  <c r="V708" s="292"/>
      <c r="W708" s="292"/>
      <c r="X708" s="292"/>
      <c r="Y708" s="292"/>
      <c r="Z708" s="292"/>
    </row>
    <row r="709" spans="1:26" x14ac:dyDescent="0.35">
      <c r="A709" s="292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  <c r="V709" s="292"/>
      <c r="W709" s="292"/>
      <c r="X709" s="292"/>
      <c r="Y709" s="292"/>
      <c r="Z709" s="292"/>
    </row>
    <row r="710" spans="1:26" x14ac:dyDescent="0.35">
      <c r="A710" s="292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  <c r="V710" s="292"/>
      <c r="W710" s="292"/>
      <c r="X710" s="292"/>
      <c r="Y710" s="292"/>
      <c r="Z710" s="292"/>
    </row>
    <row r="711" spans="1:26" x14ac:dyDescent="0.35">
      <c r="A711" s="292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  <c r="V711" s="292"/>
      <c r="W711" s="292"/>
      <c r="X711" s="292"/>
      <c r="Y711" s="292"/>
      <c r="Z711" s="292"/>
    </row>
    <row r="712" spans="1:26" x14ac:dyDescent="0.35">
      <c r="A712" s="292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  <c r="V712" s="292"/>
      <c r="W712" s="292"/>
      <c r="X712" s="292"/>
      <c r="Y712" s="292"/>
      <c r="Z712" s="292"/>
    </row>
    <row r="713" spans="1:26" x14ac:dyDescent="0.35">
      <c r="A713" s="292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  <c r="V713" s="292"/>
      <c r="W713" s="292"/>
      <c r="X713" s="292"/>
      <c r="Y713" s="292"/>
      <c r="Z713" s="292"/>
    </row>
    <row r="714" spans="1:26" x14ac:dyDescent="0.35">
      <c r="A714" s="292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  <c r="V714" s="292"/>
      <c r="W714" s="292"/>
      <c r="X714" s="292"/>
      <c r="Y714" s="292"/>
      <c r="Z714" s="292"/>
    </row>
    <row r="715" spans="1:26" x14ac:dyDescent="0.35">
      <c r="A715" s="292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  <c r="V715" s="292"/>
      <c r="W715" s="292"/>
      <c r="X715" s="292"/>
      <c r="Y715" s="292"/>
      <c r="Z715" s="292"/>
    </row>
    <row r="716" spans="1:26" x14ac:dyDescent="0.35">
      <c r="A716" s="292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  <c r="V716" s="292"/>
      <c r="W716" s="292"/>
      <c r="X716" s="292"/>
      <c r="Y716" s="292"/>
      <c r="Z716" s="292"/>
    </row>
    <row r="717" spans="1:26" x14ac:dyDescent="0.35">
      <c r="A717" s="292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  <c r="V717" s="292"/>
      <c r="W717" s="292"/>
      <c r="X717" s="292"/>
      <c r="Y717" s="292"/>
      <c r="Z717" s="292"/>
    </row>
    <row r="718" spans="1:26" x14ac:dyDescent="0.35">
      <c r="A718" s="292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  <c r="V718" s="292"/>
      <c r="W718" s="292"/>
      <c r="X718" s="292"/>
      <c r="Y718" s="292"/>
      <c r="Z718" s="292"/>
    </row>
    <row r="719" spans="1:26" x14ac:dyDescent="0.35">
      <c r="A719" s="292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  <c r="V719" s="292"/>
      <c r="W719" s="292"/>
      <c r="X719" s="292"/>
      <c r="Y719" s="292"/>
      <c r="Z719" s="292"/>
    </row>
    <row r="720" spans="1:26" x14ac:dyDescent="0.35">
      <c r="A720" s="292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  <c r="V720" s="292"/>
      <c r="W720" s="292"/>
      <c r="X720" s="292"/>
      <c r="Y720" s="292"/>
      <c r="Z720" s="292"/>
    </row>
    <row r="721" spans="1:26" x14ac:dyDescent="0.35">
      <c r="A721" s="292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  <c r="V721" s="292"/>
      <c r="W721" s="292"/>
      <c r="X721" s="292"/>
      <c r="Y721" s="292"/>
      <c r="Z721" s="292"/>
    </row>
    <row r="722" spans="1:26" x14ac:dyDescent="0.35">
      <c r="A722" s="292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  <c r="V722" s="292"/>
      <c r="W722" s="292"/>
      <c r="X722" s="292"/>
      <c r="Y722" s="292"/>
      <c r="Z722" s="292"/>
    </row>
    <row r="723" spans="1:26" x14ac:dyDescent="0.35">
      <c r="A723" s="292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  <c r="V723" s="292"/>
      <c r="W723" s="292"/>
      <c r="X723" s="292"/>
      <c r="Y723" s="292"/>
      <c r="Z723" s="292"/>
    </row>
    <row r="724" spans="1:26" x14ac:dyDescent="0.35">
      <c r="A724" s="292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  <c r="V724" s="292"/>
      <c r="W724" s="292"/>
      <c r="X724" s="292"/>
      <c r="Y724" s="292"/>
      <c r="Z724" s="292"/>
    </row>
    <row r="725" spans="1:26" x14ac:dyDescent="0.35">
      <c r="A725" s="292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  <c r="V725" s="292"/>
      <c r="W725" s="292"/>
      <c r="X725" s="292"/>
      <c r="Y725" s="292"/>
      <c r="Z725" s="292"/>
    </row>
    <row r="726" spans="1:26" x14ac:dyDescent="0.35">
      <c r="A726" s="292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  <c r="V726" s="292"/>
      <c r="W726" s="292"/>
      <c r="X726" s="292"/>
      <c r="Y726" s="292"/>
      <c r="Z726" s="292"/>
    </row>
    <row r="727" spans="1:26" x14ac:dyDescent="0.35">
      <c r="A727" s="292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  <c r="V727" s="292"/>
      <c r="W727" s="292"/>
      <c r="X727" s="292"/>
      <c r="Y727" s="292"/>
      <c r="Z727" s="292"/>
    </row>
    <row r="728" spans="1:26" x14ac:dyDescent="0.35">
      <c r="A728" s="292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  <c r="V728" s="292"/>
      <c r="W728" s="292"/>
      <c r="X728" s="292"/>
      <c r="Y728" s="292"/>
      <c r="Z728" s="292"/>
    </row>
    <row r="729" spans="1:26" x14ac:dyDescent="0.35">
      <c r="A729" s="292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  <c r="V729" s="292"/>
      <c r="W729" s="292"/>
      <c r="X729" s="292"/>
      <c r="Y729" s="292"/>
      <c r="Z729" s="292"/>
    </row>
    <row r="730" spans="1:26" x14ac:dyDescent="0.35">
      <c r="A730" s="292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  <c r="V730" s="292"/>
      <c r="W730" s="292"/>
      <c r="X730" s="292"/>
      <c r="Y730" s="292"/>
      <c r="Z730" s="292"/>
    </row>
    <row r="731" spans="1:26" x14ac:dyDescent="0.35">
      <c r="A731" s="292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  <c r="V731" s="292"/>
      <c r="W731" s="292"/>
      <c r="X731" s="292"/>
      <c r="Y731" s="292"/>
      <c r="Z731" s="292"/>
    </row>
    <row r="732" spans="1:26" x14ac:dyDescent="0.35">
      <c r="A732" s="292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  <c r="V732" s="292"/>
      <c r="W732" s="292"/>
      <c r="X732" s="292"/>
      <c r="Y732" s="292"/>
      <c r="Z732" s="292"/>
    </row>
    <row r="733" spans="1:26" x14ac:dyDescent="0.35">
      <c r="A733" s="292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  <c r="V733" s="292"/>
      <c r="W733" s="292"/>
      <c r="X733" s="292"/>
      <c r="Y733" s="292"/>
      <c r="Z733" s="292"/>
    </row>
    <row r="734" spans="1:26" x14ac:dyDescent="0.35">
      <c r="A734" s="292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  <c r="V734" s="292"/>
      <c r="W734" s="292"/>
      <c r="X734" s="292"/>
      <c r="Y734" s="292"/>
      <c r="Z734" s="292"/>
    </row>
    <row r="735" spans="1:26" x14ac:dyDescent="0.35">
      <c r="A735" s="292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  <c r="V735" s="292"/>
      <c r="W735" s="292"/>
      <c r="X735" s="292"/>
      <c r="Y735" s="292"/>
      <c r="Z735" s="292"/>
    </row>
    <row r="736" spans="1:26" x14ac:dyDescent="0.35">
      <c r="A736" s="292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  <c r="V736" s="292"/>
      <c r="W736" s="292"/>
      <c r="X736" s="292"/>
      <c r="Y736" s="292"/>
      <c r="Z736" s="292"/>
    </row>
    <row r="737" spans="1:26" x14ac:dyDescent="0.35">
      <c r="A737" s="292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  <c r="V737" s="292"/>
      <c r="W737" s="292"/>
      <c r="X737" s="292"/>
      <c r="Y737" s="292"/>
      <c r="Z737" s="292"/>
    </row>
    <row r="738" spans="1:26" x14ac:dyDescent="0.35">
      <c r="A738" s="292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  <c r="V738" s="292"/>
      <c r="W738" s="292"/>
      <c r="X738" s="292"/>
      <c r="Y738" s="292"/>
      <c r="Z738" s="292"/>
    </row>
    <row r="739" spans="1:26" x14ac:dyDescent="0.35">
      <c r="A739" s="292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  <c r="V739" s="292"/>
      <c r="W739" s="292"/>
      <c r="X739" s="292"/>
      <c r="Y739" s="292"/>
      <c r="Z739" s="292"/>
    </row>
    <row r="740" spans="1:26" x14ac:dyDescent="0.35">
      <c r="A740" s="292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  <c r="V740" s="292"/>
      <c r="W740" s="292"/>
      <c r="X740" s="292"/>
      <c r="Y740" s="292"/>
      <c r="Z740" s="292"/>
    </row>
    <row r="741" spans="1:26" x14ac:dyDescent="0.35">
      <c r="A741" s="292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  <c r="V741" s="292"/>
      <c r="W741" s="292"/>
      <c r="X741" s="292"/>
      <c r="Y741" s="292"/>
      <c r="Z741" s="292"/>
    </row>
    <row r="742" spans="1:26" x14ac:dyDescent="0.35">
      <c r="A742" s="292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  <c r="V742" s="292"/>
      <c r="W742" s="292"/>
      <c r="X742" s="292"/>
      <c r="Y742" s="292"/>
      <c r="Z742" s="292"/>
    </row>
    <row r="743" spans="1:26" x14ac:dyDescent="0.35">
      <c r="A743" s="292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  <c r="V743" s="292"/>
      <c r="W743" s="292"/>
      <c r="X743" s="292"/>
      <c r="Y743" s="292"/>
      <c r="Z743" s="292"/>
    </row>
    <row r="744" spans="1:26" x14ac:dyDescent="0.35">
      <c r="A744" s="292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  <c r="V744" s="292"/>
      <c r="W744" s="292"/>
      <c r="X744" s="292"/>
      <c r="Y744" s="292"/>
      <c r="Z744" s="292"/>
    </row>
    <row r="745" spans="1:26" x14ac:dyDescent="0.35">
      <c r="A745" s="292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  <c r="V745" s="292"/>
      <c r="W745" s="292"/>
      <c r="X745" s="292"/>
      <c r="Y745" s="292"/>
      <c r="Z745" s="292"/>
    </row>
    <row r="746" spans="1:26" x14ac:dyDescent="0.35">
      <c r="A746" s="292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  <c r="V746" s="292"/>
      <c r="W746" s="292"/>
      <c r="X746" s="292"/>
      <c r="Y746" s="292"/>
      <c r="Z746" s="292"/>
    </row>
    <row r="747" spans="1:26" x14ac:dyDescent="0.35">
      <c r="A747" s="292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  <c r="V747" s="292"/>
      <c r="W747" s="292"/>
      <c r="X747" s="292"/>
      <c r="Y747" s="292"/>
      <c r="Z747" s="292"/>
    </row>
    <row r="748" spans="1:26" x14ac:dyDescent="0.35">
      <c r="A748" s="292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  <c r="V748" s="292"/>
      <c r="W748" s="292"/>
      <c r="X748" s="292"/>
      <c r="Y748" s="292"/>
      <c r="Z748" s="292"/>
    </row>
    <row r="749" spans="1:26" x14ac:dyDescent="0.35">
      <c r="A749" s="292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  <c r="V749" s="292"/>
      <c r="W749" s="292"/>
      <c r="X749" s="292"/>
      <c r="Y749" s="292"/>
      <c r="Z749" s="292"/>
    </row>
    <row r="750" spans="1:26" x14ac:dyDescent="0.35">
      <c r="A750" s="292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  <c r="V750" s="292"/>
      <c r="W750" s="292"/>
      <c r="X750" s="292"/>
      <c r="Y750" s="292"/>
      <c r="Z750" s="292"/>
    </row>
    <row r="751" spans="1:26" x14ac:dyDescent="0.35">
      <c r="A751" s="292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  <c r="V751" s="292"/>
      <c r="W751" s="292"/>
      <c r="X751" s="292"/>
      <c r="Y751" s="292"/>
      <c r="Z751" s="292"/>
    </row>
    <row r="752" spans="1:26" x14ac:dyDescent="0.35">
      <c r="A752" s="292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  <c r="V752" s="292"/>
      <c r="W752" s="292"/>
      <c r="X752" s="292"/>
      <c r="Y752" s="292"/>
      <c r="Z752" s="292"/>
    </row>
    <row r="753" spans="1:26" x14ac:dyDescent="0.35">
      <c r="A753" s="292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  <c r="V753" s="292"/>
      <c r="W753" s="292"/>
      <c r="X753" s="292"/>
      <c r="Y753" s="292"/>
      <c r="Z753" s="292"/>
    </row>
    <row r="754" spans="1:26" x14ac:dyDescent="0.35">
      <c r="A754" s="292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  <c r="V754" s="292"/>
      <c r="W754" s="292"/>
      <c r="X754" s="292"/>
      <c r="Y754" s="292"/>
      <c r="Z754" s="292"/>
    </row>
    <row r="755" spans="1:26" x14ac:dyDescent="0.35">
      <c r="A755" s="292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  <c r="V755" s="292"/>
      <c r="W755" s="292"/>
      <c r="X755" s="292"/>
      <c r="Y755" s="292"/>
      <c r="Z755" s="292"/>
    </row>
    <row r="756" spans="1:26" x14ac:dyDescent="0.35">
      <c r="A756" s="292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  <c r="V756" s="292"/>
      <c r="W756" s="292"/>
      <c r="X756" s="292"/>
      <c r="Y756" s="292"/>
      <c r="Z756" s="292"/>
    </row>
    <row r="757" spans="1:26" x14ac:dyDescent="0.35">
      <c r="A757" s="292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  <c r="V757" s="292"/>
      <c r="W757" s="292"/>
      <c r="X757" s="292"/>
      <c r="Y757" s="292"/>
      <c r="Z757" s="292"/>
    </row>
    <row r="758" spans="1:26" x14ac:dyDescent="0.35">
      <c r="A758" s="292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  <c r="V758" s="292"/>
      <c r="W758" s="292"/>
      <c r="X758" s="292"/>
      <c r="Y758" s="292"/>
      <c r="Z758" s="292"/>
    </row>
    <row r="759" spans="1:26" x14ac:dyDescent="0.35">
      <c r="A759" s="292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  <c r="V759" s="292"/>
      <c r="W759" s="292"/>
      <c r="X759" s="292"/>
      <c r="Y759" s="292"/>
      <c r="Z759" s="292"/>
    </row>
    <row r="760" spans="1:26" x14ac:dyDescent="0.35">
      <c r="A760" s="292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  <c r="V760" s="292"/>
      <c r="W760" s="292"/>
      <c r="X760" s="292"/>
      <c r="Y760" s="292"/>
      <c r="Z760" s="292"/>
    </row>
    <row r="761" spans="1:26" x14ac:dyDescent="0.35">
      <c r="A761" s="292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  <c r="V761" s="292"/>
      <c r="W761" s="292"/>
      <c r="X761" s="292"/>
      <c r="Y761" s="292"/>
      <c r="Z761" s="292"/>
    </row>
    <row r="762" spans="1:26" x14ac:dyDescent="0.35">
      <c r="A762" s="292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  <c r="V762" s="292"/>
      <c r="W762" s="292"/>
      <c r="X762" s="292"/>
      <c r="Y762" s="292"/>
      <c r="Z762" s="292"/>
    </row>
    <row r="763" spans="1:26" x14ac:dyDescent="0.35">
      <c r="A763" s="292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  <c r="V763" s="292"/>
      <c r="W763" s="292"/>
      <c r="X763" s="292"/>
      <c r="Y763" s="292"/>
      <c r="Z763" s="292"/>
    </row>
    <row r="764" spans="1:26" x14ac:dyDescent="0.35">
      <c r="A764" s="292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  <c r="V764" s="292"/>
      <c r="W764" s="292"/>
      <c r="X764" s="292"/>
      <c r="Y764" s="292"/>
      <c r="Z764" s="292"/>
    </row>
    <row r="765" spans="1:26" x14ac:dyDescent="0.35">
      <c r="A765" s="292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  <c r="V765" s="292"/>
      <c r="W765" s="292"/>
      <c r="X765" s="292"/>
      <c r="Y765" s="292"/>
      <c r="Z765" s="292"/>
    </row>
    <row r="766" spans="1:26" x14ac:dyDescent="0.35">
      <c r="A766" s="292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  <c r="V766" s="292"/>
      <c r="W766" s="292"/>
      <c r="X766" s="292"/>
      <c r="Y766" s="292"/>
      <c r="Z766" s="292"/>
    </row>
    <row r="767" spans="1:26" x14ac:dyDescent="0.35">
      <c r="A767" s="292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  <c r="V767" s="292"/>
      <c r="W767" s="292"/>
      <c r="X767" s="292"/>
      <c r="Y767" s="292"/>
      <c r="Z767" s="292"/>
    </row>
    <row r="768" spans="1:26" x14ac:dyDescent="0.35">
      <c r="A768" s="292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  <c r="V768" s="292"/>
      <c r="W768" s="292"/>
      <c r="X768" s="292"/>
      <c r="Y768" s="292"/>
      <c r="Z768" s="292"/>
    </row>
    <row r="769" spans="1:26" x14ac:dyDescent="0.35">
      <c r="A769" s="292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  <c r="V769" s="292"/>
      <c r="W769" s="292"/>
      <c r="X769" s="292"/>
      <c r="Y769" s="292"/>
      <c r="Z769" s="292"/>
    </row>
    <row r="770" spans="1:26" x14ac:dyDescent="0.35">
      <c r="A770" s="292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  <c r="V770" s="292"/>
      <c r="W770" s="292"/>
      <c r="X770" s="292"/>
      <c r="Y770" s="292"/>
      <c r="Z770" s="292"/>
    </row>
    <row r="771" spans="1:26" x14ac:dyDescent="0.35">
      <c r="A771" s="292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  <c r="V771" s="292"/>
      <c r="W771" s="292"/>
      <c r="X771" s="292"/>
      <c r="Y771" s="292"/>
      <c r="Z771" s="292"/>
    </row>
    <row r="772" spans="1:26" x14ac:dyDescent="0.35">
      <c r="A772" s="292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  <c r="V772" s="292"/>
      <c r="W772" s="292"/>
      <c r="X772" s="292"/>
      <c r="Y772" s="292"/>
      <c r="Z772" s="292"/>
    </row>
    <row r="773" spans="1:26" x14ac:dyDescent="0.35">
      <c r="A773" s="292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  <c r="V773" s="292"/>
      <c r="W773" s="292"/>
      <c r="X773" s="292"/>
      <c r="Y773" s="292"/>
      <c r="Z773" s="292"/>
    </row>
    <row r="774" spans="1:26" x14ac:dyDescent="0.35">
      <c r="A774" s="292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  <c r="V774" s="292"/>
      <c r="W774" s="292"/>
      <c r="X774" s="292"/>
      <c r="Y774" s="292"/>
      <c r="Z774" s="292"/>
    </row>
    <row r="775" spans="1:26" x14ac:dyDescent="0.35">
      <c r="A775" s="292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  <c r="V775" s="292"/>
      <c r="W775" s="292"/>
      <c r="X775" s="292"/>
      <c r="Y775" s="292"/>
      <c r="Z775" s="292"/>
    </row>
    <row r="776" spans="1:26" x14ac:dyDescent="0.35">
      <c r="A776" s="292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  <c r="V776" s="292"/>
      <c r="W776" s="292"/>
      <c r="X776" s="292"/>
      <c r="Y776" s="292"/>
      <c r="Z776" s="292"/>
    </row>
    <row r="777" spans="1:26" x14ac:dyDescent="0.35">
      <c r="A777" s="292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  <c r="V777" s="292"/>
      <c r="W777" s="292"/>
      <c r="X777" s="292"/>
      <c r="Y777" s="292"/>
      <c r="Z777" s="292"/>
    </row>
    <row r="778" spans="1:26" x14ac:dyDescent="0.35">
      <c r="A778" s="292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  <c r="V778" s="292"/>
      <c r="W778" s="292"/>
      <c r="X778" s="292"/>
      <c r="Y778" s="292"/>
      <c r="Z778" s="292"/>
    </row>
    <row r="779" spans="1:26" x14ac:dyDescent="0.35">
      <c r="A779" s="292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  <c r="V779" s="292"/>
      <c r="W779" s="292"/>
      <c r="X779" s="292"/>
      <c r="Y779" s="292"/>
      <c r="Z779" s="292"/>
    </row>
    <row r="780" spans="1:26" x14ac:dyDescent="0.35">
      <c r="A780" s="292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  <c r="V780" s="292"/>
      <c r="W780" s="292"/>
      <c r="X780" s="292"/>
      <c r="Y780" s="292"/>
      <c r="Z780" s="292"/>
    </row>
    <row r="781" spans="1:26" x14ac:dyDescent="0.35">
      <c r="A781" s="292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  <c r="V781" s="292"/>
      <c r="W781" s="292"/>
      <c r="X781" s="292"/>
      <c r="Y781" s="292"/>
      <c r="Z781" s="292"/>
    </row>
    <row r="782" spans="1:26" x14ac:dyDescent="0.35">
      <c r="A782" s="292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  <c r="V782" s="292"/>
      <c r="W782" s="292"/>
      <c r="X782" s="292"/>
      <c r="Y782" s="292"/>
      <c r="Z782" s="292"/>
    </row>
    <row r="783" spans="1:26" x14ac:dyDescent="0.35">
      <c r="A783" s="292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  <c r="V783" s="292"/>
      <c r="W783" s="292"/>
      <c r="X783" s="292"/>
      <c r="Y783" s="292"/>
      <c r="Z783" s="292"/>
    </row>
    <row r="784" spans="1:26" x14ac:dyDescent="0.35">
      <c r="A784" s="292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  <c r="V784" s="292"/>
      <c r="W784" s="292"/>
      <c r="X784" s="292"/>
      <c r="Y784" s="292"/>
      <c r="Z784" s="292"/>
    </row>
    <row r="785" spans="1:26" x14ac:dyDescent="0.35">
      <c r="A785" s="292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  <c r="V785" s="292"/>
      <c r="W785" s="292"/>
      <c r="X785" s="292"/>
      <c r="Y785" s="292"/>
      <c r="Z785" s="292"/>
    </row>
    <row r="786" spans="1:26" x14ac:dyDescent="0.35">
      <c r="A786" s="292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  <c r="V786" s="292"/>
      <c r="W786" s="292"/>
      <c r="X786" s="292"/>
      <c r="Y786" s="292"/>
      <c r="Z786" s="292"/>
    </row>
    <row r="787" spans="1:26" x14ac:dyDescent="0.35">
      <c r="A787" s="292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  <c r="V787" s="292"/>
      <c r="W787" s="292"/>
      <c r="X787" s="292"/>
      <c r="Y787" s="292"/>
      <c r="Z787" s="292"/>
    </row>
    <row r="788" spans="1:26" x14ac:dyDescent="0.35">
      <c r="A788" s="292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  <c r="V788" s="292"/>
      <c r="W788" s="292"/>
      <c r="X788" s="292"/>
      <c r="Y788" s="292"/>
      <c r="Z788" s="292"/>
    </row>
    <row r="789" spans="1:26" x14ac:dyDescent="0.35">
      <c r="A789" s="292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  <c r="V789" s="292"/>
      <c r="W789" s="292"/>
      <c r="X789" s="292"/>
      <c r="Y789" s="292"/>
      <c r="Z789" s="292"/>
    </row>
    <row r="790" spans="1:26" x14ac:dyDescent="0.35">
      <c r="A790" s="292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  <c r="V790" s="292"/>
      <c r="W790" s="292"/>
      <c r="X790" s="292"/>
      <c r="Y790" s="292"/>
      <c r="Z790" s="292"/>
    </row>
    <row r="791" spans="1:26" x14ac:dyDescent="0.35">
      <c r="A791" s="292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  <c r="V791" s="292"/>
      <c r="W791" s="292"/>
      <c r="X791" s="292"/>
      <c r="Y791" s="292"/>
      <c r="Z791" s="292"/>
    </row>
    <row r="792" spans="1:26" x14ac:dyDescent="0.35">
      <c r="A792" s="292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  <c r="V792" s="292"/>
      <c r="W792" s="292"/>
      <c r="X792" s="292"/>
      <c r="Y792" s="292"/>
      <c r="Z792" s="292"/>
    </row>
    <row r="793" spans="1:26" x14ac:dyDescent="0.35">
      <c r="A793" s="292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  <c r="V793" s="292"/>
      <c r="W793" s="292"/>
      <c r="X793" s="292"/>
      <c r="Y793" s="292"/>
      <c r="Z793" s="292"/>
    </row>
    <row r="794" spans="1:26" x14ac:dyDescent="0.35">
      <c r="A794" s="292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  <c r="V794" s="292"/>
      <c r="W794" s="292"/>
      <c r="X794" s="292"/>
      <c r="Y794" s="292"/>
      <c r="Z794" s="292"/>
    </row>
    <row r="795" spans="1:26" x14ac:dyDescent="0.35">
      <c r="A795" s="292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  <c r="V795" s="292"/>
      <c r="W795" s="292"/>
      <c r="X795" s="292"/>
      <c r="Y795" s="292"/>
      <c r="Z795" s="292"/>
    </row>
    <row r="796" spans="1:26" x14ac:dyDescent="0.35">
      <c r="A796" s="292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  <c r="V796" s="292"/>
      <c r="W796" s="292"/>
      <c r="X796" s="292"/>
      <c r="Y796" s="292"/>
      <c r="Z796" s="292"/>
    </row>
    <row r="797" spans="1:26" x14ac:dyDescent="0.35">
      <c r="A797" s="292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  <c r="V797" s="292"/>
      <c r="W797" s="292"/>
      <c r="X797" s="292"/>
      <c r="Y797" s="292"/>
      <c r="Z797" s="292"/>
    </row>
    <row r="798" spans="1:26" x14ac:dyDescent="0.35">
      <c r="A798" s="292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  <c r="V798" s="292"/>
      <c r="W798" s="292"/>
      <c r="X798" s="292"/>
      <c r="Y798" s="292"/>
      <c r="Z798" s="292"/>
    </row>
    <row r="799" spans="1:26" x14ac:dyDescent="0.35">
      <c r="A799" s="292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  <c r="V799" s="292"/>
      <c r="W799" s="292"/>
      <c r="X799" s="292"/>
      <c r="Y799" s="292"/>
      <c r="Z799" s="292"/>
    </row>
    <row r="800" spans="1:26" x14ac:dyDescent="0.35">
      <c r="A800" s="292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  <c r="V800" s="292"/>
      <c r="W800" s="292"/>
      <c r="X800" s="292"/>
      <c r="Y800" s="292"/>
      <c r="Z800" s="292"/>
    </row>
    <row r="801" spans="1:26" x14ac:dyDescent="0.35">
      <c r="A801" s="292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  <c r="V801" s="292"/>
      <c r="W801" s="292"/>
      <c r="X801" s="292"/>
      <c r="Y801" s="292"/>
      <c r="Z801" s="292"/>
    </row>
    <row r="802" spans="1:26" x14ac:dyDescent="0.35">
      <c r="A802" s="292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  <c r="V802" s="292"/>
      <c r="W802" s="292"/>
      <c r="X802" s="292"/>
      <c r="Y802" s="292"/>
      <c r="Z802" s="292"/>
    </row>
    <row r="803" spans="1:26" x14ac:dyDescent="0.35">
      <c r="A803" s="292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  <c r="V803" s="292"/>
      <c r="W803" s="292"/>
      <c r="X803" s="292"/>
      <c r="Y803" s="292"/>
      <c r="Z803" s="292"/>
    </row>
    <row r="804" spans="1:26" x14ac:dyDescent="0.35">
      <c r="A804" s="292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  <c r="V804" s="292"/>
      <c r="W804" s="292"/>
      <c r="X804" s="292"/>
      <c r="Y804" s="292"/>
      <c r="Z804" s="292"/>
    </row>
    <row r="805" spans="1:26" x14ac:dyDescent="0.35">
      <c r="A805" s="292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  <c r="V805" s="292"/>
      <c r="W805" s="292"/>
      <c r="X805" s="292"/>
      <c r="Y805" s="292"/>
      <c r="Z805" s="292"/>
    </row>
    <row r="806" spans="1:26" x14ac:dyDescent="0.35">
      <c r="A806" s="292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  <c r="V806" s="292"/>
      <c r="W806" s="292"/>
      <c r="X806" s="292"/>
      <c r="Y806" s="292"/>
      <c r="Z806" s="292"/>
    </row>
    <row r="807" spans="1:26" x14ac:dyDescent="0.35">
      <c r="A807" s="292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  <c r="V807" s="292"/>
      <c r="W807" s="292"/>
      <c r="X807" s="292"/>
      <c r="Y807" s="292"/>
      <c r="Z807" s="292"/>
    </row>
    <row r="808" spans="1:26" x14ac:dyDescent="0.35">
      <c r="A808" s="292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  <c r="V808" s="292"/>
      <c r="W808" s="292"/>
      <c r="X808" s="292"/>
      <c r="Y808" s="292"/>
      <c r="Z808" s="292"/>
    </row>
    <row r="809" spans="1:26" x14ac:dyDescent="0.35">
      <c r="A809" s="292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  <c r="V809" s="292"/>
      <c r="W809" s="292"/>
      <c r="X809" s="292"/>
      <c r="Y809" s="292"/>
      <c r="Z809" s="292"/>
    </row>
    <row r="810" spans="1:26" x14ac:dyDescent="0.35">
      <c r="A810" s="292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  <c r="V810" s="292"/>
      <c r="W810" s="292"/>
      <c r="X810" s="292"/>
      <c r="Y810" s="292"/>
      <c r="Z810" s="292"/>
    </row>
    <row r="811" spans="1:26" x14ac:dyDescent="0.35">
      <c r="A811" s="292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  <c r="V811" s="292"/>
      <c r="W811" s="292"/>
      <c r="X811" s="292"/>
      <c r="Y811" s="292"/>
      <c r="Z811" s="292"/>
    </row>
    <row r="812" spans="1:26" x14ac:dyDescent="0.35">
      <c r="A812" s="292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  <c r="V812" s="292"/>
      <c r="W812" s="292"/>
      <c r="X812" s="292"/>
      <c r="Y812" s="292"/>
      <c r="Z812" s="292"/>
    </row>
    <row r="813" spans="1:26" x14ac:dyDescent="0.35">
      <c r="A813" s="292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  <c r="V813" s="292"/>
      <c r="W813" s="292"/>
      <c r="X813" s="292"/>
      <c r="Y813" s="292"/>
      <c r="Z813" s="292"/>
    </row>
    <row r="814" spans="1:26" x14ac:dyDescent="0.35">
      <c r="A814" s="292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  <c r="V814" s="292"/>
      <c r="W814" s="292"/>
      <c r="X814" s="292"/>
      <c r="Y814" s="292"/>
      <c r="Z814" s="292"/>
    </row>
    <row r="815" spans="1:26" x14ac:dyDescent="0.35">
      <c r="A815" s="292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  <c r="V815" s="292"/>
      <c r="W815" s="292"/>
      <c r="X815" s="292"/>
      <c r="Y815" s="292"/>
      <c r="Z815" s="292"/>
    </row>
    <row r="816" spans="1:26" x14ac:dyDescent="0.35">
      <c r="A816" s="292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  <c r="V816" s="292"/>
      <c r="W816" s="292"/>
      <c r="X816" s="292"/>
      <c r="Y816" s="292"/>
      <c r="Z816" s="292"/>
    </row>
    <row r="817" spans="1:26" x14ac:dyDescent="0.35">
      <c r="A817" s="292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  <c r="V817" s="292"/>
      <c r="W817" s="292"/>
      <c r="X817" s="292"/>
      <c r="Y817" s="292"/>
      <c r="Z817" s="292"/>
    </row>
    <row r="818" spans="1:26" x14ac:dyDescent="0.35">
      <c r="A818" s="292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  <c r="V818" s="292"/>
      <c r="W818" s="292"/>
      <c r="X818" s="292"/>
      <c r="Y818" s="292"/>
      <c r="Z818" s="292"/>
    </row>
    <row r="819" spans="1:26" x14ac:dyDescent="0.35">
      <c r="A819" s="292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  <c r="V819" s="292"/>
      <c r="W819" s="292"/>
      <c r="X819" s="292"/>
      <c r="Y819" s="292"/>
      <c r="Z819" s="292"/>
    </row>
    <row r="820" spans="1:26" x14ac:dyDescent="0.35">
      <c r="A820" s="292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  <c r="V820" s="292"/>
      <c r="W820" s="292"/>
      <c r="X820" s="292"/>
      <c r="Y820" s="292"/>
      <c r="Z820" s="292"/>
    </row>
    <row r="821" spans="1:26" x14ac:dyDescent="0.35">
      <c r="A821" s="292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  <c r="V821" s="292"/>
      <c r="W821" s="292"/>
      <c r="X821" s="292"/>
      <c r="Y821" s="292"/>
      <c r="Z821" s="292"/>
    </row>
    <row r="822" spans="1:26" x14ac:dyDescent="0.35">
      <c r="A822" s="292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  <c r="V822" s="292"/>
      <c r="W822" s="292"/>
      <c r="X822" s="292"/>
      <c r="Y822" s="292"/>
      <c r="Z822" s="292"/>
    </row>
    <row r="823" spans="1:26" x14ac:dyDescent="0.35">
      <c r="A823" s="292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  <c r="V823" s="292"/>
      <c r="W823" s="292"/>
      <c r="X823" s="292"/>
      <c r="Y823" s="292"/>
      <c r="Z823" s="292"/>
    </row>
    <row r="824" spans="1:26" x14ac:dyDescent="0.35">
      <c r="A824" s="292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  <c r="V824" s="292"/>
      <c r="W824" s="292"/>
      <c r="X824" s="292"/>
      <c r="Y824" s="292"/>
      <c r="Z824" s="292"/>
    </row>
    <row r="825" spans="1:26" x14ac:dyDescent="0.35">
      <c r="A825" s="292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  <c r="V825" s="292"/>
      <c r="W825" s="292"/>
      <c r="X825" s="292"/>
      <c r="Y825" s="292"/>
      <c r="Z825" s="292"/>
    </row>
    <row r="826" spans="1:26" x14ac:dyDescent="0.35">
      <c r="A826" s="292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  <c r="V826" s="292"/>
      <c r="W826" s="292"/>
      <c r="X826" s="292"/>
      <c r="Y826" s="292"/>
      <c r="Z826" s="292"/>
    </row>
    <row r="827" spans="1:26" x14ac:dyDescent="0.35">
      <c r="A827" s="292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  <c r="V827" s="292"/>
      <c r="W827" s="292"/>
      <c r="X827" s="292"/>
      <c r="Y827" s="292"/>
      <c r="Z827" s="292"/>
    </row>
    <row r="828" spans="1:26" x14ac:dyDescent="0.35">
      <c r="A828" s="292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  <c r="V828" s="292"/>
      <c r="W828" s="292"/>
      <c r="X828" s="292"/>
      <c r="Y828" s="292"/>
      <c r="Z828" s="292"/>
    </row>
    <row r="829" spans="1:26" x14ac:dyDescent="0.35">
      <c r="A829" s="292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  <c r="V829" s="292"/>
      <c r="W829" s="292"/>
      <c r="X829" s="292"/>
      <c r="Y829" s="292"/>
      <c r="Z829" s="292"/>
    </row>
    <row r="830" spans="1:26" x14ac:dyDescent="0.35">
      <c r="A830" s="292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  <c r="V830" s="292"/>
      <c r="W830" s="292"/>
      <c r="X830" s="292"/>
      <c r="Y830" s="292"/>
      <c r="Z830" s="292"/>
    </row>
    <row r="831" spans="1:26" x14ac:dyDescent="0.35">
      <c r="A831" s="292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  <c r="V831" s="292"/>
      <c r="W831" s="292"/>
      <c r="X831" s="292"/>
      <c r="Y831" s="292"/>
      <c r="Z831" s="292"/>
    </row>
    <row r="832" spans="1:26" x14ac:dyDescent="0.35">
      <c r="A832" s="292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  <c r="V832" s="292"/>
      <c r="W832" s="292"/>
      <c r="X832" s="292"/>
      <c r="Y832" s="292"/>
      <c r="Z832" s="292"/>
    </row>
    <row r="833" spans="1:26" x14ac:dyDescent="0.35">
      <c r="A833" s="292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  <c r="V833" s="292"/>
      <c r="W833" s="292"/>
      <c r="X833" s="292"/>
      <c r="Y833" s="292"/>
      <c r="Z833" s="292"/>
    </row>
    <row r="834" spans="1:26" x14ac:dyDescent="0.35">
      <c r="A834" s="292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  <c r="V834" s="292"/>
      <c r="W834" s="292"/>
      <c r="X834" s="292"/>
      <c r="Y834" s="292"/>
      <c r="Z834" s="292"/>
    </row>
    <row r="835" spans="1:26" x14ac:dyDescent="0.35">
      <c r="A835" s="292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  <c r="V835" s="292"/>
      <c r="W835" s="292"/>
      <c r="X835" s="292"/>
      <c r="Y835" s="292"/>
      <c r="Z835" s="292"/>
    </row>
    <row r="836" spans="1:26" x14ac:dyDescent="0.35">
      <c r="A836" s="292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  <c r="V836" s="292"/>
      <c r="W836" s="292"/>
      <c r="X836" s="292"/>
      <c r="Y836" s="292"/>
      <c r="Z836" s="292"/>
    </row>
    <row r="837" spans="1:26" x14ac:dyDescent="0.35">
      <c r="A837" s="292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  <c r="V837" s="292"/>
      <c r="W837" s="292"/>
      <c r="X837" s="292"/>
      <c r="Y837" s="292"/>
      <c r="Z837" s="292"/>
    </row>
    <row r="838" spans="1:26" x14ac:dyDescent="0.35">
      <c r="A838" s="292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  <c r="V838" s="292"/>
      <c r="W838" s="292"/>
      <c r="X838" s="292"/>
      <c r="Y838" s="292"/>
      <c r="Z838" s="292"/>
    </row>
    <row r="839" spans="1:26" x14ac:dyDescent="0.35">
      <c r="A839" s="292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  <c r="V839" s="292"/>
      <c r="W839" s="292"/>
      <c r="X839" s="292"/>
      <c r="Y839" s="292"/>
      <c r="Z839" s="292"/>
    </row>
    <row r="840" spans="1:26" x14ac:dyDescent="0.35">
      <c r="A840" s="292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  <c r="V840" s="292"/>
      <c r="W840" s="292"/>
      <c r="X840" s="292"/>
      <c r="Y840" s="292"/>
      <c r="Z840" s="292"/>
    </row>
    <row r="841" spans="1:26" x14ac:dyDescent="0.35">
      <c r="A841" s="292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  <c r="V841" s="292"/>
      <c r="W841" s="292"/>
      <c r="X841" s="292"/>
      <c r="Y841" s="292"/>
      <c r="Z841" s="292"/>
    </row>
    <row r="842" spans="1:26" x14ac:dyDescent="0.35">
      <c r="A842" s="292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  <c r="V842" s="292"/>
      <c r="W842" s="292"/>
      <c r="X842" s="292"/>
      <c r="Y842" s="292"/>
      <c r="Z842" s="292"/>
    </row>
    <row r="843" spans="1:26" x14ac:dyDescent="0.35">
      <c r="A843" s="292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  <c r="V843" s="292"/>
      <c r="W843" s="292"/>
      <c r="X843" s="292"/>
      <c r="Y843" s="292"/>
      <c r="Z843" s="292"/>
    </row>
    <row r="844" spans="1:26" x14ac:dyDescent="0.35">
      <c r="A844" s="292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  <c r="V844" s="292"/>
      <c r="W844" s="292"/>
      <c r="X844" s="292"/>
      <c r="Y844" s="292"/>
      <c r="Z844" s="292"/>
    </row>
    <row r="845" spans="1:26" x14ac:dyDescent="0.35">
      <c r="A845" s="292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  <c r="V845" s="292"/>
      <c r="W845" s="292"/>
      <c r="X845" s="292"/>
      <c r="Y845" s="292"/>
      <c r="Z845" s="292"/>
    </row>
    <row r="846" spans="1:26" x14ac:dyDescent="0.35">
      <c r="A846" s="292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  <c r="V846" s="292"/>
      <c r="W846" s="292"/>
      <c r="X846" s="292"/>
      <c r="Y846" s="292"/>
      <c r="Z846" s="292"/>
    </row>
    <row r="847" spans="1:26" x14ac:dyDescent="0.35">
      <c r="A847" s="292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  <c r="V847" s="292"/>
      <c r="W847" s="292"/>
      <c r="X847" s="292"/>
      <c r="Y847" s="292"/>
      <c r="Z847" s="292"/>
    </row>
    <row r="848" spans="1:26" x14ac:dyDescent="0.35">
      <c r="A848" s="292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  <c r="V848" s="292"/>
      <c r="W848" s="292"/>
      <c r="X848" s="292"/>
      <c r="Y848" s="292"/>
      <c r="Z848" s="292"/>
    </row>
    <row r="849" spans="1:26" x14ac:dyDescent="0.35">
      <c r="A849" s="292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  <c r="V849" s="292"/>
      <c r="W849" s="292"/>
      <c r="X849" s="292"/>
      <c r="Y849" s="292"/>
      <c r="Z849" s="292"/>
    </row>
    <row r="850" spans="1:26" x14ac:dyDescent="0.35">
      <c r="A850" s="292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  <c r="V850" s="292"/>
      <c r="W850" s="292"/>
      <c r="X850" s="292"/>
      <c r="Y850" s="292"/>
      <c r="Z850" s="292"/>
    </row>
    <row r="851" spans="1:26" x14ac:dyDescent="0.35">
      <c r="A851" s="292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  <c r="V851" s="292"/>
      <c r="W851" s="292"/>
      <c r="X851" s="292"/>
      <c r="Y851" s="292"/>
      <c r="Z851" s="292"/>
    </row>
    <row r="852" spans="1:26" x14ac:dyDescent="0.35">
      <c r="A852" s="292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  <c r="V852" s="292"/>
      <c r="W852" s="292"/>
      <c r="X852" s="292"/>
      <c r="Y852" s="292"/>
      <c r="Z852" s="292"/>
    </row>
    <row r="853" spans="1:26" x14ac:dyDescent="0.35">
      <c r="A853" s="292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  <c r="V853" s="292"/>
      <c r="W853" s="292"/>
      <c r="X853" s="292"/>
      <c r="Y853" s="292"/>
      <c r="Z853" s="292"/>
    </row>
    <row r="854" spans="1:26" x14ac:dyDescent="0.35">
      <c r="A854" s="292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  <c r="V854" s="292"/>
      <c r="W854" s="292"/>
      <c r="X854" s="292"/>
      <c r="Y854" s="292"/>
      <c r="Z854" s="292"/>
    </row>
    <row r="855" spans="1:26" x14ac:dyDescent="0.35">
      <c r="A855" s="292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  <c r="V855" s="292"/>
      <c r="W855" s="292"/>
      <c r="X855" s="292"/>
      <c r="Y855" s="292"/>
      <c r="Z855" s="292"/>
    </row>
    <row r="856" spans="1:26" x14ac:dyDescent="0.35">
      <c r="A856" s="292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  <c r="X856" s="292"/>
      <c r="Y856" s="292"/>
      <c r="Z856" s="292"/>
    </row>
    <row r="857" spans="1:26" x14ac:dyDescent="0.35">
      <c r="A857" s="292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  <c r="V857" s="292"/>
      <c r="W857" s="292"/>
      <c r="X857" s="292"/>
      <c r="Y857" s="292"/>
      <c r="Z857" s="292"/>
    </row>
    <row r="858" spans="1:26" x14ac:dyDescent="0.35">
      <c r="A858" s="292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  <c r="V858" s="292"/>
      <c r="W858" s="292"/>
      <c r="X858" s="292"/>
      <c r="Y858" s="292"/>
      <c r="Z858" s="292"/>
    </row>
    <row r="859" spans="1:26" x14ac:dyDescent="0.35">
      <c r="A859" s="292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  <c r="V859" s="292"/>
      <c r="W859" s="292"/>
      <c r="X859" s="292"/>
      <c r="Y859" s="292"/>
      <c r="Z859" s="292"/>
    </row>
    <row r="860" spans="1:26" x14ac:dyDescent="0.35">
      <c r="A860" s="292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  <c r="V860" s="292"/>
      <c r="W860" s="292"/>
      <c r="X860" s="292"/>
      <c r="Y860" s="292"/>
      <c r="Z860" s="292"/>
    </row>
    <row r="861" spans="1:26" x14ac:dyDescent="0.35">
      <c r="A861" s="292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  <c r="V861" s="292"/>
      <c r="W861" s="292"/>
      <c r="X861" s="292"/>
      <c r="Y861" s="292"/>
      <c r="Z861" s="292"/>
    </row>
    <row r="862" spans="1:26" x14ac:dyDescent="0.35">
      <c r="A862" s="292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  <c r="V862" s="292"/>
      <c r="W862" s="292"/>
      <c r="X862" s="292"/>
      <c r="Y862" s="292"/>
      <c r="Z862" s="292"/>
    </row>
    <row r="863" spans="1:26" x14ac:dyDescent="0.35">
      <c r="A863" s="292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  <c r="W863" s="292"/>
      <c r="X863" s="292"/>
      <c r="Y863" s="292"/>
      <c r="Z863" s="292"/>
    </row>
    <row r="864" spans="1:26" x14ac:dyDescent="0.35">
      <c r="A864" s="292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  <c r="W864" s="292"/>
      <c r="X864" s="292"/>
      <c r="Y864" s="292"/>
      <c r="Z864" s="292"/>
    </row>
    <row r="865" spans="1:26" x14ac:dyDescent="0.35">
      <c r="A865" s="292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  <c r="W865" s="292"/>
      <c r="X865" s="292"/>
      <c r="Y865" s="292"/>
      <c r="Z865" s="292"/>
    </row>
    <row r="866" spans="1:26" x14ac:dyDescent="0.35">
      <c r="A866" s="292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  <c r="W866" s="292"/>
      <c r="X866" s="292"/>
      <c r="Y866" s="292"/>
      <c r="Z866" s="292"/>
    </row>
    <row r="867" spans="1:26" x14ac:dyDescent="0.35">
      <c r="A867" s="292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  <c r="W867" s="292"/>
      <c r="X867" s="292"/>
      <c r="Y867" s="292"/>
      <c r="Z867" s="292"/>
    </row>
    <row r="868" spans="1:26" x14ac:dyDescent="0.35">
      <c r="A868" s="292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  <c r="V868" s="292"/>
      <c r="W868" s="292"/>
      <c r="X868" s="292"/>
      <c r="Y868" s="292"/>
      <c r="Z868" s="292"/>
    </row>
    <row r="869" spans="1:26" x14ac:dyDescent="0.35">
      <c r="A869" s="292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  <c r="V869" s="292"/>
      <c r="W869" s="292"/>
      <c r="X869" s="292"/>
      <c r="Y869" s="292"/>
      <c r="Z869" s="292"/>
    </row>
    <row r="870" spans="1:26" x14ac:dyDescent="0.35">
      <c r="A870" s="292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  <c r="X870" s="292"/>
      <c r="Y870" s="292"/>
      <c r="Z870" s="292"/>
    </row>
    <row r="871" spans="1:26" x14ac:dyDescent="0.35">
      <c r="A871" s="292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  <c r="X871" s="292"/>
      <c r="Y871" s="292"/>
      <c r="Z871" s="292"/>
    </row>
    <row r="872" spans="1:26" x14ac:dyDescent="0.35">
      <c r="A872" s="292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  <c r="X872" s="292"/>
      <c r="Y872" s="292"/>
      <c r="Z872" s="292"/>
    </row>
    <row r="873" spans="1:26" x14ac:dyDescent="0.35">
      <c r="A873" s="292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  <c r="X873" s="292"/>
      <c r="Y873" s="292"/>
      <c r="Z873" s="292"/>
    </row>
    <row r="874" spans="1:26" x14ac:dyDescent="0.35">
      <c r="A874" s="292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  <c r="X874" s="292"/>
      <c r="Y874" s="292"/>
      <c r="Z874" s="292"/>
    </row>
    <row r="875" spans="1:26" x14ac:dyDescent="0.35">
      <c r="A875" s="292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  <c r="V875" s="292"/>
      <c r="W875" s="292"/>
      <c r="X875" s="292"/>
      <c r="Y875" s="292"/>
      <c r="Z875" s="292"/>
    </row>
    <row r="876" spans="1:26" x14ac:dyDescent="0.35">
      <c r="A876" s="292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  <c r="V876" s="292"/>
      <c r="W876" s="292"/>
      <c r="X876" s="292"/>
      <c r="Y876" s="292"/>
      <c r="Z876" s="292"/>
    </row>
    <row r="877" spans="1:26" x14ac:dyDescent="0.35">
      <c r="A877" s="292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  <c r="V877" s="292"/>
      <c r="W877" s="292"/>
      <c r="X877" s="292"/>
      <c r="Y877" s="292"/>
      <c r="Z877" s="292"/>
    </row>
    <row r="878" spans="1:26" x14ac:dyDescent="0.35">
      <c r="A878" s="292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  <c r="V878" s="292"/>
      <c r="W878" s="292"/>
      <c r="X878" s="292"/>
      <c r="Y878" s="292"/>
      <c r="Z878" s="292"/>
    </row>
    <row r="879" spans="1:26" x14ac:dyDescent="0.35">
      <c r="A879" s="292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  <c r="V879" s="292"/>
      <c r="W879" s="292"/>
      <c r="X879" s="292"/>
      <c r="Y879" s="292"/>
      <c r="Z879" s="292"/>
    </row>
    <row r="880" spans="1:26" x14ac:dyDescent="0.35">
      <c r="A880" s="292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  <c r="W880" s="292"/>
      <c r="X880" s="292"/>
      <c r="Y880" s="292"/>
      <c r="Z880" s="292"/>
    </row>
    <row r="881" spans="1:26" x14ac:dyDescent="0.35">
      <c r="A881" s="292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  <c r="W881" s="292"/>
      <c r="X881" s="292"/>
      <c r="Y881" s="292"/>
      <c r="Z881" s="292"/>
    </row>
    <row r="882" spans="1:26" x14ac:dyDescent="0.35">
      <c r="A882" s="292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  <c r="V882" s="292"/>
      <c r="W882" s="292"/>
      <c r="X882" s="292"/>
      <c r="Y882" s="292"/>
      <c r="Z882" s="292"/>
    </row>
    <row r="883" spans="1:26" x14ac:dyDescent="0.35">
      <c r="A883" s="292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  <c r="V883" s="292"/>
      <c r="W883" s="292"/>
      <c r="X883" s="292"/>
      <c r="Y883" s="292"/>
      <c r="Z883" s="292"/>
    </row>
    <row r="884" spans="1:26" x14ac:dyDescent="0.35">
      <c r="A884" s="292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  <c r="V884" s="292"/>
      <c r="W884" s="292"/>
      <c r="X884" s="292"/>
      <c r="Y884" s="292"/>
      <c r="Z884" s="292"/>
    </row>
    <row r="885" spans="1:26" x14ac:dyDescent="0.35">
      <c r="A885" s="292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  <c r="V885" s="292"/>
      <c r="W885" s="292"/>
      <c r="X885" s="292"/>
      <c r="Y885" s="292"/>
      <c r="Z885" s="292"/>
    </row>
    <row r="886" spans="1:26" x14ac:dyDescent="0.35">
      <c r="A886" s="292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  <c r="V886" s="292"/>
      <c r="W886" s="292"/>
      <c r="X886" s="292"/>
      <c r="Y886" s="292"/>
      <c r="Z886" s="292"/>
    </row>
    <row r="887" spans="1:26" x14ac:dyDescent="0.35">
      <c r="A887" s="292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  <c r="V887" s="292"/>
      <c r="W887" s="292"/>
      <c r="X887" s="292"/>
      <c r="Y887" s="292"/>
      <c r="Z887" s="292"/>
    </row>
    <row r="888" spans="1:26" x14ac:dyDescent="0.35">
      <c r="A888" s="292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  <c r="V888" s="292"/>
      <c r="W888" s="292"/>
      <c r="X888" s="292"/>
      <c r="Y888" s="292"/>
      <c r="Z888" s="292"/>
    </row>
    <row r="889" spans="1:26" x14ac:dyDescent="0.35">
      <c r="A889" s="292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  <c r="V889" s="292"/>
      <c r="W889" s="292"/>
      <c r="X889" s="292"/>
      <c r="Y889" s="292"/>
      <c r="Z889" s="292"/>
    </row>
    <row r="890" spans="1:26" x14ac:dyDescent="0.35">
      <c r="A890" s="292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  <c r="V890" s="292"/>
      <c r="W890" s="292"/>
      <c r="X890" s="292"/>
      <c r="Y890" s="292"/>
      <c r="Z890" s="292"/>
    </row>
    <row r="891" spans="1:26" x14ac:dyDescent="0.35">
      <c r="A891" s="292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  <c r="V891" s="292"/>
      <c r="W891" s="292"/>
      <c r="X891" s="292"/>
      <c r="Y891" s="292"/>
      <c r="Z891" s="292"/>
    </row>
    <row r="892" spans="1:26" x14ac:dyDescent="0.35">
      <c r="A892" s="292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  <c r="V892" s="292"/>
      <c r="W892" s="292"/>
      <c r="X892" s="292"/>
      <c r="Y892" s="292"/>
      <c r="Z892" s="292"/>
    </row>
    <row r="893" spans="1:26" x14ac:dyDescent="0.35">
      <c r="A893" s="292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  <c r="V893" s="292"/>
      <c r="W893" s="292"/>
      <c r="X893" s="292"/>
      <c r="Y893" s="292"/>
      <c r="Z893" s="292"/>
    </row>
    <row r="894" spans="1:26" x14ac:dyDescent="0.35">
      <c r="A894" s="292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  <c r="V894" s="292"/>
      <c r="W894" s="292"/>
      <c r="X894" s="292"/>
      <c r="Y894" s="292"/>
      <c r="Z894" s="292"/>
    </row>
    <row r="895" spans="1:26" x14ac:dyDescent="0.35">
      <c r="A895" s="292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  <c r="V895" s="292"/>
      <c r="W895" s="292"/>
      <c r="X895" s="292"/>
      <c r="Y895" s="292"/>
      <c r="Z895" s="292"/>
    </row>
    <row r="896" spans="1:26" x14ac:dyDescent="0.35">
      <c r="A896" s="292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  <c r="V896" s="292"/>
      <c r="W896" s="292"/>
      <c r="X896" s="292"/>
      <c r="Y896" s="292"/>
      <c r="Z896" s="292"/>
    </row>
    <row r="897" spans="1:26" x14ac:dyDescent="0.35">
      <c r="A897" s="292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  <c r="V897" s="292"/>
      <c r="W897" s="292"/>
      <c r="X897" s="292"/>
      <c r="Y897" s="292"/>
      <c r="Z897" s="292"/>
    </row>
    <row r="898" spans="1:26" x14ac:dyDescent="0.35">
      <c r="A898" s="292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  <c r="V898" s="292"/>
      <c r="W898" s="292"/>
      <c r="X898" s="292"/>
      <c r="Y898" s="292"/>
      <c r="Z898" s="292"/>
    </row>
    <row r="899" spans="1:26" x14ac:dyDescent="0.35">
      <c r="A899" s="292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  <c r="V899" s="292"/>
      <c r="W899" s="292"/>
      <c r="X899" s="292"/>
      <c r="Y899" s="292"/>
      <c r="Z899" s="292"/>
    </row>
    <row r="900" spans="1:26" x14ac:dyDescent="0.35">
      <c r="A900" s="292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  <c r="V900" s="292"/>
      <c r="W900" s="292"/>
      <c r="X900" s="292"/>
      <c r="Y900" s="292"/>
      <c r="Z900" s="292"/>
    </row>
    <row r="901" spans="1:26" x14ac:dyDescent="0.35">
      <c r="A901" s="292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  <c r="V901" s="292"/>
      <c r="W901" s="292"/>
      <c r="X901" s="292"/>
      <c r="Y901" s="292"/>
      <c r="Z901" s="292"/>
    </row>
    <row r="902" spans="1:26" x14ac:dyDescent="0.35">
      <c r="A902" s="292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  <c r="V902" s="292"/>
      <c r="W902" s="292"/>
      <c r="X902" s="292"/>
      <c r="Y902" s="292"/>
      <c r="Z902" s="292"/>
    </row>
    <row r="903" spans="1:26" x14ac:dyDescent="0.35">
      <c r="A903" s="292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  <c r="V903" s="292"/>
      <c r="W903" s="292"/>
      <c r="X903" s="292"/>
      <c r="Y903" s="292"/>
      <c r="Z903" s="292"/>
    </row>
    <row r="904" spans="1:26" x14ac:dyDescent="0.35">
      <c r="A904" s="292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  <c r="V904" s="292"/>
      <c r="W904" s="292"/>
      <c r="X904" s="292"/>
      <c r="Y904" s="292"/>
      <c r="Z904" s="292"/>
    </row>
    <row r="905" spans="1:26" x14ac:dyDescent="0.35">
      <c r="A905" s="292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  <c r="V905" s="292"/>
      <c r="W905" s="292"/>
      <c r="X905" s="292"/>
      <c r="Y905" s="292"/>
      <c r="Z905" s="292"/>
    </row>
    <row r="906" spans="1:26" x14ac:dyDescent="0.35">
      <c r="A906" s="292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  <c r="V906" s="292"/>
      <c r="W906" s="292"/>
      <c r="X906" s="292"/>
      <c r="Y906" s="292"/>
      <c r="Z906" s="292"/>
    </row>
    <row r="907" spans="1:26" x14ac:dyDescent="0.35">
      <c r="A907" s="292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  <c r="V907" s="292"/>
      <c r="W907" s="292"/>
      <c r="X907" s="292"/>
      <c r="Y907" s="292"/>
      <c r="Z907" s="292"/>
    </row>
    <row r="908" spans="1:26" x14ac:dyDescent="0.35">
      <c r="A908" s="292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  <c r="V908" s="292"/>
      <c r="W908" s="292"/>
      <c r="X908" s="292"/>
      <c r="Y908" s="292"/>
      <c r="Z908" s="292"/>
    </row>
    <row r="909" spans="1:26" x14ac:dyDescent="0.35">
      <c r="A909" s="292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  <c r="V909" s="292"/>
      <c r="W909" s="292"/>
      <c r="X909" s="292"/>
      <c r="Y909" s="292"/>
      <c r="Z909" s="292"/>
    </row>
    <row r="910" spans="1:26" x14ac:dyDescent="0.35">
      <c r="A910" s="292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  <c r="V910" s="292"/>
      <c r="W910" s="292"/>
      <c r="X910" s="292"/>
      <c r="Y910" s="292"/>
      <c r="Z910" s="292"/>
    </row>
    <row r="911" spans="1:26" x14ac:dyDescent="0.35">
      <c r="A911" s="292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  <c r="V911" s="292"/>
      <c r="W911" s="292"/>
      <c r="X911" s="292"/>
      <c r="Y911" s="292"/>
      <c r="Z911" s="292"/>
    </row>
    <row r="912" spans="1:26" x14ac:dyDescent="0.35">
      <c r="A912" s="292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  <c r="V912" s="292"/>
      <c r="W912" s="292"/>
      <c r="X912" s="292"/>
      <c r="Y912" s="292"/>
      <c r="Z912" s="292"/>
    </row>
    <row r="913" spans="1:26" x14ac:dyDescent="0.35">
      <c r="A913" s="292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  <c r="V913" s="292"/>
      <c r="W913" s="292"/>
      <c r="X913" s="292"/>
      <c r="Y913" s="292"/>
      <c r="Z913" s="292"/>
    </row>
    <row r="914" spans="1:26" x14ac:dyDescent="0.35">
      <c r="A914" s="292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  <c r="V914" s="292"/>
      <c r="W914" s="292"/>
      <c r="X914" s="292"/>
      <c r="Y914" s="292"/>
      <c r="Z914" s="292"/>
    </row>
    <row r="915" spans="1:26" x14ac:dyDescent="0.35">
      <c r="A915" s="292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  <c r="V915" s="292"/>
      <c r="W915" s="292"/>
      <c r="X915" s="292"/>
      <c r="Y915" s="292"/>
      <c r="Z915" s="292"/>
    </row>
    <row r="916" spans="1:26" x14ac:dyDescent="0.35">
      <c r="A916" s="292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  <c r="V916" s="292"/>
      <c r="W916" s="292"/>
      <c r="X916" s="292"/>
      <c r="Y916" s="292"/>
      <c r="Z916" s="292"/>
    </row>
    <row r="917" spans="1:26" x14ac:dyDescent="0.35">
      <c r="A917" s="292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  <c r="V917" s="292"/>
      <c r="W917" s="292"/>
      <c r="X917" s="292"/>
      <c r="Y917" s="292"/>
      <c r="Z917" s="292"/>
    </row>
    <row r="918" spans="1:26" x14ac:dyDescent="0.35">
      <c r="A918" s="292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  <c r="V918" s="292"/>
      <c r="W918" s="292"/>
      <c r="X918" s="292"/>
      <c r="Y918" s="292"/>
      <c r="Z918" s="292"/>
    </row>
    <row r="919" spans="1:26" x14ac:dyDescent="0.35">
      <c r="A919" s="292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  <c r="V919" s="292"/>
      <c r="W919" s="292"/>
      <c r="X919" s="292"/>
      <c r="Y919" s="292"/>
      <c r="Z919" s="292"/>
    </row>
    <row r="920" spans="1:26" x14ac:dyDescent="0.35">
      <c r="A920" s="292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  <c r="V920" s="292"/>
      <c r="W920" s="292"/>
      <c r="X920" s="292"/>
      <c r="Y920" s="292"/>
      <c r="Z920" s="292"/>
    </row>
    <row r="921" spans="1:26" x14ac:dyDescent="0.35">
      <c r="A921" s="292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  <c r="V921" s="292"/>
      <c r="W921" s="292"/>
      <c r="X921" s="292"/>
      <c r="Y921" s="292"/>
      <c r="Z921" s="292"/>
    </row>
    <row r="922" spans="1:26" x14ac:dyDescent="0.35">
      <c r="A922" s="292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  <c r="V922" s="292"/>
      <c r="W922" s="292"/>
      <c r="X922" s="292"/>
      <c r="Y922" s="292"/>
      <c r="Z922" s="292"/>
    </row>
    <row r="923" spans="1:26" x14ac:dyDescent="0.35">
      <c r="A923" s="292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  <c r="V923" s="292"/>
      <c r="W923" s="292"/>
      <c r="X923" s="292"/>
      <c r="Y923" s="292"/>
      <c r="Z923" s="292"/>
    </row>
    <row r="924" spans="1:26" x14ac:dyDescent="0.35">
      <c r="A924" s="292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  <c r="V924" s="292"/>
      <c r="W924" s="292"/>
      <c r="X924" s="292"/>
      <c r="Y924" s="292"/>
      <c r="Z924" s="292"/>
    </row>
    <row r="925" spans="1:26" x14ac:dyDescent="0.35">
      <c r="A925" s="292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  <c r="V925" s="292"/>
      <c r="W925" s="292"/>
      <c r="X925" s="292"/>
      <c r="Y925" s="292"/>
      <c r="Z925" s="292"/>
    </row>
    <row r="926" spans="1:26" x14ac:dyDescent="0.35">
      <c r="A926" s="292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  <c r="V926" s="292"/>
      <c r="W926" s="292"/>
      <c r="X926" s="292"/>
      <c r="Y926" s="292"/>
      <c r="Z926" s="292"/>
    </row>
    <row r="927" spans="1:26" x14ac:dyDescent="0.35">
      <c r="A927" s="292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  <c r="V927" s="292"/>
      <c r="W927" s="292"/>
      <c r="X927" s="292"/>
      <c r="Y927" s="292"/>
      <c r="Z927" s="292"/>
    </row>
    <row r="928" spans="1:26" x14ac:dyDescent="0.35">
      <c r="A928" s="292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  <c r="V928" s="292"/>
      <c r="W928" s="292"/>
      <c r="X928" s="292"/>
      <c r="Y928" s="292"/>
      <c r="Z928" s="292"/>
    </row>
    <row r="929" spans="1:26" x14ac:dyDescent="0.35">
      <c r="A929" s="292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  <c r="V929" s="292"/>
      <c r="W929" s="292"/>
      <c r="X929" s="292"/>
      <c r="Y929" s="292"/>
      <c r="Z929" s="292"/>
    </row>
    <row r="930" spans="1:26" x14ac:dyDescent="0.35">
      <c r="A930" s="292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  <c r="V930" s="292"/>
      <c r="W930" s="292"/>
      <c r="X930" s="292"/>
      <c r="Y930" s="292"/>
      <c r="Z930" s="292"/>
    </row>
    <row r="931" spans="1:26" x14ac:dyDescent="0.35">
      <c r="A931" s="292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  <c r="V931" s="292"/>
      <c r="W931" s="292"/>
      <c r="X931" s="292"/>
      <c r="Y931" s="292"/>
      <c r="Z931" s="292"/>
    </row>
    <row r="932" spans="1:26" x14ac:dyDescent="0.35">
      <c r="A932" s="292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  <c r="V932" s="292"/>
      <c r="W932" s="292"/>
      <c r="X932" s="292"/>
      <c r="Y932" s="292"/>
      <c r="Z932" s="292"/>
    </row>
    <row r="933" spans="1:26" x14ac:dyDescent="0.35">
      <c r="A933" s="292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  <c r="V933" s="292"/>
      <c r="W933" s="292"/>
      <c r="X933" s="292"/>
      <c r="Y933" s="292"/>
      <c r="Z933" s="292"/>
    </row>
    <row r="934" spans="1:26" x14ac:dyDescent="0.35">
      <c r="A934" s="292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  <c r="V934" s="292"/>
      <c r="W934" s="292"/>
      <c r="X934" s="292"/>
      <c r="Y934" s="292"/>
      <c r="Z934" s="292"/>
    </row>
    <row r="935" spans="1:26" x14ac:dyDescent="0.35">
      <c r="A935" s="292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  <c r="V935" s="292"/>
      <c r="W935" s="292"/>
      <c r="X935" s="292"/>
      <c r="Y935" s="292"/>
      <c r="Z935" s="292"/>
    </row>
    <row r="936" spans="1:26" x14ac:dyDescent="0.35">
      <c r="A936" s="292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  <c r="V936" s="292"/>
      <c r="W936" s="292"/>
      <c r="X936" s="292"/>
      <c r="Y936" s="292"/>
      <c r="Z936" s="292"/>
    </row>
    <row r="937" spans="1:26" x14ac:dyDescent="0.35">
      <c r="A937" s="292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  <c r="V937" s="292"/>
      <c r="W937" s="292"/>
      <c r="X937" s="292"/>
      <c r="Y937" s="292"/>
      <c r="Z937" s="292"/>
    </row>
    <row r="938" spans="1:26" x14ac:dyDescent="0.35">
      <c r="A938" s="292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  <c r="R938" s="292"/>
      <c r="S938" s="292"/>
      <c r="T938" s="292"/>
      <c r="U938" s="292"/>
      <c r="V938" s="292"/>
      <c r="W938" s="292"/>
      <c r="X938" s="292"/>
      <c r="Y938" s="292"/>
      <c r="Z938" s="292"/>
    </row>
    <row r="939" spans="1:26" x14ac:dyDescent="0.35">
      <c r="A939" s="292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  <c r="R939" s="292"/>
      <c r="S939" s="292"/>
      <c r="T939" s="292"/>
      <c r="U939" s="292"/>
      <c r="V939" s="292"/>
      <c r="W939" s="292"/>
      <c r="X939" s="292"/>
      <c r="Y939" s="292"/>
      <c r="Z939" s="292"/>
    </row>
    <row r="940" spans="1:26" x14ac:dyDescent="0.35">
      <c r="A940" s="292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  <c r="R940" s="292"/>
      <c r="S940" s="292"/>
      <c r="T940" s="292"/>
      <c r="U940" s="292"/>
      <c r="V940" s="292"/>
      <c r="W940" s="292"/>
      <c r="X940" s="292"/>
      <c r="Y940" s="292"/>
      <c r="Z940" s="292"/>
    </row>
    <row r="941" spans="1:26" x14ac:dyDescent="0.35">
      <c r="A941" s="292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  <c r="R941" s="292"/>
      <c r="S941" s="292"/>
      <c r="T941" s="292"/>
      <c r="U941" s="292"/>
      <c r="V941" s="292"/>
      <c r="W941" s="292"/>
      <c r="X941" s="292"/>
      <c r="Y941" s="292"/>
      <c r="Z941" s="292"/>
    </row>
    <row r="942" spans="1:26" x14ac:dyDescent="0.35">
      <c r="A942" s="292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  <c r="R942" s="292"/>
      <c r="S942" s="292"/>
      <c r="T942" s="292"/>
      <c r="U942" s="292"/>
      <c r="V942" s="292"/>
      <c r="W942" s="292"/>
      <c r="X942" s="292"/>
      <c r="Y942" s="292"/>
      <c r="Z942" s="292"/>
    </row>
    <row r="943" spans="1:26" x14ac:dyDescent="0.35">
      <c r="A943" s="292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  <c r="R943" s="292"/>
      <c r="S943" s="292"/>
      <c r="T943" s="292"/>
      <c r="U943" s="292"/>
      <c r="V943" s="292"/>
      <c r="W943" s="292"/>
      <c r="X943" s="292"/>
      <c r="Y943" s="292"/>
      <c r="Z943" s="292"/>
    </row>
    <row r="944" spans="1:26" x14ac:dyDescent="0.35">
      <c r="A944" s="292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  <c r="R944" s="292"/>
      <c r="S944" s="292"/>
      <c r="T944" s="292"/>
      <c r="U944" s="292"/>
      <c r="V944" s="292"/>
      <c r="W944" s="292"/>
      <c r="X944" s="292"/>
      <c r="Y944" s="292"/>
      <c r="Z944" s="292"/>
    </row>
    <row r="945" spans="1:26" x14ac:dyDescent="0.35">
      <c r="A945" s="292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  <c r="R945" s="292"/>
      <c r="S945" s="292"/>
      <c r="T945" s="292"/>
      <c r="U945" s="292"/>
      <c r="V945" s="292"/>
      <c r="W945" s="292"/>
      <c r="X945" s="292"/>
      <c r="Y945" s="292"/>
      <c r="Z945" s="292"/>
    </row>
    <row r="946" spans="1:26" x14ac:dyDescent="0.35">
      <c r="A946" s="292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  <c r="R946" s="292"/>
      <c r="S946" s="292"/>
      <c r="T946" s="292"/>
      <c r="U946" s="292"/>
      <c r="V946" s="292"/>
      <c r="W946" s="292"/>
      <c r="X946" s="292"/>
      <c r="Y946" s="292"/>
      <c r="Z946" s="292"/>
    </row>
    <row r="947" spans="1:26" x14ac:dyDescent="0.35">
      <c r="A947" s="292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  <c r="R947" s="292"/>
      <c r="S947" s="292"/>
      <c r="T947" s="292"/>
      <c r="U947" s="292"/>
      <c r="V947" s="292"/>
      <c r="W947" s="292"/>
      <c r="X947" s="292"/>
      <c r="Y947" s="292"/>
      <c r="Z947" s="292"/>
    </row>
    <row r="948" spans="1:26" x14ac:dyDescent="0.35">
      <c r="A948" s="292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  <c r="R948" s="292"/>
      <c r="S948" s="292"/>
      <c r="T948" s="292"/>
      <c r="U948" s="292"/>
      <c r="V948" s="292"/>
      <c r="W948" s="292"/>
      <c r="X948" s="292"/>
      <c r="Y948" s="292"/>
      <c r="Z948" s="292"/>
    </row>
    <row r="949" spans="1:26" x14ac:dyDescent="0.35">
      <c r="A949" s="292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  <c r="R949" s="292"/>
      <c r="S949" s="292"/>
      <c r="T949" s="292"/>
      <c r="U949" s="292"/>
      <c r="V949" s="292"/>
      <c r="W949" s="292"/>
      <c r="X949" s="292"/>
      <c r="Y949" s="292"/>
      <c r="Z949" s="292"/>
    </row>
    <row r="950" spans="1:26" x14ac:dyDescent="0.35">
      <c r="A950" s="292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  <c r="R950" s="292"/>
      <c r="S950" s="292"/>
      <c r="T950" s="292"/>
      <c r="U950" s="292"/>
      <c r="V950" s="292"/>
      <c r="W950" s="292"/>
      <c r="X950" s="292"/>
      <c r="Y950" s="292"/>
      <c r="Z950" s="292"/>
    </row>
    <row r="951" spans="1:26" x14ac:dyDescent="0.35">
      <c r="A951" s="292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  <c r="R951" s="292"/>
      <c r="S951" s="292"/>
      <c r="T951" s="292"/>
      <c r="U951" s="292"/>
      <c r="V951" s="292"/>
      <c r="W951" s="292"/>
      <c r="X951" s="292"/>
      <c r="Y951" s="292"/>
      <c r="Z951" s="292"/>
    </row>
    <row r="952" spans="1:26" x14ac:dyDescent="0.35">
      <c r="A952" s="292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  <c r="R952" s="292"/>
      <c r="S952" s="292"/>
      <c r="T952" s="292"/>
      <c r="U952" s="292"/>
      <c r="V952" s="292"/>
      <c r="W952" s="292"/>
      <c r="X952" s="292"/>
      <c r="Y952" s="292"/>
      <c r="Z952" s="292"/>
    </row>
    <row r="953" spans="1:26" x14ac:dyDescent="0.35">
      <c r="A953" s="292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  <c r="R953" s="292"/>
      <c r="S953" s="292"/>
      <c r="T953" s="292"/>
      <c r="U953" s="292"/>
      <c r="V953" s="292"/>
      <c r="W953" s="292"/>
      <c r="X953" s="292"/>
      <c r="Y953" s="292"/>
      <c r="Z953" s="292"/>
    </row>
    <row r="954" spans="1:26" x14ac:dyDescent="0.35">
      <c r="A954" s="292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  <c r="R954" s="292"/>
      <c r="S954" s="292"/>
      <c r="T954" s="292"/>
      <c r="U954" s="292"/>
      <c r="V954" s="292"/>
      <c r="W954" s="292"/>
      <c r="X954" s="292"/>
      <c r="Y954" s="292"/>
      <c r="Z954" s="292"/>
    </row>
    <row r="955" spans="1:26" x14ac:dyDescent="0.35">
      <c r="A955" s="292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  <c r="R955" s="292"/>
      <c r="S955" s="292"/>
      <c r="T955" s="292"/>
      <c r="U955" s="292"/>
      <c r="V955" s="292"/>
      <c r="W955" s="292"/>
      <c r="X955" s="292"/>
      <c r="Y955" s="292"/>
      <c r="Z955" s="292"/>
    </row>
    <row r="956" spans="1:26" x14ac:dyDescent="0.35">
      <c r="A956" s="292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  <c r="X956" s="292"/>
      <c r="Y956" s="292"/>
      <c r="Z956" s="292"/>
    </row>
    <row r="957" spans="1:26" x14ac:dyDescent="0.35">
      <c r="A957" s="292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  <c r="R957" s="292"/>
      <c r="S957" s="292"/>
      <c r="T957" s="292"/>
      <c r="U957" s="292"/>
      <c r="V957" s="292"/>
      <c r="W957" s="292"/>
      <c r="X957" s="292"/>
      <c r="Y957" s="292"/>
      <c r="Z957" s="292"/>
    </row>
    <row r="958" spans="1:26" x14ac:dyDescent="0.35">
      <c r="A958" s="292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  <c r="R958" s="292"/>
      <c r="S958" s="292"/>
      <c r="T958" s="292"/>
      <c r="U958" s="292"/>
      <c r="V958" s="292"/>
      <c r="W958" s="292"/>
      <c r="X958" s="292"/>
      <c r="Y958" s="292"/>
      <c r="Z958" s="292"/>
    </row>
    <row r="959" spans="1:26" x14ac:dyDescent="0.35">
      <c r="A959" s="292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  <c r="R959" s="292"/>
      <c r="S959" s="292"/>
      <c r="T959" s="292"/>
      <c r="U959" s="292"/>
      <c r="V959" s="292"/>
      <c r="W959" s="292"/>
      <c r="X959" s="292"/>
      <c r="Y959" s="292"/>
      <c r="Z959" s="292"/>
    </row>
    <row r="960" spans="1:26" x14ac:dyDescent="0.35">
      <c r="A960" s="292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  <c r="R960" s="292"/>
      <c r="S960" s="292"/>
      <c r="T960" s="292"/>
      <c r="U960" s="292"/>
      <c r="V960" s="292"/>
      <c r="W960" s="292"/>
      <c r="X960" s="292"/>
      <c r="Y960" s="292"/>
      <c r="Z960" s="292"/>
    </row>
    <row r="961" spans="1:26" x14ac:dyDescent="0.35">
      <c r="A961" s="292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  <c r="R961" s="292"/>
      <c r="S961" s="292"/>
      <c r="T961" s="292"/>
      <c r="U961" s="292"/>
      <c r="V961" s="292"/>
      <c r="W961" s="292"/>
      <c r="X961" s="292"/>
      <c r="Y961" s="292"/>
      <c r="Z961" s="292"/>
    </row>
    <row r="962" spans="1:26" x14ac:dyDescent="0.35">
      <c r="A962" s="292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  <c r="X962" s="292"/>
      <c r="Y962" s="292"/>
      <c r="Z962" s="292"/>
    </row>
    <row r="963" spans="1:26" x14ac:dyDescent="0.35">
      <c r="A963" s="292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  <c r="X963" s="292"/>
      <c r="Y963" s="292"/>
      <c r="Z963" s="292"/>
    </row>
    <row r="964" spans="1:26" x14ac:dyDescent="0.35">
      <c r="A964" s="292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  <c r="X964" s="292"/>
      <c r="Y964" s="292"/>
      <c r="Z964" s="292"/>
    </row>
    <row r="965" spans="1:26" x14ac:dyDescent="0.35">
      <c r="A965" s="292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  <c r="R965" s="292"/>
      <c r="S965" s="292"/>
      <c r="T965" s="292"/>
      <c r="U965" s="292"/>
      <c r="V965" s="292"/>
      <c r="W965" s="292"/>
      <c r="X965" s="292"/>
      <c r="Y965" s="292"/>
      <c r="Z965" s="292"/>
    </row>
    <row r="966" spans="1:26" x14ac:dyDescent="0.35">
      <c r="A966" s="292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  <c r="R966" s="292"/>
      <c r="S966" s="292"/>
      <c r="T966" s="292"/>
      <c r="U966" s="292"/>
      <c r="V966" s="292"/>
      <c r="W966" s="292"/>
      <c r="X966" s="292"/>
      <c r="Y966" s="292"/>
      <c r="Z966" s="292"/>
    </row>
    <row r="967" spans="1:26" x14ac:dyDescent="0.35">
      <c r="A967" s="292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2"/>
      <c r="V967" s="292"/>
      <c r="W967" s="292"/>
      <c r="X967" s="292"/>
      <c r="Y967" s="292"/>
      <c r="Z967" s="292"/>
    </row>
    <row r="968" spans="1:26" x14ac:dyDescent="0.35">
      <c r="A968" s="292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  <c r="R968" s="292"/>
      <c r="S968" s="292"/>
      <c r="T968" s="292"/>
      <c r="U968" s="292"/>
      <c r="V968" s="292"/>
      <c r="W968" s="292"/>
      <c r="X968" s="292"/>
      <c r="Y968" s="292"/>
      <c r="Z968" s="292"/>
    </row>
    <row r="969" spans="1:26" x14ac:dyDescent="0.35">
      <c r="A969" s="292"/>
      <c r="B969" s="292"/>
      <c r="C969" s="292"/>
      <c r="D969" s="292"/>
      <c r="E969" s="292"/>
      <c r="F969" s="292"/>
      <c r="G969" s="292"/>
      <c r="H969" s="292"/>
      <c r="I969" s="292"/>
      <c r="J969" s="292"/>
      <c r="K969" s="292"/>
      <c r="L969" s="292"/>
      <c r="M969" s="292"/>
      <c r="N969" s="292"/>
      <c r="O969" s="292"/>
      <c r="P969" s="292"/>
      <c r="Q969" s="292"/>
      <c r="R969" s="292"/>
      <c r="S969" s="292"/>
      <c r="T969" s="292"/>
      <c r="U969" s="292"/>
      <c r="V969" s="292"/>
      <c r="W969" s="292"/>
      <c r="X969" s="292"/>
      <c r="Y969" s="292"/>
      <c r="Z969" s="292"/>
    </row>
    <row r="970" spans="1:26" x14ac:dyDescent="0.35">
      <c r="A970" s="292"/>
      <c r="B970" s="292"/>
      <c r="C970" s="292"/>
      <c r="D970" s="292"/>
      <c r="E970" s="292"/>
      <c r="F970" s="292"/>
      <c r="G970" s="292"/>
      <c r="H970" s="292"/>
      <c r="I970" s="292"/>
      <c r="J970" s="292"/>
      <c r="K970" s="292"/>
      <c r="L970" s="292"/>
      <c r="M970" s="292"/>
      <c r="N970" s="292"/>
      <c r="O970" s="292"/>
      <c r="P970" s="292"/>
      <c r="Q970" s="292"/>
      <c r="R970" s="292"/>
      <c r="S970" s="292"/>
      <c r="T970" s="292"/>
      <c r="U970" s="292"/>
      <c r="V970" s="292"/>
      <c r="W970" s="292"/>
      <c r="X970" s="292"/>
      <c r="Y970" s="292"/>
      <c r="Z970" s="292"/>
    </row>
    <row r="971" spans="1:26" x14ac:dyDescent="0.35">
      <c r="A971" s="292"/>
      <c r="B971" s="292"/>
      <c r="C971" s="292"/>
      <c r="D971" s="292"/>
      <c r="E971" s="292"/>
      <c r="F971" s="292"/>
      <c r="G971" s="292"/>
      <c r="H971" s="292"/>
      <c r="I971" s="292"/>
      <c r="J971" s="292"/>
      <c r="K971" s="292"/>
      <c r="L971" s="292"/>
      <c r="M971" s="292"/>
      <c r="N971" s="292"/>
      <c r="O971" s="292"/>
      <c r="P971" s="292"/>
      <c r="Q971" s="292"/>
      <c r="R971" s="292"/>
      <c r="S971" s="292"/>
      <c r="T971" s="292"/>
      <c r="U971" s="292"/>
      <c r="V971" s="292"/>
      <c r="W971" s="292"/>
      <c r="X971" s="292"/>
      <c r="Y971" s="292"/>
      <c r="Z971" s="292"/>
    </row>
    <row r="972" spans="1:26" x14ac:dyDescent="0.35">
      <c r="A972" s="292"/>
      <c r="B972" s="292"/>
      <c r="C972" s="292"/>
      <c r="D972" s="292"/>
      <c r="E972" s="292"/>
      <c r="F972" s="292"/>
      <c r="G972" s="292"/>
      <c r="H972" s="292"/>
      <c r="I972" s="292"/>
      <c r="J972" s="292"/>
      <c r="K972" s="292"/>
      <c r="L972" s="292"/>
      <c r="M972" s="292"/>
      <c r="N972" s="292"/>
      <c r="O972" s="292"/>
      <c r="P972" s="292"/>
      <c r="Q972" s="292"/>
      <c r="R972" s="292"/>
      <c r="S972" s="292"/>
      <c r="T972" s="292"/>
      <c r="U972" s="292"/>
      <c r="V972" s="292"/>
      <c r="W972" s="292"/>
      <c r="X972" s="292"/>
      <c r="Y972" s="292"/>
      <c r="Z972" s="292"/>
    </row>
    <row r="973" spans="1:26" x14ac:dyDescent="0.35">
      <c r="A973" s="292"/>
      <c r="B973" s="292"/>
      <c r="C973" s="292"/>
      <c r="D973" s="292"/>
      <c r="E973" s="292"/>
      <c r="F973" s="292"/>
      <c r="G973" s="292"/>
      <c r="H973" s="292"/>
      <c r="I973" s="292"/>
      <c r="J973" s="292"/>
      <c r="K973" s="292"/>
      <c r="L973" s="292"/>
      <c r="M973" s="292"/>
      <c r="N973" s="292"/>
      <c r="O973" s="292"/>
      <c r="P973" s="292"/>
      <c r="Q973" s="292"/>
      <c r="R973" s="292"/>
      <c r="S973" s="292"/>
      <c r="T973" s="292"/>
      <c r="U973" s="292"/>
      <c r="V973" s="292"/>
      <c r="W973" s="292"/>
      <c r="X973" s="292"/>
      <c r="Y973" s="292"/>
      <c r="Z973" s="292"/>
    </row>
    <row r="974" spans="1:26" x14ac:dyDescent="0.35">
      <c r="A974" s="292"/>
      <c r="B974" s="292"/>
      <c r="C974" s="292"/>
      <c r="D974" s="292"/>
      <c r="E974" s="292"/>
      <c r="F974" s="292"/>
      <c r="G974" s="292"/>
      <c r="H974" s="292"/>
      <c r="I974" s="292"/>
      <c r="J974" s="292"/>
      <c r="K974" s="292"/>
      <c r="L974" s="292"/>
      <c r="M974" s="292"/>
      <c r="N974" s="292"/>
      <c r="O974" s="292"/>
      <c r="P974" s="292"/>
      <c r="Q974" s="292"/>
      <c r="R974" s="292"/>
      <c r="S974" s="292"/>
      <c r="T974" s="292"/>
      <c r="U974" s="292"/>
      <c r="V974" s="292"/>
      <c r="W974" s="292"/>
      <c r="X974" s="292"/>
      <c r="Y974" s="292"/>
      <c r="Z974" s="292"/>
    </row>
    <row r="975" spans="1:26" x14ac:dyDescent="0.35">
      <c r="A975" s="292"/>
      <c r="B975" s="292"/>
      <c r="C975" s="292"/>
      <c r="D975" s="292"/>
      <c r="E975" s="292"/>
      <c r="F975" s="292"/>
      <c r="G975" s="292"/>
      <c r="H975" s="292"/>
      <c r="I975" s="292"/>
      <c r="J975" s="292"/>
      <c r="K975" s="292"/>
      <c r="L975" s="292"/>
      <c r="M975" s="292"/>
      <c r="N975" s="292"/>
      <c r="O975" s="292"/>
      <c r="P975" s="292"/>
      <c r="Q975" s="292"/>
      <c r="R975" s="292"/>
      <c r="S975" s="292"/>
      <c r="T975" s="292"/>
      <c r="U975" s="292"/>
      <c r="V975" s="292"/>
      <c r="W975" s="292"/>
      <c r="X975" s="292"/>
      <c r="Y975" s="292"/>
      <c r="Z975" s="292"/>
    </row>
    <row r="976" spans="1:26" x14ac:dyDescent="0.35">
      <c r="A976" s="292"/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  <c r="R976" s="292"/>
      <c r="S976" s="292"/>
      <c r="T976" s="292"/>
      <c r="U976" s="292"/>
      <c r="V976" s="292"/>
      <c r="W976" s="292"/>
      <c r="X976" s="292"/>
      <c r="Y976" s="292"/>
      <c r="Z976" s="292"/>
    </row>
    <row r="977" spans="1:26" x14ac:dyDescent="0.35">
      <c r="A977" s="292"/>
      <c r="B977" s="292"/>
      <c r="C977" s="292"/>
      <c r="D977" s="292"/>
      <c r="E977" s="292"/>
      <c r="F977" s="292"/>
      <c r="G977" s="292"/>
      <c r="H977" s="292"/>
      <c r="I977" s="292"/>
      <c r="J977" s="292"/>
      <c r="K977" s="292"/>
      <c r="L977" s="292"/>
      <c r="M977" s="292"/>
      <c r="N977" s="292"/>
      <c r="O977" s="292"/>
      <c r="P977" s="292"/>
      <c r="Q977" s="292"/>
      <c r="R977" s="292"/>
      <c r="S977" s="292"/>
      <c r="T977" s="292"/>
      <c r="U977" s="292"/>
      <c r="V977" s="292"/>
      <c r="W977" s="292"/>
      <c r="X977" s="292"/>
      <c r="Y977" s="292"/>
      <c r="Z977" s="292"/>
    </row>
    <row r="978" spans="1:26" x14ac:dyDescent="0.35">
      <c r="A978" s="292"/>
      <c r="B978" s="292"/>
      <c r="C978" s="292"/>
      <c r="D978" s="292"/>
      <c r="E978" s="292"/>
      <c r="F978" s="292"/>
      <c r="G978" s="292"/>
      <c r="H978" s="292"/>
      <c r="I978" s="292"/>
      <c r="J978" s="292"/>
      <c r="K978" s="292"/>
      <c r="L978" s="292"/>
      <c r="M978" s="292"/>
      <c r="N978" s="292"/>
      <c r="O978" s="292"/>
      <c r="P978" s="292"/>
      <c r="Q978" s="292"/>
      <c r="R978" s="292"/>
      <c r="S978" s="292"/>
      <c r="T978" s="292"/>
      <c r="U978" s="292"/>
      <c r="V978" s="292"/>
      <c r="W978" s="292"/>
      <c r="X978" s="292"/>
      <c r="Y978" s="292"/>
      <c r="Z978" s="292"/>
    </row>
    <row r="979" spans="1:26" x14ac:dyDescent="0.35">
      <c r="A979" s="292"/>
      <c r="B979" s="292"/>
      <c r="C979" s="292"/>
      <c r="D979" s="292"/>
      <c r="E979" s="292"/>
      <c r="F979" s="292"/>
      <c r="G979" s="292"/>
      <c r="H979" s="292"/>
      <c r="I979" s="292"/>
      <c r="J979" s="292"/>
      <c r="K979" s="292"/>
      <c r="L979" s="292"/>
      <c r="M979" s="292"/>
      <c r="N979" s="292"/>
      <c r="O979" s="292"/>
      <c r="P979" s="292"/>
      <c r="Q979" s="292"/>
      <c r="R979" s="292"/>
      <c r="S979" s="292"/>
      <c r="T979" s="292"/>
      <c r="U979" s="292"/>
      <c r="V979" s="292"/>
      <c r="W979" s="292"/>
      <c r="X979" s="292"/>
      <c r="Y979" s="292"/>
      <c r="Z979" s="292"/>
    </row>
    <row r="980" spans="1:26" x14ac:dyDescent="0.35">
      <c r="A980" s="292"/>
      <c r="B980" s="292"/>
      <c r="C980" s="292"/>
      <c r="D980" s="292"/>
      <c r="E980" s="292"/>
      <c r="F980" s="292"/>
      <c r="G980" s="292"/>
      <c r="H980" s="292"/>
      <c r="I980" s="292"/>
      <c r="J980" s="292"/>
      <c r="K980" s="292"/>
      <c r="L980" s="292"/>
      <c r="M980" s="292"/>
      <c r="N980" s="292"/>
      <c r="O980" s="292"/>
      <c r="P980" s="292"/>
      <c r="Q980" s="292"/>
      <c r="R980" s="292"/>
      <c r="S980" s="292"/>
      <c r="T980" s="292"/>
      <c r="U980" s="292"/>
      <c r="V980" s="292"/>
      <c r="W980" s="292"/>
      <c r="X980" s="292"/>
      <c r="Y980" s="292"/>
      <c r="Z980" s="292"/>
    </row>
    <row r="981" spans="1:26" x14ac:dyDescent="0.35">
      <c r="A981" s="292"/>
      <c r="B981" s="292"/>
      <c r="C981" s="292"/>
      <c r="D981" s="292"/>
      <c r="E981" s="292"/>
      <c r="F981" s="292"/>
      <c r="G981" s="292"/>
      <c r="H981" s="292"/>
      <c r="I981" s="292"/>
      <c r="J981" s="292"/>
      <c r="K981" s="292"/>
      <c r="L981" s="292"/>
      <c r="M981" s="292"/>
      <c r="N981" s="292"/>
      <c r="O981" s="292"/>
      <c r="P981" s="292"/>
      <c r="Q981" s="292"/>
      <c r="R981" s="292"/>
      <c r="S981" s="292"/>
      <c r="T981" s="292"/>
      <c r="U981" s="292"/>
      <c r="V981" s="292"/>
      <c r="W981" s="292"/>
      <c r="X981" s="292"/>
      <c r="Y981" s="292"/>
      <c r="Z981" s="292"/>
    </row>
    <row r="982" spans="1:26" x14ac:dyDescent="0.35">
      <c r="A982" s="292"/>
      <c r="B982" s="292"/>
      <c r="C982" s="292"/>
      <c r="D982" s="292"/>
      <c r="E982" s="292"/>
      <c r="F982" s="292"/>
      <c r="G982" s="292"/>
      <c r="H982" s="292"/>
      <c r="I982" s="292"/>
      <c r="J982" s="292"/>
      <c r="K982" s="292"/>
      <c r="L982" s="292"/>
      <c r="M982" s="292"/>
      <c r="N982" s="292"/>
      <c r="O982" s="292"/>
      <c r="P982" s="292"/>
      <c r="Q982" s="292"/>
      <c r="R982" s="292"/>
      <c r="S982" s="292"/>
      <c r="T982" s="292"/>
      <c r="U982" s="292"/>
      <c r="V982" s="292"/>
      <c r="W982" s="292"/>
      <c r="X982" s="292"/>
      <c r="Y982" s="292"/>
      <c r="Z982" s="292"/>
    </row>
    <row r="983" spans="1:26" x14ac:dyDescent="0.35">
      <c r="A983" s="292"/>
      <c r="B983" s="292"/>
      <c r="C983" s="292"/>
      <c r="D983" s="292"/>
      <c r="E983" s="292"/>
      <c r="F983" s="292"/>
      <c r="G983" s="292"/>
      <c r="H983" s="292"/>
      <c r="I983" s="292"/>
      <c r="J983" s="292"/>
      <c r="K983" s="292"/>
      <c r="L983" s="292"/>
      <c r="M983" s="292"/>
      <c r="N983" s="292"/>
      <c r="O983" s="292"/>
      <c r="P983" s="292"/>
      <c r="Q983" s="292"/>
      <c r="R983" s="292"/>
      <c r="S983" s="292"/>
      <c r="T983" s="292"/>
      <c r="U983" s="292"/>
      <c r="V983" s="292"/>
      <c r="W983" s="292"/>
      <c r="X983" s="292"/>
      <c r="Y983" s="292"/>
      <c r="Z983" s="292"/>
    </row>
    <row r="984" spans="1:26" x14ac:dyDescent="0.35">
      <c r="A984" s="292"/>
      <c r="B984" s="292"/>
      <c r="C984" s="292"/>
      <c r="D984" s="292"/>
      <c r="E984" s="292"/>
      <c r="F984" s="292"/>
      <c r="G984" s="292"/>
      <c r="H984" s="292"/>
      <c r="I984" s="292"/>
      <c r="J984" s="292"/>
      <c r="K984" s="292"/>
      <c r="L984" s="292"/>
      <c r="M984" s="292"/>
      <c r="N984" s="292"/>
      <c r="O984" s="292"/>
      <c r="P984" s="292"/>
      <c r="Q984" s="292"/>
      <c r="R984" s="292"/>
      <c r="S984" s="292"/>
      <c r="T984" s="292"/>
      <c r="U984" s="292"/>
      <c r="V984" s="292"/>
      <c r="W984" s="292"/>
      <c r="X984" s="292"/>
      <c r="Y984" s="292"/>
      <c r="Z984" s="292"/>
    </row>
    <row r="985" spans="1:26" x14ac:dyDescent="0.35">
      <c r="A985" s="292"/>
      <c r="B985" s="292"/>
      <c r="C985" s="292"/>
      <c r="D985" s="292"/>
      <c r="E985" s="292"/>
      <c r="F985" s="292"/>
      <c r="G985" s="292"/>
      <c r="H985" s="292"/>
      <c r="I985" s="292"/>
      <c r="J985" s="292"/>
      <c r="K985" s="292"/>
      <c r="L985" s="292"/>
      <c r="M985" s="292"/>
      <c r="N985" s="292"/>
      <c r="O985" s="292"/>
      <c r="P985" s="292"/>
      <c r="Q985" s="292"/>
      <c r="R985" s="292"/>
      <c r="S985" s="292"/>
      <c r="T985" s="292"/>
      <c r="U985" s="292"/>
      <c r="V985" s="292"/>
      <c r="W985" s="292"/>
      <c r="X985" s="292"/>
      <c r="Y985" s="292"/>
      <c r="Z985" s="292"/>
    </row>
    <row r="986" spans="1:26" x14ac:dyDescent="0.35">
      <c r="A986" s="292"/>
      <c r="B986" s="292"/>
      <c r="C986" s="292"/>
      <c r="D986" s="292"/>
      <c r="E986" s="292"/>
      <c r="F986" s="292"/>
      <c r="G986" s="292"/>
      <c r="H986" s="292"/>
      <c r="I986" s="292"/>
      <c r="J986" s="292"/>
      <c r="K986" s="292"/>
      <c r="L986" s="292"/>
      <c r="M986" s="292"/>
      <c r="N986" s="292"/>
      <c r="O986" s="292"/>
      <c r="P986" s="292"/>
      <c r="Q986" s="292"/>
      <c r="R986" s="292"/>
      <c r="S986" s="292"/>
      <c r="T986" s="292"/>
      <c r="U986" s="292"/>
      <c r="V986" s="292"/>
      <c r="W986" s="292"/>
      <c r="X986" s="292"/>
      <c r="Y986" s="292"/>
      <c r="Z986" s="292"/>
    </row>
    <row r="987" spans="1:26" x14ac:dyDescent="0.35">
      <c r="A987" s="292"/>
      <c r="B987" s="292"/>
      <c r="C987" s="292"/>
      <c r="D987" s="292"/>
      <c r="E987" s="292"/>
      <c r="F987" s="292"/>
      <c r="G987" s="292"/>
      <c r="H987" s="292"/>
      <c r="I987" s="292"/>
      <c r="J987" s="292"/>
      <c r="K987" s="292"/>
      <c r="L987" s="292"/>
      <c r="M987" s="292"/>
      <c r="N987" s="292"/>
      <c r="O987" s="292"/>
      <c r="P987" s="292"/>
      <c r="Q987" s="292"/>
      <c r="R987" s="292"/>
      <c r="S987" s="292"/>
      <c r="T987" s="292"/>
      <c r="U987" s="292"/>
      <c r="V987" s="292"/>
      <c r="W987" s="292"/>
      <c r="X987" s="292"/>
      <c r="Y987" s="292"/>
      <c r="Z987" s="292"/>
    </row>
    <row r="988" spans="1:26" x14ac:dyDescent="0.35">
      <c r="A988" s="292"/>
      <c r="B988" s="292"/>
      <c r="C988" s="292"/>
      <c r="D988" s="292"/>
      <c r="E988" s="292"/>
      <c r="F988" s="292"/>
      <c r="G988" s="292"/>
      <c r="H988" s="292"/>
      <c r="I988" s="292"/>
      <c r="J988" s="292"/>
      <c r="K988" s="292"/>
      <c r="L988" s="292"/>
      <c r="M988" s="292"/>
      <c r="N988" s="292"/>
      <c r="O988" s="292"/>
      <c r="P988" s="292"/>
      <c r="Q988" s="292"/>
      <c r="R988" s="292"/>
      <c r="S988" s="292"/>
      <c r="T988" s="292"/>
      <c r="U988" s="292"/>
      <c r="V988" s="292"/>
      <c r="W988" s="292"/>
      <c r="X988" s="292"/>
      <c r="Y988" s="292"/>
      <c r="Z988" s="292"/>
    </row>
    <row r="989" spans="1:26" x14ac:dyDescent="0.35">
      <c r="A989" s="292"/>
      <c r="B989" s="292"/>
      <c r="C989" s="292"/>
      <c r="D989" s="292"/>
      <c r="E989" s="292"/>
      <c r="F989" s="292"/>
      <c r="G989" s="292"/>
      <c r="H989" s="292"/>
      <c r="I989" s="292"/>
      <c r="J989" s="292"/>
      <c r="K989" s="292"/>
      <c r="L989" s="292"/>
      <c r="M989" s="292"/>
      <c r="N989" s="292"/>
      <c r="O989" s="292"/>
      <c r="P989" s="292"/>
      <c r="Q989" s="292"/>
      <c r="R989" s="292"/>
      <c r="S989" s="292"/>
      <c r="T989" s="292"/>
      <c r="U989" s="292"/>
      <c r="V989" s="292"/>
      <c r="W989" s="292"/>
      <c r="X989" s="292"/>
      <c r="Y989" s="292"/>
      <c r="Z989" s="292"/>
    </row>
    <row r="990" spans="1:26" x14ac:dyDescent="0.35">
      <c r="A990" s="292"/>
      <c r="B990" s="292"/>
      <c r="C990" s="292"/>
      <c r="D990" s="292"/>
      <c r="E990" s="292"/>
      <c r="F990" s="292"/>
      <c r="G990" s="292"/>
      <c r="H990" s="292"/>
      <c r="I990" s="292"/>
      <c r="J990" s="292"/>
      <c r="K990" s="292"/>
      <c r="L990" s="292"/>
      <c r="M990" s="292"/>
      <c r="N990" s="292"/>
      <c r="O990" s="292"/>
      <c r="P990" s="292"/>
      <c r="Q990" s="292"/>
      <c r="R990" s="292"/>
      <c r="S990" s="292"/>
      <c r="T990" s="292"/>
      <c r="U990" s="292"/>
      <c r="V990" s="292"/>
      <c r="W990" s="292"/>
      <c r="X990" s="292"/>
      <c r="Y990" s="292"/>
      <c r="Z990" s="292"/>
    </row>
    <row r="991" spans="1:26" x14ac:dyDescent="0.35">
      <c r="A991" s="292"/>
      <c r="B991" s="292"/>
      <c r="C991" s="292"/>
      <c r="D991" s="292"/>
      <c r="E991" s="292"/>
      <c r="F991" s="292"/>
      <c r="G991" s="292"/>
      <c r="H991" s="292"/>
      <c r="I991" s="292"/>
      <c r="J991" s="292"/>
      <c r="K991" s="292"/>
      <c r="L991" s="292"/>
      <c r="M991" s="292"/>
      <c r="N991" s="292"/>
      <c r="O991" s="292"/>
      <c r="P991" s="292"/>
      <c r="Q991" s="292"/>
      <c r="R991" s="292"/>
      <c r="S991" s="292"/>
      <c r="T991" s="292"/>
      <c r="U991" s="292"/>
      <c r="V991" s="292"/>
      <c r="W991" s="292"/>
      <c r="X991" s="292"/>
      <c r="Y991" s="292"/>
      <c r="Z991" s="292"/>
    </row>
    <row r="992" spans="1:26" x14ac:dyDescent="0.35">
      <c r="A992" s="292"/>
      <c r="B992" s="292"/>
      <c r="C992" s="292"/>
      <c r="D992" s="292"/>
      <c r="E992" s="292"/>
      <c r="F992" s="292"/>
      <c r="G992" s="292"/>
      <c r="H992" s="292"/>
      <c r="I992" s="292"/>
      <c r="J992" s="292"/>
      <c r="K992" s="292"/>
      <c r="L992" s="292"/>
      <c r="M992" s="292"/>
      <c r="N992" s="292"/>
      <c r="O992" s="292"/>
      <c r="P992" s="292"/>
      <c r="Q992" s="292"/>
      <c r="R992" s="292"/>
      <c r="S992" s="292"/>
      <c r="T992" s="292"/>
      <c r="U992" s="292"/>
      <c r="V992" s="292"/>
      <c r="W992" s="292"/>
      <c r="X992" s="292"/>
      <c r="Y992" s="292"/>
      <c r="Z992" s="292"/>
    </row>
    <row r="993" spans="1:26" x14ac:dyDescent="0.35">
      <c r="A993" s="292"/>
      <c r="B993" s="292"/>
      <c r="C993" s="292"/>
      <c r="D993" s="292"/>
      <c r="E993" s="292"/>
      <c r="F993" s="292"/>
      <c r="G993" s="292"/>
      <c r="H993" s="292"/>
      <c r="I993" s="292"/>
      <c r="J993" s="292"/>
      <c r="K993" s="292"/>
      <c r="L993" s="292"/>
      <c r="M993" s="292"/>
      <c r="N993" s="292"/>
      <c r="O993" s="292"/>
      <c r="P993" s="292"/>
      <c r="Q993" s="292"/>
      <c r="R993" s="292"/>
      <c r="S993" s="292"/>
      <c r="T993" s="292"/>
      <c r="U993" s="292"/>
      <c r="V993" s="292"/>
      <c r="W993" s="292"/>
      <c r="X993" s="292"/>
      <c r="Y993" s="292"/>
      <c r="Z993" s="292"/>
    </row>
    <row r="994" spans="1:26" x14ac:dyDescent="0.35">
      <c r="A994" s="292"/>
      <c r="B994" s="292"/>
      <c r="C994" s="292"/>
      <c r="D994" s="292"/>
      <c r="E994" s="292"/>
      <c r="F994" s="292"/>
      <c r="G994" s="292"/>
      <c r="H994" s="292"/>
      <c r="I994" s="292"/>
      <c r="J994" s="292"/>
      <c r="K994" s="292"/>
      <c r="L994" s="292"/>
      <c r="M994" s="292"/>
      <c r="N994" s="292"/>
      <c r="O994" s="292"/>
      <c r="P994" s="292"/>
      <c r="Q994" s="292"/>
      <c r="R994" s="292"/>
      <c r="S994" s="292"/>
      <c r="T994" s="292"/>
      <c r="U994" s="292"/>
      <c r="V994" s="292"/>
      <c r="W994" s="292"/>
      <c r="X994" s="292"/>
      <c r="Y994" s="292"/>
      <c r="Z994" s="292"/>
    </row>
    <row r="995" spans="1:26" x14ac:dyDescent="0.35">
      <c r="A995" s="292"/>
      <c r="B995" s="292"/>
      <c r="C995" s="292"/>
      <c r="D995" s="292"/>
      <c r="E995" s="292"/>
      <c r="F995" s="292"/>
      <c r="G995" s="292"/>
      <c r="H995" s="292"/>
      <c r="I995" s="292"/>
      <c r="J995" s="292"/>
      <c r="K995" s="292"/>
      <c r="L995" s="292"/>
      <c r="M995" s="292"/>
      <c r="N995" s="292"/>
      <c r="O995" s="292"/>
      <c r="P995" s="292"/>
      <c r="Q995" s="292"/>
      <c r="R995" s="292"/>
      <c r="S995" s="292"/>
      <c r="T995" s="292"/>
      <c r="U995" s="292"/>
      <c r="V995" s="292"/>
      <c r="W995" s="292"/>
      <c r="X995" s="292"/>
      <c r="Y995" s="292"/>
      <c r="Z995" s="292"/>
    </row>
    <row r="996" spans="1:26" x14ac:dyDescent="0.35">
      <c r="A996" s="292"/>
      <c r="B996" s="292"/>
      <c r="C996" s="292"/>
      <c r="D996" s="292"/>
      <c r="E996" s="292"/>
      <c r="F996" s="292"/>
      <c r="G996" s="292"/>
      <c r="H996" s="292"/>
      <c r="I996" s="292"/>
      <c r="J996" s="292"/>
      <c r="K996" s="292"/>
      <c r="L996" s="292"/>
      <c r="M996" s="292"/>
      <c r="N996" s="292"/>
      <c r="O996" s="292"/>
      <c r="P996" s="292"/>
      <c r="Q996" s="292"/>
      <c r="R996" s="292"/>
      <c r="S996" s="292"/>
      <c r="T996" s="292"/>
      <c r="U996" s="292"/>
      <c r="V996" s="292"/>
      <c r="W996" s="292"/>
      <c r="X996" s="292"/>
      <c r="Y996" s="292"/>
      <c r="Z996" s="292"/>
    </row>
    <row r="997" spans="1:26" x14ac:dyDescent="0.35">
      <c r="A997" s="292"/>
      <c r="B997" s="292"/>
      <c r="C997" s="292"/>
      <c r="D997" s="292"/>
      <c r="E997" s="292"/>
      <c r="F997" s="292"/>
      <c r="G997" s="292"/>
      <c r="H997" s="292"/>
      <c r="I997" s="292"/>
      <c r="J997" s="292"/>
      <c r="K997" s="292"/>
      <c r="L997" s="292"/>
      <c r="M997" s="292"/>
      <c r="N997" s="292"/>
      <c r="O997" s="292"/>
      <c r="P997" s="292"/>
      <c r="Q997" s="292"/>
      <c r="R997" s="292"/>
      <c r="S997" s="292"/>
      <c r="T997" s="292"/>
      <c r="U997" s="292"/>
      <c r="V997" s="292"/>
      <c r="W997" s="292"/>
      <c r="X997" s="292"/>
      <c r="Y997" s="292"/>
      <c r="Z997" s="292"/>
    </row>
    <row r="998" spans="1:26" x14ac:dyDescent="0.35">
      <c r="A998" s="292"/>
      <c r="B998" s="292"/>
      <c r="C998" s="292"/>
      <c r="D998" s="292"/>
      <c r="E998" s="292"/>
      <c r="F998" s="292"/>
      <c r="G998" s="292"/>
      <c r="H998" s="292"/>
      <c r="I998" s="292"/>
      <c r="J998" s="292"/>
      <c r="K998" s="292"/>
      <c r="L998" s="292"/>
      <c r="M998" s="292"/>
      <c r="N998" s="292"/>
      <c r="O998" s="292"/>
      <c r="P998" s="292"/>
      <c r="Q998" s="292"/>
      <c r="R998" s="292"/>
      <c r="S998" s="292"/>
      <c r="T998" s="292"/>
      <c r="U998" s="292"/>
      <c r="V998" s="292"/>
      <c r="W998" s="292"/>
      <c r="X998" s="292"/>
      <c r="Y998" s="292"/>
      <c r="Z998" s="292"/>
    </row>
    <row r="999" spans="1:26" x14ac:dyDescent="0.35">
      <c r="A999" s="292"/>
      <c r="B999" s="292"/>
      <c r="C999" s="292"/>
      <c r="D999" s="292"/>
      <c r="E999" s="292"/>
      <c r="F999" s="292"/>
      <c r="G999" s="292"/>
      <c r="H999" s="292"/>
      <c r="I999" s="292"/>
      <c r="J999" s="292"/>
      <c r="K999" s="292"/>
      <c r="L999" s="292"/>
      <c r="M999" s="292"/>
      <c r="N999" s="292"/>
      <c r="O999" s="292"/>
      <c r="P999" s="292"/>
      <c r="Q999" s="292"/>
      <c r="R999" s="292"/>
      <c r="S999" s="292"/>
      <c r="T999" s="292"/>
      <c r="U999" s="292"/>
      <c r="V999" s="292"/>
      <c r="W999" s="292"/>
      <c r="X999" s="292"/>
      <c r="Y999" s="292"/>
      <c r="Z999" s="292"/>
    </row>
    <row r="1000" spans="1:26" x14ac:dyDescent="0.35">
      <c r="A1000" s="292"/>
      <c r="B1000" s="292"/>
      <c r="C1000" s="292"/>
      <c r="D1000" s="292"/>
      <c r="E1000" s="292"/>
      <c r="F1000" s="292"/>
      <c r="G1000" s="292"/>
      <c r="H1000" s="292"/>
      <c r="I1000" s="292"/>
      <c r="J1000" s="292"/>
      <c r="K1000" s="292"/>
      <c r="L1000" s="292"/>
      <c r="M1000" s="292"/>
      <c r="N1000" s="292"/>
      <c r="O1000" s="292"/>
      <c r="P1000" s="292"/>
      <c r="Q1000" s="292"/>
      <c r="R1000" s="292"/>
      <c r="S1000" s="292"/>
      <c r="T1000" s="292"/>
      <c r="U1000" s="292"/>
      <c r="V1000" s="292"/>
      <c r="W1000" s="292"/>
      <c r="X1000" s="292"/>
      <c r="Y1000" s="292"/>
      <c r="Z1000" s="292"/>
    </row>
    <row r="1001" spans="1:26" x14ac:dyDescent="0.35">
      <c r="A1001" s="292"/>
      <c r="B1001" s="292"/>
      <c r="C1001" s="292"/>
      <c r="D1001" s="292"/>
      <c r="E1001" s="292"/>
      <c r="F1001" s="292"/>
      <c r="G1001" s="292"/>
      <c r="H1001" s="292"/>
      <c r="I1001" s="292"/>
      <c r="J1001" s="292"/>
      <c r="K1001" s="292"/>
      <c r="L1001" s="292"/>
      <c r="M1001" s="292"/>
      <c r="N1001" s="292"/>
      <c r="O1001" s="292"/>
      <c r="P1001" s="292"/>
      <c r="Q1001" s="292"/>
      <c r="R1001" s="292"/>
      <c r="S1001" s="292"/>
      <c r="T1001" s="292"/>
      <c r="U1001" s="292"/>
      <c r="V1001" s="292"/>
      <c r="W1001" s="292"/>
      <c r="X1001" s="292"/>
      <c r="Y1001" s="292"/>
      <c r="Z1001" s="292"/>
    </row>
    <row r="1002" spans="1:26" x14ac:dyDescent="0.35">
      <c r="A1002" s="292"/>
      <c r="B1002" s="292"/>
      <c r="C1002" s="292"/>
      <c r="D1002" s="292"/>
      <c r="E1002" s="292"/>
      <c r="F1002" s="292"/>
      <c r="G1002" s="292"/>
      <c r="H1002" s="292"/>
      <c r="I1002" s="292"/>
      <c r="J1002" s="292"/>
      <c r="K1002" s="292"/>
      <c r="L1002" s="292"/>
      <c r="M1002" s="292"/>
      <c r="N1002" s="292"/>
      <c r="O1002" s="292"/>
      <c r="P1002" s="292"/>
      <c r="Q1002" s="292"/>
      <c r="R1002" s="292"/>
      <c r="S1002" s="292"/>
      <c r="T1002" s="292"/>
      <c r="U1002" s="292"/>
      <c r="V1002" s="292"/>
      <c r="W1002" s="292"/>
      <c r="X1002" s="292"/>
      <c r="Y1002" s="292"/>
      <c r="Z1002" s="292"/>
    </row>
    <row r="1003" spans="1:26" x14ac:dyDescent="0.35">
      <c r="A1003" s="292"/>
      <c r="B1003" s="292"/>
      <c r="C1003" s="292"/>
      <c r="D1003" s="292"/>
      <c r="E1003" s="292"/>
      <c r="F1003" s="292"/>
      <c r="G1003" s="292"/>
      <c r="H1003" s="292"/>
      <c r="I1003" s="292"/>
      <c r="J1003" s="292"/>
      <c r="K1003" s="292"/>
      <c r="L1003" s="292"/>
      <c r="M1003" s="292"/>
      <c r="N1003" s="292"/>
      <c r="O1003" s="292"/>
      <c r="P1003" s="292"/>
      <c r="Q1003" s="292"/>
      <c r="R1003" s="292"/>
      <c r="S1003" s="292"/>
      <c r="T1003" s="292"/>
      <c r="U1003" s="292"/>
      <c r="V1003" s="292"/>
      <c r="W1003" s="292"/>
      <c r="X1003" s="292"/>
      <c r="Y1003" s="292"/>
      <c r="Z1003" s="292"/>
    </row>
    <row r="1004" spans="1:26" x14ac:dyDescent="0.35">
      <c r="A1004" s="292"/>
      <c r="B1004" s="292"/>
      <c r="C1004" s="292"/>
      <c r="D1004" s="292"/>
      <c r="E1004" s="292"/>
      <c r="F1004" s="292"/>
      <c r="G1004" s="292"/>
      <c r="H1004" s="292"/>
      <c r="I1004" s="292"/>
      <c r="J1004" s="292"/>
      <c r="K1004" s="292"/>
      <c r="L1004" s="292"/>
      <c r="M1004" s="292"/>
      <c r="N1004" s="292"/>
      <c r="O1004" s="292"/>
      <c r="P1004" s="292"/>
      <c r="Q1004" s="292"/>
      <c r="R1004" s="292"/>
      <c r="S1004" s="292"/>
      <c r="T1004" s="292"/>
      <c r="U1004" s="292"/>
      <c r="V1004" s="292"/>
      <c r="W1004" s="292"/>
      <c r="X1004" s="292"/>
      <c r="Y1004" s="292"/>
      <c r="Z1004" s="292"/>
    </row>
    <row r="1005" spans="1:26" x14ac:dyDescent="0.35">
      <c r="A1005" s="292"/>
      <c r="B1005" s="292"/>
      <c r="C1005" s="292"/>
      <c r="D1005" s="292"/>
      <c r="E1005" s="292"/>
      <c r="F1005" s="292"/>
      <c r="G1005" s="292"/>
      <c r="H1005" s="292"/>
      <c r="I1005" s="292"/>
      <c r="J1005" s="292"/>
      <c r="K1005" s="292"/>
      <c r="L1005" s="292"/>
      <c r="M1005" s="292"/>
      <c r="N1005" s="292"/>
      <c r="O1005" s="292"/>
      <c r="P1005" s="292"/>
      <c r="Q1005" s="292"/>
      <c r="R1005" s="292"/>
      <c r="S1005" s="292"/>
      <c r="T1005" s="292"/>
      <c r="U1005" s="292"/>
      <c r="V1005" s="292"/>
      <c r="W1005" s="292"/>
      <c r="X1005" s="292"/>
      <c r="Y1005" s="292"/>
      <c r="Z1005" s="292"/>
    </row>
    <row r="1006" spans="1:26" x14ac:dyDescent="0.35">
      <c r="A1006" s="292"/>
      <c r="B1006" s="292"/>
      <c r="C1006" s="292"/>
      <c r="D1006" s="292"/>
      <c r="E1006" s="292"/>
      <c r="F1006" s="292"/>
      <c r="G1006" s="292"/>
      <c r="H1006" s="292"/>
      <c r="I1006" s="292"/>
      <c r="J1006" s="292"/>
      <c r="K1006" s="292"/>
      <c r="L1006" s="292"/>
      <c r="M1006" s="292"/>
      <c r="N1006" s="292"/>
      <c r="O1006" s="292"/>
      <c r="P1006" s="292"/>
      <c r="Q1006" s="292"/>
      <c r="R1006" s="292"/>
      <c r="S1006" s="292"/>
      <c r="T1006" s="292"/>
      <c r="U1006" s="292"/>
      <c r="V1006" s="292"/>
      <c r="W1006" s="292"/>
      <c r="X1006" s="292"/>
      <c r="Y1006" s="292"/>
      <c r="Z1006" s="292"/>
    </row>
    <row r="1007" spans="1:26" x14ac:dyDescent="0.35">
      <c r="A1007" s="292"/>
      <c r="B1007" s="292"/>
      <c r="C1007" s="292"/>
      <c r="D1007" s="292"/>
      <c r="E1007" s="292"/>
      <c r="F1007" s="292"/>
      <c r="G1007" s="292"/>
      <c r="H1007" s="292"/>
      <c r="I1007" s="292"/>
      <c r="J1007" s="292"/>
      <c r="K1007" s="292"/>
      <c r="L1007" s="292"/>
      <c r="M1007" s="292"/>
      <c r="N1007" s="292"/>
      <c r="O1007" s="292"/>
      <c r="P1007" s="292"/>
      <c r="Q1007" s="292"/>
      <c r="R1007" s="292"/>
      <c r="S1007" s="292"/>
      <c r="T1007" s="292"/>
      <c r="U1007" s="292"/>
      <c r="V1007" s="292"/>
      <c r="W1007" s="292"/>
      <c r="X1007" s="292"/>
      <c r="Y1007" s="292"/>
      <c r="Z1007" s="292"/>
    </row>
    <row r="1008" spans="1:26" x14ac:dyDescent="0.35">
      <c r="A1008" s="292"/>
      <c r="B1008" s="292"/>
      <c r="C1008" s="292"/>
      <c r="D1008" s="292"/>
      <c r="E1008" s="292"/>
      <c r="F1008" s="292"/>
      <c r="G1008" s="292"/>
      <c r="H1008" s="292"/>
      <c r="I1008" s="292"/>
      <c r="J1008" s="292"/>
      <c r="K1008" s="292"/>
      <c r="L1008" s="292"/>
      <c r="M1008" s="292"/>
      <c r="N1008" s="292"/>
      <c r="O1008" s="292"/>
      <c r="P1008" s="292"/>
      <c r="Q1008" s="292"/>
      <c r="R1008" s="292"/>
      <c r="S1008" s="292"/>
      <c r="T1008" s="292"/>
      <c r="U1008" s="292"/>
      <c r="V1008" s="292"/>
      <c r="W1008" s="292"/>
      <c r="X1008" s="292"/>
      <c r="Y1008" s="292"/>
      <c r="Z1008" s="292"/>
    </row>
  </sheetData>
  <mergeCells count="1">
    <mergeCell ref="J58:L63"/>
  </mergeCell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A915-4DC9-4F4D-863B-43F75E60F1BD}">
  <dimension ref="A2:S83"/>
  <sheetViews>
    <sheetView topLeftCell="A39" zoomScale="90" zoomScaleNormal="90" workbookViewId="0">
      <selection activeCell="J68" sqref="J68:J75"/>
    </sheetView>
  </sheetViews>
  <sheetFormatPr defaultColWidth="17.5546875" defaultRowHeight="18" x14ac:dyDescent="0.3"/>
  <cols>
    <col min="1" max="1" width="16.77734375" style="336" bestFit="1" customWidth="1"/>
    <col min="2" max="2" width="26" style="336" customWidth="1"/>
    <col min="3" max="4" width="16.21875" style="336" bestFit="1" customWidth="1"/>
    <col min="5" max="5" width="21.33203125" style="336" customWidth="1"/>
    <col min="6" max="6" width="27.109375" style="336" bestFit="1" customWidth="1"/>
    <col min="7" max="7" width="24.33203125" style="336" customWidth="1"/>
    <col min="8" max="8" width="25.109375" style="336" customWidth="1"/>
    <col min="9" max="9" width="15.77734375" style="336" customWidth="1"/>
    <col min="10" max="10" width="21.5546875" style="336" customWidth="1"/>
    <col min="11" max="11" width="19" style="336" bestFit="1" customWidth="1"/>
    <col min="12" max="12" width="14.5546875" style="336" bestFit="1" customWidth="1"/>
    <col min="13" max="14" width="14.109375" style="336" bestFit="1" customWidth="1"/>
    <col min="15" max="17" width="14.5546875" style="336" bestFit="1" customWidth="1"/>
    <col min="18" max="18" width="15.5546875" style="336" bestFit="1" customWidth="1"/>
    <col min="19" max="19" width="15.6640625" style="336" bestFit="1" customWidth="1"/>
    <col min="20" max="16384" width="17.5546875" style="336"/>
  </cols>
  <sheetData>
    <row r="2" spans="1:10" ht="21" x14ac:dyDescent="0.3">
      <c r="A2" s="667">
        <v>1</v>
      </c>
      <c r="B2" s="386" t="s">
        <v>174</v>
      </c>
      <c r="C2" s="387" t="s">
        <v>299</v>
      </c>
      <c r="D2" s="387" t="s">
        <v>65</v>
      </c>
      <c r="E2" s="387" t="s">
        <v>307</v>
      </c>
    </row>
    <row r="3" spans="1:10" ht="36" x14ac:dyDescent="0.3">
      <c r="A3" s="667"/>
      <c r="B3" s="337">
        <v>36533</v>
      </c>
      <c r="C3" s="338" t="s">
        <v>73</v>
      </c>
      <c r="D3" s="338" t="s">
        <v>88</v>
      </c>
      <c r="E3" s="339">
        <v>2000</v>
      </c>
    </row>
    <row r="4" spans="1:10" ht="36" x14ac:dyDescent="0.3">
      <c r="A4" s="667"/>
      <c r="B4" s="337">
        <v>36540</v>
      </c>
      <c r="C4" s="338" t="s">
        <v>71</v>
      </c>
      <c r="D4" s="338" t="s">
        <v>88</v>
      </c>
      <c r="E4" s="339">
        <v>28000</v>
      </c>
      <c r="G4" s="382" t="s">
        <v>308</v>
      </c>
      <c r="H4" s="382" t="s">
        <v>299</v>
      </c>
      <c r="I4" s="383" t="s">
        <v>307</v>
      </c>
      <c r="J4" s="668" t="s">
        <v>318</v>
      </c>
    </row>
    <row r="5" spans="1:10" ht="36" x14ac:dyDescent="0.3">
      <c r="A5" s="667"/>
      <c r="B5" s="337">
        <v>36526</v>
      </c>
      <c r="C5" s="338" t="s">
        <v>81</v>
      </c>
      <c r="D5" s="338" t="s">
        <v>303</v>
      </c>
      <c r="E5" s="339">
        <v>14000</v>
      </c>
      <c r="G5" s="340" t="s">
        <v>88</v>
      </c>
      <c r="H5" s="341" t="str">
        <f>_xlfn.XLOOKUP(G5, $D$2:$D$19, $C$2:$C$19)</f>
        <v>East</v>
      </c>
      <c r="I5" s="342">
        <f>_xlfn.XLOOKUP(G5, $D$2:$D$19, $E$2:$E$19)</f>
        <v>2000</v>
      </c>
      <c r="J5" s="669"/>
    </row>
    <row r="6" spans="1:10" ht="36" x14ac:dyDescent="0.3">
      <c r="A6" s="667"/>
      <c r="B6" s="337">
        <v>36536</v>
      </c>
      <c r="C6" s="338" t="s">
        <v>78</v>
      </c>
      <c r="D6" s="338" t="s">
        <v>303</v>
      </c>
      <c r="E6" s="343">
        <v>36000</v>
      </c>
      <c r="F6" s="447" t="s">
        <v>319</v>
      </c>
      <c r="G6" s="345" t="s">
        <v>88</v>
      </c>
      <c r="H6" s="341" t="str">
        <f>_xlfn.XLOOKUP(G6, $D$2:$D$19, $C$2:$C$19, , , -1)</f>
        <v>South</v>
      </c>
      <c r="I6" s="342">
        <f>_xlfn.XLOOKUP(G6, $D$2:$D$19, $E$2:$E$19, , , -1)</f>
        <v>28000</v>
      </c>
      <c r="J6" s="669"/>
    </row>
    <row r="7" spans="1:10" ht="21" x14ac:dyDescent="0.3">
      <c r="A7" s="667"/>
      <c r="B7" s="337">
        <v>36528</v>
      </c>
      <c r="C7" s="338" t="s">
        <v>81</v>
      </c>
      <c r="D7" s="338" t="s">
        <v>304</v>
      </c>
      <c r="E7" s="343">
        <v>16000</v>
      </c>
      <c r="F7" s="448"/>
      <c r="G7" s="346" t="s">
        <v>309</v>
      </c>
      <c r="H7" s="341" t="str">
        <f>_xlfn.XLOOKUP(G7,$D$2:$D$19,$C$2:$C$19)</f>
        <v>South</v>
      </c>
      <c r="I7" s="342">
        <f>_xlfn.XLOOKUP(G7, $D$2:$D$19, $E$2:$E$19)</f>
        <v>30000</v>
      </c>
      <c r="J7" s="669"/>
    </row>
    <row r="8" spans="1:10" ht="21" x14ac:dyDescent="0.3">
      <c r="A8" s="667"/>
      <c r="B8" s="337">
        <v>36544</v>
      </c>
      <c r="C8" s="338" t="s">
        <v>81</v>
      </c>
      <c r="D8" s="338" t="s">
        <v>304</v>
      </c>
      <c r="E8" s="343">
        <v>18000</v>
      </c>
      <c r="F8" s="447" t="s">
        <v>319</v>
      </c>
      <c r="G8" s="347" t="s">
        <v>309</v>
      </c>
      <c r="H8" s="341" t="str">
        <f>_xlfn.XLOOKUP(G8,$D$2:$D$19,$C$2:$C$19, , , -1)</f>
        <v>West</v>
      </c>
      <c r="I8" s="342">
        <f t="shared" ref="I8:I13" si="0">_xlfn.XLOOKUP(G8, $D$2:$D$19, $E$2:$E$19, , , -1)</f>
        <v>38000</v>
      </c>
      <c r="J8" s="669"/>
    </row>
    <row r="9" spans="1:10" ht="21" x14ac:dyDescent="0.3">
      <c r="A9" s="667"/>
      <c r="B9" s="337">
        <v>36538</v>
      </c>
      <c r="C9" s="338" t="s">
        <v>71</v>
      </c>
      <c r="D9" s="338" t="s">
        <v>309</v>
      </c>
      <c r="E9" s="343">
        <v>30000</v>
      </c>
      <c r="F9" s="448"/>
      <c r="G9" s="347" t="s">
        <v>310</v>
      </c>
      <c r="H9" s="341" t="str">
        <f t="shared" ref="H9:H12" si="1">_xlfn.XLOOKUP(G9,$D$2:$D$19,$C$2:$C$19)</f>
        <v>South</v>
      </c>
      <c r="I9" s="342">
        <f t="shared" si="0"/>
        <v>20000</v>
      </c>
      <c r="J9" s="669"/>
    </row>
    <row r="10" spans="1:10" ht="21" x14ac:dyDescent="0.3">
      <c r="A10" s="667"/>
      <c r="B10" s="337">
        <v>36532</v>
      </c>
      <c r="C10" s="338" t="s">
        <v>78</v>
      </c>
      <c r="D10" s="338" t="s">
        <v>309</v>
      </c>
      <c r="E10" s="343">
        <v>38000</v>
      </c>
      <c r="F10" s="448"/>
      <c r="G10" s="347" t="s">
        <v>302</v>
      </c>
      <c r="H10" s="341" t="str">
        <f t="shared" si="1"/>
        <v>East</v>
      </c>
      <c r="I10" s="342">
        <f>_xlfn.XLOOKUP(G10, $D$2:$D$19, $E$2:$E$19)</f>
        <v>10000</v>
      </c>
      <c r="J10" s="669"/>
    </row>
    <row r="11" spans="1:10" ht="21" x14ac:dyDescent="0.3">
      <c r="A11" s="667"/>
      <c r="B11" s="337">
        <v>36531</v>
      </c>
      <c r="C11" s="338" t="s">
        <v>73</v>
      </c>
      <c r="D11" s="338" t="s">
        <v>300</v>
      </c>
      <c r="E11" s="343">
        <v>4000</v>
      </c>
      <c r="F11" s="447" t="s">
        <v>319</v>
      </c>
      <c r="G11" s="347" t="s">
        <v>302</v>
      </c>
      <c r="H11" s="341" t="str">
        <f>_xlfn.XLOOKUP(G11,$D$2:$D$19,$C$2:$C$19, , , -1)</f>
        <v>North</v>
      </c>
      <c r="I11" s="342">
        <f t="shared" si="0"/>
        <v>25000</v>
      </c>
      <c r="J11" s="669"/>
    </row>
    <row r="12" spans="1:10" ht="21.6" x14ac:dyDescent="0.3">
      <c r="A12" s="667"/>
      <c r="B12" s="337">
        <v>36538</v>
      </c>
      <c r="C12" s="338" t="s">
        <v>71</v>
      </c>
      <c r="D12" s="338" t="s">
        <v>310</v>
      </c>
      <c r="E12" s="339">
        <v>20000</v>
      </c>
      <c r="F12" s="449"/>
      <c r="G12" s="347" t="s">
        <v>305</v>
      </c>
      <c r="H12" s="341" t="str">
        <f t="shared" si="1"/>
        <v>North</v>
      </c>
      <c r="I12" s="342">
        <f>_xlfn.XLOOKUP(G12, $D$2:$D$19, $E$2:$E$19)</f>
        <v>20000</v>
      </c>
      <c r="J12" s="669"/>
    </row>
    <row r="13" spans="1:10" ht="21" x14ac:dyDescent="0.3">
      <c r="A13" s="667"/>
      <c r="B13" s="337">
        <v>36542</v>
      </c>
      <c r="C13" s="338" t="s">
        <v>73</v>
      </c>
      <c r="D13" s="338" t="s">
        <v>301</v>
      </c>
      <c r="E13" s="339">
        <v>6000</v>
      </c>
      <c r="F13" s="447" t="s">
        <v>319</v>
      </c>
      <c r="G13" s="347" t="s">
        <v>305</v>
      </c>
      <c r="H13" s="341" t="str">
        <f>_xlfn.XLOOKUP(G13,$D$2:$D$19,$C$2:$C$19, , , -1)</f>
        <v>West</v>
      </c>
      <c r="I13" s="342">
        <f t="shared" si="0"/>
        <v>42000</v>
      </c>
      <c r="J13" s="670"/>
    </row>
    <row r="14" spans="1:10" x14ac:dyDescent="0.3">
      <c r="A14" s="667"/>
      <c r="B14" s="348">
        <v>36535</v>
      </c>
      <c r="C14" s="349" t="s">
        <v>73</v>
      </c>
      <c r="D14" s="349" t="s">
        <v>301</v>
      </c>
      <c r="E14" s="350">
        <v>8000</v>
      </c>
      <c r="H14" s="351"/>
      <c r="I14" s="352"/>
      <c r="J14" s="352"/>
    </row>
    <row r="15" spans="1:10" ht="36" x14ac:dyDescent="0.3">
      <c r="A15" s="667"/>
      <c r="B15" s="353">
        <v>36545</v>
      </c>
      <c r="C15" s="354" t="s">
        <v>81</v>
      </c>
      <c r="D15" s="354" t="s">
        <v>305</v>
      </c>
      <c r="E15" s="355">
        <v>20000</v>
      </c>
      <c r="I15" s="356"/>
      <c r="J15" s="356"/>
    </row>
    <row r="16" spans="1:10" ht="36" x14ac:dyDescent="0.3">
      <c r="A16" s="667"/>
      <c r="B16" s="353">
        <v>36529</v>
      </c>
      <c r="C16" s="354" t="s">
        <v>78</v>
      </c>
      <c r="D16" s="354" t="s">
        <v>305</v>
      </c>
      <c r="E16" s="355">
        <v>42000</v>
      </c>
      <c r="I16" s="356"/>
      <c r="J16" s="356"/>
    </row>
    <row r="17" spans="1:19" x14ac:dyDescent="0.3">
      <c r="A17" s="667"/>
      <c r="B17" s="353">
        <v>36531</v>
      </c>
      <c r="C17" s="354" t="s">
        <v>73</v>
      </c>
      <c r="D17" s="354" t="s">
        <v>302</v>
      </c>
      <c r="E17" s="355">
        <v>10000</v>
      </c>
      <c r="I17" s="356"/>
      <c r="J17" s="356"/>
    </row>
    <row r="18" spans="1:19" x14ac:dyDescent="0.3">
      <c r="A18" s="667"/>
      <c r="B18" s="353">
        <v>36535</v>
      </c>
      <c r="C18" s="354" t="s">
        <v>81</v>
      </c>
      <c r="D18" s="354" t="s">
        <v>302</v>
      </c>
      <c r="E18" s="355">
        <v>25000</v>
      </c>
      <c r="I18" s="356"/>
      <c r="J18" s="356"/>
    </row>
    <row r="19" spans="1:19" x14ac:dyDescent="0.3">
      <c r="A19" s="667"/>
      <c r="B19" s="353">
        <v>36531</v>
      </c>
      <c r="C19" s="354" t="s">
        <v>78</v>
      </c>
      <c r="D19" s="354" t="s">
        <v>306</v>
      </c>
      <c r="E19" s="355">
        <v>60000</v>
      </c>
      <c r="I19" s="356"/>
      <c r="J19" s="356"/>
    </row>
    <row r="21" spans="1:19" ht="36" x14ac:dyDescent="0.3">
      <c r="A21" s="387" t="s">
        <v>65</v>
      </c>
      <c r="B21" s="338" t="s">
        <v>88</v>
      </c>
      <c r="C21" s="338" t="s">
        <v>88</v>
      </c>
      <c r="D21" s="338" t="s">
        <v>303</v>
      </c>
      <c r="E21" s="338" t="s">
        <v>303</v>
      </c>
      <c r="F21" s="338" t="s">
        <v>303</v>
      </c>
      <c r="G21" s="338" t="s">
        <v>304</v>
      </c>
      <c r="H21" s="338" t="s">
        <v>304</v>
      </c>
      <c r="I21" s="338" t="s">
        <v>309</v>
      </c>
      <c r="J21" s="338" t="s">
        <v>309</v>
      </c>
      <c r="K21" s="338" t="s">
        <v>300</v>
      </c>
      <c r="L21" s="338" t="s">
        <v>310</v>
      </c>
      <c r="M21" s="338" t="s">
        <v>301</v>
      </c>
      <c r="N21" s="338" t="s">
        <v>301</v>
      </c>
      <c r="O21" s="338" t="s">
        <v>301</v>
      </c>
      <c r="P21" s="338" t="s">
        <v>305</v>
      </c>
      <c r="Q21" s="338" t="s">
        <v>305</v>
      </c>
      <c r="R21" s="349" t="s">
        <v>302</v>
      </c>
      <c r="S21" s="357" t="s">
        <v>306</v>
      </c>
    </row>
    <row r="22" spans="1:19" ht="21" x14ac:dyDescent="0.3">
      <c r="A22" s="387" t="s">
        <v>174</v>
      </c>
      <c r="B22" s="358">
        <v>36533</v>
      </c>
      <c r="C22" s="358">
        <v>36540</v>
      </c>
      <c r="D22" s="358">
        <v>36526</v>
      </c>
      <c r="E22" s="358">
        <v>36536</v>
      </c>
      <c r="F22" s="358">
        <v>36537</v>
      </c>
      <c r="G22" s="358">
        <v>36528</v>
      </c>
      <c r="H22" s="358">
        <v>36544</v>
      </c>
      <c r="I22" s="358">
        <v>36538</v>
      </c>
      <c r="J22" s="358">
        <v>36532</v>
      </c>
      <c r="K22" s="358">
        <v>36531</v>
      </c>
      <c r="L22" s="358">
        <v>36538</v>
      </c>
      <c r="M22" s="358">
        <v>36542</v>
      </c>
      <c r="N22" s="358">
        <v>36535</v>
      </c>
      <c r="O22" s="358">
        <v>36547</v>
      </c>
      <c r="P22" s="358">
        <v>36545</v>
      </c>
      <c r="Q22" s="358">
        <v>36529</v>
      </c>
      <c r="R22" s="359">
        <v>36531</v>
      </c>
      <c r="S22" s="360">
        <v>36535</v>
      </c>
    </row>
    <row r="23" spans="1:19" ht="21" x14ac:dyDescent="0.3">
      <c r="A23" s="387" t="s">
        <v>299</v>
      </c>
      <c r="B23" s="358" t="s">
        <v>73</v>
      </c>
      <c r="C23" s="358" t="s">
        <v>71</v>
      </c>
      <c r="D23" s="358" t="s">
        <v>81</v>
      </c>
      <c r="E23" s="358" t="s">
        <v>78</v>
      </c>
      <c r="F23" s="358" t="s">
        <v>78</v>
      </c>
      <c r="G23" s="358" t="s">
        <v>81</v>
      </c>
      <c r="H23" s="338" t="s">
        <v>78</v>
      </c>
      <c r="I23" s="358" t="s">
        <v>71</v>
      </c>
      <c r="J23" s="358" t="s">
        <v>78</v>
      </c>
      <c r="K23" s="358" t="s">
        <v>73</v>
      </c>
      <c r="L23" s="358" t="s">
        <v>71</v>
      </c>
      <c r="M23" s="358" t="s">
        <v>73</v>
      </c>
      <c r="N23" s="358" t="s">
        <v>73</v>
      </c>
      <c r="O23" s="338" t="s">
        <v>78</v>
      </c>
      <c r="P23" s="338" t="s">
        <v>81</v>
      </c>
      <c r="Q23" s="358" t="s">
        <v>78</v>
      </c>
      <c r="R23" s="359" t="s">
        <v>73</v>
      </c>
      <c r="S23" s="360" t="s">
        <v>81</v>
      </c>
    </row>
    <row r="24" spans="1:19" ht="21" x14ac:dyDescent="0.3">
      <c r="A24" s="388" t="s">
        <v>307</v>
      </c>
      <c r="B24" s="361">
        <v>2000</v>
      </c>
      <c r="C24" s="361">
        <v>28000</v>
      </c>
      <c r="D24" s="361">
        <v>14000</v>
      </c>
      <c r="E24" s="361">
        <v>36000</v>
      </c>
      <c r="F24" s="361">
        <v>50000</v>
      </c>
      <c r="G24" s="361">
        <v>16000</v>
      </c>
      <c r="H24" s="361">
        <v>18000</v>
      </c>
      <c r="I24" s="361">
        <v>30000</v>
      </c>
      <c r="J24" s="361">
        <v>38000</v>
      </c>
      <c r="K24" s="361">
        <v>4000</v>
      </c>
      <c r="L24" s="361">
        <v>20000</v>
      </c>
      <c r="M24" s="361">
        <v>6000</v>
      </c>
      <c r="N24" s="361">
        <v>8000</v>
      </c>
      <c r="O24" s="361">
        <v>40000</v>
      </c>
      <c r="P24" s="361">
        <v>20000</v>
      </c>
      <c r="Q24" s="361">
        <v>42000</v>
      </c>
      <c r="R24" s="362">
        <v>10000</v>
      </c>
      <c r="S24" s="362">
        <v>25000</v>
      </c>
    </row>
    <row r="25" spans="1:19" ht="64.2" x14ac:dyDescent="0.3">
      <c r="A25" s="667">
        <v>2</v>
      </c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7"/>
      <c r="P25" s="667"/>
      <c r="Q25" s="667"/>
    </row>
    <row r="27" spans="1:19" ht="21" x14ac:dyDescent="0.3">
      <c r="B27" s="389" t="s">
        <v>308</v>
      </c>
      <c r="C27" s="389" t="s">
        <v>299</v>
      </c>
      <c r="D27" s="389" t="s">
        <v>307</v>
      </c>
      <c r="E27" s="671" t="s">
        <v>320</v>
      </c>
    </row>
    <row r="28" spans="1:19" x14ac:dyDescent="0.3">
      <c r="B28" s="363" t="s">
        <v>88</v>
      </c>
      <c r="C28" s="364" t="str">
        <f>_xlfn.XLOOKUP(B28, $A$21:$S$21, $A$23:$S$23)</f>
        <v>East</v>
      </c>
      <c r="D28" s="365">
        <f>_xlfn.XLOOKUP(B28, $A$21:$S$21, $A$24:$S$24, "Not present in the data")</f>
        <v>2000</v>
      </c>
      <c r="E28" s="671"/>
    </row>
    <row r="29" spans="1:19" x14ac:dyDescent="0.3">
      <c r="A29" s="344" t="s">
        <v>321</v>
      </c>
      <c r="B29" s="363" t="s">
        <v>88</v>
      </c>
      <c r="C29" s="364" t="str">
        <f>_xlfn.XLOOKUP(B29, $A$21:$S$21, $A$23:$S$23, , , -1)</f>
        <v>South</v>
      </c>
      <c r="D29" s="365">
        <f t="shared" ref="D29:D37" si="2">_xlfn.XLOOKUP(B29, $A$21:$S$21, $A$24:$S$24, "Not present in the data", , -1)</f>
        <v>28000</v>
      </c>
      <c r="E29" s="671"/>
    </row>
    <row r="30" spans="1:19" x14ac:dyDescent="0.3">
      <c r="B30" s="363" t="s">
        <v>309</v>
      </c>
      <c r="C30" s="364" t="str">
        <f>_xlfn.XLOOKUP(B30, $A$21:$S$21, $A$23:$S$23)</f>
        <v>South</v>
      </c>
      <c r="D30" s="365">
        <f>_xlfn.XLOOKUP(B30, $A$21:$S$21, $A$24:$S$24, "Not present in the data")</f>
        <v>30000</v>
      </c>
      <c r="E30" s="671"/>
    </row>
    <row r="31" spans="1:19" x14ac:dyDescent="0.3">
      <c r="A31" s="344" t="s">
        <v>321</v>
      </c>
      <c r="B31" s="363" t="s">
        <v>309</v>
      </c>
      <c r="C31" s="364" t="str">
        <f t="shared" ref="C31:C37" si="3">_xlfn.XLOOKUP(B31, $A$21:$S$21, $A$23:$S$23, , , -1)</f>
        <v>West</v>
      </c>
      <c r="D31" s="365">
        <f t="shared" si="2"/>
        <v>38000</v>
      </c>
      <c r="E31" s="671"/>
    </row>
    <row r="32" spans="1:19" x14ac:dyDescent="0.3">
      <c r="B32" s="363" t="s">
        <v>310</v>
      </c>
      <c r="C32" s="364" t="str">
        <f>_xlfn.XLOOKUP(B32, $A$21:$S$21, $A$23:$S$23)</f>
        <v>South</v>
      </c>
      <c r="D32" s="365">
        <f>_xlfn.XLOOKUP(B32, $A$21:$S$21, $A$24:$S$24, "Not present in the data")</f>
        <v>20000</v>
      </c>
      <c r="E32" s="671"/>
    </row>
    <row r="33" spans="1:10" x14ac:dyDescent="0.3">
      <c r="B33" s="363" t="s">
        <v>304</v>
      </c>
      <c r="C33" s="364" t="str">
        <f>_xlfn.XLOOKUP(B33, $A$21:$S$21, $A$23:$S$23)</f>
        <v>North</v>
      </c>
      <c r="D33" s="365">
        <f t="shared" si="2"/>
        <v>18000</v>
      </c>
      <c r="E33" s="671"/>
    </row>
    <row r="34" spans="1:10" ht="36" x14ac:dyDescent="0.3">
      <c r="B34" s="366" t="s">
        <v>322</v>
      </c>
      <c r="C34" s="364" t="str">
        <f>_xlfn.XLOOKUP(B34, $A$21:$S$21, $A$23:$S$23,  "Not present in the data", , -1)</f>
        <v>Not present in the data</v>
      </c>
      <c r="D34" s="365" t="str">
        <f>_xlfn.XLOOKUP(B34, $A$21:$S$21, $A$24:$S$24, "Not present in the data")</f>
        <v>Not present in the data</v>
      </c>
      <c r="E34" s="671"/>
    </row>
    <row r="35" spans="1:10" ht="36" x14ac:dyDescent="0.3">
      <c r="B35" s="366" t="s">
        <v>323</v>
      </c>
      <c r="C35" s="364" t="str">
        <f>_xlfn.XLOOKUP(B35, $A$21:$S$21, $A$23:$S$23,  "Not present in the data", , -1)</f>
        <v>Not present in the data</v>
      </c>
      <c r="D35" s="365" t="str">
        <f>_xlfn.XLOOKUP(B35, $A$21:$S$21, $A$24:$S$24, "Not present in the data")</f>
        <v>Not present in the data</v>
      </c>
      <c r="E35" s="671"/>
    </row>
    <row r="36" spans="1:10" x14ac:dyDescent="0.3">
      <c r="B36" s="363" t="s">
        <v>305</v>
      </c>
      <c r="C36" s="364" t="str">
        <f>_xlfn.XLOOKUP(B36, $A$21:$S$21, $A$23:$S$23)</f>
        <v>North</v>
      </c>
      <c r="D36" s="365">
        <f>_xlfn.XLOOKUP(B36, $A$21:$S$21, $A$24:$S$24, "Not present in the data")</f>
        <v>20000</v>
      </c>
      <c r="E36" s="671"/>
    </row>
    <row r="37" spans="1:10" x14ac:dyDescent="0.3">
      <c r="A37" s="344" t="s">
        <v>321</v>
      </c>
      <c r="B37" s="363" t="s">
        <v>305</v>
      </c>
      <c r="C37" s="364" t="str">
        <f t="shared" si="3"/>
        <v>West</v>
      </c>
      <c r="D37" s="365">
        <f t="shared" si="2"/>
        <v>42000</v>
      </c>
      <c r="E37" s="671"/>
    </row>
    <row r="42" spans="1:10" ht="21" x14ac:dyDescent="0.3">
      <c r="A42" s="667">
        <v>3</v>
      </c>
      <c r="B42" s="384" t="s">
        <v>65</v>
      </c>
      <c r="C42" s="385" t="s">
        <v>174</v>
      </c>
      <c r="D42" s="385" t="s">
        <v>299</v>
      </c>
      <c r="E42" s="385" t="s">
        <v>307</v>
      </c>
    </row>
    <row r="43" spans="1:10" x14ac:dyDescent="0.3">
      <c r="A43" s="667"/>
      <c r="B43" s="367" t="s">
        <v>88</v>
      </c>
      <c r="C43" s="358">
        <v>36533</v>
      </c>
      <c r="D43" s="358" t="s">
        <v>73</v>
      </c>
      <c r="E43" s="362">
        <v>2000</v>
      </c>
    </row>
    <row r="44" spans="1:10" x14ac:dyDescent="0.3">
      <c r="A44" s="667"/>
      <c r="B44" s="367" t="s">
        <v>88</v>
      </c>
      <c r="C44" s="358">
        <v>36540</v>
      </c>
      <c r="D44" s="358" t="s">
        <v>71</v>
      </c>
      <c r="E44" s="362">
        <v>28000</v>
      </c>
    </row>
    <row r="45" spans="1:10" x14ac:dyDescent="0.3">
      <c r="A45" s="667"/>
      <c r="B45" s="367" t="s">
        <v>303</v>
      </c>
      <c r="C45" s="358">
        <v>36526</v>
      </c>
      <c r="D45" s="358" t="s">
        <v>81</v>
      </c>
      <c r="E45" s="362">
        <v>14000</v>
      </c>
    </row>
    <row r="46" spans="1:10" ht="21" x14ac:dyDescent="0.3">
      <c r="A46" s="667"/>
      <c r="B46" s="367" t="s">
        <v>303</v>
      </c>
      <c r="C46" s="358">
        <v>36536</v>
      </c>
      <c r="D46" s="358" t="s">
        <v>78</v>
      </c>
      <c r="E46" s="362">
        <v>36000</v>
      </c>
      <c r="G46" s="390" t="s">
        <v>65</v>
      </c>
      <c r="H46" s="390" t="s">
        <v>174</v>
      </c>
      <c r="I46" s="390" t="s">
        <v>299</v>
      </c>
      <c r="J46" s="672" t="s">
        <v>336</v>
      </c>
    </row>
    <row r="47" spans="1:10" x14ac:dyDescent="0.3">
      <c r="A47" s="667"/>
      <c r="B47" s="368" t="s">
        <v>324</v>
      </c>
      <c r="C47" s="358">
        <v>36528</v>
      </c>
      <c r="D47" s="358" t="s">
        <v>81</v>
      </c>
      <c r="E47" s="362">
        <v>16000</v>
      </c>
      <c r="G47" s="369" t="s">
        <v>300</v>
      </c>
      <c r="H47" s="364">
        <f>_xlfn.XLOOKUP(G47, $B$42:$B$58, $C$42:$C$58, "Not present", 2)</f>
        <v>36531</v>
      </c>
      <c r="I47" s="364" t="str">
        <f>_xlfn.XLOOKUP(G47, $B$42:$B$58, $D$42:$D$58, "NOT THERE", 2, -1)</f>
        <v>East</v>
      </c>
      <c r="J47" s="673"/>
    </row>
    <row r="48" spans="1:10" ht="22.8" customHeight="1" x14ac:dyDescent="0.3">
      <c r="A48" s="667"/>
      <c r="B48" s="368" t="s">
        <v>325</v>
      </c>
      <c r="C48" s="358">
        <v>36544</v>
      </c>
      <c r="D48" s="338" t="s">
        <v>73</v>
      </c>
      <c r="E48" s="362">
        <v>18000</v>
      </c>
      <c r="G48" s="369" t="s">
        <v>301</v>
      </c>
      <c r="H48" s="364">
        <f t="shared" ref="H48" si="4">_xlfn.XLOOKUP(G48, $B$42:$B$58, $C$42:$C$58, "Not present", 2)</f>
        <v>36542</v>
      </c>
      <c r="I48" s="364" t="str">
        <f t="shared" ref="I48" si="5">_xlfn.XLOOKUP(G48, $B$42:$B$58, $D$42:$D$58, "NOT THERE", 2, -1)</f>
        <v>East</v>
      </c>
      <c r="J48" s="673"/>
    </row>
    <row r="49" spans="1:11" ht="19.2" x14ac:dyDescent="0.3">
      <c r="A49" s="667"/>
      <c r="B49" s="367" t="s">
        <v>309</v>
      </c>
      <c r="C49" s="358">
        <v>36538</v>
      </c>
      <c r="D49" s="358" t="s">
        <v>71</v>
      </c>
      <c r="E49" s="370">
        <v>30000</v>
      </c>
      <c r="F49" s="335" t="s">
        <v>326</v>
      </c>
      <c r="G49" s="371" t="s">
        <v>304</v>
      </c>
      <c r="H49" s="364">
        <f>_xlfn.XLOOKUP("*"&amp;G49&amp;"*", $B$42:$B$58, $C$42:$C$58, "Not present", 2)</f>
        <v>36528</v>
      </c>
      <c r="I49" s="364" t="str">
        <f>_xlfn.XLOOKUP("*"&amp;G49&amp;"*", $B$42:$B$58, $D$42:$D$58, "Not present", 2)</f>
        <v>North</v>
      </c>
      <c r="J49" s="673"/>
    </row>
    <row r="50" spans="1:11" ht="19.2" x14ac:dyDescent="0.3">
      <c r="A50" s="667"/>
      <c r="B50" s="367" t="s">
        <v>309</v>
      </c>
      <c r="C50" s="358">
        <v>36532</v>
      </c>
      <c r="D50" s="358" t="s">
        <v>78</v>
      </c>
      <c r="E50" s="370">
        <v>38000</v>
      </c>
      <c r="F50" s="335" t="s">
        <v>327</v>
      </c>
      <c r="G50" s="371" t="s">
        <v>304</v>
      </c>
      <c r="H50" s="364">
        <f>_xlfn.XLOOKUP("*"&amp;G50&amp;"*", $B$42:$B$58, $C$42:$C$58, "Not present", 2, -1)</f>
        <v>36544</v>
      </c>
      <c r="I50" s="364" t="str">
        <f>_xlfn.XLOOKUP("*"&amp;G50&amp;"*", $B$42:$B$58, $D$42:$D$58, "Not present", 2, -1)</f>
        <v>East</v>
      </c>
      <c r="J50" s="673"/>
    </row>
    <row r="51" spans="1:11" ht="19.2" x14ac:dyDescent="0.3">
      <c r="A51" s="667"/>
      <c r="B51" s="367" t="s">
        <v>300</v>
      </c>
      <c r="C51" s="358">
        <v>36531</v>
      </c>
      <c r="D51" s="358" t="s">
        <v>73</v>
      </c>
      <c r="E51" s="370">
        <v>4000</v>
      </c>
      <c r="F51" s="335" t="s">
        <v>305</v>
      </c>
      <c r="G51" s="371" t="s">
        <v>328</v>
      </c>
      <c r="H51" s="364">
        <f>_xlfn.XLOOKUP("*"&amp;G51&amp;"*", $B$42:$B$58, $C$42:$C$58, "Not present", 2)</f>
        <v>36545</v>
      </c>
      <c r="I51" s="364" t="str">
        <f>_xlfn.XLOOKUP("*"&amp;G51&amp;"*", $B$42:$B$58, $D$42:$D$58, "Not present", 2)</f>
        <v>North</v>
      </c>
      <c r="J51" s="673"/>
    </row>
    <row r="52" spans="1:11" ht="19.2" x14ac:dyDescent="0.3">
      <c r="A52" s="667"/>
      <c r="B52" s="367" t="s">
        <v>310</v>
      </c>
      <c r="C52" s="358">
        <v>36538</v>
      </c>
      <c r="D52" s="358" t="s">
        <v>71</v>
      </c>
      <c r="E52" s="370">
        <v>20000</v>
      </c>
      <c r="F52" s="335" t="s">
        <v>329</v>
      </c>
      <c r="G52" s="371" t="s">
        <v>328</v>
      </c>
      <c r="H52" s="364">
        <f>_xlfn.XLOOKUP("*"&amp;G52&amp;"*", $B$42:$B$58, $C$42:$C$58, "Not present", 2, -1)</f>
        <v>36529</v>
      </c>
      <c r="I52" s="364" t="str">
        <f t="shared" ref="I52" si="6">_xlfn.XLOOKUP("*"&amp;G52&amp;"*", $B$42:$B$58, $D$42:$D$58, "Not present", 2, -1)</f>
        <v>West</v>
      </c>
      <c r="J52" s="674"/>
    </row>
    <row r="53" spans="1:11" ht="19.8" x14ac:dyDescent="0.3">
      <c r="A53" s="667"/>
      <c r="B53" s="367" t="s">
        <v>301</v>
      </c>
      <c r="C53" s="358">
        <v>36542</v>
      </c>
      <c r="D53" s="358" t="s">
        <v>73</v>
      </c>
      <c r="E53" s="362">
        <v>6000</v>
      </c>
      <c r="F53" s="334"/>
      <c r="I53" s="364"/>
    </row>
    <row r="54" spans="1:11" ht="19.8" x14ac:dyDescent="0.3">
      <c r="A54" s="667"/>
      <c r="B54" s="367" t="s">
        <v>301</v>
      </c>
      <c r="C54" s="358">
        <v>36535</v>
      </c>
      <c r="D54" s="358" t="s">
        <v>73</v>
      </c>
      <c r="E54" s="362">
        <v>8000</v>
      </c>
      <c r="F54" s="334"/>
      <c r="I54" s="364"/>
    </row>
    <row r="55" spans="1:11" ht="21" x14ac:dyDescent="0.3">
      <c r="A55" s="667"/>
      <c r="B55" s="368" t="s">
        <v>305</v>
      </c>
      <c r="C55" s="358">
        <v>36545</v>
      </c>
      <c r="D55" s="338" t="s">
        <v>81</v>
      </c>
      <c r="E55" s="362">
        <v>20000</v>
      </c>
      <c r="F55" s="334"/>
      <c r="G55" s="390" t="s">
        <v>65</v>
      </c>
      <c r="H55" s="390" t="s">
        <v>174</v>
      </c>
      <c r="I55" s="390" t="s">
        <v>299</v>
      </c>
      <c r="J55" s="390" t="s">
        <v>307</v>
      </c>
      <c r="K55" s="675" t="s">
        <v>336</v>
      </c>
    </row>
    <row r="56" spans="1:11" ht="19.8" x14ac:dyDescent="0.3">
      <c r="A56" s="667"/>
      <c r="B56" s="368" t="s">
        <v>329</v>
      </c>
      <c r="C56" s="358">
        <v>36529</v>
      </c>
      <c r="D56" s="358" t="s">
        <v>78</v>
      </c>
      <c r="E56" s="362">
        <v>42000</v>
      </c>
      <c r="F56" s="334"/>
      <c r="G56" s="369" t="s">
        <v>300</v>
      </c>
      <c r="H56" s="364" cm="1">
        <f t="array" ref="H56:J56">_xlfn.XLOOKUP("*"&amp;G56&amp;"*", $B$42:$B$58, $C$42:$E$58, "Unavailable", 2, -1)</f>
        <v>36531</v>
      </c>
      <c r="I56" s="364" t="str">
        <v>East</v>
      </c>
      <c r="J56" s="372">
        <v>4000</v>
      </c>
      <c r="K56" s="675"/>
    </row>
    <row r="57" spans="1:11" ht="19.8" x14ac:dyDescent="0.3">
      <c r="A57" s="667"/>
      <c r="B57" s="373" t="s">
        <v>302</v>
      </c>
      <c r="C57" s="359">
        <v>36531</v>
      </c>
      <c r="D57" s="359" t="s">
        <v>73</v>
      </c>
      <c r="E57" s="362">
        <v>10000</v>
      </c>
      <c r="F57" s="334"/>
      <c r="G57" s="369" t="s">
        <v>301</v>
      </c>
      <c r="H57" s="364" cm="1">
        <f t="array" ref="H57:J57">_xlfn.XLOOKUP("*"&amp;G57&amp;"*", $B$42:$B$58, $C$42:$E$58, "Unavailable", 2, -1)</f>
        <v>36535</v>
      </c>
      <c r="I57" s="364" t="str">
        <v>East</v>
      </c>
      <c r="J57" s="372">
        <v>8000</v>
      </c>
      <c r="K57" s="675"/>
    </row>
    <row r="58" spans="1:11" ht="19.2" x14ac:dyDescent="0.3">
      <c r="A58" s="667"/>
      <c r="B58" s="374" t="s">
        <v>306</v>
      </c>
      <c r="C58" s="360">
        <v>36535</v>
      </c>
      <c r="D58" s="360" t="s">
        <v>81</v>
      </c>
      <c r="E58" s="362">
        <v>25000</v>
      </c>
      <c r="F58" s="335" t="s">
        <v>326</v>
      </c>
      <c r="G58" s="371" t="s">
        <v>304</v>
      </c>
      <c r="H58" s="364" cm="1">
        <f t="array" ref="H58:J58">_xlfn.XLOOKUP("*"&amp;G58&amp;"*", $B$42:$B$58, $C$42:$E$58, "Unavailable", 2)</f>
        <v>36528</v>
      </c>
      <c r="I58" s="364" t="str">
        <v>North</v>
      </c>
      <c r="J58" s="372">
        <v>16000</v>
      </c>
      <c r="K58" s="675"/>
    </row>
    <row r="59" spans="1:11" s="375" customFormat="1" ht="19.2" x14ac:dyDescent="0.3">
      <c r="B59" s="376"/>
      <c r="C59" s="377"/>
      <c r="D59" s="377"/>
      <c r="E59" s="378"/>
      <c r="F59" s="335" t="s">
        <v>327</v>
      </c>
      <c r="G59" s="371" t="s">
        <v>304</v>
      </c>
      <c r="H59" s="364" cm="1">
        <f t="array" ref="H59:J59">_xlfn.XLOOKUP("*"&amp;G59&amp;"*", $B$42:$B$58, $C$42:$E$58, "Unavailable", 2, -1)</f>
        <v>36544</v>
      </c>
      <c r="I59" s="364" t="str">
        <v>East</v>
      </c>
      <c r="J59" s="372">
        <v>18000</v>
      </c>
      <c r="K59" s="675"/>
    </row>
    <row r="60" spans="1:11" s="375" customFormat="1" ht="19.2" x14ac:dyDescent="0.3">
      <c r="B60" s="376"/>
      <c r="C60" s="377"/>
      <c r="D60" s="377"/>
      <c r="E60" s="378"/>
      <c r="F60" s="335" t="s">
        <v>305</v>
      </c>
      <c r="G60" s="371" t="s">
        <v>328</v>
      </c>
      <c r="H60" s="364" cm="1">
        <f t="array" ref="H60:J60">_xlfn.XLOOKUP("*"&amp;G60&amp;"*", $B$42:$B$58, $C$42:$E$58, "Unavailable", 2)</f>
        <v>36545</v>
      </c>
      <c r="I60" s="364" t="str">
        <v>North</v>
      </c>
      <c r="J60" s="372">
        <v>20000</v>
      </c>
      <c r="K60" s="675"/>
    </row>
    <row r="61" spans="1:11" s="375" customFormat="1" ht="19.2" x14ac:dyDescent="0.3">
      <c r="B61" s="376"/>
      <c r="C61" s="377"/>
      <c r="D61" s="377"/>
      <c r="E61" s="378"/>
      <c r="F61" s="335" t="s">
        <v>329</v>
      </c>
      <c r="G61" s="371" t="s">
        <v>328</v>
      </c>
      <c r="H61" s="364" cm="1">
        <f t="array" ref="H61:J61">_xlfn.XLOOKUP("*"&amp;G61&amp;"*", $B$42:$B$58, $C$42:$E$58, "Unavailable", 2, -1)</f>
        <v>36529</v>
      </c>
      <c r="I61" s="364" t="str">
        <v>West</v>
      </c>
      <c r="J61" s="372">
        <v>42000</v>
      </c>
      <c r="K61" s="675"/>
    </row>
    <row r="62" spans="1:11" s="375" customFormat="1" x14ac:dyDescent="0.3">
      <c r="B62" s="376"/>
      <c r="C62" s="377"/>
      <c r="D62" s="377"/>
      <c r="E62" s="378"/>
    </row>
    <row r="63" spans="1:11" s="375" customFormat="1" x14ac:dyDescent="0.3">
      <c r="B63" s="376"/>
      <c r="C63" s="377"/>
      <c r="D63" s="377"/>
      <c r="E63" s="378"/>
    </row>
    <row r="68" spans="1:10" ht="34.200000000000003" customHeight="1" x14ac:dyDescent="0.3">
      <c r="C68" s="662" t="s">
        <v>330</v>
      </c>
      <c r="D68" s="663"/>
      <c r="E68" s="664"/>
      <c r="G68" s="392" t="s">
        <v>331</v>
      </c>
      <c r="H68" s="392" t="s">
        <v>332</v>
      </c>
      <c r="I68" s="393" t="s">
        <v>66</v>
      </c>
      <c r="J68" s="665" t="s">
        <v>353</v>
      </c>
    </row>
    <row r="69" spans="1:10" ht="23.4" customHeight="1" x14ac:dyDescent="0.3">
      <c r="B69" s="385" t="s">
        <v>65</v>
      </c>
      <c r="C69" s="391">
        <v>2018</v>
      </c>
      <c r="D69" s="391">
        <v>2019</v>
      </c>
      <c r="E69" s="391">
        <v>2020</v>
      </c>
      <c r="G69" s="379" t="s">
        <v>303</v>
      </c>
      <c r="H69" s="379">
        <v>2018</v>
      </c>
      <c r="I69" s="380" cm="1">
        <f t="array" ref="I69">_xlfn.XLOOKUP(G69, $B$69:$B$83, _xlfn.XLOOKUP(H69, $C$69:$E$69, $C$69:$E$83, "Absent"))</f>
        <v>40000</v>
      </c>
      <c r="J69" s="665"/>
    </row>
    <row r="70" spans="1:10" x14ac:dyDescent="0.3">
      <c r="A70" s="666">
        <v>4</v>
      </c>
      <c r="B70" s="367" t="s">
        <v>88</v>
      </c>
      <c r="C70" s="362">
        <v>36000</v>
      </c>
      <c r="D70" s="362">
        <v>20000</v>
      </c>
      <c r="E70" s="362">
        <v>28000</v>
      </c>
      <c r="G70" s="379" t="s">
        <v>301</v>
      </c>
      <c r="H70" s="379">
        <v>2019</v>
      </c>
      <c r="I70" s="380" cm="1">
        <f t="array" ref="I70">_xlfn.XLOOKUP(G70, $B$69:$B$83, _xlfn.XLOOKUP(H70, $C$69:$E$69, $C$69:$E$83, "Absent"))</f>
        <v>57000</v>
      </c>
      <c r="J70" s="665"/>
    </row>
    <row r="71" spans="1:10" x14ac:dyDescent="0.3">
      <c r="A71" s="666"/>
      <c r="B71" s="367" t="s">
        <v>88</v>
      </c>
      <c r="C71" s="362">
        <v>38000</v>
      </c>
      <c r="D71" s="362">
        <v>30000</v>
      </c>
      <c r="E71" s="362">
        <v>14000</v>
      </c>
      <c r="G71" s="381" t="s">
        <v>301</v>
      </c>
      <c r="H71" s="336">
        <v>2020</v>
      </c>
      <c r="I71" s="380" cm="1">
        <f t="array" ref="I71">_xlfn.XLOOKUP(G71, $B$69:$B$83, _xlfn.XLOOKUP(H71, $C$69:$E$69, $C$69:$E$83, "Absent"))</f>
        <v>8000</v>
      </c>
      <c r="J71" s="665"/>
    </row>
    <row r="72" spans="1:10" x14ac:dyDescent="0.3">
      <c r="A72" s="666"/>
      <c r="B72" s="368" t="s">
        <v>303</v>
      </c>
      <c r="C72" s="450">
        <v>40000</v>
      </c>
      <c r="D72" s="362">
        <v>10000</v>
      </c>
      <c r="E72" s="362">
        <v>36000</v>
      </c>
      <c r="G72" s="363" t="s">
        <v>302</v>
      </c>
      <c r="H72" s="363">
        <v>2019</v>
      </c>
      <c r="I72" s="380" cm="1">
        <f t="array" ref="I72">_xlfn.XLOOKUP(G72, $B$69:$B$83, _xlfn.XLOOKUP(H72, $C$69:$E$69, $C$69:$E$83, "Absent"))</f>
        <v>78000</v>
      </c>
      <c r="J72" s="665"/>
    </row>
    <row r="73" spans="1:10" x14ac:dyDescent="0.3">
      <c r="A73" s="666"/>
      <c r="B73" s="368" t="s">
        <v>303</v>
      </c>
      <c r="C73" s="450">
        <v>50000</v>
      </c>
      <c r="D73" s="362">
        <v>50000</v>
      </c>
      <c r="E73" s="362">
        <v>16000</v>
      </c>
      <c r="G73" s="363" t="s">
        <v>310</v>
      </c>
      <c r="H73" s="363">
        <v>2018</v>
      </c>
      <c r="I73" s="380" cm="1">
        <f t="array" ref="I73">_xlfn.XLOOKUP(G73, $B$69:$B$83, _xlfn.XLOOKUP(H73, $C$69:$E$69, $C$69:$E$83, "Absent"))</f>
        <v>35000</v>
      </c>
      <c r="J73" s="665"/>
    </row>
    <row r="74" spans="1:10" x14ac:dyDescent="0.3">
      <c r="A74" s="666"/>
      <c r="B74" s="367" t="s">
        <v>333</v>
      </c>
      <c r="C74" s="362">
        <v>20000</v>
      </c>
      <c r="D74" s="362">
        <v>60000</v>
      </c>
      <c r="E74" s="362">
        <v>18000</v>
      </c>
      <c r="G74" s="363" t="s">
        <v>305</v>
      </c>
      <c r="H74" s="363">
        <v>2020</v>
      </c>
      <c r="I74" s="380" cm="1">
        <f t="array" ref="I74">_xlfn.XLOOKUP(G74, $B$69:$B$83, _xlfn.XLOOKUP(H74, $C$69:$E$69, $C$69:$E$83, "Absent"))</f>
        <v>42000</v>
      </c>
      <c r="J74" s="665"/>
    </row>
    <row r="75" spans="1:10" ht="36" x14ac:dyDescent="0.3">
      <c r="A75" s="666"/>
      <c r="B75" s="367" t="s">
        <v>334</v>
      </c>
      <c r="C75" s="362">
        <v>32000</v>
      </c>
      <c r="D75" s="362">
        <v>70000</v>
      </c>
      <c r="E75" s="362">
        <v>30000</v>
      </c>
      <c r="G75" s="363" t="s">
        <v>309</v>
      </c>
      <c r="H75" s="363">
        <v>2019</v>
      </c>
      <c r="I75" s="380" cm="1">
        <f t="array" ref="I75">_xlfn.XLOOKUP(G75, $B$69:$B$83, _xlfn.XLOOKUP(H75, $C$69:$E$69, $C$69:$E$83, "Absent"))</f>
        <v>80000</v>
      </c>
      <c r="J75" s="665"/>
    </row>
    <row r="76" spans="1:10" x14ac:dyDescent="0.3">
      <c r="A76" s="666"/>
      <c r="B76" s="368" t="s">
        <v>309</v>
      </c>
      <c r="C76" s="362">
        <v>89000</v>
      </c>
      <c r="D76" s="450">
        <v>80000</v>
      </c>
      <c r="E76" s="362">
        <v>38000</v>
      </c>
    </row>
    <row r="77" spans="1:10" x14ac:dyDescent="0.3">
      <c r="A77" s="666"/>
      <c r="B77" s="368" t="s">
        <v>309</v>
      </c>
      <c r="C77" s="362">
        <v>50000</v>
      </c>
      <c r="D77" s="450">
        <v>90000</v>
      </c>
      <c r="E77" s="362">
        <v>4000</v>
      </c>
    </row>
    <row r="78" spans="1:10" x14ac:dyDescent="0.3">
      <c r="A78" s="666"/>
      <c r="B78" s="367" t="s">
        <v>300</v>
      </c>
      <c r="C78" s="362">
        <v>2000</v>
      </c>
      <c r="D78" s="362">
        <v>10000</v>
      </c>
      <c r="E78" s="362">
        <v>20000</v>
      </c>
    </row>
    <row r="79" spans="1:10" x14ac:dyDescent="0.3">
      <c r="A79" s="666"/>
      <c r="B79" s="368" t="s">
        <v>310</v>
      </c>
      <c r="C79" s="450">
        <v>35000</v>
      </c>
      <c r="D79" s="362">
        <v>2000</v>
      </c>
      <c r="E79" s="362">
        <v>6000</v>
      </c>
    </row>
    <row r="80" spans="1:10" x14ac:dyDescent="0.3">
      <c r="A80" s="666"/>
      <c r="B80" s="368" t="s">
        <v>301</v>
      </c>
      <c r="C80" s="362">
        <v>23000</v>
      </c>
      <c r="D80" s="450">
        <v>57000</v>
      </c>
      <c r="E80" s="450">
        <v>8000</v>
      </c>
    </row>
    <row r="81" spans="1:5" x14ac:dyDescent="0.3">
      <c r="A81" s="666"/>
      <c r="B81" s="368" t="s">
        <v>301</v>
      </c>
      <c r="C81" s="362">
        <v>56000</v>
      </c>
      <c r="D81" s="450">
        <v>40000</v>
      </c>
      <c r="E81" s="450">
        <v>20000</v>
      </c>
    </row>
    <row r="82" spans="1:5" x14ac:dyDescent="0.3">
      <c r="A82" s="666"/>
      <c r="B82" s="368" t="s">
        <v>305</v>
      </c>
      <c r="C82" s="362">
        <v>4000</v>
      </c>
      <c r="D82" s="362">
        <v>32000</v>
      </c>
      <c r="E82" s="450">
        <v>42000</v>
      </c>
    </row>
    <row r="83" spans="1:5" x14ac:dyDescent="0.3">
      <c r="A83" s="666"/>
      <c r="B83" s="368" t="s">
        <v>302</v>
      </c>
      <c r="C83" s="362">
        <v>36535</v>
      </c>
      <c r="D83" s="450">
        <v>78000</v>
      </c>
      <c r="E83" s="362">
        <v>25000</v>
      </c>
    </row>
  </sheetData>
  <mergeCells count="10">
    <mergeCell ref="C68:E68"/>
    <mergeCell ref="J68:J75"/>
    <mergeCell ref="A70:A83"/>
    <mergeCell ref="A25:Q25"/>
    <mergeCell ref="A2:A19"/>
    <mergeCell ref="J4:J13"/>
    <mergeCell ref="E27:E37"/>
    <mergeCell ref="A42:A58"/>
    <mergeCell ref="J46:J52"/>
    <mergeCell ref="K55:K61"/>
  </mergeCells>
  <pageMargins left="0.7" right="0.7" top="0.75" bottom="0.75" header="0" footer="0"/>
  <pageSetup orientation="landscape"/>
  <ignoredErrors>
    <ignoredError sqref="H8:I13 I6 C29:C33 C36:C37 H50:I50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A147-A791-4E74-8E0B-699D92D812F4}">
  <dimension ref="B2:M19"/>
  <sheetViews>
    <sheetView zoomScaleNormal="100" workbookViewId="0">
      <selection activeCell="G18" sqref="G18"/>
    </sheetView>
  </sheetViews>
  <sheetFormatPr defaultRowHeight="14.4" x14ac:dyDescent="0.3"/>
  <cols>
    <col min="1" max="1" width="8.88671875" style="41"/>
    <col min="2" max="2" width="13.5546875" style="41" bestFit="1" customWidth="1"/>
    <col min="3" max="3" width="9.6640625" style="41" bestFit="1" customWidth="1"/>
    <col min="4" max="4" width="20.88671875" style="41" bestFit="1" customWidth="1"/>
    <col min="5" max="5" width="13.6640625" style="41" bestFit="1" customWidth="1"/>
    <col min="6" max="6" width="10.6640625" style="41" customWidth="1"/>
    <col min="7" max="7" width="38.77734375" style="476" customWidth="1"/>
    <col min="8" max="8" width="22.6640625" style="41" customWidth="1"/>
    <col min="9" max="9" width="19.5546875" style="41" customWidth="1"/>
    <col min="10" max="10" width="13.5546875" style="41" bestFit="1" customWidth="1"/>
    <col min="11" max="11" width="20.21875" style="41" customWidth="1"/>
    <col min="12" max="12" width="10.33203125" style="41" customWidth="1"/>
    <col min="13" max="16384" width="8.88671875" style="41"/>
  </cols>
  <sheetData>
    <row r="2" spans="2:13" ht="18" x14ac:dyDescent="0.3">
      <c r="B2" s="459" t="s">
        <v>174</v>
      </c>
      <c r="C2" s="459" t="s">
        <v>299</v>
      </c>
      <c r="D2" s="459" t="s">
        <v>65</v>
      </c>
      <c r="E2" s="459" t="s">
        <v>307</v>
      </c>
      <c r="F2" s="460"/>
      <c r="G2" s="452" t="s">
        <v>308</v>
      </c>
      <c r="H2" s="461" t="s">
        <v>300</v>
      </c>
      <c r="I2" s="461" t="s">
        <v>305</v>
      </c>
      <c r="J2" s="461" t="s">
        <v>309</v>
      </c>
      <c r="K2" s="461" t="s">
        <v>306</v>
      </c>
      <c r="L2" s="461" t="s">
        <v>301</v>
      </c>
      <c r="M2" s="462"/>
    </row>
    <row r="3" spans="2:13" ht="18" x14ac:dyDescent="0.3">
      <c r="B3" s="463">
        <v>36533</v>
      </c>
      <c r="C3" s="463" t="s">
        <v>73</v>
      </c>
      <c r="D3" s="464" t="s">
        <v>88</v>
      </c>
      <c r="E3" s="465">
        <v>2000</v>
      </c>
      <c r="F3" s="460"/>
      <c r="G3" s="466"/>
      <c r="H3" s="466"/>
      <c r="I3" s="466"/>
      <c r="J3" s="466"/>
      <c r="K3" s="466"/>
      <c r="L3" s="466"/>
      <c r="M3" s="462"/>
    </row>
    <row r="4" spans="2:13" ht="18" x14ac:dyDescent="0.3">
      <c r="B4" s="463">
        <v>36531</v>
      </c>
      <c r="C4" s="463" t="s">
        <v>73</v>
      </c>
      <c r="D4" s="467" t="s">
        <v>300</v>
      </c>
      <c r="E4" s="465">
        <v>4000</v>
      </c>
      <c r="F4" s="460"/>
      <c r="G4" s="452" t="s">
        <v>357</v>
      </c>
      <c r="H4" s="466">
        <f>MATCH(H2, $D$3:$D$16,0)</f>
        <v>2</v>
      </c>
      <c r="I4" s="466">
        <f t="shared" ref="I4:L4" si="0">MATCH(I2, $D$3:$D$16,0)</f>
        <v>7</v>
      </c>
      <c r="J4" s="466">
        <f t="shared" si="0"/>
        <v>10</v>
      </c>
      <c r="K4" s="466">
        <f t="shared" si="0"/>
        <v>8</v>
      </c>
      <c r="L4" s="466">
        <f t="shared" si="0"/>
        <v>3</v>
      </c>
      <c r="M4" s="462"/>
    </row>
    <row r="5" spans="2:13" ht="18" x14ac:dyDescent="0.3">
      <c r="B5" s="463">
        <v>36542</v>
      </c>
      <c r="C5" s="463" t="s">
        <v>78</v>
      </c>
      <c r="D5" s="467" t="s">
        <v>301</v>
      </c>
      <c r="E5" s="465">
        <v>6000</v>
      </c>
      <c r="F5" s="460"/>
      <c r="G5" s="468"/>
      <c r="H5" s="468"/>
      <c r="I5" s="468"/>
      <c r="J5" s="468"/>
      <c r="K5" s="468"/>
      <c r="L5" s="468"/>
      <c r="M5" s="462"/>
    </row>
    <row r="6" spans="2:13" ht="21" x14ac:dyDescent="0.3">
      <c r="B6" s="463">
        <v>36531</v>
      </c>
      <c r="C6" s="463" t="s">
        <v>73</v>
      </c>
      <c r="D6" s="469" t="s">
        <v>302</v>
      </c>
      <c r="E6" s="465">
        <v>10000</v>
      </c>
      <c r="F6" s="460"/>
      <c r="G6" s="468"/>
      <c r="H6" s="468"/>
      <c r="I6" s="468"/>
      <c r="J6" s="468"/>
      <c r="K6" s="468"/>
      <c r="L6" s="468"/>
      <c r="M6" s="462"/>
    </row>
    <row r="7" spans="2:13" ht="21" x14ac:dyDescent="0.3">
      <c r="B7" s="463">
        <v>36526</v>
      </c>
      <c r="C7" s="463" t="s">
        <v>81</v>
      </c>
      <c r="D7" s="467" t="s">
        <v>303</v>
      </c>
      <c r="E7" s="465">
        <v>14000</v>
      </c>
      <c r="F7" s="460"/>
      <c r="G7" s="470" t="s">
        <v>358</v>
      </c>
      <c r="H7" s="471">
        <v>2</v>
      </c>
      <c r="I7" s="471">
        <v>4</v>
      </c>
      <c r="J7" s="471">
        <v>1</v>
      </c>
      <c r="K7" s="471">
        <v>3</v>
      </c>
      <c r="L7" s="468"/>
      <c r="M7" s="462"/>
    </row>
    <row r="8" spans="2:13" ht="21" x14ac:dyDescent="0.3">
      <c r="B8" s="463">
        <v>36528</v>
      </c>
      <c r="C8" s="463" t="s">
        <v>81</v>
      </c>
      <c r="D8" s="464" t="s">
        <v>304</v>
      </c>
      <c r="E8" s="465">
        <v>16000</v>
      </c>
      <c r="F8" s="460"/>
      <c r="G8" s="470" t="s">
        <v>359</v>
      </c>
      <c r="H8" s="471">
        <v>3</v>
      </c>
      <c r="I8" s="471">
        <v>9</v>
      </c>
      <c r="J8" s="471">
        <v>6</v>
      </c>
      <c r="K8" s="471">
        <v>5</v>
      </c>
      <c r="L8" s="468"/>
      <c r="M8" s="462"/>
    </row>
    <row r="9" spans="2:13" ht="18" x14ac:dyDescent="0.3">
      <c r="B9" s="463">
        <v>36545</v>
      </c>
      <c r="C9" s="464" t="s">
        <v>81</v>
      </c>
      <c r="D9" s="467" t="s">
        <v>305</v>
      </c>
      <c r="E9" s="465">
        <v>20000</v>
      </c>
      <c r="F9" s="460"/>
      <c r="G9" s="466"/>
      <c r="H9" s="466"/>
      <c r="I9" s="466"/>
      <c r="J9" s="466"/>
      <c r="K9" s="466"/>
      <c r="L9" s="468"/>
      <c r="M9" s="462"/>
    </row>
    <row r="10" spans="2:13" ht="34.799999999999997" x14ac:dyDescent="0.3">
      <c r="B10" s="463">
        <v>36535</v>
      </c>
      <c r="C10" s="463" t="s">
        <v>81</v>
      </c>
      <c r="D10" s="467" t="s">
        <v>306</v>
      </c>
      <c r="E10" s="465">
        <v>25000</v>
      </c>
      <c r="F10" s="460"/>
      <c r="G10" s="452" t="s">
        <v>360</v>
      </c>
      <c r="H10" s="472" cm="1">
        <f t="array" ref="H10">INDEX($B$3:$B$16, H8)</f>
        <v>36542</v>
      </c>
      <c r="I10" s="472" cm="1">
        <f t="array" ref="I10">INDEX($B$3:$B$16, I8)</f>
        <v>36540</v>
      </c>
      <c r="J10" s="472" cm="1">
        <f t="array" ref="J10">INDEX($B$3:$B$16, J8)</f>
        <v>36528</v>
      </c>
      <c r="K10" s="472" cm="1">
        <f t="array" ref="K10">INDEX($B$3:$B$16, K8)</f>
        <v>36526</v>
      </c>
      <c r="L10" s="468"/>
      <c r="M10" s="462"/>
    </row>
    <row r="11" spans="2:13" ht="34.799999999999997" x14ac:dyDescent="0.3">
      <c r="B11" s="463">
        <v>36540</v>
      </c>
      <c r="C11" s="463" t="s">
        <v>71</v>
      </c>
      <c r="D11" s="464" t="s">
        <v>88</v>
      </c>
      <c r="E11" s="465">
        <v>28000</v>
      </c>
      <c r="F11" s="460"/>
      <c r="G11" s="452" t="s">
        <v>360</v>
      </c>
      <c r="H11" s="466" t="str" cm="1">
        <f t="array" ref="H11">INDEX($C$3:$C$16, H8)</f>
        <v>West</v>
      </c>
      <c r="I11" s="466" t="str" cm="1">
        <f t="array" ref="I11">INDEX($C$3:$C$16, I8)</f>
        <v>South</v>
      </c>
      <c r="J11" s="466" t="str" cm="1">
        <f t="array" ref="J11">INDEX($C$3:$C$16, J8)</f>
        <v>North</v>
      </c>
      <c r="K11" s="466" t="str" cm="1">
        <f t="array" ref="K11">INDEX($C$3:$C$16, K8)</f>
        <v>North</v>
      </c>
      <c r="L11" s="468"/>
      <c r="M11" s="462"/>
    </row>
    <row r="12" spans="2:13" ht="34.799999999999997" x14ac:dyDescent="0.3">
      <c r="B12" s="463">
        <v>36538</v>
      </c>
      <c r="C12" s="463" t="s">
        <v>71</v>
      </c>
      <c r="D12" s="467" t="s">
        <v>309</v>
      </c>
      <c r="E12" s="465">
        <v>30000</v>
      </c>
      <c r="F12" s="460"/>
      <c r="G12" s="452" t="s">
        <v>361</v>
      </c>
      <c r="H12" s="466" t="str" cm="1">
        <f t="array" ref="H12">INDEX($B$3:$E$16, H8, H7)</f>
        <v>West</v>
      </c>
      <c r="I12" s="473" cm="1">
        <f t="array" ref="I12">INDEX($B$3:$E$16, I8, I7)</f>
        <v>28000</v>
      </c>
      <c r="J12" s="472" cm="1">
        <f t="array" ref="J12">INDEX($B$3:$E$16, J8, J7)</f>
        <v>36528</v>
      </c>
      <c r="K12" s="466" t="str" cm="1">
        <f t="array" ref="K12">INDEX($B$3:$E$16, K8, K7)</f>
        <v>Beard trimmer</v>
      </c>
      <c r="L12" s="468"/>
      <c r="M12" s="462"/>
    </row>
    <row r="13" spans="2:13" ht="18" x14ac:dyDescent="0.3">
      <c r="B13" s="463">
        <v>36538</v>
      </c>
      <c r="C13" s="463" t="s">
        <v>71</v>
      </c>
      <c r="D13" s="464" t="s">
        <v>310</v>
      </c>
      <c r="E13" s="465">
        <v>20000</v>
      </c>
      <c r="F13" s="460"/>
      <c r="G13" s="460"/>
      <c r="H13" s="460"/>
      <c r="I13" s="460"/>
      <c r="J13" s="460"/>
      <c r="K13" s="460"/>
      <c r="L13" s="460"/>
      <c r="M13" s="462"/>
    </row>
    <row r="14" spans="2:13" ht="18" x14ac:dyDescent="0.3">
      <c r="B14" s="463">
        <v>36536</v>
      </c>
      <c r="C14" s="463" t="s">
        <v>78</v>
      </c>
      <c r="D14" s="464" t="s">
        <v>303</v>
      </c>
      <c r="E14" s="465">
        <v>36000</v>
      </c>
      <c r="F14" s="460"/>
      <c r="G14" s="460"/>
      <c r="H14" s="460"/>
      <c r="I14" s="460"/>
      <c r="J14" s="460"/>
      <c r="K14" s="460"/>
      <c r="L14" s="460"/>
      <c r="M14" s="462"/>
    </row>
    <row r="15" spans="2:13" ht="21" x14ac:dyDescent="0.3">
      <c r="B15" s="463">
        <v>36532</v>
      </c>
      <c r="C15" s="463" t="s">
        <v>78</v>
      </c>
      <c r="D15" s="464" t="s">
        <v>309</v>
      </c>
      <c r="E15" s="465">
        <v>38000</v>
      </c>
      <c r="F15" s="460"/>
      <c r="G15" s="474" t="str">
        <f>INDEX($C$3:$C$16, MATCH(H2, $D$3:$D$16, 0))</f>
        <v>East</v>
      </c>
      <c r="H15" s="676" t="s">
        <v>364</v>
      </c>
      <c r="I15" s="460"/>
      <c r="J15" s="460"/>
      <c r="K15" s="460"/>
      <c r="L15" s="460"/>
      <c r="M15" s="462"/>
    </row>
    <row r="16" spans="2:13" ht="21" x14ac:dyDescent="0.3">
      <c r="B16" s="463">
        <v>36547</v>
      </c>
      <c r="C16" s="464" t="s">
        <v>78</v>
      </c>
      <c r="D16" s="467" t="s">
        <v>301</v>
      </c>
      <c r="E16" s="465">
        <v>40000</v>
      </c>
      <c r="F16" s="460"/>
      <c r="G16" s="474" t="str">
        <f>INDEX($C$3:$C$16, MATCH(I2, $D$3:$D$16, 0))</f>
        <v>North</v>
      </c>
      <c r="H16" s="677"/>
      <c r="I16" s="460"/>
      <c r="J16" s="460"/>
      <c r="K16" s="460"/>
      <c r="L16" s="460"/>
      <c r="M16" s="462"/>
    </row>
    <row r="17" spans="2:12" ht="21" x14ac:dyDescent="0.3">
      <c r="B17" s="475"/>
      <c r="C17" s="475"/>
      <c r="D17" s="475"/>
      <c r="E17" s="475"/>
      <c r="F17" s="475"/>
      <c r="G17" s="474" t="str">
        <f>INDEX($C$3:$C$16, MATCH(J2, $D$3:$D$16, 0))</f>
        <v>South</v>
      </c>
      <c r="H17" s="677"/>
      <c r="I17" s="475"/>
      <c r="J17" s="475"/>
      <c r="K17" s="475"/>
      <c r="L17" s="475"/>
    </row>
    <row r="18" spans="2:12" ht="21" x14ac:dyDescent="0.3">
      <c r="B18" s="475"/>
      <c r="C18" s="475"/>
      <c r="D18" s="475"/>
      <c r="E18" s="475"/>
      <c r="F18" s="475"/>
      <c r="G18" s="474" t="str">
        <f>INDEX($C$3:$C$16, MATCH(K2, $D$3:$D$16, 0))</f>
        <v>North</v>
      </c>
      <c r="H18" s="678"/>
      <c r="I18" s="475"/>
      <c r="J18" s="475"/>
      <c r="K18" s="475"/>
      <c r="L18" s="475"/>
    </row>
    <row r="19" spans="2:12" x14ac:dyDescent="0.3">
      <c r="B19" s="475"/>
      <c r="C19" s="475"/>
      <c r="D19" s="475"/>
      <c r="E19" s="475"/>
      <c r="F19" s="475"/>
      <c r="G19" s="475"/>
      <c r="H19" s="475"/>
      <c r="I19" s="475"/>
      <c r="J19" s="475"/>
      <c r="K19" s="475"/>
      <c r="L19" s="475"/>
    </row>
  </sheetData>
  <mergeCells count="1">
    <mergeCell ref="H15:H18"/>
  </mergeCells>
  <dataValidations count="1">
    <dataValidation type="list" allowBlank="1" showErrorMessage="1" sqref="L2" xr:uid="{B3EC2B71-A483-488E-B72D-CFE890294D39}">
      <formula1>$D$3:$D$16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D37F-7484-4341-A027-21EADAB2D7D1}">
  <dimension ref="A1:AG25"/>
  <sheetViews>
    <sheetView zoomScale="90" zoomScaleNormal="90" workbookViewId="0">
      <selection activeCell="I10" sqref="I10"/>
    </sheetView>
  </sheetViews>
  <sheetFormatPr defaultRowHeight="14.4" x14ac:dyDescent="0.3"/>
  <cols>
    <col min="1" max="1" width="25.77734375" bestFit="1" customWidth="1"/>
    <col min="2" max="2" width="11.77734375" bestFit="1" customWidth="1"/>
    <col min="3" max="3" width="15.77734375" bestFit="1" customWidth="1"/>
    <col min="4" max="4" width="11.44140625" bestFit="1" customWidth="1"/>
    <col min="6" max="6" width="15.33203125" bestFit="1" customWidth="1"/>
    <col min="7" max="7" width="6.109375" bestFit="1" customWidth="1"/>
    <col min="8" max="8" width="19.5546875" customWidth="1"/>
    <col min="11" max="11" width="14.88671875" bestFit="1" customWidth="1"/>
    <col min="12" max="12" width="6.88671875" bestFit="1" customWidth="1"/>
    <col min="13" max="13" width="15.88671875" bestFit="1" customWidth="1"/>
    <col min="14" max="14" width="22.5546875" bestFit="1" customWidth="1"/>
    <col min="15" max="15" width="25.77734375" bestFit="1" customWidth="1"/>
    <col min="16" max="16" width="16.6640625" bestFit="1" customWidth="1"/>
    <col min="17" max="17" width="18.5546875" bestFit="1" customWidth="1"/>
    <col min="18" max="18" width="17.88671875" bestFit="1" customWidth="1"/>
    <col min="19" max="19" width="19.6640625" bestFit="1" customWidth="1"/>
    <col min="20" max="20" width="16.6640625" bestFit="1" customWidth="1"/>
    <col min="21" max="23" width="15.77734375" bestFit="1" customWidth="1"/>
    <col min="24" max="24" width="17.44140625" bestFit="1" customWidth="1"/>
    <col min="25" max="25" width="23.5546875" bestFit="1" customWidth="1"/>
    <col min="26" max="26" width="16.6640625" bestFit="1" customWidth="1"/>
    <col min="27" max="29" width="15.77734375" bestFit="1" customWidth="1"/>
    <col min="30" max="30" width="22.5546875" bestFit="1" customWidth="1"/>
    <col min="31" max="31" width="17.88671875" bestFit="1" customWidth="1"/>
    <col min="32" max="32" width="15.77734375" bestFit="1" customWidth="1"/>
    <col min="33" max="33" width="17.44140625" bestFit="1" customWidth="1"/>
  </cols>
  <sheetData>
    <row r="1" spans="1:33" ht="23.4" customHeight="1" x14ac:dyDescent="0.3">
      <c r="A1" s="479" t="s">
        <v>65</v>
      </c>
      <c r="B1" s="479" t="s">
        <v>66</v>
      </c>
      <c r="C1" s="479" t="s">
        <v>67</v>
      </c>
      <c r="D1" s="480" t="s">
        <v>68</v>
      </c>
    </row>
    <row r="2" spans="1:33" ht="16.8" x14ac:dyDescent="0.3">
      <c r="A2" s="481" t="s">
        <v>70</v>
      </c>
      <c r="B2" s="482">
        <v>5000</v>
      </c>
      <c r="C2" s="483">
        <v>45359</v>
      </c>
      <c r="D2" s="484" t="s">
        <v>71</v>
      </c>
      <c r="F2" s="479" t="s">
        <v>367</v>
      </c>
      <c r="G2" s="479"/>
      <c r="H2" s="479"/>
      <c r="I2" s="480"/>
      <c r="K2" s="491"/>
      <c r="M2" s="479" t="s">
        <v>65</v>
      </c>
      <c r="N2" s="481" t="s">
        <v>70</v>
      </c>
      <c r="O2" s="481" t="s">
        <v>72</v>
      </c>
      <c r="P2" s="481" t="s">
        <v>75</v>
      </c>
      <c r="Q2" s="481" t="s">
        <v>76</v>
      </c>
      <c r="R2" s="481" t="s">
        <v>77</v>
      </c>
      <c r="S2" s="481" t="s">
        <v>80</v>
      </c>
      <c r="T2" s="481" t="s">
        <v>75</v>
      </c>
      <c r="U2" s="481" t="s">
        <v>83</v>
      </c>
      <c r="V2" s="481" t="s">
        <v>84</v>
      </c>
      <c r="W2" s="481" t="s">
        <v>84</v>
      </c>
      <c r="X2" s="481" t="s">
        <v>86</v>
      </c>
      <c r="Y2" s="481" t="s">
        <v>88</v>
      </c>
      <c r="Z2" s="481" t="s">
        <v>89</v>
      </c>
      <c r="AA2" s="481" t="s">
        <v>83</v>
      </c>
      <c r="AB2" s="481" t="s">
        <v>91</v>
      </c>
      <c r="AC2" s="481" t="s">
        <v>93</v>
      </c>
      <c r="AD2" s="481" t="s">
        <v>70</v>
      </c>
      <c r="AE2" s="481" t="s">
        <v>77</v>
      </c>
      <c r="AF2" s="481" t="s">
        <v>84</v>
      </c>
      <c r="AG2" s="487" t="s">
        <v>86</v>
      </c>
    </row>
    <row r="3" spans="1:33" ht="16.8" x14ac:dyDescent="0.3">
      <c r="A3" s="481" t="s">
        <v>72</v>
      </c>
      <c r="B3" s="482">
        <v>6000</v>
      </c>
      <c r="C3" s="483">
        <v>45297</v>
      </c>
      <c r="D3" s="484" t="s">
        <v>73</v>
      </c>
      <c r="F3" s="481"/>
      <c r="G3" s="482"/>
      <c r="H3" s="483"/>
      <c r="I3" s="484"/>
      <c r="K3" s="491"/>
      <c r="M3" s="479" t="s">
        <v>66</v>
      </c>
      <c r="N3" s="482">
        <v>5000</v>
      </c>
      <c r="O3" s="482">
        <v>6000</v>
      </c>
      <c r="P3" s="482">
        <v>7000</v>
      </c>
      <c r="Q3" s="482">
        <v>8000</v>
      </c>
      <c r="R3" s="482">
        <v>9000</v>
      </c>
      <c r="S3" s="482">
        <v>10000</v>
      </c>
      <c r="T3" s="482">
        <v>10000</v>
      </c>
      <c r="U3" s="482">
        <v>15000</v>
      </c>
      <c r="V3" s="482">
        <v>18000</v>
      </c>
      <c r="W3" s="482">
        <v>25000</v>
      </c>
      <c r="X3" s="482">
        <v>25000</v>
      </c>
      <c r="Y3" s="482">
        <v>30000</v>
      </c>
      <c r="Z3" s="482">
        <v>30000</v>
      </c>
      <c r="AA3" s="482">
        <v>35000</v>
      </c>
      <c r="AB3" s="482">
        <v>36000</v>
      </c>
      <c r="AC3" s="482">
        <v>40000</v>
      </c>
      <c r="AD3" s="482">
        <v>45000</v>
      </c>
      <c r="AE3" s="482">
        <v>50000</v>
      </c>
      <c r="AF3" s="482">
        <v>70000</v>
      </c>
      <c r="AG3" s="488">
        <v>80000</v>
      </c>
    </row>
    <row r="4" spans="1:33" ht="16.8" x14ac:dyDescent="0.3">
      <c r="A4" s="481" t="s">
        <v>75</v>
      </c>
      <c r="B4" s="482">
        <v>7000</v>
      </c>
      <c r="C4" s="483">
        <v>45308</v>
      </c>
      <c r="D4" s="484" t="s">
        <v>73</v>
      </c>
      <c r="F4" s="481"/>
      <c r="G4" s="482"/>
      <c r="H4" s="483"/>
      <c r="I4" s="484"/>
      <c r="K4" s="491"/>
      <c r="M4" s="479" t="s">
        <v>67</v>
      </c>
      <c r="N4" s="483">
        <v>45359</v>
      </c>
      <c r="O4" s="483">
        <v>45297</v>
      </c>
      <c r="P4" s="483">
        <v>45308</v>
      </c>
      <c r="Q4" s="483">
        <v>45392</v>
      </c>
      <c r="R4" s="483">
        <v>45297</v>
      </c>
      <c r="S4" s="483">
        <v>45292</v>
      </c>
      <c r="T4" s="483">
        <v>45313</v>
      </c>
      <c r="U4" s="483">
        <v>45415</v>
      </c>
      <c r="V4" s="483">
        <v>45310</v>
      </c>
      <c r="W4" s="483">
        <v>45493</v>
      </c>
      <c r="X4" s="483">
        <v>45301</v>
      </c>
      <c r="Y4" s="483">
        <v>45519</v>
      </c>
      <c r="Z4" s="483">
        <v>45304</v>
      </c>
      <c r="AA4" s="483">
        <v>45548</v>
      </c>
      <c r="AB4" s="483">
        <v>45302</v>
      </c>
      <c r="AC4" s="483">
        <v>45455</v>
      </c>
      <c r="AD4" s="483">
        <v>45298</v>
      </c>
      <c r="AE4" s="483">
        <v>45313</v>
      </c>
      <c r="AF4" s="485">
        <v>45600</v>
      </c>
      <c r="AG4" s="489">
        <v>45296</v>
      </c>
    </row>
    <row r="5" spans="1:33" ht="16.8" x14ac:dyDescent="0.3">
      <c r="A5" s="481" t="s">
        <v>76</v>
      </c>
      <c r="B5" s="482">
        <v>8000</v>
      </c>
      <c r="C5" s="483">
        <v>45392</v>
      </c>
      <c r="D5" s="484" t="s">
        <v>73</v>
      </c>
      <c r="F5" s="481"/>
      <c r="G5" s="482"/>
      <c r="H5" s="483"/>
      <c r="I5" s="484"/>
      <c r="K5" s="491"/>
      <c r="M5" s="480" t="s">
        <v>68</v>
      </c>
      <c r="N5" s="484" t="s">
        <v>71</v>
      </c>
      <c r="O5" s="484" t="s">
        <v>73</v>
      </c>
      <c r="P5" s="484" t="s">
        <v>73</v>
      </c>
      <c r="Q5" s="484" t="s">
        <v>73</v>
      </c>
      <c r="R5" s="484" t="s">
        <v>78</v>
      </c>
      <c r="S5" s="484" t="s">
        <v>81</v>
      </c>
      <c r="T5" s="484" t="s">
        <v>71</v>
      </c>
      <c r="U5" s="484" t="s">
        <v>81</v>
      </c>
      <c r="V5" s="484" t="s">
        <v>81</v>
      </c>
      <c r="W5" s="484" t="s">
        <v>78</v>
      </c>
      <c r="X5" s="484" t="s">
        <v>81</v>
      </c>
      <c r="Y5" s="484" t="s">
        <v>71</v>
      </c>
      <c r="Z5" s="484" t="s">
        <v>71</v>
      </c>
      <c r="AA5" s="484" t="s">
        <v>71</v>
      </c>
      <c r="AB5" s="484" t="s">
        <v>78</v>
      </c>
      <c r="AC5" s="484" t="s">
        <v>78</v>
      </c>
      <c r="AD5" s="484" t="s">
        <v>73</v>
      </c>
      <c r="AE5" s="484" t="s">
        <v>81</v>
      </c>
      <c r="AF5" s="486" t="s">
        <v>78</v>
      </c>
      <c r="AG5" s="490" t="s">
        <v>78</v>
      </c>
    </row>
    <row r="6" spans="1:33" ht="16.8" x14ac:dyDescent="0.3">
      <c r="A6" s="481" t="s">
        <v>77</v>
      </c>
      <c r="B6" s="482">
        <v>9000</v>
      </c>
      <c r="C6" s="483">
        <v>45297</v>
      </c>
      <c r="D6" s="484" t="s">
        <v>78</v>
      </c>
      <c r="F6" s="481"/>
      <c r="G6" s="482"/>
      <c r="H6" s="483" t="s">
        <v>368</v>
      </c>
      <c r="I6" s="484"/>
      <c r="K6" s="491"/>
    </row>
    <row r="7" spans="1:33" ht="16.8" x14ac:dyDescent="0.3">
      <c r="A7" s="481" t="s">
        <v>80</v>
      </c>
      <c r="B7" s="482">
        <v>10000</v>
      </c>
      <c r="C7" s="483">
        <v>45292</v>
      </c>
      <c r="D7" s="484" t="s">
        <v>81</v>
      </c>
      <c r="F7" s="481"/>
      <c r="G7" s="482"/>
      <c r="H7" s="483"/>
      <c r="I7" s="484"/>
      <c r="K7" s="491"/>
    </row>
    <row r="8" spans="1:33" ht="16.8" x14ac:dyDescent="0.3">
      <c r="A8" s="481" t="s">
        <v>75</v>
      </c>
      <c r="B8" s="482">
        <v>10000</v>
      </c>
      <c r="C8" s="483">
        <v>45313</v>
      </c>
      <c r="D8" s="484" t="s">
        <v>71</v>
      </c>
      <c r="F8" s="481"/>
      <c r="G8" s="482"/>
      <c r="H8" s="483"/>
      <c r="I8" s="484"/>
      <c r="K8" s="491"/>
    </row>
    <row r="9" spans="1:33" ht="22.2" x14ac:dyDescent="0.4">
      <c r="A9" s="481" t="s">
        <v>83</v>
      </c>
      <c r="B9" s="482">
        <v>15000</v>
      </c>
      <c r="C9" s="483">
        <v>45415</v>
      </c>
      <c r="D9" s="484" t="s">
        <v>81</v>
      </c>
      <c r="F9" s="481"/>
      <c r="G9" s="482"/>
      <c r="H9" s="483"/>
      <c r="I9" s="484"/>
      <c r="K9" s="679" t="s">
        <v>372</v>
      </c>
      <c r="L9" s="494">
        <v>100</v>
      </c>
      <c r="M9" s="492">
        <v>5100</v>
      </c>
    </row>
    <row r="10" spans="1:33" ht="22.2" x14ac:dyDescent="0.4">
      <c r="A10" s="481" t="s">
        <v>84</v>
      </c>
      <c r="B10" s="482">
        <v>18000</v>
      </c>
      <c r="C10" s="483">
        <v>45310</v>
      </c>
      <c r="D10" s="484" t="s">
        <v>81</v>
      </c>
      <c r="F10" s="481">
        <v>3432</v>
      </c>
      <c r="G10" s="482"/>
      <c r="H10" s="483"/>
      <c r="I10" s="484"/>
      <c r="K10" s="680"/>
      <c r="L10" s="494">
        <v>200</v>
      </c>
      <c r="M10" s="492">
        <v>6200</v>
      </c>
    </row>
    <row r="11" spans="1:33" ht="22.2" x14ac:dyDescent="0.4">
      <c r="A11" s="481" t="s">
        <v>84</v>
      </c>
      <c r="B11" s="482">
        <v>25000</v>
      </c>
      <c r="C11" s="483">
        <v>45493</v>
      </c>
      <c r="D11" s="484" t="s">
        <v>78</v>
      </c>
      <c r="F11" s="481"/>
      <c r="G11" s="482"/>
      <c r="H11" s="483"/>
      <c r="I11" s="484"/>
      <c r="K11" s="680"/>
      <c r="L11" s="494">
        <v>300</v>
      </c>
      <c r="M11" s="492">
        <v>7300</v>
      </c>
    </row>
    <row r="12" spans="1:33" ht="22.2" x14ac:dyDescent="0.4">
      <c r="A12" s="481" t="s">
        <v>86</v>
      </c>
      <c r="B12" s="482">
        <v>25000</v>
      </c>
      <c r="C12" s="483">
        <v>45301</v>
      </c>
      <c r="D12" s="484" t="s">
        <v>81</v>
      </c>
      <c r="F12" s="481"/>
      <c r="G12" s="482"/>
      <c r="H12" s="483"/>
      <c r="I12" s="484"/>
      <c r="K12" s="680"/>
      <c r="L12" s="494">
        <v>400</v>
      </c>
      <c r="M12" s="492">
        <v>8400</v>
      </c>
    </row>
    <row r="13" spans="1:33" ht="22.2" x14ac:dyDescent="0.4">
      <c r="A13" s="481" t="s">
        <v>88</v>
      </c>
      <c r="B13" s="482">
        <v>30000</v>
      </c>
      <c r="C13" s="483">
        <v>45519</v>
      </c>
      <c r="D13" s="484" t="s">
        <v>71</v>
      </c>
      <c r="F13" s="481"/>
      <c r="G13" s="482"/>
      <c r="H13" s="483" t="s">
        <v>369</v>
      </c>
      <c r="I13" s="484"/>
      <c r="K13" s="680"/>
      <c r="L13" s="494">
        <v>500</v>
      </c>
      <c r="M13" s="492">
        <v>9500</v>
      </c>
    </row>
    <row r="14" spans="1:33" ht="22.2" x14ac:dyDescent="0.4">
      <c r="A14" s="481" t="s">
        <v>89</v>
      </c>
      <c r="B14" s="482">
        <v>30000</v>
      </c>
      <c r="C14" s="483">
        <v>45304</v>
      </c>
      <c r="D14" s="484" t="s">
        <v>71</v>
      </c>
      <c r="F14" s="481"/>
      <c r="G14" s="482"/>
      <c r="H14" s="483">
        <v>6875432</v>
      </c>
      <c r="I14" s="484"/>
      <c r="K14" s="680"/>
      <c r="L14" s="494">
        <v>600</v>
      </c>
      <c r="M14" s="492">
        <v>10600</v>
      </c>
    </row>
    <row r="15" spans="1:33" ht="22.2" x14ac:dyDescent="0.4">
      <c r="A15" s="481" t="s">
        <v>83</v>
      </c>
      <c r="B15" s="482">
        <v>35000</v>
      </c>
      <c r="C15" s="483">
        <v>45548</v>
      </c>
      <c r="D15" s="484" t="s">
        <v>71</v>
      </c>
      <c r="F15" s="481"/>
      <c r="G15" s="482"/>
      <c r="H15" s="483"/>
      <c r="I15" s="484"/>
      <c r="K15" s="681"/>
      <c r="L15" s="494">
        <v>700</v>
      </c>
      <c r="M15" s="492">
        <v>10700</v>
      </c>
    </row>
    <row r="16" spans="1:33" ht="22.2" x14ac:dyDescent="0.4">
      <c r="A16" s="481" t="s">
        <v>91</v>
      </c>
      <c r="B16" s="482">
        <v>36000</v>
      </c>
      <c r="C16" s="483">
        <v>45302</v>
      </c>
      <c r="D16" s="484" t="s">
        <v>78</v>
      </c>
      <c r="F16" s="481"/>
      <c r="G16" s="482"/>
      <c r="H16" s="483"/>
      <c r="I16" s="484"/>
      <c r="K16" s="493"/>
      <c r="L16" s="494"/>
      <c r="M16" s="492">
        <v>15000</v>
      </c>
    </row>
    <row r="17" spans="1:13" ht="22.2" x14ac:dyDescent="0.4">
      <c r="A17" s="481" t="s">
        <v>93</v>
      </c>
      <c r="B17" s="482">
        <v>40000</v>
      </c>
      <c r="C17" s="483">
        <v>45455</v>
      </c>
      <c r="D17" s="484" t="s">
        <v>78</v>
      </c>
      <c r="F17" s="481"/>
      <c r="G17" s="482" t="s">
        <v>370</v>
      </c>
      <c r="H17" s="483"/>
      <c r="I17" s="484"/>
      <c r="K17" s="679" t="s">
        <v>373</v>
      </c>
      <c r="L17" s="494">
        <v>100</v>
      </c>
      <c r="M17" s="492">
        <v>-4900</v>
      </c>
    </row>
    <row r="18" spans="1:13" ht="22.2" x14ac:dyDescent="0.4">
      <c r="A18" s="481" t="s">
        <v>70</v>
      </c>
      <c r="B18" s="482">
        <v>45000</v>
      </c>
      <c r="C18" s="483">
        <v>45298</v>
      </c>
      <c r="D18" s="484" t="s">
        <v>73</v>
      </c>
      <c r="F18" s="481"/>
      <c r="G18" s="482" t="s">
        <v>371</v>
      </c>
      <c r="H18" s="483"/>
      <c r="I18" s="484"/>
      <c r="K18" s="680"/>
      <c r="L18" s="494">
        <v>200</v>
      </c>
      <c r="M18" s="492">
        <v>-5800</v>
      </c>
    </row>
    <row r="19" spans="1:13" ht="22.2" x14ac:dyDescent="0.4">
      <c r="A19" s="481" t="s">
        <v>77</v>
      </c>
      <c r="B19" s="482">
        <v>50000</v>
      </c>
      <c r="C19" s="483">
        <v>45313</v>
      </c>
      <c r="D19" s="484" t="s">
        <v>81</v>
      </c>
      <c r="F19" s="481"/>
      <c r="G19" s="482"/>
      <c r="H19" s="483"/>
      <c r="I19" s="484"/>
      <c r="K19" s="680"/>
      <c r="L19" s="494">
        <v>300</v>
      </c>
      <c r="M19" s="492">
        <v>-6700</v>
      </c>
    </row>
    <row r="20" spans="1:13" ht="22.2" x14ac:dyDescent="0.4">
      <c r="A20" s="481" t="s">
        <v>84</v>
      </c>
      <c r="B20" s="482">
        <v>70000</v>
      </c>
      <c r="C20" s="485">
        <v>45600</v>
      </c>
      <c r="D20" s="486" t="s">
        <v>78</v>
      </c>
      <c r="F20" s="481"/>
      <c r="G20" s="482"/>
      <c r="H20" s="483"/>
      <c r="I20" s="484"/>
      <c r="K20" s="680"/>
      <c r="L20" s="494">
        <v>400</v>
      </c>
      <c r="M20" s="492">
        <v>-7600</v>
      </c>
    </row>
    <row r="21" spans="1:13" ht="22.2" x14ac:dyDescent="0.4">
      <c r="A21" s="487" t="s">
        <v>86</v>
      </c>
      <c r="B21" s="488">
        <v>80000</v>
      </c>
      <c r="C21" s="489">
        <v>45296</v>
      </c>
      <c r="D21" s="490" t="s">
        <v>78</v>
      </c>
      <c r="F21" s="481"/>
      <c r="G21" s="482"/>
      <c r="H21" s="485"/>
      <c r="I21" s="486"/>
      <c r="K21" s="680"/>
      <c r="L21" s="494">
        <v>500</v>
      </c>
      <c r="M21" s="492">
        <v>-8500</v>
      </c>
    </row>
    <row r="22" spans="1:13" ht="22.2" x14ac:dyDescent="0.4">
      <c r="F22" s="487"/>
      <c r="G22" s="488"/>
      <c r="H22" s="489"/>
      <c r="I22" s="490"/>
      <c r="K22" s="681"/>
      <c r="L22" s="494">
        <v>600</v>
      </c>
      <c r="M22" s="492">
        <v>-9400</v>
      </c>
    </row>
    <row r="23" spans="1:13" ht="22.2" x14ac:dyDescent="0.4">
      <c r="L23" s="494">
        <v>700</v>
      </c>
      <c r="M23" s="492">
        <v>-9300</v>
      </c>
    </row>
    <row r="24" spans="1:13" ht="22.2" x14ac:dyDescent="0.4">
      <c r="L24" s="494"/>
      <c r="M24" s="492">
        <v>-15000</v>
      </c>
    </row>
    <row r="25" spans="1:13" ht="22.2" x14ac:dyDescent="0.4">
      <c r="L25" s="494"/>
      <c r="M25" s="492">
        <v>-18000</v>
      </c>
    </row>
  </sheetData>
  <mergeCells count="2">
    <mergeCell ref="K9:K15"/>
    <mergeCell ref="K17:K22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9C5D-E59D-47FA-B89D-43FA8DBEC1AD}">
  <dimension ref="A1:P23"/>
  <sheetViews>
    <sheetView topLeftCell="B1" zoomScale="110" zoomScaleNormal="110" workbookViewId="0">
      <selection activeCell="F17" sqref="F17"/>
    </sheetView>
  </sheetViews>
  <sheetFormatPr defaultRowHeight="14.4" x14ac:dyDescent="0.3"/>
  <cols>
    <col min="2" max="2" width="26.6640625" bestFit="1" customWidth="1"/>
    <col min="3" max="3" width="11.88671875" bestFit="1" customWidth="1"/>
    <col min="4" max="4" width="16.44140625" customWidth="1"/>
    <col min="5" max="5" width="11.6640625" bestFit="1" customWidth="1"/>
    <col min="7" max="8" width="10.44140625" customWidth="1"/>
    <col min="9" max="9" width="13.44140625" customWidth="1"/>
    <col min="10" max="10" width="9.88671875" customWidth="1"/>
    <col min="11" max="11" width="42.44140625" bestFit="1" customWidth="1"/>
    <col min="12" max="12" width="11.109375" customWidth="1"/>
    <col min="13" max="13" width="9.77734375" customWidth="1"/>
    <col min="14" max="14" width="11.21875" customWidth="1"/>
  </cols>
  <sheetData>
    <row r="1" spans="1:16" ht="18.600000000000001" thickBot="1" x14ac:dyDescent="0.4">
      <c r="A1" s="453"/>
      <c r="B1" s="453"/>
      <c r="C1" s="453"/>
      <c r="D1" s="453"/>
      <c r="E1" s="453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</row>
    <row r="2" spans="1:16" ht="19.2" thickTop="1" thickBot="1" x14ac:dyDescent="0.4">
      <c r="A2" s="453"/>
      <c r="B2" s="479" t="s">
        <v>65</v>
      </c>
      <c r="C2" s="479" t="s">
        <v>66</v>
      </c>
      <c r="D2" s="479" t="s">
        <v>67</v>
      </c>
      <c r="E2" s="480" t="s">
        <v>68</v>
      </c>
      <c r="F2" s="454"/>
      <c r="G2" s="478"/>
      <c r="H2" s="478"/>
      <c r="I2" s="477" t="s">
        <v>81</v>
      </c>
      <c r="J2" s="455"/>
      <c r="K2" s="682" t="s">
        <v>362</v>
      </c>
      <c r="L2" s="456"/>
      <c r="M2" s="456"/>
      <c r="N2" s="456"/>
      <c r="O2" s="454"/>
      <c r="P2" s="454"/>
    </row>
    <row r="3" spans="1:16" ht="19.2" thickTop="1" thickBot="1" x14ac:dyDescent="0.4">
      <c r="A3" s="453"/>
      <c r="B3" s="481" t="s">
        <v>70</v>
      </c>
      <c r="C3" s="482">
        <v>5000</v>
      </c>
      <c r="D3" s="483">
        <v>45359</v>
      </c>
      <c r="E3" s="484" t="s">
        <v>71</v>
      </c>
      <c r="F3" s="454"/>
      <c r="G3" s="478">
        <v>51</v>
      </c>
      <c r="H3" s="478"/>
      <c r="I3" s="477"/>
      <c r="J3" s="455"/>
      <c r="K3" s="682"/>
      <c r="L3" s="456"/>
      <c r="M3" s="456"/>
      <c r="N3" s="456"/>
      <c r="O3" s="454"/>
      <c r="P3" s="454"/>
    </row>
    <row r="4" spans="1:16" ht="19.2" thickTop="1" thickBot="1" x14ac:dyDescent="0.4">
      <c r="A4" s="453"/>
      <c r="B4" s="481" t="s">
        <v>72</v>
      </c>
      <c r="C4" s="482">
        <v>6000</v>
      </c>
      <c r="D4" s="483">
        <v>45297</v>
      </c>
      <c r="E4" s="484" t="s">
        <v>73</v>
      </c>
      <c r="F4" s="454"/>
      <c r="G4" s="478"/>
      <c r="H4" s="478"/>
      <c r="I4" s="477" t="s">
        <v>366</v>
      </c>
      <c r="J4" s="455" t="s">
        <v>73</v>
      </c>
      <c r="K4" s="682"/>
      <c r="L4" s="456"/>
      <c r="M4" s="456"/>
      <c r="N4" s="456"/>
      <c r="O4" s="454"/>
      <c r="P4" s="454"/>
    </row>
    <row r="5" spans="1:16" ht="19.2" thickTop="1" thickBot="1" x14ac:dyDescent="0.4">
      <c r="A5" s="453"/>
      <c r="B5" s="481" t="s">
        <v>75</v>
      </c>
      <c r="C5" s="482">
        <v>7000</v>
      </c>
      <c r="D5" s="483">
        <v>45308</v>
      </c>
      <c r="E5" s="484" t="s">
        <v>73</v>
      </c>
      <c r="F5" s="454"/>
      <c r="G5" s="478"/>
      <c r="H5" s="478"/>
      <c r="I5" s="477"/>
      <c r="J5" s="455"/>
      <c r="K5" s="682"/>
      <c r="L5" s="456"/>
      <c r="M5" s="456"/>
      <c r="N5" s="456"/>
      <c r="O5" s="454"/>
      <c r="P5" s="454"/>
    </row>
    <row r="6" spans="1:16" ht="19.2" thickTop="1" thickBot="1" x14ac:dyDescent="0.4">
      <c r="A6" s="453"/>
      <c r="B6" s="481" t="s">
        <v>76</v>
      </c>
      <c r="C6" s="482">
        <v>8000</v>
      </c>
      <c r="D6" s="483">
        <v>45392</v>
      </c>
      <c r="E6" s="484" t="s">
        <v>73</v>
      </c>
      <c r="F6" s="454"/>
      <c r="G6" s="478"/>
      <c r="H6" s="478"/>
      <c r="I6" s="477" t="s">
        <v>365</v>
      </c>
      <c r="J6" s="455"/>
      <c r="K6" s="682"/>
      <c r="L6" s="456"/>
      <c r="M6" s="456"/>
      <c r="N6" s="456"/>
      <c r="O6" s="454"/>
      <c r="P6" s="454"/>
    </row>
    <row r="7" spans="1:16" ht="18.600000000000001" thickTop="1" x14ac:dyDescent="0.35">
      <c r="A7" s="453"/>
      <c r="B7" s="481" t="s">
        <v>77</v>
      </c>
      <c r="C7" s="482">
        <v>9000</v>
      </c>
      <c r="D7" s="483">
        <v>45297</v>
      </c>
      <c r="E7" s="484" t="s">
        <v>78</v>
      </c>
      <c r="F7" s="454"/>
      <c r="G7" s="454"/>
      <c r="H7" s="454"/>
      <c r="I7" s="454"/>
      <c r="J7" s="454"/>
      <c r="K7" s="454"/>
      <c r="L7" s="454"/>
      <c r="M7" s="454"/>
      <c r="N7" s="454"/>
      <c r="O7" s="454"/>
      <c r="P7" s="454"/>
    </row>
    <row r="8" spans="1:16" ht="18" x14ac:dyDescent="0.35">
      <c r="A8" s="453"/>
      <c r="B8" s="481" t="s">
        <v>80</v>
      </c>
      <c r="C8" s="482">
        <v>10000</v>
      </c>
      <c r="D8" s="483">
        <v>45292</v>
      </c>
      <c r="E8" s="484" t="s">
        <v>81</v>
      </c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4"/>
    </row>
    <row r="9" spans="1:16" ht="18.600000000000001" thickBot="1" x14ac:dyDescent="0.4">
      <c r="A9" s="453"/>
      <c r="B9" s="481" t="s">
        <v>75</v>
      </c>
      <c r="C9" s="482">
        <v>10000</v>
      </c>
      <c r="D9" s="483">
        <v>45313</v>
      </c>
      <c r="E9" s="484" t="s">
        <v>71</v>
      </c>
      <c r="F9" s="454"/>
      <c r="G9" s="454"/>
      <c r="H9" s="454"/>
      <c r="I9" s="454"/>
      <c r="J9" s="454"/>
      <c r="K9" s="454"/>
      <c r="L9" s="454"/>
      <c r="M9" s="454"/>
      <c r="N9" s="454"/>
      <c r="O9" s="454"/>
      <c r="P9" s="454"/>
    </row>
    <row r="10" spans="1:16" ht="19.2" thickTop="1" thickBot="1" x14ac:dyDescent="0.4">
      <c r="A10" s="453"/>
      <c r="B10" s="481" t="s">
        <v>83</v>
      </c>
      <c r="C10" s="482">
        <v>15000</v>
      </c>
      <c r="D10" s="483">
        <v>45415</v>
      </c>
      <c r="E10" s="484" t="s">
        <v>81</v>
      </c>
      <c r="F10" s="454"/>
      <c r="G10" s="455"/>
      <c r="H10" s="455"/>
      <c r="I10" s="455"/>
      <c r="J10" s="455"/>
      <c r="K10" s="683" t="s">
        <v>363</v>
      </c>
      <c r="L10" s="457"/>
      <c r="M10" s="458"/>
      <c r="N10" s="454"/>
      <c r="O10" s="454"/>
      <c r="P10" s="454"/>
    </row>
    <row r="11" spans="1:16" ht="19.2" thickTop="1" thickBot="1" x14ac:dyDescent="0.4">
      <c r="A11" s="453"/>
      <c r="B11" s="481" t="s">
        <v>84</v>
      </c>
      <c r="C11" s="482">
        <v>18000</v>
      </c>
      <c r="D11" s="483">
        <v>45310</v>
      </c>
      <c r="E11" s="484" t="s">
        <v>81</v>
      </c>
      <c r="F11" s="454"/>
      <c r="G11" s="455"/>
      <c r="H11" s="455"/>
      <c r="I11" s="455"/>
      <c r="J11" s="455"/>
      <c r="K11" s="683"/>
      <c r="L11" s="457"/>
      <c r="M11" s="458"/>
      <c r="N11" s="454"/>
      <c r="O11" s="454"/>
      <c r="P11" s="454"/>
    </row>
    <row r="12" spans="1:16" ht="19.2" thickTop="1" thickBot="1" x14ac:dyDescent="0.4">
      <c r="A12" s="453"/>
      <c r="B12" s="481" t="s">
        <v>84</v>
      </c>
      <c r="C12" s="482">
        <v>25000</v>
      </c>
      <c r="D12" s="483">
        <v>45493</v>
      </c>
      <c r="E12" s="484" t="s">
        <v>78</v>
      </c>
      <c r="F12" s="454"/>
      <c r="G12" s="455"/>
      <c r="H12" s="455"/>
      <c r="I12" s="455"/>
      <c r="J12" s="455"/>
      <c r="K12" s="683"/>
      <c r="L12" s="457"/>
      <c r="M12" s="458"/>
      <c r="N12" s="454"/>
      <c r="O12" s="454"/>
      <c r="P12" s="454"/>
    </row>
    <row r="13" spans="1:16" ht="19.2" thickTop="1" thickBot="1" x14ac:dyDescent="0.4">
      <c r="A13" s="453"/>
      <c r="B13" s="481" t="s">
        <v>86</v>
      </c>
      <c r="C13" s="482">
        <v>25000</v>
      </c>
      <c r="D13" s="483">
        <v>45301</v>
      </c>
      <c r="E13" s="484" t="s">
        <v>81</v>
      </c>
      <c r="F13" s="454"/>
      <c r="G13" s="455"/>
      <c r="H13" s="455"/>
      <c r="I13" s="455"/>
      <c r="J13" s="455"/>
      <c r="K13" s="683"/>
      <c r="L13" s="454"/>
      <c r="M13" s="454"/>
      <c r="N13" s="454"/>
      <c r="O13" s="454"/>
      <c r="P13" s="454"/>
    </row>
    <row r="14" spans="1:16" ht="19.2" thickTop="1" thickBot="1" x14ac:dyDescent="0.4">
      <c r="A14" s="453"/>
      <c r="B14" s="481" t="s">
        <v>88</v>
      </c>
      <c r="C14" s="482">
        <v>30000</v>
      </c>
      <c r="D14" s="483">
        <v>45519</v>
      </c>
      <c r="E14" s="484" t="s">
        <v>71</v>
      </c>
      <c r="F14" s="454"/>
      <c r="G14" s="455"/>
      <c r="H14" s="455"/>
      <c r="I14" s="455"/>
      <c r="J14" s="455"/>
      <c r="K14" s="683"/>
      <c r="L14" s="454"/>
      <c r="M14" s="454"/>
      <c r="N14" s="454"/>
      <c r="O14" s="454"/>
      <c r="P14" s="454"/>
    </row>
    <row r="15" spans="1:16" ht="18.600000000000001" thickTop="1" x14ac:dyDescent="0.35">
      <c r="A15" s="453"/>
      <c r="B15" s="481" t="s">
        <v>89</v>
      </c>
      <c r="C15" s="482">
        <v>30000</v>
      </c>
      <c r="D15" s="483">
        <v>45304</v>
      </c>
      <c r="E15" s="484" t="s">
        <v>71</v>
      </c>
      <c r="F15" s="454"/>
      <c r="G15" s="454"/>
      <c r="H15" s="454"/>
      <c r="I15" s="454"/>
      <c r="J15" s="454"/>
      <c r="K15" s="454"/>
      <c r="L15" s="454"/>
      <c r="M15" s="454"/>
      <c r="N15" s="454"/>
      <c r="O15" s="454"/>
      <c r="P15" s="454"/>
    </row>
    <row r="16" spans="1:16" ht="18" x14ac:dyDescent="0.35">
      <c r="A16" s="453"/>
      <c r="B16" s="481" t="s">
        <v>83</v>
      </c>
      <c r="C16" s="482">
        <v>35000</v>
      </c>
      <c r="D16" s="483">
        <v>45548</v>
      </c>
      <c r="E16" s="484" t="s">
        <v>71</v>
      </c>
      <c r="F16" s="454"/>
      <c r="G16" s="454"/>
      <c r="H16" s="454"/>
      <c r="I16" s="454"/>
      <c r="J16" s="454"/>
      <c r="K16" s="454"/>
      <c r="L16" s="454"/>
      <c r="M16" s="454"/>
      <c r="N16" s="454"/>
      <c r="O16" s="454"/>
      <c r="P16" s="454"/>
    </row>
    <row r="17" spans="1:16" ht="18" x14ac:dyDescent="0.35">
      <c r="A17" s="453"/>
      <c r="B17" s="481" t="s">
        <v>91</v>
      </c>
      <c r="C17" s="482">
        <v>36000</v>
      </c>
      <c r="D17" s="483">
        <v>45302</v>
      </c>
      <c r="E17" s="484" t="s">
        <v>78</v>
      </c>
      <c r="F17" s="454"/>
      <c r="G17" s="454"/>
      <c r="H17" s="454"/>
      <c r="I17" s="454"/>
      <c r="J17" s="454"/>
      <c r="K17" s="454"/>
      <c r="L17" s="454"/>
      <c r="M17" s="454"/>
      <c r="N17" s="454"/>
      <c r="O17" s="454"/>
      <c r="P17" s="454"/>
    </row>
    <row r="18" spans="1:16" ht="18" x14ac:dyDescent="0.35">
      <c r="A18" s="453"/>
      <c r="B18" s="481" t="s">
        <v>93</v>
      </c>
      <c r="C18" s="482">
        <v>40000</v>
      </c>
      <c r="D18" s="483">
        <v>45455</v>
      </c>
      <c r="E18" s="484" t="s">
        <v>78</v>
      </c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</row>
    <row r="19" spans="1:16" ht="18" x14ac:dyDescent="0.35">
      <c r="A19" s="453"/>
      <c r="B19" s="481" t="s">
        <v>70</v>
      </c>
      <c r="C19" s="482">
        <v>45000</v>
      </c>
      <c r="D19" s="483">
        <v>45298</v>
      </c>
      <c r="E19" s="484" t="s">
        <v>73</v>
      </c>
      <c r="F19" s="454"/>
      <c r="G19" s="454"/>
      <c r="H19" s="454"/>
      <c r="I19" s="454"/>
      <c r="J19" s="454"/>
      <c r="K19" s="454"/>
      <c r="L19" s="454"/>
      <c r="M19" s="454"/>
      <c r="N19" s="454"/>
      <c r="O19" s="454"/>
      <c r="P19" s="454"/>
    </row>
    <row r="20" spans="1:16" ht="18" x14ac:dyDescent="0.35">
      <c r="A20" s="453"/>
      <c r="B20" s="481" t="s">
        <v>77</v>
      </c>
      <c r="C20" s="482">
        <v>50000</v>
      </c>
      <c r="D20" s="483">
        <v>45313</v>
      </c>
      <c r="E20" s="484" t="s">
        <v>81</v>
      </c>
      <c r="F20" s="454"/>
      <c r="G20" s="454"/>
      <c r="H20" s="454"/>
      <c r="I20" s="454"/>
      <c r="J20" s="454"/>
      <c r="K20" s="454"/>
      <c r="L20" s="454"/>
      <c r="M20" s="454"/>
      <c r="N20" s="454"/>
      <c r="O20" s="454"/>
      <c r="P20" s="454"/>
    </row>
    <row r="21" spans="1:16" ht="18" x14ac:dyDescent="0.35">
      <c r="A21" s="453"/>
      <c r="B21" s="481" t="s">
        <v>84</v>
      </c>
      <c r="C21" s="482">
        <v>70000</v>
      </c>
      <c r="D21" s="485">
        <v>45600</v>
      </c>
      <c r="E21" s="486" t="s">
        <v>78</v>
      </c>
      <c r="F21" s="454"/>
      <c r="G21" s="454"/>
      <c r="H21" s="454"/>
      <c r="I21" s="454"/>
      <c r="J21" s="454"/>
      <c r="K21" s="454"/>
      <c r="L21" s="454"/>
      <c r="M21" s="454"/>
      <c r="N21" s="454"/>
      <c r="O21" s="454"/>
      <c r="P21" s="454"/>
    </row>
    <row r="22" spans="1:16" ht="18" x14ac:dyDescent="0.35">
      <c r="A22" s="453"/>
      <c r="B22" s="487" t="s">
        <v>86</v>
      </c>
      <c r="C22" s="488">
        <v>80000</v>
      </c>
      <c r="D22" s="489">
        <v>45296</v>
      </c>
      <c r="E22" s="490" t="s">
        <v>78</v>
      </c>
      <c r="F22" s="454"/>
      <c r="G22" s="454"/>
      <c r="H22" s="454"/>
      <c r="I22" s="454"/>
      <c r="J22" s="454"/>
      <c r="K22" s="454"/>
      <c r="L22" s="454"/>
      <c r="M22" s="454"/>
      <c r="N22" s="454"/>
      <c r="O22" s="454"/>
      <c r="P22" s="454"/>
    </row>
    <row r="23" spans="1:16" ht="18" x14ac:dyDescent="0.35">
      <c r="A23" s="453"/>
      <c r="B23" s="453"/>
      <c r="C23" s="453"/>
      <c r="D23" s="453"/>
      <c r="E23" s="453"/>
      <c r="F23" s="454"/>
      <c r="G23" s="454"/>
      <c r="H23" s="454"/>
      <c r="I23" s="454"/>
      <c r="J23" s="454"/>
      <c r="K23" s="454"/>
      <c r="L23" s="454"/>
      <c r="M23" s="454"/>
      <c r="N23" s="454"/>
      <c r="O23" s="454"/>
      <c r="P23" s="454"/>
    </row>
  </sheetData>
  <mergeCells count="2">
    <mergeCell ref="K2:K6"/>
    <mergeCell ref="K10:K14"/>
  </mergeCells>
  <dataValidations xWindow="1027" yWindow="426" count="2">
    <dataValidation type="whole" allowBlank="1" showInputMessage="1" showErrorMessage="1" errorTitle="INCORRECT VALUE !" error="Whole nos. only from 50 to100 ALLOWED !!!" promptTitle="WHOLE Numbers ONLY !!" prompt="Please enter whole nos. only from 50 to100..." sqref="G2:H6" xr:uid="{ABF50BC4-C569-43A7-B9CD-C4131BCCE5C5}">
      <formula1>50</formula1>
      <formula2>100</formula2>
    </dataValidation>
    <dataValidation type="list" errorStyle="information" allowBlank="1" showInputMessage="1" showErrorMessage="1" errorTitle="INCORRECT VALUE !" error="Select a region ONLY from the in-cell dropdown !" promptTitle="Use the dropdown" prompt="Please select a region from the in-cell dropdown !" sqref="I2:J6" xr:uid="{CCD9BC93-E899-4D02-BCC3-0DFF28030C42}">
      <formula1>$E$3:$E$22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E95D-2B8D-4BE1-A619-41675E88A786}">
  <dimension ref="A1:P90"/>
  <sheetViews>
    <sheetView tabSelected="1" zoomScaleNormal="100" workbookViewId="0">
      <selection activeCell="Q8" sqref="Q8"/>
    </sheetView>
  </sheetViews>
  <sheetFormatPr defaultRowHeight="14.4" x14ac:dyDescent="0.3"/>
  <cols>
    <col min="1" max="1" width="13.5546875" bestFit="1" customWidth="1"/>
    <col min="2" max="3" width="15.5546875" bestFit="1" customWidth="1"/>
    <col min="4" max="4" width="17.21875" bestFit="1" customWidth="1"/>
    <col min="5" max="5" width="16.109375" customWidth="1"/>
    <col min="6" max="7" width="12.88671875" bestFit="1" customWidth="1"/>
    <col min="8" max="8" width="14.6640625" customWidth="1"/>
    <col min="9" max="13" width="12.88671875" bestFit="1" customWidth="1"/>
    <col min="14" max="14" width="10.5546875" bestFit="1" customWidth="1"/>
    <col min="15" max="15" width="12.88671875" bestFit="1" customWidth="1"/>
  </cols>
  <sheetData>
    <row r="1" spans="1:16" ht="17.399999999999999" x14ac:dyDescent="0.3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</row>
    <row r="2" spans="1:16" ht="18" x14ac:dyDescent="0.3">
      <c r="A2" s="701" t="s">
        <v>174</v>
      </c>
      <c r="B2" s="701" t="s">
        <v>198</v>
      </c>
      <c r="C2" s="701" t="s">
        <v>65</v>
      </c>
      <c r="D2" s="701" t="s">
        <v>374</v>
      </c>
      <c r="E2" s="701" t="s">
        <v>418</v>
      </c>
      <c r="F2" s="696"/>
      <c r="G2" s="496" t="s">
        <v>374</v>
      </c>
      <c r="H2" s="695"/>
      <c r="I2" s="496" t="s">
        <v>374</v>
      </c>
      <c r="J2" s="695"/>
      <c r="K2" s="496" t="s">
        <v>374</v>
      </c>
      <c r="L2" s="695"/>
      <c r="M2" s="496" t="s">
        <v>374</v>
      </c>
      <c r="N2" s="695"/>
      <c r="O2" s="496" t="s">
        <v>374</v>
      </c>
      <c r="P2" s="497"/>
    </row>
    <row r="3" spans="1:16" ht="17.399999999999999" x14ac:dyDescent="0.3">
      <c r="A3" s="702">
        <v>44930</v>
      </c>
      <c r="B3" s="703" t="s">
        <v>7</v>
      </c>
      <c r="C3" s="703" t="s">
        <v>380</v>
      </c>
      <c r="D3" s="704">
        <v>6600</v>
      </c>
      <c r="E3" s="704">
        <v>7000</v>
      </c>
      <c r="F3" s="497"/>
      <c r="G3" s="499">
        <v>1000</v>
      </c>
      <c r="H3" s="495"/>
      <c r="I3" s="499">
        <v>1000</v>
      </c>
      <c r="J3" s="495"/>
      <c r="K3" s="499">
        <v>10000</v>
      </c>
      <c r="L3" s="495"/>
      <c r="M3" s="499">
        <v>1000</v>
      </c>
      <c r="N3" s="495"/>
      <c r="O3" s="499">
        <v>8900</v>
      </c>
      <c r="P3" s="497"/>
    </row>
    <row r="4" spans="1:16" ht="17.399999999999999" x14ac:dyDescent="0.3">
      <c r="A4" s="702">
        <v>44930</v>
      </c>
      <c r="B4" s="703" t="s">
        <v>1</v>
      </c>
      <c r="C4" s="703" t="s">
        <v>381</v>
      </c>
      <c r="D4" s="704">
        <v>7000</v>
      </c>
      <c r="E4" s="704">
        <v>7200</v>
      </c>
      <c r="F4" s="497"/>
      <c r="G4" s="499">
        <v>1000</v>
      </c>
      <c r="H4" s="495"/>
      <c r="I4" s="499">
        <v>1000</v>
      </c>
      <c r="J4" s="495"/>
      <c r="K4" s="499">
        <v>1000</v>
      </c>
      <c r="L4" s="495"/>
      <c r="M4" s="499">
        <v>1000</v>
      </c>
      <c r="N4" s="495"/>
      <c r="O4" s="499">
        <v>8800</v>
      </c>
      <c r="P4" s="497"/>
    </row>
    <row r="5" spans="1:16" ht="17.399999999999999" x14ac:dyDescent="0.3">
      <c r="A5" s="702">
        <v>45294</v>
      </c>
      <c r="B5" s="703" t="s">
        <v>2</v>
      </c>
      <c r="C5" s="703" t="s">
        <v>375</v>
      </c>
      <c r="D5" s="704">
        <v>7300</v>
      </c>
      <c r="E5" s="704">
        <v>7300</v>
      </c>
      <c r="F5" s="497"/>
      <c r="G5" s="499">
        <v>1000</v>
      </c>
      <c r="H5" s="495"/>
      <c r="I5" s="499">
        <v>1000</v>
      </c>
      <c r="J5" s="495"/>
      <c r="K5" s="499">
        <v>1000</v>
      </c>
      <c r="L5" s="495"/>
      <c r="M5" s="499">
        <v>1000</v>
      </c>
      <c r="N5" s="495"/>
      <c r="O5" s="499">
        <v>8000</v>
      </c>
      <c r="P5" s="497"/>
    </row>
    <row r="6" spans="1:16" ht="17.399999999999999" x14ac:dyDescent="0.3">
      <c r="A6" s="702">
        <v>45297</v>
      </c>
      <c r="B6" s="703" t="s">
        <v>3</v>
      </c>
      <c r="C6" s="703" t="s">
        <v>376</v>
      </c>
      <c r="D6" s="704">
        <v>7400</v>
      </c>
      <c r="E6" s="704">
        <v>7400</v>
      </c>
      <c r="F6" s="497"/>
      <c r="G6" s="499">
        <v>1000</v>
      </c>
      <c r="H6" s="495"/>
      <c r="I6" s="499">
        <v>1000</v>
      </c>
      <c r="J6" s="495"/>
      <c r="K6" s="499">
        <v>1000</v>
      </c>
      <c r="L6" s="495"/>
      <c r="M6" s="499">
        <v>1000</v>
      </c>
      <c r="N6" s="495"/>
      <c r="O6" s="499">
        <v>7800</v>
      </c>
      <c r="P6" s="497"/>
    </row>
    <row r="7" spans="1:16" ht="17.399999999999999" x14ac:dyDescent="0.3">
      <c r="A7" s="702">
        <v>45297</v>
      </c>
      <c r="B7" s="703" t="s">
        <v>4</v>
      </c>
      <c r="C7" s="703" t="s">
        <v>377</v>
      </c>
      <c r="D7" s="704">
        <v>7800</v>
      </c>
      <c r="E7" s="704">
        <v>7800</v>
      </c>
      <c r="F7" s="497"/>
      <c r="G7" s="499">
        <v>1500</v>
      </c>
      <c r="H7" s="495"/>
      <c r="I7" s="499">
        <v>1500</v>
      </c>
      <c r="J7" s="495"/>
      <c r="K7" s="499">
        <v>1500</v>
      </c>
      <c r="L7" s="495"/>
      <c r="M7" s="499">
        <v>1500</v>
      </c>
      <c r="N7" s="495"/>
      <c r="O7" s="499">
        <v>7400</v>
      </c>
      <c r="P7" s="497"/>
    </row>
    <row r="8" spans="1:16" ht="17.399999999999999" x14ac:dyDescent="0.3">
      <c r="A8" s="702">
        <v>45304</v>
      </c>
      <c r="B8" s="703" t="s">
        <v>5</v>
      </c>
      <c r="C8" s="703" t="s">
        <v>378</v>
      </c>
      <c r="D8" s="704">
        <v>8000</v>
      </c>
      <c r="E8" s="704">
        <v>8000</v>
      </c>
      <c r="F8" s="497"/>
      <c r="G8" s="499">
        <v>2000</v>
      </c>
      <c r="H8" s="495"/>
      <c r="I8" s="499">
        <v>2000</v>
      </c>
      <c r="J8" s="495"/>
      <c r="K8" s="499">
        <v>2000</v>
      </c>
      <c r="L8" s="495"/>
      <c r="M8" s="499">
        <v>2000</v>
      </c>
      <c r="N8" s="495"/>
      <c r="O8" s="499">
        <v>7300</v>
      </c>
      <c r="P8" s="497"/>
    </row>
    <row r="9" spans="1:16" ht="17.399999999999999" x14ac:dyDescent="0.3">
      <c r="A9" s="702">
        <v>45665</v>
      </c>
      <c r="B9" s="703" t="s">
        <v>6</v>
      </c>
      <c r="C9" s="703" t="s">
        <v>379</v>
      </c>
      <c r="D9" s="704">
        <v>8800</v>
      </c>
      <c r="E9" s="704">
        <v>8800</v>
      </c>
      <c r="F9" s="497"/>
      <c r="G9" s="499">
        <v>2200</v>
      </c>
      <c r="H9" s="495"/>
      <c r="I9" s="499">
        <v>2200</v>
      </c>
      <c r="J9" s="495"/>
      <c r="K9" s="499">
        <v>2200</v>
      </c>
      <c r="L9" s="495"/>
      <c r="M9" s="499">
        <v>2300</v>
      </c>
      <c r="N9" s="495"/>
      <c r="O9" s="499">
        <v>7200</v>
      </c>
      <c r="P9" s="497"/>
    </row>
    <row r="10" spans="1:16" ht="17.399999999999999" x14ac:dyDescent="0.3">
      <c r="A10" s="702">
        <v>45972</v>
      </c>
      <c r="B10" s="703" t="s">
        <v>7</v>
      </c>
      <c r="C10" s="703" t="s">
        <v>380</v>
      </c>
      <c r="D10" s="704">
        <v>8900</v>
      </c>
      <c r="E10" s="704">
        <v>8900</v>
      </c>
      <c r="F10" s="497"/>
      <c r="G10" s="499">
        <v>2300</v>
      </c>
      <c r="H10" s="495"/>
      <c r="I10" s="499">
        <v>2300</v>
      </c>
      <c r="J10" s="495"/>
      <c r="K10" s="499">
        <v>2300</v>
      </c>
      <c r="L10" s="495"/>
      <c r="M10" s="499">
        <v>2800</v>
      </c>
      <c r="N10" s="495"/>
      <c r="O10" s="499">
        <v>7000</v>
      </c>
      <c r="P10" s="497"/>
    </row>
    <row r="11" spans="1:16" ht="17.399999999999999" x14ac:dyDescent="0.3">
      <c r="A11" s="702">
        <v>46023</v>
      </c>
      <c r="B11" s="703" t="s">
        <v>2</v>
      </c>
      <c r="C11" s="703" t="s">
        <v>375</v>
      </c>
      <c r="D11" s="704">
        <v>1000</v>
      </c>
      <c r="E11" s="704">
        <v>1000</v>
      </c>
      <c r="F11" s="696"/>
      <c r="G11" s="499">
        <v>2800</v>
      </c>
      <c r="H11" s="695"/>
      <c r="I11" s="499">
        <v>2800</v>
      </c>
      <c r="J11" s="695"/>
      <c r="K11" s="499">
        <v>2800</v>
      </c>
      <c r="L11" s="695"/>
      <c r="M11" s="499">
        <v>3300</v>
      </c>
      <c r="N11" s="695"/>
      <c r="O11" s="499">
        <v>6600</v>
      </c>
      <c r="P11" s="497"/>
    </row>
    <row r="12" spans="1:16" ht="17.399999999999999" x14ac:dyDescent="0.3">
      <c r="A12" s="702">
        <v>46023</v>
      </c>
      <c r="B12" s="703" t="s">
        <v>3</v>
      </c>
      <c r="C12" s="703" t="s">
        <v>376</v>
      </c>
      <c r="D12" s="704">
        <v>1000</v>
      </c>
      <c r="E12" s="704">
        <v>1000</v>
      </c>
      <c r="F12" s="497"/>
      <c r="G12" s="499">
        <v>3000</v>
      </c>
      <c r="H12" s="495"/>
      <c r="I12" s="499">
        <v>3000</v>
      </c>
      <c r="J12" s="495"/>
      <c r="K12" s="499">
        <v>3000</v>
      </c>
      <c r="L12" s="495"/>
      <c r="M12" s="499">
        <v>3330</v>
      </c>
      <c r="N12" s="495"/>
      <c r="O12" s="499">
        <v>6000</v>
      </c>
      <c r="P12" s="497"/>
    </row>
    <row r="13" spans="1:16" ht="17.399999999999999" x14ac:dyDescent="0.3">
      <c r="A13" s="702">
        <v>46025</v>
      </c>
      <c r="B13" s="703" t="s">
        <v>4</v>
      </c>
      <c r="C13" s="703" t="s">
        <v>377</v>
      </c>
      <c r="D13" s="704">
        <v>1000</v>
      </c>
      <c r="E13" s="704">
        <v>1000</v>
      </c>
      <c r="F13" s="497"/>
      <c r="G13" s="499">
        <v>3330</v>
      </c>
      <c r="H13" s="495"/>
      <c r="I13" s="499">
        <v>3300</v>
      </c>
      <c r="J13" s="495"/>
      <c r="K13" s="499">
        <v>3300</v>
      </c>
      <c r="L13" s="495"/>
      <c r="M13" s="499">
        <v>3700</v>
      </c>
      <c r="N13" s="495"/>
      <c r="O13" s="499">
        <v>5900</v>
      </c>
      <c r="P13" s="497"/>
    </row>
    <row r="14" spans="1:16" ht="17.399999999999999" x14ac:dyDescent="0.3">
      <c r="A14" s="702">
        <v>46028</v>
      </c>
      <c r="B14" s="703" t="s">
        <v>5</v>
      </c>
      <c r="C14" s="703" t="s">
        <v>378</v>
      </c>
      <c r="D14" s="704">
        <v>1000</v>
      </c>
      <c r="E14" s="704">
        <v>1000</v>
      </c>
      <c r="F14" s="497"/>
      <c r="G14" s="499">
        <v>3700</v>
      </c>
      <c r="H14" s="495"/>
      <c r="I14" s="499">
        <v>3330</v>
      </c>
      <c r="J14" s="495"/>
      <c r="K14" s="499">
        <v>7000</v>
      </c>
      <c r="L14" s="495"/>
      <c r="M14" s="499">
        <v>4000</v>
      </c>
      <c r="N14" s="495"/>
      <c r="O14" s="499">
        <v>5700</v>
      </c>
      <c r="P14" s="497"/>
    </row>
    <row r="15" spans="1:16" ht="17.399999999999999" x14ac:dyDescent="0.3">
      <c r="A15" s="702">
        <v>46028</v>
      </c>
      <c r="B15" s="703" t="s">
        <v>6</v>
      </c>
      <c r="C15" s="703" t="s">
        <v>379</v>
      </c>
      <c r="D15" s="704">
        <v>1200</v>
      </c>
      <c r="E15" s="704">
        <v>1500</v>
      </c>
      <c r="F15" s="497"/>
      <c r="G15" s="499">
        <v>4000</v>
      </c>
      <c r="H15" s="495"/>
      <c r="I15" s="499">
        <v>3700</v>
      </c>
      <c r="J15" s="495"/>
      <c r="K15" s="499">
        <v>3700</v>
      </c>
      <c r="L15" s="495"/>
      <c r="M15" s="499">
        <v>4000</v>
      </c>
      <c r="N15" s="495"/>
      <c r="O15" s="499">
        <v>5500</v>
      </c>
      <c r="P15" s="497"/>
    </row>
    <row r="16" spans="1:16" ht="17.399999999999999" x14ac:dyDescent="0.3">
      <c r="A16" s="702">
        <v>46029</v>
      </c>
      <c r="B16" s="703" t="s">
        <v>7</v>
      </c>
      <c r="C16" s="703" t="s">
        <v>380</v>
      </c>
      <c r="D16" s="704">
        <v>1500</v>
      </c>
      <c r="E16" s="704">
        <v>2000</v>
      </c>
      <c r="F16" s="696"/>
      <c r="G16" s="499">
        <v>4000</v>
      </c>
      <c r="H16" s="695"/>
      <c r="I16" s="499">
        <v>4000</v>
      </c>
      <c r="J16" s="695"/>
      <c r="K16" s="499">
        <v>4000</v>
      </c>
      <c r="L16" s="695"/>
      <c r="M16" s="499">
        <v>4000</v>
      </c>
      <c r="N16" s="695"/>
      <c r="O16" s="499">
        <v>5300</v>
      </c>
      <c r="P16" s="497"/>
    </row>
    <row r="17" spans="1:16" ht="17.399999999999999" x14ac:dyDescent="0.3">
      <c r="A17" s="702">
        <v>46029</v>
      </c>
      <c r="B17" s="703" t="s">
        <v>1</v>
      </c>
      <c r="C17" s="703" t="s">
        <v>381</v>
      </c>
      <c r="D17" s="704">
        <v>2000</v>
      </c>
      <c r="E17" s="704">
        <v>2200</v>
      </c>
      <c r="F17" s="497"/>
      <c r="G17" s="499">
        <v>4200</v>
      </c>
      <c r="H17" s="495"/>
      <c r="I17" s="499">
        <v>4000</v>
      </c>
      <c r="J17" s="495"/>
      <c r="K17" s="499">
        <v>4000</v>
      </c>
      <c r="L17" s="495"/>
      <c r="M17" s="499">
        <v>4200</v>
      </c>
      <c r="N17" s="495"/>
      <c r="O17" s="499">
        <v>5200</v>
      </c>
      <c r="P17" s="497"/>
    </row>
    <row r="18" spans="1:16" ht="17.399999999999999" x14ac:dyDescent="0.3">
      <c r="A18" s="702">
        <v>46030</v>
      </c>
      <c r="B18" s="703" t="s">
        <v>1</v>
      </c>
      <c r="C18" s="703" t="s">
        <v>381</v>
      </c>
      <c r="D18" s="704">
        <v>2200</v>
      </c>
      <c r="E18" s="704">
        <v>2300</v>
      </c>
      <c r="F18" s="696"/>
      <c r="G18" s="499">
        <v>4500</v>
      </c>
      <c r="H18" s="695"/>
      <c r="I18" s="499">
        <v>4000</v>
      </c>
      <c r="J18" s="695"/>
      <c r="K18" s="499">
        <v>4000</v>
      </c>
      <c r="L18" s="695"/>
      <c r="M18" s="499">
        <v>4500</v>
      </c>
      <c r="N18" s="695"/>
      <c r="O18" s="499">
        <v>5000</v>
      </c>
      <c r="P18" s="497"/>
    </row>
    <row r="19" spans="1:16" ht="17.399999999999999" x14ac:dyDescent="0.3">
      <c r="A19" s="702">
        <v>46032</v>
      </c>
      <c r="B19" s="703" t="s">
        <v>2</v>
      </c>
      <c r="C19" s="703" t="s">
        <v>375</v>
      </c>
      <c r="D19" s="704">
        <v>6300</v>
      </c>
      <c r="E19" s="704">
        <v>2800</v>
      </c>
      <c r="F19" s="497"/>
      <c r="G19" s="499">
        <v>5000</v>
      </c>
      <c r="H19" s="495"/>
      <c r="I19" s="499">
        <v>4200</v>
      </c>
      <c r="J19" s="495"/>
      <c r="K19" s="499">
        <v>4200</v>
      </c>
      <c r="L19" s="495"/>
      <c r="M19" s="499">
        <v>4700</v>
      </c>
      <c r="N19" s="495"/>
      <c r="O19" s="499">
        <v>4700</v>
      </c>
      <c r="P19" s="497"/>
    </row>
    <row r="20" spans="1:16" ht="17.399999999999999" x14ac:dyDescent="0.3">
      <c r="A20" s="702">
        <v>46032</v>
      </c>
      <c r="B20" s="703" t="s">
        <v>3</v>
      </c>
      <c r="C20" s="703" t="s">
        <v>376</v>
      </c>
      <c r="D20" s="704">
        <v>2800</v>
      </c>
      <c r="E20" s="704">
        <v>3000</v>
      </c>
      <c r="F20" s="497"/>
      <c r="G20" s="499">
        <v>5100</v>
      </c>
      <c r="H20" s="495"/>
      <c r="I20" s="499">
        <v>4500</v>
      </c>
      <c r="J20" s="495"/>
      <c r="K20" s="499">
        <v>4500</v>
      </c>
      <c r="L20" s="495"/>
      <c r="M20" s="499">
        <v>5000</v>
      </c>
      <c r="N20" s="495"/>
      <c r="O20" s="499">
        <v>4500</v>
      </c>
      <c r="P20" s="497"/>
    </row>
    <row r="21" spans="1:16" ht="17.399999999999999" x14ac:dyDescent="0.3">
      <c r="A21" s="702">
        <v>46033</v>
      </c>
      <c r="B21" s="703" t="s">
        <v>4</v>
      </c>
      <c r="C21" s="703" t="s">
        <v>377</v>
      </c>
      <c r="D21" s="704">
        <v>3000</v>
      </c>
      <c r="E21" s="704">
        <v>3300</v>
      </c>
      <c r="F21" s="497"/>
      <c r="G21" s="499">
        <v>5200</v>
      </c>
      <c r="H21" s="495"/>
      <c r="I21" s="499">
        <v>5000</v>
      </c>
      <c r="J21" s="495"/>
      <c r="K21" s="499">
        <v>4700</v>
      </c>
      <c r="L21" s="495"/>
      <c r="M21" s="499">
        <v>5200</v>
      </c>
      <c r="N21" s="495"/>
      <c r="O21" s="499">
        <v>4200</v>
      </c>
      <c r="P21" s="497"/>
    </row>
    <row r="22" spans="1:16" ht="17.399999999999999" x14ac:dyDescent="0.3">
      <c r="A22" s="702">
        <v>46033</v>
      </c>
      <c r="B22" s="703" t="s">
        <v>5</v>
      </c>
      <c r="C22" s="703" t="s">
        <v>378</v>
      </c>
      <c r="D22" s="704">
        <v>3300</v>
      </c>
      <c r="E22" s="704">
        <v>3330</v>
      </c>
      <c r="F22" s="497"/>
      <c r="G22" s="499">
        <v>5300</v>
      </c>
      <c r="H22" s="495"/>
      <c r="I22" s="499">
        <v>5200</v>
      </c>
      <c r="J22" s="495"/>
      <c r="K22" s="499">
        <v>5000</v>
      </c>
      <c r="L22" s="495"/>
      <c r="M22" s="499">
        <v>5300</v>
      </c>
      <c r="N22" s="495"/>
      <c r="O22" s="499">
        <v>4000</v>
      </c>
      <c r="P22" s="497"/>
    </row>
    <row r="23" spans="1:16" ht="17.399999999999999" x14ac:dyDescent="0.3">
      <c r="A23" s="702">
        <v>46035</v>
      </c>
      <c r="B23" s="703" t="s">
        <v>6</v>
      </c>
      <c r="C23" s="703" t="s">
        <v>379</v>
      </c>
      <c r="D23" s="704">
        <v>3330</v>
      </c>
      <c r="E23" s="704">
        <v>3700</v>
      </c>
      <c r="F23" s="497"/>
      <c r="G23" s="499">
        <v>5500</v>
      </c>
      <c r="H23" s="495"/>
      <c r="I23" s="499">
        <v>5300</v>
      </c>
      <c r="J23" s="495"/>
      <c r="K23" s="499">
        <v>5200</v>
      </c>
      <c r="L23" s="495"/>
      <c r="M23" s="499">
        <v>5500</v>
      </c>
      <c r="N23" s="495"/>
      <c r="O23" s="499">
        <v>4000</v>
      </c>
      <c r="P23" s="497"/>
    </row>
    <row r="24" spans="1:16" ht="17.399999999999999" x14ac:dyDescent="0.3">
      <c r="A24" s="702">
        <v>46037</v>
      </c>
      <c r="B24" s="703" t="s">
        <v>1</v>
      </c>
      <c r="C24" s="703" t="s">
        <v>381</v>
      </c>
      <c r="D24" s="704">
        <v>3700</v>
      </c>
      <c r="E24" s="704">
        <v>4000</v>
      </c>
      <c r="F24" s="497"/>
      <c r="G24" s="499">
        <v>5700</v>
      </c>
      <c r="H24" s="495"/>
      <c r="I24" s="499">
        <v>2200</v>
      </c>
      <c r="J24" s="495"/>
      <c r="K24" s="499">
        <v>5300</v>
      </c>
      <c r="L24" s="495"/>
      <c r="M24" s="499">
        <v>5700</v>
      </c>
      <c r="N24" s="495"/>
      <c r="O24" s="499">
        <v>4000</v>
      </c>
      <c r="P24" s="497"/>
    </row>
    <row r="25" spans="1:16" ht="17.399999999999999" x14ac:dyDescent="0.3">
      <c r="A25" s="702">
        <v>46037</v>
      </c>
      <c r="B25" s="703" t="s">
        <v>7</v>
      </c>
      <c r="C25" s="703" t="s">
        <v>380</v>
      </c>
      <c r="D25" s="704">
        <v>7500</v>
      </c>
      <c r="E25" s="704">
        <v>4000</v>
      </c>
      <c r="F25" s="696"/>
      <c r="G25" s="499">
        <v>5900</v>
      </c>
      <c r="H25" s="695"/>
      <c r="I25" s="499">
        <v>5700</v>
      </c>
      <c r="J25" s="695"/>
      <c r="K25" s="499">
        <v>5500</v>
      </c>
      <c r="L25" s="695"/>
      <c r="M25" s="499">
        <v>5900</v>
      </c>
      <c r="N25" s="695"/>
      <c r="O25" s="499">
        <v>3700</v>
      </c>
      <c r="P25" s="497"/>
    </row>
    <row r="26" spans="1:16" ht="17.399999999999999" x14ac:dyDescent="0.3">
      <c r="A26" s="702">
        <v>46042</v>
      </c>
      <c r="B26" s="703" t="s">
        <v>2</v>
      </c>
      <c r="C26" s="703" t="s">
        <v>375</v>
      </c>
      <c r="D26" s="704">
        <v>9000</v>
      </c>
      <c r="E26" s="704">
        <v>4000</v>
      </c>
      <c r="F26" s="696"/>
      <c r="G26" s="499">
        <v>6000</v>
      </c>
      <c r="H26" s="695"/>
      <c r="I26" s="499">
        <v>6000</v>
      </c>
      <c r="J26" s="695"/>
      <c r="K26" s="499">
        <v>5700</v>
      </c>
      <c r="L26" s="695"/>
      <c r="M26" s="499">
        <v>6000</v>
      </c>
      <c r="N26" s="695"/>
      <c r="O26" s="499">
        <v>3330</v>
      </c>
      <c r="P26" s="497"/>
    </row>
    <row r="27" spans="1:16" ht="17.399999999999999" x14ac:dyDescent="0.3">
      <c r="A27" s="702">
        <v>46042</v>
      </c>
      <c r="B27" s="703" t="s">
        <v>3</v>
      </c>
      <c r="C27" s="703" t="s">
        <v>376</v>
      </c>
      <c r="D27" s="704">
        <v>4000</v>
      </c>
      <c r="E27" s="704">
        <v>4200</v>
      </c>
      <c r="F27" s="696"/>
      <c r="G27" s="499">
        <v>6000</v>
      </c>
      <c r="H27" s="695"/>
      <c r="I27" s="499">
        <v>6600</v>
      </c>
      <c r="J27" s="695"/>
      <c r="K27" s="499">
        <v>5900</v>
      </c>
      <c r="L27" s="695"/>
      <c r="M27" s="499">
        <v>6600</v>
      </c>
      <c r="N27" s="695"/>
      <c r="O27" s="499">
        <v>3300</v>
      </c>
      <c r="P27" s="497"/>
    </row>
    <row r="28" spans="1:16" ht="17.399999999999999" x14ac:dyDescent="0.3">
      <c r="A28" s="702">
        <v>46152</v>
      </c>
      <c r="B28" s="703" t="s">
        <v>4</v>
      </c>
      <c r="C28" s="703" t="s">
        <v>377</v>
      </c>
      <c r="D28" s="704">
        <v>4000</v>
      </c>
      <c r="E28" s="704">
        <v>4500</v>
      </c>
      <c r="F28" s="696"/>
      <c r="G28" s="499">
        <v>6600</v>
      </c>
      <c r="H28" s="695"/>
      <c r="I28" s="499">
        <v>7000</v>
      </c>
      <c r="J28" s="695"/>
      <c r="K28" s="499">
        <v>6000</v>
      </c>
      <c r="L28" s="695"/>
      <c r="M28" s="499">
        <v>7000</v>
      </c>
      <c r="N28" s="695"/>
      <c r="O28" s="499">
        <v>3000</v>
      </c>
      <c r="P28" s="497"/>
    </row>
    <row r="29" spans="1:16" ht="17.399999999999999" x14ac:dyDescent="0.3">
      <c r="A29" s="702">
        <v>46152</v>
      </c>
      <c r="B29" s="703" t="s">
        <v>5</v>
      </c>
      <c r="C29" s="703" t="s">
        <v>378</v>
      </c>
      <c r="D29" s="704">
        <v>4200</v>
      </c>
      <c r="E29" s="704">
        <v>4700</v>
      </c>
      <c r="F29" s="696"/>
      <c r="G29" s="499">
        <v>7000</v>
      </c>
      <c r="H29" s="695"/>
      <c r="I29" s="499">
        <v>7200</v>
      </c>
      <c r="J29" s="695"/>
      <c r="K29" s="499">
        <v>6600</v>
      </c>
      <c r="L29" s="695"/>
      <c r="M29" s="499">
        <v>7200</v>
      </c>
      <c r="N29" s="695"/>
      <c r="O29" s="499">
        <v>2800</v>
      </c>
      <c r="P29" s="497"/>
    </row>
    <row r="30" spans="1:16" ht="17.399999999999999" x14ac:dyDescent="0.3">
      <c r="A30" s="702">
        <v>46159</v>
      </c>
      <c r="B30" s="703" t="s">
        <v>6</v>
      </c>
      <c r="C30" s="703" t="s">
        <v>379</v>
      </c>
      <c r="D30" s="704">
        <v>4500</v>
      </c>
      <c r="E30" s="704">
        <v>5000</v>
      </c>
      <c r="F30" s="696"/>
      <c r="G30" s="499">
        <v>7200</v>
      </c>
      <c r="H30" s="695"/>
      <c r="I30" s="499">
        <v>7300</v>
      </c>
      <c r="J30" s="695"/>
      <c r="K30" s="499">
        <v>7000</v>
      </c>
      <c r="L30" s="695"/>
      <c r="M30" s="499">
        <v>7300</v>
      </c>
      <c r="N30" s="695"/>
      <c r="O30" s="499">
        <v>2300</v>
      </c>
      <c r="P30" s="497"/>
    </row>
    <row r="31" spans="1:16" ht="17.399999999999999" x14ac:dyDescent="0.3">
      <c r="A31" s="702">
        <v>46159</v>
      </c>
      <c r="B31" s="703" t="s">
        <v>7</v>
      </c>
      <c r="C31" s="703" t="s">
        <v>380</v>
      </c>
      <c r="D31" s="704">
        <v>4700</v>
      </c>
      <c r="E31" s="704">
        <v>5200</v>
      </c>
      <c r="F31" s="696"/>
      <c r="G31" s="499">
        <v>7300</v>
      </c>
      <c r="H31" s="695"/>
      <c r="I31" s="499">
        <v>7400</v>
      </c>
      <c r="J31" s="695"/>
      <c r="K31" s="499">
        <v>7200</v>
      </c>
      <c r="L31" s="695"/>
      <c r="M31" s="499">
        <v>7400</v>
      </c>
      <c r="N31" s="695"/>
      <c r="O31" s="499">
        <v>2200</v>
      </c>
      <c r="P31" s="497"/>
    </row>
    <row r="32" spans="1:16" ht="17.399999999999999" x14ac:dyDescent="0.3">
      <c r="A32" s="702">
        <v>46222</v>
      </c>
      <c r="B32" s="703" t="s">
        <v>1</v>
      </c>
      <c r="C32" s="703" t="s">
        <v>381</v>
      </c>
      <c r="D32" s="704">
        <v>5000</v>
      </c>
      <c r="E32" s="704">
        <v>5300</v>
      </c>
      <c r="F32" s="696"/>
      <c r="G32" s="499">
        <v>7400</v>
      </c>
      <c r="H32" s="695"/>
      <c r="I32" s="499">
        <v>7700</v>
      </c>
      <c r="J32" s="695"/>
      <c r="K32" s="499">
        <v>7300</v>
      </c>
      <c r="L32" s="695"/>
      <c r="M32" s="499">
        <v>7800</v>
      </c>
      <c r="N32" s="695"/>
      <c r="O32" s="499">
        <v>2000</v>
      </c>
      <c r="P32" s="497"/>
    </row>
    <row r="33" spans="1:16" ht="17.399999999999999" x14ac:dyDescent="0.3">
      <c r="A33" s="702">
        <v>46222</v>
      </c>
      <c r="B33" s="703" t="s">
        <v>2</v>
      </c>
      <c r="C33" s="703" t="s">
        <v>375</v>
      </c>
      <c r="D33" s="704">
        <v>5200</v>
      </c>
      <c r="E33" s="704">
        <v>5500</v>
      </c>
      <c r="F33" s="696"/>
      <c r="G33" s="499">
        <v>7800</v>
      </c>
      <c r="H33" s="695"/>
      <c r="I33" s="499">
        <v>7800</v>
      </c>
      <c r="J33" s="695"/>
      <c r="K33" s="499">
        <v>3000</v>
      </c>
      <c r="L33" s="695"/>
      <c r="M33" s="499">
        <v>8000</v>
      </c>
      <c r="N33" s="695"/>
      <c r="O33" s="499">
        <v>1500</v>
      </c>
      <c r="P33" s="497"/>
    </row>
    <row r="34" spans="1:16" ht="17.399999999999999" x14ac:dyDescent="0.3">
      <c r="A34" s="702">
        <v>46247</v>
      </c>
      <c r="B34" s="703" t="s">
        <v>3</v>
      </c>
      <c r="C34" s="703" t="s">
        <v>376</v>
      </c>
      <c r="D34" s="704">
        <v>5300</v>
      </c>
      <c r="E34" s="704">
        <v>5700</v>
      </c>
      <c r="F34" s="696"/>
      <c r="G34" s="499">
        <v>8000</v>
      </c>
      <c r="H34" s="695"/>
      <c r="I34" s="499">
        <v>8000</v>
      </c>
      <c r="J34" s="695"/>
      <c r="K34" s="499">
        <v>7800</v>
      </c>
      <c r="L34" s="695"/>
      <c r="M34" s="499">
        <v>8000</v>
      </c>
      <c r="N34" s="695"/>
      <c r="O34" s="499">
        <v>1000</v>
      </c>
      <c r="P34" s="497"/>
    </row>
    <row r="35" spans="1:16" ht="17.399999999999999" x14ac:dyDescent="0.3">
      <c r="A35" s="702">
        <v>46247</v>
      </c>
      <c r="B35" s="703" t="s">
        <v>4</v>
      </c>
      <c r="C35" s="703" t="s">
        <v>377</v>
      </c>
      <c r="D35" s="704">
        <v>5700</v>
      </c>
      <c r="E35" s="704">
        <v>5900</v>
      </c>
      <c r="F35" s="696"/>
      <c r="G35" s="499">
        <v>8300</v>
      </c>
      <c r="H35" s="695"/>
      <c r="I35" s="499">
        <v>4500</v>
      </c>
      <c r="J35" s="695"/>
      <c r="K35" s="499">
        <v>8000</v>
      </c>
      <c r="L35" s="695"/>
      <c r="M35" s="499">
        <v>8800</v>
      </c>
      <c r="N35" s="695"/>
      <c r="O35" s="499">
        <v>1000</v>
      </c>
      <c r="P35" s="497"/>
    </row>
    <row r="36" spans="1:16" ht="17.399999999999999" x14ac:dyDescent="0.3">
      <c r="A36" s="702">
        <v>46334</v>
      </c>
      <c r="B36" s="703" t="s">
        <v>5</v>
      </c>
      <c r="C36" s="703" t="s">
        <v>378</v>
      </c>
      <c r="D36" s="704">
        <v>5900</v>
      </c>
      <c r="E36" s="704">
        <v>6000</v>
      </c>
      <c r="F36" s="696"/>
      <c r="G36" s="499">
        <v>8800</v>
      </c>
      <c r="H36" s="695"/>
      <c r="I36" s="499">
        <v>8900</v>
      </c>
      <c r="J36" s="695"/>
      <c r="K36" s="499">
        <v>8800</v>
      </c>
      <c r="L36" s="695"/>
      <c r="M36" s="499">
        <v>8900</v>
      </c>
      <c r="N36" s="695"/>
      <c r="O36" s="499">
        <v>1000</v>
      </c>
      <c r="P36" s="497"/>
    </row>
    <row r="37" spans="1:16" ht="17.399999999999999" x14ac:dyDescent="0.3">
      <c r="A37" s="702">
        <v>46341</v>
      </c>
      <c r="B37" s="703" t="s">
        <v>6</v>
      </c>
      <c r="C37" s="703" t="s">
        <v>379</v>
      </c>
      <c r="D37" s="704">
        <v>6000</v>
      </c>
      <c r="E37" s="704">
        <v>6600</v>
      </c>
      <c r="F37" s="696"/>
      <c r="G37" s="499">
        <v>8900</v>
      </c>
      <c r="H37" s="695"/>
      <c r="I37" s="499">
        <v>10000</v>
      </c>
      <c r="J37" s="695"/>
      <c r="K37" s="499">
        <v>8900</v>
      </c>
      <c r="L37" s="695"/>
      <c r="M37" s="499">
        <v>9200</v>
      </c>
      <c r="N37" s="695"/>
      <c r="O37" s="499">
        <v>1000</v>
      </c>
      <c r="P37" s="497"/>
    </row>
    <row r="38" spans="1:16" ht="18" x14ac:dyDescent="0.3">
      <c r="A38" s="698"/>
      <c r="B38" s="699"/>
      <c r="C38" s="698"/>
      <c r="D38" s="699"/>
      <c r="E38" s="700"/>
      <c r="F38" s="697"/>
      <c r="G38" s="495"/>
      <c r="H38" s="695"/>
      <c r="I38" s="495"/>
      <c r="J38" s="695"/>
      <c r="K38" s="495"/>
      <c r="L38" s="695"/>
      <c r="M38" s="495"/>
      <c r="N38" s="695"/>
      <c r="O38" s="495"/>
      <c r="P38" s="495"/>
    </row>
    <row r="39" spans="1:16" ht="18" x14ac:dyDescent="0.3">
      <c r="A39" s="495"/>
      <c r="B39" s="496" t="s">
        <v>65</v>
      </c>
      <c r="C39" s="495"/>
      <c r="D39" s="496" t="s">
        <v>374</v>
      </c>
      <c r="E39" s="495"/>
      <c r="F39" s="496" t="s">
        <v>374</v>
      </c>
      <c r="G39" s="495"/>
      <c r="H39" s="496" t="s">
        <v>374</v>
      </c>
      <c r="I39" s="495"/>
      <c r="J39" s="496" t="s">
        <v>374</v>
      </c>
      <c r="K39" s="495"/>
      <c r="L39" s="496" t="s">
        <v>374</v>
      </c>
      <c r="M39" s="495"/>
      <c r="N39" s="496" t="s">
        <v>198</v>
      </c>
      <c r="O39" s="495"/>
      <c r="P39" s="495"/>
    </row>
    <row r="40" spans="1:16" ht="17.399999999999999" x14ac:dyDescent="0.3">
      <c r="A40" s="495"/>
      <c r="B40" s="498" t="s">
        <v>375</v>
      </c>
      <c r="C40" s="495"/>
      <c r="D40" s="499">
        <v>8900</v>
      </c>
      <c r="E40" s="495"/>
      <c r="F40" s="499">
        <v>1000</v>
      </c>
      <c r="G40" s="495"/>
      <c r="H40" s="499">
        <v>1000</v>
      </c>
      <c r="I40" s="495"/>
      <c r="J40" s="499">
        <v>1000</v>
      </c>
      <c r="K40" s="495"/>
      <c r="L40" s="499">
        <v>5900</v>
      </c>
      <c r="M40" s="495"/>
      <c r="N40" s="498" t="s">
        <v>2</v>
      </c>
      <c r="O40" s="495"/>
      <c r="P40" s="495"/>
    </row>
    <row r="41" spans="1:16" ht="17.399999999999999" x14ac:dyDescent="0.3">
      <c r="A41" s="495"/>
      <c r="B41" s="498" t="s">
        <v>376</v>
      </c>
      <c r="C41" s="495"/>
      <c r="D41" s="499">
        <v>8800</v>
      </c>
      <c r="E41" s="495"/>
      <c r="F41" s="499">
        <v>1000</v>
      </c>
      <c r="G41" s="495"/>
      <c r="H41" s="499">
        <v>1000</v>
      </c>
      <c r="I41" s="495"/>
      <c r="J41" s="499">
        <v>1000</v>
      </c>
      <c r="K41" s="495"/>
      <c r="L41" s="499">
        <v>1000</v>
      </c>
      <c r="M41" s="495"/>
      <c r="N41" s="498" t="s">
        <v>3</v>
      </c>
      <c r="O41" s="495"/>
      <c r="P41" s="495"/>
    </row>
    <row r="42" spans="1:16" ht="17.399999999999999" x14ac:dyDescent="0.3">
      <c r="A42" s="495"/>
      <c r="B42" s="498" t="s">
        <v>377</v>
      </c>
      <c r="C42" s="495"/>
      <c r="D42" s="499">
        <v>8300</v>
      </c>
      <c r="E42" s="495"/>
      <c r="F42" s="499">
        <v>1000</v>
      </c>
      <c r="G42" s="495"/>
      <c r="H42" s="499">
        <v>1500</v>
      </c>
      <c r="I42" s="495"/>
      <c r="J42" s="499">
        <v>1000</v>
      </c>
      <c r="K42" s="495"/>
      <c r="L42" s="499">
        <v>6000</v>
      </c>
      <c r="M42" s="495"/>
      <c r="N42" s="498" t="s">
        <v>4</v>
      </c>
      <c r="O42" s="495"/>
      <c r="P42" s="495"/>
    </row>
    <row r="43" spans="1:16" ht="17.399999999999999" x14ac:dyDescent="0.3">
      <c r="A43" s="495"/>
      <c r="B43" s="498" t="s">
        <v>378</v>
      </c>
      <c r="C43" s="495"/>
      <c r="D43" s="499">
        <v>8000</v>
      </c>
      <c r="E43" s="495"/>
      <c r="F43" s="499">
        <v>1000</v>
      </c>
      <c r="G43" s="495"/>
      <c r="H43" s="499">
        <v>2000</v>
      </c>
      <c r="I43" s="495"/>
      <c r="J43" s="499">
        <v>1000</v>
      </c>
      <c r="K43" s="495"/>
      <c r="L43" s="499">
        <v>1000</v>
      </c>
      <c r="M43" s="495"/>
      <c r="N43" s="498" t="s">
        <v>5</v>
      </c>
      <c r="O43" s="495"/>
      <c r="P43" s="495"/>
    </row>
    <row r="44" spans="1:16" ht="17.399999999999999" x14ac:dyDescent="0.3">
      <c r="A44" s="495"/>
      <c r="B44" s="498" t="s">
        <v>379</v>
      </c>
      <c r="C44" s="495"/>
      <c r="D44" s="499">
        <v>7800</v>
      </c>
      <c r="E44" s="495"/>
      <c r="F44" s="499">
        <v>1500</v>
      </c>
      <c r="G44" s="495"/>
      <c r="H44" s="499">
        <v>2200</v>
      </c>
      <c r="I44" s="495"/>
      <c r="J44" s="499">
        <v>1500</v>
      </c>
      <c r="K44" s="495"/>
      <c r="L44" s="499">
        <v>1000</v>
      </c>
      <c r="M44" s="495"/>
      <c r="N44" s="498" t="s">
        <v>6</v>
      </c>
      <c r="O44" s="495"/>
      <c r="P44" s="495"/>
    </row>
    <row r="45" spans="1:16" ht="17.399999999999999" x14ac:dyDescent="0.3">
      <c r="A45" s="495"/>
      <c r="B45" s="498" t="s">
        <v>380</v>
      </c>
      <c r="C45" s="495"/>
      <c r="D45" s="499">
        <v>7400</v>
      </c>
      <c r="E45" s="495"/>
      <c r="F45" s="499">
        <v>2000</v>
      </c>
      <c r="G45" s="495"/>
      <c r="H45" s="499">
        <v>2300</v>
      </c>
      <c r="I45" s="495"/>
      <c r="J45" s="499">
        <v>2000</v>
      </c>
      <c r="K45" s="495"/>
      <c r="L45" s="499">
        <v>3000</v>
      </c>
      <c r="M45" s="495"/>
      <c r="N45" s="498" t="s">
        <v>7</v>
      </c>
      <c r="O45" s="495"/>
      <c r="P45" s="495"/>
    </row>
    <row r="46" spans="1:16" ht="17.399999999999999" x14ac:dyDescent="0.3">
      <c r="A46" s="495"/>
      <c r="B46" s="498" t="s">
        <v>381</v>
      </c>
      <c r="C46" s="495"/>
      <c r="D46" s="499">
        <v>7300</v>
      </c>
      <c r="E46" s="495"/>
      <c r="F46" s="499">
        <v>2200</v>
      </c>
      <c r="G46" s="495"/>
      <c r="H46" s="499">
        <v>2500</v>
      </c>
      <c r="I46" s="495"/>
      <c r="J46" s="499">
        <v>2200</v>
      </c>
      <c r="K46" s="495"/>
      <c r="L46" s="499">
        <v>1500</v>
      </c>
      <c r="M46" s="495"/>
      <c r="N46" s="498" t="s">
        <v>1</v>
      </c>
      <c r="O46" s="495"/>
      <c r="P46" s="495"/>
    </row>
    <row r="47" spans="1:16" ht="17.399999999999999" x14ac:dyDescent="0.3">
      <c r="A47" s="495"/>
      <c r="B47" s="498" t="s">
        <v>381</v>
      </c>
      <c r="C47" s="495"/>
      <c r="D47" s="499">
        <v>7200</v>
      </c>
      <c r="E47" s="495"/>
      <c r="F47" s="499">
        <v>2300</v>
      </c>
      <c r="G47" s="495"/>
      <c r="H47" s="499">
        <v>2800</v>
      </c>
      <c r="I47" s="495"/>
      <c r="J47" s="499">
        <v>2300</v>
      </c>
      <c r="K47" s="495"/>
      <c r="L47" s="499">
        <v>2000</v>
      </c>
      <c r="M47" s="495"/>
      <c r="N47" s="498" t="s">
        <v>1</v>
      </c>
      <c r="O47" s="495"/>
      <c r="P47" s="495"/>
    </row>
    <row r="48" spans="1:16" ht="17.399999999999999" x14ac:dyDescent="0.3">
      <c r="A48" s="495"/>
      <c r="B48" s="498" t="s">
        <v>375</v>
      </c>
      <c r="C48" s="495"/>
      <c r="D48" s="499">
        <v>7000</v>
      </c>
      <c r="E48" s="495"/>
      <c r="F48" s="499">
        <v>2800</v>
      </c>
      <c r="G48" s="495"/>
      <c r="H48" s="499">
        <v>3000</v>
      </c>
      <c r="I48" s="495"/>
      <c r="J48" s="499">
        <v>2800</v>
      </c>
      <c r="K48" s="495"/>
      <c r="L48" s="499">
        <v>2200</v>
      </c>
      <c r="M48" s="495"/>
      <c r="N48" s="498" t="s">
        <v>2</v>
      </c>
      <c r="O48" s="495"/>
      <c r="P48" s="495"/>
    </row>
    <row r="49" spans="1:16" ht="17.399999999999999" x14ac:dyDescent="0.3">
      <c r="A49" s="495"/>
      <c r="B49" s="498" t="s">
        <v>376</v>
      </c>
      <c r="C49" s="495"/>
      <c r="D49" s="499">
        <v>6600</v>
      </c>
      <c r="E49" s="495"/>
      <c r="F49" s="499">
        <v>3000</v>
      </c>
      <c r="G49" s="495"/>
      <c r="H49" s="499">
        <v>3000</v>
      </c>
      <c r="I49" s="495"/>
      <c r="J49" s="499">
        <v>3000</v>
      </c>
      <c r="K49" s="495"/>
      <c r="L49" s="499">
        <v>2300</v>
      </c>
      <c r="M49" s="495"/>
      <c r="N49" s="498" t="s">
        <v>3</v>
      </c>
      <c r="O49" s="495"/>
      <c r="P49" s="495"/>
    </row>
    <row r="50" spans="1:16" ht="17.399999999999999" x14ac:dyDescent="0.3">
      <c r="A50" s="495"/>
      <c r="B50" s="498" t="s">
        <v>377</v>
      </c>
      <c r="C50" s="495"/>
      <c r="D50" s="499">
        <v>6000</v>
      </c>
      <c r="E50" s="495"/>
      <c r="F50" s="499">
        <v>3330</v>
      </c>
      <c r="G50" s="495"/>
      <c r="H50" s="499">
        <v>3330</v>
      </c>
      <c r="I50" s="495"/>
      <c r="J50" s="499">
        <v>3330</v>
      </c>
      <c r="K50" s="495"/>
      <c r="L50" s="499">
        <v>2800</v>
      </c>
      <c r="M50" s="495"/>
      <c r="N50" s="498" t="s">
        <v>4</v>
      </c>
      <c r="O50" s="495"/>
      <c r="P50" s="495"/>
    </row>
    <row r="51" spans="1:16" ht="17.399999999999999" x14ac:dyDescent="0.3">
      <c r="A51" s="495"/>
      <c r="B51" s="498" t="s">
        <v>378</v>
      </c>
      <c r="C51" s="495"/>
      <c r="D51" s="499">
        <v>6000</v>
      </c>
      <c r="E51" s="495"/>
      <c r="F51" s="499">
        <v>3700</v>
      </c>
      <c r="G51" s="495"/>
      <c r="H51" s="499">
        <v>3700</v>
      </c>
      <c r="I51" s="495"/>
      <c r="J51" s="499">
        <v>3700</v>
      </c>
      <c r="K51" s="495"/>
      <c r="L51" s="499">
        <v>3000</v>
      </c>
      <c r="M51" s="495"/>
      <c r="N51" s="498" t="s">
        <v>5</v>
      </c>
      <c r="O51" s="495"/>
      <c r="P51" s="495"/>
    </row>
    <row r="52" spans="1:16" ht="17.399999999999999" x14ac:dyDescent="0.3">
      <c r="A52" s="495"/>
      <c r="B52" s="498" t="s">
        <v>379</v>
      </c>
      <c r="C52" s="495"/>
      <c r="D52" s="499">
        <v>5900</v>
      </c>
      <c r="E52" s="495"/>
      <c r="F52" s="499">
        <v>4000</v>
      </c>
      <c r="G52" s="495"/>
      <c r="H52" s="499">
        <v>4000</v>
      </c>
      <c r="I52" s="495"/>
      <c r="J52" s="499">
        <v>4000</v>
      </c>
      <c r="K52" s="495"/>
      <c r="L52" s="499">
        <v>8300</v>
      </c>
      <c r="M52" s="495"/>
      <c r="N52" s="498" t="s">
        <v>6</v>
      </c>
      <c r="O52" s="495"/>
      <c r="P52" s="495"/>
    </row>
    <row r="53" spans="1:16" ht="17.399999999999999" x14ac:dyDescent="0.3">
      <c r="A53" s="495"/>
      <c r="B53" s="498" t="s">
        <v>380</v>
      </c>
      <c r="C53" s="495"/>
      <c r="D53" s="499">
        <v>5700</v>
      </c>
      <c r="E53" s="495"/>
      <c r="F53" s="499">
        <v>4000</v>
      </c>
      <c r="G53" s="495"/>
      <c r="H53" s="499">
        <v>4000</v>
      </c>
      <c r="I53" s="495"/>
      <c r="J53" s="499">
        <v>4000</v>
      </c>
      <c r="K53" s="495"/>
      <c r="L53" s="499">
        <v>3330</v>
      </c>
      <c r="M53" s="495"/>
      <c r="N53" s="498" t="s">
        <v>7</v>
      </c>
      <c r="O53" s="495"/>
      <c r="P53" s="495"/>
    </row>
    <row r="54" spans="1:16" ht="17.399999999999999" x14ac:dyDescent="0.3">
      <c r="A54" s="495"/>
      <c r="B54" s="498" t="s">
        <v>381</v>
      </c>
      <c r="C54" s="495"/>
      <c r="D54" s="499">
        <v>5500</v>
      </c>
      <c r="E54" s="495"/>
      <c r="F54" s="499">
        <v>4200</v>
      </c>
      <c r="G54" s="495"/>
      <c r="H54" s="499">
        <v>4200</v>
      </c>
      <c r="I54" s="495"/>
      <c r="J54" s="499">
        <v>4200</v>
      </c>
      <c r="K54" s="495"/>
      <c r="L54" s="499">
        <v>5500</v>
      </c>
      <c r="M54" s="495"/>
      <c r="N54" s="498" t="s">
        <v>1</v>
      </c>
      <c r="O54" s="495"/>
      <c r="P54" s="495"/>
    </row>
    <row r="55" spans="1:16" ht="17.399999999999999" x14ac:dyDescent="0.3">
      <c r="A55" s="495"/>
      <c r="B55" s="498" t="s">
        <v>375</v>
      </c>
      <c r="C55" s="495"/>
      <c r="D55" s="499">
        <v>5300</v>
      </c>
      <c r="E55" s="495"/>
      <c r="F55" s="499">
        <v>4500</v>
      </c>
      <c r="G55" s="495"/>
      <c r="H55" s="499">
        <v>4500</v>
      </c>
      <c r="I55" s="495"/>
      <c r="J55" s="499">
        <v>4500</v>
      </c>
      <c r="K55" s="495"/>
      <c r="L55" s="499">
        <v>3700</v>
      </c>
      <c r="M55" s="495"/>
      <c r="N55" s="498" t="s">
        <v>2</v>
      </c>
      <c r="O55" s="495"/>
      <c r="P55" s="495"/>
    </row>
    <row r="56" spans="1:16" ht="17.399999999999999" x14ac:dyDescent="0.3">
      <c r="A56" s="495"/>
      <c r="B56" s="498" t="s">
        <v>376</v>
      </c>
      <c r="C56" s="495"/>
      <c r="D56" s="499">
        <v>5200</v>
      </c>
      <c r="E56" s="495"/>
      <c r="F56" s="499">
        <v>5000</v>
      </c>
      <c r="G56" s="495"/>
      <c r="H56" s="499">
        <v>5000</v>
      </c>
      <c r="I56" s="495"/>
      <c r="J56" s="499">
        <v>5000</v>
      </c>
      <c r="K56" s="495"/>
      <c r="L56" s="499">
        <v>4000</v>
      </c>
      <c r="M56" s="495"/>
      <c r="N56" s="498" t="s">
        <v>3</v>
      </c>
      <c r="O56" s="495"/>
      <c r="P56" s="495"/>
    </row>
    <row r="57" spans="1:16" ht="17.399999999999999" x14ac:dyDescent="0.3">
      <c r="A57" s="495"/>
      <c r="B57" s="498" t="s">
        <v>377</v>
      </c>
      <c r="C57" s="495"/>
      <c r="D57" s="499">
        <v>5100</v>
      </c>
      <c r="E57" s="495"/>
      <c r="F57" s="499">
        <v>5100</v>
      </c>
      <c r="G57" s="495"/>
      <c r="H57" s="499">
        <v>5100</v>
      </c>
      <c r="I57" s="495"/>
      <c r="J57" s="499">
        <v>5100</v>
      </c>
      <c r="K57" s="495"/>
      <c r="L57" s="499">
        <v>4000</v>
      </c>
      <c r="M57" s="495"/>
      <c r="N57" s="498" t="s">
        <v>4</v>
      </c>
      <c r="O57" s="495"/>
      <c r="P57" s="495"/>
    </row>
    <row r="58" spans="1:16" ht="17.399999999999999" x14ac:dyDescent="0.3">
      <c r="A58" s="695"/>
      <c r="B58" s="498" t="s">
        <v>378</v>
      </c>
      <c r="C58" s="695"/>
      <c r="D58" s="499">
        <v>5000</v>
      </c>
      <c r="E58" s="695"/>
      <c r="F58" s="499">
        <v>5200</v>
      </c>
      <c r="G58" s="695"/>
      <c r="H58" s="499">
        <v>5200</v>
      </c>
      <c r="I58" s="695"/>
      <c r="J58" s="499">
        <v>5200</v>
      </c>
      <c r="K58" s="695"/>
      <c r="L58" s="499">
        <v>5100</v>
      </c>
      <c r="M58" s="695"/>
      <c r="N58" s="498" t="s">
        <v>5</v>
      </c>
      <c r="O58" s="695"/>
      <c r="P58" s="495"/>
    </row>
    <row r="59" spans="1:16" ht="17.399999999999999" x14ac:dyDescent="0.3">
      <c r="A59" s="695"/>
      <c r="B59" s="498" t="s">
        <v>379</v>
      </c>
      <c r="C59" s="695"/>
      <c r="D59" s="499">
        <v>4500</v>
      </c>
      <c r="E59" s="695"/>
      <c r="F59" s="499">
        <v>5300</v>
      </c>
      <c r="G59" s="695"/>
      <c r="H59" s="499">
        <v>5300</v>
      </c>
      <c r="I59" s="695"/>
      <c r="J59" s="499">
        <v>5300</v>
      </c>
      <c r="K59" s="695"/>
      <c r="L59" s="499">
        <v>4200</v>
      </c>
      <c r="M59" s="695"/>
      <c r="N59" s="498" t="s">
        <v>6</v>
      </c>
      <c r="O59" s="695"/>
      <c r="P59" s="495"/>
    </row>
    <row r="60" spans="1:16" ht="17.399999999999999" x14ac:dyDescent="0.3">
      <c r="A60" s="695"/>
      <c r="B60" s="498" t="s">
        <v>380</v>
      </c>
      <c r="C60" s="695"/>
      <c r="D60" s="499">
        <v>4200</v>
      </c>
      <c r="E60" s="695"/>
      <c r="F60" s="499">
        <v>5500</v>
      </c>
      <c r="G60" s="695"/>
      <c r="H60" s="499">
        <v>5500</v>
      </c>
      <c r="I60" s="695"/>
      <c r="J60" s="499">
        <v>5500</v>
      </c>
      <c r="K60" s="695"/>
      <c r="L60" s="499">
        <v>4500</v>
      </c>
      <c r="M60" s="695"/>
      <c r="N60" s="498" t="s">
        <v>7</v>
      </c>
      <c r="O60" s="695"/>
      <c r="P60" s="495"/>
    </row>
    <row r="61" spans="1:16" ht="17.399999999999999" x14ac:dyDescent="0.3">
      <c r="A61" s="695"/>
      <c r="B61" s="498" t="s">
        <v>381</v>
      </c>
      <c r="C61" s="695"/>
      <c r="D61" s="499">
        <v>4000</v>
      </c>
      <c r="E61" s="695"/>
      <c r="F61" s="499">
        <v>5700</v>
      </c>
      <c r="G61" s="695"/>
      <c r="H61" s="499">
        <v>5700</v>
      </c>
      <c r="I61" s="695"/>
      <c r="J61" s="499">
        <v>5700</v>
      </c>
      <c r="K61" s="695"/>
      <c r="L61" s="499">
        <v>6000</v>
      </c>
      <c r="M61" s="695"/>
      <c r="N61" s="498" t="s">
        <v>1</v>
      </c>
      <c r="O61" s="695"/>
      <c r="P61" s="495"/>
    </row>
    <row r="62" spans="1:16" ht="17.399999999999999" x14ac:dyDescent="0.3">
      <c r="A62" s="695"/>
      <c r="B62" s="498" t="s">
        <v>375</v>
      </c>
      <c r="C62" s="695"/>
      <c r="D62" s="499">
        <v>4000</v>
      </c>
      <c r="E62" s="695"/>
      <c r="F62" s="499">
        <v>5900</v>
      </c>
      <c r="G62" s="695"/>
      <c r="H62" s="499">
        <v>5900</v>
      </c>
      <c r="I62" s="695"/>
      <c r="J62" s="499">
        <v>5900</v>
      </c>
      <c r="K62" s="695"/>
      <c r="L62" s="499">
        <v>5000</v>
      </c>
      <c r="M62" s="695"/>
      <c r="N62" s="498" t="s">
        <v>2</v>
      </c>
      <c r="O62" s="695"/>
      <c r="P62" s="495"/>
    </row>
    <row r="63" spans="1:16" ht="17.399999999999999" x14ac:dyDescent="0.3">
      <c r="A63" s="695"/>
      <c r="B63" s="498" t="s">
        <v>376</v>
      </c>
      <c r="C63" s="695"/>
      <c r="D63" s="499">
        <v>3700</v>
      </c>
      <c r="E63" s="695"/>
      <c r="F63" s="499">
        <v>6000</v>
      </c>
      <c r="G63" s="695"/>
      <c r="H63" s="499">
        <v>6000</v>
      </c>
      <c r="I63" s="695"/>
      <c r="J63" s="499">
        <v>6000</v>
      </c>
      <c r="K63" s="695"/>
      <c r="L63" s="499">
        <v>5200</v>
      </c>
      <c r="M63" s="695"/>
      <c r="N63" s="498" t="s">
        <v>3</v>
      </c>
      <c r="O63" s="695"/>
      <c r="P63" s="495"/>
    </row>
    <row r="64" spans="1:16" ht="17.399999999999999" x14ac:dyDescent="0.3">
      <c r="A64" s="695"/>
      <c r="B64" s="498" t="s">
        <v>377</v>
      </c>
      <c r="C64" s="695"/>
      <c r="D64" s="499">
        <v>3330</v>
      </c>
      <c r="E64" s="695"/>
      <c r="F64" s="499">
        <v>6000</v>
      </c>
      <c r="G64" s="695"/>
      <c r="H64" s="499">
        <v>6000</v>
      </c>
      <c r="I64" s="695"/>
      <c r="J64" s="499">
        <v>6000</v>
      </c>
      <c r="K64" s="695"/>
      <c r="L64" s="499">
        <v>5300</v>
      </c>
      <c r="M64" s="695"/>
      <c r="N64" s="498" t="s">
        <v>4</v>
      </c>
      <c r="O64" s="695"/>
      <c r="P64" s="495"/>
    </row>
    <row r="65" spans="1:16" ht="17.399999999999999" x14ac:dyDescent="0.3">
      <c r="A65" s="695"/>
      <c r="B65" s="498" t="s">
        <v>378</v>
      </c>
      <c r="C65" s="695"/>
      <c r="D65" s="499">
        <v>3000</v>
      </c>
      <c r="E65" s="695"/>
      <c r="F65" s="499">
        <v>6600</v>
      </c>
      <c r="G65" s="695"/>
      <c r="H65" s="499">
        <v>6600</v>
      </c>
      <c r="I65" s="695"/>
      <c r="J65" s="499">
        <v>6600</v>
      </c>
      <c r="K65" s="695"/>
      <c r="L65" s="499">
        <v>5700</v>
      </c>
      <c r="M65" s="695"/>
      <c r="N65" s="498" t="s">
        <v>5</v>
      </c>
      <c r="O65" s="695"/>
      <c r="P65" s="495"/>
    </row>
    <row r="66" spans="1:16" ht="17.399999999999999" x14ac:dyDescent="0.3">
      <c r="A66" s="695"/>
      <c r="B66" s="498" t="s">
        <v>379</v>
      </c>
      <c r="C66" s="695"/>
      <c r="D66" s="499">
        <v>2800</v>
      </c>
      <c r="E66" s="695"/>
      <c r="F66" s="499">
        <v>7000</v>
      </c>
      <c r="G66" s="695"/>
      <c r="H66" s="499">
        <v>7000</v>
      </c>
      <c r="I66" s="695"/>
      <c r="J66" s="499">
        <v>7000</v>
      </c>
      <c r="K66" s="695"/>
      <c r="L66" s="499">
        <v>6000</v>
      </c>
      <c r="M66" s="695"/>
      <c r="N66" s="498" t="s">
        <v>6</v>
      </c>
      <c r="O66" s="695"/>
      <c r="P66" s="495"/>
    </row>
    <row r="67" spans="1:16" ht="17.399999999999999" x14ac:dyDescent="0.3">
      <c r="A67" s="695"/>
      <c r="B67" s="498" t="s">
        <v>380</v>
      </c>
      <c r="C67" s="695"/>
      <c r="D67" s="499">
        <v>2300</v>
      </c>
      <c r="E67" s="695"/>
      <c r="F67" s="499">
        <v>7200</v>
      </c>
      <c r="G67" s="695"/>
      <c r="H67" s="499">
        <v>7200</v>
      </c>
      <c r="I67" s="695"/>
      <c r="J67" s="499">
        <v>7200</v>
      </c>
      <c r="K67" s="695"/>
      <c r="L67" s="499">
        <v>6600</v>
      </c>
      <c r="M67" s="695"/>
      <c r="N67" s="498" t="s">
        <v>7</v>
      </c>
      <c r="O67" s="695"/>
      <c r="P67" s="495"/>
    </row>
    <row r="68" spans="1:16" ht="17.399999999999999" x14ac:dyDescent="0.3">
      <c r="A68" s="695"/>
      <c r="B68" s="498" t="s">
        <v>381</v>
      </c>
      <c r="C68" s="695"/>
      <c r="D68" s="499">
        <v>2200</v>
      </c>
      <c r="E68" s="695"/>
      <c r="F68" s="499">
        <v>7300</v>
      </c>
      <c r="G68" s="695"/>
      <c r="H68" s="499">
        <v>7300</v>
      </c>
      <c r="I68" s="695"/>
      <c r="J68" s="499">
        <v>7300</v>
      </c>
      <c r="K68" s="695"/>
      <c r="L68" s="499">
        <v>7000</v>
      </c>
      <c r="M68" s="695"/>
      <c r="N68" s="498" t="s">
        <v>1</v>
      </c>
      <c r="O68" s="695"/>
      <c r="P68" s="495"/>
    </row>
    <row r="69" spans="1:16" ht="17.399999999999999" x14ac:dyDescent="0.3">
      <c r="A69" s="695"/>
      <c r="B69" s="498" t="s">
        <v>375</v>
      </c>
      <c r="C69" s="695"/>
      <c r="D69" s="499">
        <v>2000</v>
      </c>
      <c r="E69" s="695"/>
      <c r="F69" s="499">
        <v>7400</v>
      </c>
      <c r="G69" s="695"/>
      <c r="H69" s="499">
        <v>7400</v>
      </c>
      <c r="I69" s="695"/>
      <c r="J69" s="499">
        <v>7400</v>
      </c>
      <c r="K69" s="695"/>
      <c r="L69" s="499">
        <v>7300</v>
      </c>
      <c r="M69" s="695"/>
      <c r="N69" s="498" t="s">
        <v>2</v>
      </c>
      <c r="O69" s="695"/>
      <c r="P69" s="495"/>
    </row>
    <row r="70" spans="1:16" ht="17.399999999999999" x14ac:dyDescent="0.3">
      <c r="A70" s="695"/>
      <c r="B70" s="498" t="s">
        <v>376</v>
      </c>
      <c r="C70" s="695"/>
      <c r="D70" s="499">
        <v>1500</v>
      </c>
      <c r="E70" s="695"/>
      <c r="F70" s="499">
        <v>7800</v>
      </c>
      <c r="G70" s="695"/>
      <c r="H70" s="499">
        <v>7800</v>
      </c>
      <c r="I70" s="695"/>
      <c r="J70" s="499">
        <v>7800</v>
      </c>
      <c r="K70" s="695"/>
      <c r="L70" s="499">
        <v>7400</v>
      </c>
      <c r="M70" s="695"/>
      <c r="N70" s="498" t="s">
        <v>3</v>
      </c>
      <c r="O70" s="695"/>
      <c r="P70" s="495"/>
    </row>
    <row r="71" spans="1:16" ht="17.399999999999999" x14ac:dyDescent="0.3">
      <c r="A71" s="695"/>
      <c r="B71" s="498" t="s">
        <v>377</v>
      </c>
      <c r="C71" s="695"/>
      <c r="D71" s="499">
        <v>1000</v>
      </c>
      <c r="E71" s="695"/>
      <c r="F71" s="499">
        <v>8000</v>
      </c>
      <c r="G71" s="695"/>
      <c r="H71" s="499">
        <v>8000</v>
      </c>
      <c r="I71" s="695"/>
      <c r="J71" s="499">
        <v>8000</v>
      </c>
      <c r="K71" s="695"/>
      <c r="L71" s="499">
        <v>7800</v>
      </c>
      <c r="M71" s="695"/>
      <c r="N71" s="498" t="s">
        <v>4</v>
      </c>
      <c r="O71" s="695"/>
      <c r="P71" s="495"/>
    </row>
    <row r="72" spans="1:16" ht="17.399999999999999" x14ac:dyDescent="0.3">
      <c r="A72" s="695"/>
      <c r="B72" s="498" t="s">
        <v>378</v>
      </c>
      <c r="C72" s="695"/>
      <c r="D72" s="499">
        <v>1000</v>
      </c>
      <c r="E72" s="695"/>
      <c r="F72" s="499">
        <v>8300</v>
      </c>
      <c r="G72" s="695"/>
      <c r="H72" s="499">
        <v>8300</v>
      </c>
      <c r="I72" s="695"/>
      <c r="J72" s="499">
        <v>8300</v>
      </c>
      <c r="K72" s="695"/>
      <c r="L72" s="499">
        <v>8000</v>
      </c>
      <c r="M72" s="695"/>
      <c r="N72" s="498" t="s">
        <v>5</v>
      </c>
      <c r="O72" s="695"/>
      <c r="P72" s="495"/>
    </row>
    <row r="73" spans="1:16" ht="17.399999999999999" x14ac:dyDescent="0.3">
      <c r="A73" s="695"/>
      <c r="B73" s="498" t="s">
        <v>379</v>
      </c>
      <c r="C73" s="695"/>
      <c r="D73" s="499">
        <v>1000</v>
      </c>
      <c r="E73" s="695"/>
      <c r="F73" s="499">
        <v>8800</v>
      </c>
      <c r="G73" s="695"/>
      <c r="H73" s="499">
        <v>8800</v>
      </c>
      <c r="I73" s="695"/>
      <c r="J73" s="499">
        <v>8800</v>
      </c>
      <c r="K73" s="695"/>
      <c r="L73" s="499">
        <v>8800</v>
      </c>
      <c r="M73" s="695"/>
      <c r="N73" s="498" t="s">
        <v>6</v>
      </c>
      <c r="O73" s="695"/>
      <c r="P73" s="495"/>
    </row>
    <row r="74" spans="1:16" ht="17.399999999999999" x14ac:dyDescent="0.3">
      <c r="A74" s="695"/>
      <c r="B74" s="498" t="s">
        <v>380</v>
      </c>
      <c r="C74" s="695"/>
      <c r="D74" s="499">
        <v>1000</v>
      </c>
      <c r="E74" s="695"/>
      <c r="F74" s="499">
        <v>8900</v>
      </c>
      <c r="G74" s="695"/>
      <c r="H74" s="499">
        <v>8900</v>
      </c>
      <c r="I74" s="695"/>
      <c r="J74" s="499">
        <v>8900</v>
      </c>
      <c r="K74" s="695"/>
      <c r="L74" s="499">
        <v>8900</v>
      </c>
      <c r="M74" s="695"/>
      <c r="N74" s="498" t="s">
        <v>7</v>
      </c>
      <c r="O74" s="695"/>
      <c r="P74" s="495"/>
    </row>
    <row r="75" spans="1:16" ht="17.399999999999999" x14ac:dyDescent="0.3">
      <c r="A75" s="495"/>
      <c r="B75" s="495"/>
      <c r="C75" s="495"/>
      <c r="D75" s="495"/>
      <c r="E75" s="495"/>
      <c r="F75" s="495"/>
      <c r="G75" s="495"/>
      <c r="H75" s="495"/>
      <c r="I75" s="495"/>
      <c r="J75" s="495"/>
      <c r="K75" s="495"/>
      <c r="L75" s="495"/>
      <c r="M75" s="495"/>
      <c r="N75" s="495"/>
      <c r="O75" s="495"/>
      <c r="P75" s="495"/>
    </row>
    <row r="77" spans="1:16" ht="17.399999999999999" x14ac:dyDescent="0.3">
      <c r="D77" s="705" t="s">
        <v>380</v>
      </c>
    </row>
    <row r="78" spans="1:16" ht="17.399999999999999" x14ac:dyDescent="0.3">
      <c r="D78" s="706" t="s">
        <v>381</v>
      </c>
    </row>
    <row r="79" spans="1:16" ht="17.399999999999999" x14ac:dyDescent="0.3">
      <c r="D79" s="705" t="s">
        <v>375</v>
      </c>
    </row>
    <row r="80" spans="1:16" ht="17.399999999999999" x14ac:dyDescent="0.3">
      <c r="D80" s="705" t="s">
        <v>375</v>
      </c>
    </row>
    <row r="81" spans="4:4" ht="17.399999999999999" x14ac:dyDescent="0.3">
      <c r="D81" s="706" t="s">
        <v>380</v>
      </c>
    </row>
    <row r="82" spans="4:4" ht="17.399999999999999" x14ac:dyDescent="0.3">
      <c r="D82" s="705" t="s">
        <v>381</v>
      </c>
    </row>
    <row r="83" spans="4:4" ht="17.399999999999999" x14ac:dyDescent="0.3">
      <c r="D83" s="706" t="s">
        <v>381</v>
      </c>
    </row>
    <row r="84" spans="4:4" ht="17.399999999999999" x14ac:dyDescent="0.3">
      <c r="D84" s="705" t="s">
        <v>375</v>
      </c>
    </row>
    <row r="85" spans="4:4" ht="17.399999999999999" x14ac:dyDescent="0.3">
      <c r="D85" s="706" t="s">
        <v>381</v>
      </c>
    </row>
    <row r="86" spans="4:4" ht="17.399999999999999" x14ac:dyDescent="0.3">
      <c r="D86" s="706" t="s">
        <v>375</v>
      </c>
    </row>
    <row r="87" spans="4:4" ht="17.399999999999999" x14ac:dyDescent="0.3">
      <c r="D87" s="706" t="s">
        <v>381</v>
      </c>
    </row>
    <row r="88" spans="4:4" ht="17.399999999999999" x14ac:dyDescent="0.3">
      <c r="D88" s="705" t="s">
        <v>375</v>
      </c>
    </row>
    <row r="89" spans="4:4" ht="17.399999999999999" x14ac:dyDescent="0.3">
      <c r="D89" s="705" t="s">
        <v>377</v>
      </c>
    </row>
    <row r="90" spans="4:4" ht="17.399999999999999" x14ac:dyDescent="0.3">
      <c r="D90" s="705" t="s">
        <v>379</v>
      </c>
    </row>
  </sheetData>
  <sortState xmlns:xlrd2="http://schemas.microsoft.com/office/spreadsheetml/2017/richdata2" ref="H40:H74">
    <sortCondition ref="H40:H74"/>
  </sortState>
  <conditionalFormatting sqref="D3:D37">
    <cfRule type="cellIs" dxfId="15" priority="15" operator="greaterThan">
      <formula>4000</formula>
    </cfRule>
  </conditionalFormatting>
  <conditionalFormatting sqref="E3:E37">
    <cfRule type="cellIs" dxfId="14" priority="14" operator="between">
      <formula>3000</formula>
      <formula>7000</formula>
    </cfRule>
  </conditionalFormatting>
  <conditionalFormatting sqref="C3:C37">
    <cfRule type="containsText" dxfId="13" priority="13" operator="containsText" text="Pen">
      <formula>NOT(ISERROR(SEARCH("Pen",C3)))</formula>
    </cfRule>
  </conditionalFormatting>
  <conditionalFormatting sqref="B3:B37">
    <cfRule type="containsText" dxfId="12" priority="12" operator="containsText" text="MA">
      <formula>NOT(ISERROR(SEARCH("MA",B3)))</formula>
    </cfRule>
  </conditionalFormatting>
  <conditionalFormatting sqref="A3:A37">
    <cfRule type="timePeriod" dxfId="11" priority="11" timePeriod="nextWeek">
      <formula>AND(ROUNDDOWN(A3,0)-TODAY()&gt;(7-WEEKDAY(TODAY())),ROUNDDOWN(A3,0)-TODAY()&lt;(15-WEEKDAY(TODAY())))</formula>
    </cfRule>
  </conditionalFormatting>
  <conditionalFormatting sqref="I3:I37">
    <cfRule type="aboveAverage" dxfId="10" priority="10" equalAverage="1"/>
  </conditionalFormatting>
  <conditionalFormatting sqref="K3:K37">
    <cfRule type="aboveAverage" dxfId="9" priority="9" aboveAverage="0"/>
  </conditionalFormatting>
  <conditionalFormatting sqref="M3:M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{E611E682-3167-4B4C-9DE5-6BA5FF86CCF6}</x14:id>
        </ext>
      </extLst>
    </cfRule>
  </conditionalFormatting>
  <conditionalFormatting sqref="O3:O37">
    <cfRule type="dataBar" priority="7">
      <dataBar>
        <cfvo type="min"/>
        <cfvo type="max"/>
        <color rgb="FF7030A0"/>
      </dataBar>
      <extLst>
        <ext xmlns:x14="http://schemas.microsoft.com/office/spreadsheetml/2009/9/main" uri="{B025F937-C7B1-47D3-B67F-A62EFF666E3E}">
          <x14:id>{017A06CC-7725-4E03-85D6-375528EB66E9}</x14:id>
        </ext>
      </extLst>
    </cfRule>
  </conditionalFormatting>
  <conditionalFormatting sqref="D77:D90">
    <cfRule type="containsText" dxfId="8" priority="6" operator="containsText" text="Pen">
      <formula>NOT(ISERROR(SEARCH("Pen",D77)))</formula>
    </cfRule>
  </conditionalFormatting>
  <conditionalFormatting sqref="D40:D7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0:F74">
    <cfRule type="colorScale" priority="3">
      <colorScale>
        <cfvo type="min"/>
        <cfvo type="percentile" val="50"/>
        <cfvo type="max"/>
        <color theme="9" tint="-0.249977111117893"/>
        <color theme="8" tint="0.79998168889431442"/>
        <color theme="3" tint="0.249977111117893"/>
      </colorScale>
    </cfRule>
  </conditionalFormatting>
  <conditionalFormatting sqref="H40:H74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11E682-3167-4B4C-9DE5-6BA5FF86C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M3:M37</xm:sqref>
        </x14:conditionalFormatting>
        <x14:conditionalFormatting xmlns:xm="http://schemas.microsoft.com/office/excel/2006/main">
          <x14:cfRule type="dataBar" id="{017A06CC-7725-4E03-85D6-375528EB66E9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O3:O37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24EA-290B-4C63-8B0C-D21B6AA00F06}">
  <dimension ref="A1:Z999"/>
  <sheetViews>
    <sheetView workbookViewId="0">
      <selection activeCell="E14" sqref="E14"/>
    </sheetView>
  </sheetViews>
  <sheetFormatPr defaultColWidth="14.44140625" defaultRowHeight="15" customHeight="1" x14ac:dyDescent="0.3"/>
  <cols>
    <col min="1" max="1" width="8.6640625" style="501" customWidth="1"/>
    <col min="2" max="2" width="30.33203125" style="501" bestFit="1" customWidth="1"/>
    <col min="3" max="3" width="13.5546875" style="501" customWidth="1"/>
    <col min="4" max="4" width="22.109375" style="501" customWidth="1"/>
    <col min="5" max="5" width="16.44140625" style="501" customWidth="1"/>
    <col min="6" max="26" width="8.6640625" style="501" customWidth="1"/>
    <col min="27" max="16384" width="14.44140625" style="501"/>
  </cols>
  <sheetData>
    <row r="1" spans="1:26" x14ac:dyDescent="0.3">
      <c r="A1" s="500"/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</row>
    <row r="2" spans="1:26" ht="18" x14ac:dyDescent="0.3">
      <c r="A2" s="500"/>
      <c r="B2" s="684" t="s">
        <v>382</v>
      </c>
      <c r="C2" s="685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</row>
    <row r="3" spans="1:26" ht="18" x14ac:dyDescent="0.3">
      <c r="A3" s="500"/>
      <c r="B3" s="503" t="s">
        <v>383</v>
      </c>
      <c r="C3" s="503" t="s">
        <v>384</v>
      </c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</row>
    <row r="4" spans="1:26" ht="17.399999999999999" x14ac:dyDescent="0.3">
      <c r="A4" s="500"/>
      <c r="B4" s="504" t="s">
        <v>385</v>
      </c>
      <c r="C4" s="504">
        <v>8000</v>
      </c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</row>
    <row r="5" spans="1:26" ht="17.399999999999999" x14ac:dyDescent="0.3">
      <c r="A5" s="500"/>
      <c r="B5" s="504" t="s">
        <v>386</v>
      </c>
      <c r="C5" s="504">
        <v>6000</v>
      </c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</row>
    <row r="6" spans="1:26" ht="17.399999999999999" x14ac:dyDescent="0.3">
      <c r="A6" s="500"/>
      <c r="B6" s="504" t="s">
        <v>387</v>
      </c>
      <c r="C6" s="504">
        <v>3000</v>
      </c>
      <c r="F6" s="500"/>
      <c r="G6" s="500"/>
      <c r="H6" s="500"/>
      <c r="I6" s="500"/>
      <c r="J6" s="500"/>
      <c r="K6" s="500"/>
      <c r="L6" s="500"/>
      <c r="M6" s="500"/>
      <c r="N6" s="500"/>
      <c r="O6" s="500"/>
      <c r="P6" s="500"/>
      <c r="Q6" s="500"/>
      <c r="R6" s="500"/>
      <c r="S6" s="500"/>
      <c r="T6" s="500"/>
      <c r="U6" s="500"/>
      <c r="V6" s="500"/>
      <c r="W6" s="500"/>
      <c r="X6" s="500"/>
      <c r="Y6" s="500"/>
      <c r="Z6" s="500"/>
    </row>
    <row r="7" spans="1:26" ht="17.399999999999999" x14ac:dyDescent="0.3">
      <c r="A7" s="500"/>
      <c r="B7" s="504" t="s">
        <v>388</v>
      </c>
      <c r="C7" s="504">
        <v>2500</v>
      </c>
      <c r="F7" s="500"/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  <c r="S7" s="500"/>
      <c r="T7" s="500"/>
      <c r="U7" s="500"/>
      <c r="V7" s="500"/>
      <c r="W7" s="500"/>
      <c r="X7" s="500"/>
      <c r="Y7" s="500"/>
      <c r="Z7" s="500"/>
    </row>
    <row r="8" spans="1:26" ht="17.399999999999999" x14ac:dyDescent="0.3">
      <c r="A8" s="500"/>
      <c r="B8" s="504" t="s">
        <v>389</v>
      </c>
      <c r="C8" s="504">
        <v>700</v>
      </c>
      <c r="F8" s="500"/>
      <c r="G8" s="500"/>
      <c r="H8" s="500"/>
      <c r="I8" s="500"/>
      <c r="J8" s="500"/>
      <c r="K8" s="500"/>
      <c r="L8" s="500"/>
      <c r="M8" s="500"/>
      <c r="N8" s="500"/>
      <c r="O8" s="500"/>
      <c r="P8" s="500"/>
      <c r="Q8" s="500"/>
      <c r="R8" s="500"/>
      <c r="S8" s="500"/>
      <c r="T8" s="500"/>
      <c r="U8" s="500"/>
      <c r="V8" s="500"/>
      <c r="W8" s="500"/>
      <c r="X8" s="500"/>
      <c r="Y8" s="500"/>
      <c r="Z8" s="500"/>
    </row>
    <row r="9" spans="1:26" ht="17.399999999999999" x14ac:dyDescent="0.3">
      <c r="A9" s="500"/>
      <c r="B9" s="504" t="s">
        <v>390</v>
      </c>
      <c r="C9" s="504">
        <v>20000</v>
      </c>
      <c r="F9" s="500"/>
      <c r="G9" s="500"/>
      <c r="H9" s="500"/>
      <c r="I9" s="500"/>
      <c r="J9" s="500"/>
      <c r="K9" s="500"/>
      <c r="L9" s="500"/>
      <c r="M9" s="500"/>
      <c r="N9" s="500"/>
      <c r="O9" s="500"/>
      <c r="P9" s="500"/>
      <c r="Q9" s="500"/>
      <c r="R9" s="500"/>
      <c r="S9" s="500"/>
      <c r="T9" s="500"/>
      <c r="U9" s="500"/>
      <c r="V9" s="500"/>
      <c r="W9" s="500"/>
      <c r="X9" s="500"/>
      <c r="Y9" s="500"/>
      <c r="Z9" s="500"/>
    </row>
    <row r="10" spans="1:26" ht="17.399999999999999" x14ac:dyDescent="0.3">
      <c r="A10" s="500"/>
      <c r="B10" s="504" t="s">
        <v>391</v>
      </c>
      <c r="C10" s="504">
        <v>4500</v>
      </c>
      <c r="F10" s="500"/>
      <c r="G10" s="500"/>
      <c r="H10" s="500"/>
      <c r="I10" s="500"/>
      <c r="J10" s="500"/>
      <c r="K10" s="500"/>
      <c r="L10" s="500"/>
      <c r="M10" s="500"/>
      <c r="N10" s="500"/>
      <c r="O10" s="500"/>
      <c r="P10" s="500"/>
      <c r="Q10" s="500"/>
      <c r="R10" s="500"/>
      <c r="S10" s="500"/>
      <c r="T10" s="500"/>
      <c r="U10" s="500"/>
      <c r="V10" s="500"/>
      <c r="W10" s="500"/>
      <c r="X10" s="500"/>
      <c r="Y10" s="500"/>
      <c r="Z10" s="500"/>
    </row>
    <row r="11" spans="1:26" ht="17.399999999999999" x14ac:dyDescent="0.3">
      <c r="A11" s="500"/>
      <c r="B11" s="504" t="s">
        <v>392</v>
      </c>
      <c r="C11" s="504">
        <v>10000</v>
      </c>
      <c r="F11" s="500"/>
      <c r="G11" s="500"/>
      <c r="H11" s="500"/>
      <c r="I11" s="500"/>
      <c r="J11" s="500"/>
      <c r="K11" s="500"/>
      <c r="L11" s="500"/>
      <c r="M11" s="500"/>
      <c r="N11" s="500"/>
      <c r="O11" s="500"/>
      <c r="P11" s="500"/>
      <c r="Q11" s="500"/>
      <c r="R11" s="500"/>
      <c r="S11" s="500"/>
      <c r="T11" s="500"/>
      <c r="U11" s="500"/>
      <c r="V11" s="500"/>
      <c r="W11" s="500"/>
      <c r="X11" s="500"/>
      <c r="Y11" s="500"/>
      <c r="Z11" s="500"/>
    </row>
    <row r="12" spans="1:26" ht="17.399999999999999" x14ac:dyDescent="0.3">
      <c r="A12" s="500"/>
      <c r="B12" s="504" t="s">
        <v>393</v>
      </c>
      <c r="C12" s="504">
        <v>2000</v>
      </c>
      <c r="F12" s="500"/>
      <c r="G12" s="500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0"/>
      <c r="S12" s="500"/>
      <c r="T12" s="500"/>
      <c r="U12" s="500"/>
      <c r="V12" s="500"/>
      <c r="W12" s="500"/>
      <c r="X12" s="500"/>
      <c r="Y12" s="500"/>
      <c r="Z12" s="500"/>
    </row>
    <row r="13" spans="1:26" ht="17.399999999999999" x14ac:dyDescent="0.3">
      <c r="A13" s="500"/>
      <c r="B13" s="504" t="s">
        <v>394</v>
      </c>
      <c r="C13" s="504">
        <v>400</v>
      </c>
      <c r="F13" s="500"/>
      <c r="G13" s="500"/>
      <c r="H13" s="500"/>
      <c r="I13" s="500"/>
      <c r="J13" s="500"/>
      <c r="K13" s="500"/>
      <c r="L13" s="500"/>
      <c r="M13" s="500"/>
      <c r="N13" s="500"/>
      <c r="O13" s="500"/>
      <c r="P13" s="500"/>
      <c r="Q13" s="500"/>
      <c r="R13" s="500"/>
      <c r="S13" s="500"/>
      <c r="T13" s="500"/>
      <c r="U13" s="500"/>
      <c r="V13" s="500"/>
      <c r="W13" s="500"/>
      <c r="X13" s="500"/>
      <c r="Y13" s="500"/>
      <c r="Z13" s="500"/>
    </row>
    <row r="14" spans="1:26" ht="18" x14ac:dyDescent="0.3">
      <c r="A14" s="500"/>
      <c r="B14" s="505" t="s">
        <v>271</v>
      </c>
      <c r="C14" s="505">
        <f>SUM(C4:C13)</f>
        <v>57100</v>
      </c>
      <c r="F14" s="500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U14" s="500"/>
      <c r="V14" s="500"/>
      <c r="W14" s="500"/>
      <c r="X14" s="500"/>
      <c r="Y14" s="500"/>
      <c r="Z14" s="500"/>
    </row>
    <row r="15" spans="1:26" x14ac:dyDescent="0.3">
      <c r="A15" s="500"/>
      <c r="B15" s="506"/>
      <c r="C15" s="500"/>
      <c r="F15" s="500"/>
      <c r="G15" s="500"/>
      <c r="H15" s="500"/>
      <c r="I15" s="500"/>
      <c r="J15" s="500"/>
      <c r="K15" s="500"/>
      <c r="L15" s="500"/>
      <c r="M15" s="500"/>
      <c r="N15" s="500"/>
      <c r="O15" s="500"/>
      <c r="P15" s="500"/>
      <c r="Q15" s="500"/>
      <c r="R15" s="500"/>
      <c r="S15" s="500"/>
      <c r="T15" s="500"/>
      <c r="U15" s="500"/>
      <c r="V15" s="500"/>
      <c r="W15" s="500"/>
      <c r="X15" s="500"/>
      <c r="Y15" s="500"/>
      <c r="Z15" s="500"/>
    </row>
    <row r="16" spans="1:26" ht="16.8" x14ac:dyDescent="0.3">
      <c r="A16" s="500"/>
      <c r="B16" s="507" t="s">
        <v>395</v>
      </c>
      <c r="C16" s="508"/>
      <c r="F16" s="500"/>
      <c r="G16" s="500"/>
      <c r="H16" s="500"/>
      <c r="I16" s="500"/>
      <c r="J16" s="500"/>
      <c r="K16" s="500"/>
      <c r="L16" s="500"/>
      <c r="M16" s="500"/>
      <c r="N16" s="500"/>
      <c r="O16" s="500"/>
      <c r="P16" s="500"/>
      <c r="Q16" s="500"/>
      <c r="R16" s="500"/>
      <c r="S16" s="500"/>
      <c r="T16" s="500"/>
      <c r="U16" s="500"/>
      <c r="V16" s="500"/>
      <c r="W16" s="500"/>
      <c r="X16" s="500"/>
      <c r="Y16" s="500"/>
      <c r="Z16" s="500"/>
    </row>
    <row r="17" spans="1:26" x14ac:dyDescent="0.3">
      <c r="A17" s="500"/>
      <c r="B17" s="500"/>
      <c r="C17" s="500"/>
      <c r="D17" s="500"/>
      <c r="E17" s="500"/>
      <c r="F17" s="500"/>
      <c r="G17" s="500"/>
      <c r="H17" s="500"/>
      <c r="I17" s="500"/>
      <c r="J17" s="500"/>
      <c r="K17" s="500"/>
      <c r="L17" s="500"/>
      <c r="M17" s="500"/>
      <c r="N17" s="500"/>
      <c r="O17" s="500"/>
      <c r="P17" s="500"/>
      <c r="Q17" s="500"/>
      <c r="R17" s="500"/>
      <c r="S17" s="500"/>
      <c r="T17" s="500"/>
      <c r="U17" s="500"/>
      <c r="V17" s="500"/>
      <c r="W17" s="500"/>
      <c r="X17" s="500"/>
      <c r="Y17" s="500"/>
      <c r="Z17" s="500"/>
    </row>
    <row r="18" spans="1:26" x14ac:dyDescent="0.3">
      <c r="A18" s="500"/>
      <c r="B18" s="500"/>
      <c r="C18" s="500"/>
      <c r="D18" s="500"/>
      <c r="E18" s="500"/>
      <c r="F18" s="500"/>
      <c r="G18" s="500"/>
      <c r="H18" s="500"/>
      <c r="I18" s="500"/>
      <c r="J18" s="500"/>
      <c r="K18" s="500"/>
      <c r="L18" s="500"/>
      <c r="M18" s="500"/>
      <c r="N18" s="500"/>
      <c r="O18" s="500"/>
      <c r="P18" s="500"/>
      <c r="Q18" s="500"/>
      <c r="R18" s="500"/>
      <c r="S18" s="500"/>
      <c r="T18" s="500"/>
      <c r="U18" s="500"/>
      <c r="V18" s="500"/>
      <c r="W18" s="500"/>
      <c r="X18" s="500"/>
      <c r="Y18" s="500"/>
      <c r="Z18" s="500"/>
    </row>
    <row r="19" spans="1:26" x14ac:dyDescent="0.3">
      <c r="A19" s="500"/>
      <c r="B19" s="500"/>
      <c r="C19" s="500"/>
      <c r="D19" s="500"/>
      <c r="E19" s="500"/>
      <c r="F19" s="500"/>
      <c r="G19" s="500"/>
      <c r="H19" s="500"/>
      <c r="I19" s="500"/>
      <c r="J19" s="500"/>
      <c r="K19" s="500"/>
      <c r="L19" s="500"/>
      <c r="M19" s="500"/>
      <c r="N19" s="500"/>
      <c r="O19" s="500"/>
      <c r="P19" s="500"/>
      <c r="Q19" s="500"/>
      <c r="R19" s="500"/>
      <c r="S19" s="500"/>
      <c r="T19" s="500"/>
      <c r="U19" s="500"/>
      <c r="V19" s="500"/>
      <c r="W19" s="500"/>
      <c r="X19" s="500"/>
      <c r="Y19" s="500"/>
      <c r="Z19" s="500"/>
    </row>
    <row r="20" spans="1:26" x14ac:dyDescent="0.3">
      <c r="A20" s="500"/>
      <c r="B20" s="500"/>
      <c r="C20" s="500"/>
      <c r="D20" s="500"/>
      <c r="E20" s="500"/>
      <c r="F20" s="500"/>
      <c r="G20" s="500"/>
      <c r="H20" s="500"/>
      <c r="I20" s="500"/>
      <c r="J20" s="500"/>
      <c r="K20" s="500"/>
      <c r="L20" s="500"/>
      <c r="M20" s="500"/>
      <c r="N20" s="500"/>
      <c r="O20" s="500"/>
      <c r="P20" s="500"/>
      <c r="Q20" s="500"/>
      <c r="R20" s="500"/>
      <c r="S20" s="500"/>
      <c r="T20" s="500"/>
      <c r="U20" s="500"/>
      <c r="V20" s="500"/>
      <c r="W20" s="500"/>
      <c r="X20" s="500"/>
      <c r="Y20" s="500"/>
      <c r="Z20" s="500"/>
    </row>
    <row r="21" spans="1:26" x14ac:dyDescent="0.3">
      <c r="A21" s="500"/>
      <c r="B21" s="500"/>
      <c r="C21" s="500"/>
      <c r="D21" s="500"/>
      <c r="E21" s="500"/>
      <c r="F21" s="500"/>
      <c r="G21" s="500"/>
      <c r="H21" s="500"/>
      <c r="I21" s="500"/>
      <c r="J21" s="500"/>
      <c r="K21" s="500"/>
      <c r="L21" s="500"/>
      <c r="M21" s="500"/>
      <c r="N21" s="500"/>
      <c r="O21" s="500"/>
      <c r="P21" s="500"/>
      <c r="Q21" s="500"/>
      <c r="R21" s="500"/>
      <c r="S21" s="500"/>
      <c r="T21" s="500"/>
      <c r="U21" s="500"/>
      <c r="V21" s="500"/>
      <c r="W21" s="500"/>
      <c r="X21" s="500"/>
      <c r="Y21" s="500"/>
      <c r="Z21" s="500"/>
    </row>
    <row r="22" spans="1:26" x14ac:dyDescent="0.3">
      <c r="A22" s="500"/>
      <c r="B22" s="500"/>
      <c r="C22" s="500"/>
      <c r="D22" s="500"/>
      <c r="E22" s="500"/>
      <c r="F22" s="500"/>
      <c r="G22" s="500"/>
      <c r="H22" s="500"/>
      <c r="I22" s="500"/>
      <c r="J22" s="500"/>
      <c r="K22" s="500"/>
      <c r="L22" s="500"/>
      <c r="M22" s="500"/>
      <c r="N22" s="500"/>
      <c r="O22" s="500"/>
      <c r="P22" s="500"/>
      <c r="Q22" s="500"/>
      <c r="R22" s="500"/>
      <c r="S22" s="500"/>
      <c r="T22" s="500"/>
      <c r="U22" s="500"/>
      <c r="V22" s="500"/>
      <c r="W22" s="500"/>
      <c r="X22" s="500"/>
      <c r="Y22" s="500"/>
      <c r="Z22" s="500"/>
    </row>
    <row r="23" spans="1:26" x14ac:dyDescent="0.3">
      <c r="A23" s="500"/>
      <c r="B23" s="500"/>
      <c r="C23" s="500"/>
      <c r="D23" s="500"/>
      <c r="E23" s="500"/>
      <c r="F23" s="500"/>
      <c r="G23" s="500"/>
      <c r="H23" s="500"/>
      <c r="I23" s="500"/>
      <c r="J23" s="500"/>
      <c r="K23" s="500"/>
      <c r="L23" s="500"/>
      <c r="M23" s="500"/>
      <c r="N23" s="500"/>
      <c r="O23" s="500"/>
      <c r="P23" s="500"/>
      <c r="Q23" s="500"/>
      <c r="R23" s="500"/>
      <c r="S23" s="500"/>
      <c r="T23" s="500"/>
      <c r="U23" s="500"/>
      <c r="V23" s="500"/>
      <c r="W23" s="500"/>
      <c r="X23" s="500"/>
      <c r="Y23" s="500"/>
      <c r="Z23" s="500"/>
    </row>
    <row r="24" spans="1:26" x14ac:dyDescent="0.3">
      <c r="A24" s="500"/>
      <c r="B24" s="500"/>
      <c r="C24" s="500"/>
      <c r="D24" s="500"/>
      <c r="E24" s="500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0"/>
      <c r="R24" s="500"/>
      <c r="S24" s="500"/>
      <c r="T24" s="500"/>
      <c r="U24" s="500"/>
      <c r="V24" s="500"/>
      <c r="W24" s="500"/>
      <c r="X24" s="500"/>
      <c r="Y24" s="500"/>
      <c r="Z24" s="500"/>
    </row>
    <row r="25" spans="1:26" x14ac:dyDescent="0.3">
      <c r="A25" s="500"/>
      <c r="B25" s="500"/>
      <c r="C25" s="500"/>
      <c r="D25" s="500"/>
      <c r="E25" s="500"/>
      <c r="F25" s="500"/>
      <c r="G25" s="500"/>
      <c r="H25" s="500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Y25" s="500"/>
      <c r="Z25" s="500"/>
    </row>
    <row r="26" spans="1:26" x14ac:dyDescent="0.3">
      <c r="A26" s="500"/>
      <c r="B26" s="500"/>
      <c r="C26" s="500"/>
      <c r="D26" s="500"/>
      <c r="E26" s="500"/>
      <c r="F26" s="500"/>
      <c r="G26" s="500"/>
      <c r="H26" s="500"/>
      <c r="I26" s="500"/>
      <c r="J26" s="500"/>
      <c r="K26" s="500"/>
      <c r="L26" s="500"/>
      <c r="M26" s="500"/>
      <c r="N26" s="500"/>
      <c r="O26" s="500"/>
      <c r="P26" s="500"/>
      <c r="Q26" s="500"/>
      <c r="R26" s="500"/>
      <c r="S26" s="500"/>
      <c r="T26" s="500"/>
      <c r="U26" s="500"/>
      <c r="V26" s="500"/>
      <c r="W26" s="500"/>
      <c r="X26" s="500"/>
      <c r="Y26" s="500"/>
      <c r="Z26" s="500"/>
    </row>
    <row r="27" spans="1:26" x14ac:dyDescent="0.3">
      <c r="A27" s="500"/>
      <c r="B27" s="500"/>
      <c r="C27" s="500"/>
      <c r="D27" s="500"/>
      <c r="E27" s="500"/>
      <c r="F27" s="500"/>
      <c r="G27" s="500"/>
      <c r="H27" s="500"/>
      <c r="I27" s="500"/>
      <c r="J27" s="500"/>
      <c r="K27" s="500"/>
      <c r="L27" s="500"/>
      <c r="M27" s="500"/>
      <c r="N27" s="500"/>
      <c r="O27" s="500"/>
      <c r="P27" s="500"/>
      <c r="Q27" s="500"/>
      <c r="R27" s="500"/>
      <c r="S27" s="500"/>
      <c r="T27" s="500"/>
      <c r="U27" s="500"/>
      <c r="V27" s="500"/>
      <c r="W27" s="500"/>
      <c r="X27" s="500"/>
      <c r="Y27" s="500"/>
      <c r="Z27" s="500"/>
    </row>
    <row r="28" spans="1:26" x14ac:dyDescent="0.3">
      <c r="A28" s="500"/>
      <c r="B28" s="500"/>
      <c r="C28" s="500"/>
      <c r="D28" s="500"/>
      <c r="E28" s="500"/>
      <c r="F28" s="500"/>
      <c r="G28" s="500"/>
      <c r="H28" s="500"/>
      <c r="I28" s="500"/>
      <c r="J28" s="500"/>
      <c r="K28" s="500"/>
      <c r="L28" s="500"/>
      <c r="M28" s="500"/>
      <c r="N28" s="500"/>
      <c r="O28" s="500"/>
      <c r="P28" s="500"/>
      <c r="Q28" s="500"/>
      <c r="R28" s="500"/>
      <c r="S28" s="500"/>
      <c r="T28" s="500"/>
      <c r="U28" s="500"/>
      <c r="V28" s="500"/>
      <c r="W28" s="500"/>
      <c r="X28" s="500"/>
      <c r="Y28" s="500"/>
      <c r="Z28" s="500"/>
    </row>
    <row r="29" spans="1:26" x14ac:dyDescent="0.3">
      <c r="A29" s="500"/>
      <c r="B29" s="500"/>
      <c r="C29" s="500"/>
      <c r="D29" s="500"/>
      <c r="E29" s="500"/>
      <c r="F29" s="500"/>
      <c r="G29" s="500"/>
      <c r="H29" s="500"/>
      <c r="I29" s="500"/>
      <c r="J29" s="500"/>
      <c r="K29" s="500"/>
      <c r="L29" s="500"/>
      <c r="M29" s="500"/>
      <c r="N29" s="500"/>
      <c r="O29" s="500"/>
      <c r="P29" s="500"/>
      <c r="Q29" s="500"/>
      <c r="R29" s="500"/>
      <c r="S29" s="500"/>
      <c r="T29" s="500"/>
      <c r="U29" s="500"/>
      <c r="V29" s="500"/>
      <c r="W29" s="500"/>
      <c r="X29" s="500"/>
      <c r="Y29" s="500"/>
      <c r="Z29" s="500"/>
    </row>
    <row r="30" spans="1:26" x14ac:dyDescent="0.3">
      <c r="A30" s="500"/>
      <c r="B30" s="500"/>
      <c r="C30" s="500"/>
      <c r="D30" s="500"/>
      <c r="E30" s="500"/>
      <c r="F30" s="500"/>
      <c r="G30" s="500"/>
      <c r="H30" s="500"/>
      <c r="I30" s="500"/>
      <c r="J30" s="500"/>
      <c r="K30" s="500"/>
      <c r="L30" s="500"/>
      <c r="M30" s="500"/>
      <c r="N30" s="500"/>
      <c r="O30" s="500"/>
      <c r="P30" s="500"/>
      <c r="Q30" s="500"/>
      <c r="R30" s="500"/>
      <c r="S30" s="500"/>
      <c r="T30" s="500"/>
      <c r="U30" s="500"/>
      <c r="V30" s="500"/>
      <c r="W30" s="500"/>
      <c r="X30" s="500"/>
      <c r="Y30" s="500"/>
      <c r="Z30" s="500"/>
    </row>
    <row r="31" spans="1:26" x14ac:dyDescent="0.3">
      <c r="A31" s="500"/>
      <c r="B31" s="500"/>
      <c r="C31" s="500"/>
      <c r="D31" s="500"/>
      <c r="E31" s="500"/>
      <c r="F31" s="500"/>
      <c r="G31" s="500"/>
      <c r="H31" s="500"/>
      <c r="I31" s="500"/>
      <c r="J31" s="500"/>
      <c r="K31" s="500"/>
      <c r="L31" s="500"/>
      <c r="M31" s="500"/>
      <c r="N31" s="500"/>
      <c r="O31" s="500"/>
      <c r="P31" s="500"/>
      <c r="Q31" s="500"/>
      <c r="R31" s="500"/>
      <c r="S31" s="500"/>
      <c r="T31" s="500"/>
      <c r="U31" s="500"/>
      <c r="V31" s="500"/>
      <c r="W31" s="500"/>
      <c r="X31" s="500"/>
      <c r="Y31" s="500"/>
      <c r="Z31" s="500"/>
    </row>
    <row r="32" spans="1:26" x14ac:dyDescent="0.3">
      <c r="A32" s="500"/>
      <c r="B32" s="500"/>
      <c r="C32" s="500"/>
      <c r="D32" s="500"/>
      <c r="E32" s="500"/>
      <c r="F32" s="500"/>
      <c r="G32" s="500"/>
      <c r="H32" s="500"/>
      <c r="I32" s="500"/>
      <c r="J32" s="500"/>
      <c r="K32" s="500"/>
      <c r="L32" s="500"/>
      <c r="M32" s="500"/>
      <c r="N32" s="500"/>
      <c r="O32" s="500"/>
      <c r="P32" s="500"/>
      <c r="Q32" s="500"/>
      <c r="R32" s="500"/>
      <c r="S32" s="500"/>
      <c r="T32" s="500"/>
      <c r="U32" s="500"/>
      <c r="V32" s="500"/>
      <c r="W32" s="500"/>
      <c r="X32" s="500"/>
      <c r="Y32" s="500"/>
      <c r="Z32" s="500"/>
    </row>
    <row r="33" spans="1:26" x14ac:dyDescent="0.3">
      <c r="A33" s="500"/>
      <c r="B33" s="500"/>
      <c r="C33" s="500"/>
      <c r="D33" s="500"/>
      <c r="E33" s="500"/>
      <c r="F33" s="500"/>
      <c r="G33" s="500"/>
      <c r="H33" s="500"/>
      <c r="I33" s="500"/>
      <c r="J33" s="500"/>
      <c r="K33" s="500"/>
      <c r="L33" s="500"/>
      <c r="M33" s="500"/>
      <c r="N33" s="500"/>
      <c r="O33" s="500"/>
      <c r="P33" s="500"/>
      <c r="Q33" s="500"/>
      <c r="R33" s="500"/>
      <c r="S33" s="500"/>
      <c r="T33" s="500"/>
      <c r="U33" s="500"/>
      <c r="V33" s="500"/>
      <c r="W33" s="500"/>
      <c r="X33" s="500"/>
      <c r="Y33" s="500"/>
      <c r="Z33" s="500"/>
    </row>
    <row r="34" spans="1:26" x14ac:dyDescent="0.3">
      <c r="A34" s="500"/>
      <c r="B34" s="500"/>
      <c r="C34" s="500"/>
      <c r="D34" s="500"/>
      <c r="E34" s="500"/>
      <c r="F34" s="500"/>
      <c r="G34" s="500"/>
      <c r="H34" s="500"/>
      <c r="I34" s="500"/>
      <c r="J34" s="500"/>
      <c r="K34" s="500"/>
      <c r="L34" s="500"/>
      <c r="M34" s="500"/>
      <c r="N34" s="500"/>
      <c r="O34" s="500"/>
      <c r="P34" s="500"/>
      <c r="Q34" s="500"/>
      <c r="R34" s="500"/>
      <c r="S34" s="500"/>
      <c r="T34" s="500"/>
      <c r="U34" s="500"/>
      <c r="V34" s="500"/>
      <c r="W34" s="500"/>
      <c r="X34" s="500"/>
      <c r="Y34" s="500"/>
      <c r="Z34" s="500"/>
    </row>
    <row r="35" spans="1:26" x14ac:dyDescent="0.3">
      <c r="A35" s="500"/>
      <c r="B35" s="500"/>
      <c r="C35" s="500"/>
      <c r="D35" s="500"/>
      <c r="E35" s="500"/>
      <c r="F35" s="500"/>
      <c r="G35" s="500"/>
      <c r="H35" s="500"/>
      <c r="I35" s="500"/>
      <c r="J35" s="500"/>
      <c r="K35" s="500"/>
      <c r="L35" s="500"/>
      <c r="M35" s="500"/>
      <c r="N35" s="500"/>
      <c r="O35" s="500"/>
      <c r="P35" s="500"/>
      <c r="Q35" s="500"/>
      <c r="R35" s="500"/>
      <c r="S35" s="500"/>
      <c r="T35" s="500"/>
      <c r="U35" s="500"/>
      <c r="V35" s="500"/>
      <c r="W35" s="500"/>
      <c r="X35" s="500"/>
      <c r="Y35" s="500"/>
      <c r="Z35" s="500"/>
    </row>
    <row r="36" spans="1:26" x14ac:dyDescent="0.3">
      <c r="A36" s="500"/>
      <c r="B36" s="500"/>
      <c r="C36" s="500"/>
      <c r="D36" s="500"/>
      <c r="E36" s="500"/>
      <c r="F36" s="500"/>
      <c r="G36" s="500"/>
      <c r="H36" s="500"/>
      <c r="I36" s="500"/>
      <c r="J36" s="500"/>
      <c r="K36" s="500"/>
      <c r="L36" s="500"/>
      <c r="M36" s="500"/>
      <c r="N36" s="500"/>
      <c r="O36" s="500"/>
      <c r="P36" s="500"/>
      <c r="Q36" s="500"/>
      <c r="R36" s="500"/>
      <c r="S36" s="500"/>
      <c r="T36" s="500"/>
      <c r="U36" s="500"/>
      <c r="V36" s="500"/>
      <c r="W36" s="500"/>
      <c r="X36" s="500"/>
      <c r="Y36" s="500"/>
      <c r="Z36" s="500"/>
    </row>
    <row r="37" spans="1:26" x14ac:dyDescent="0.3">
      <c r="A37" s="500"/>
      <c r="B37" s="500"/>
      <c r="C37" s="500"/>
      <c r="D37" s="500"/>
      <c r="E37" s="500"/>
      <c r="F37" s="500"/>
      <c r="G37" s="500"/>
      <c r="H37" s="500"/>
      <c r="I37" s="500"/>
      <c r="J37" s="500"/>
      <c r="K37" s="500"/>
      <c r="L37" s="500"/>
      <c r="M37" s="500"/>
      <c r="N37" s="500"/>
      <c r="O37" s="500"/>
      <c r="P37" s="500"/>
      <c r="Q37" s="500"/>
      <c r="R37" s="500"/>
      <c r="S37" s="500"/>
      <c r="T37" s="500"/>
      <c r="U37" s="500"/>
      <c r="V37" s="500"/>
      <c r="W37" s="500"/>
      <c r="X37" s="500"/>
      <c r="Y37" s="500"/>
      <c r="Z37" s="500"/>
    </row>
    <row r="38" spans="1:26" x14ac:dyDescent="0.3">
      <c r="A38" s="500"/>
      <c r="B38" s="500"/>
      <c r="C38" s="500"/>
      <c r="D38" s="500"/>
      <c r="E38" s="500"/>
      <c r="F38" s="500"/>
      <c r="G38" s="500"/>
      <c r="H38" s="500"/>
      <c r="I38" s="500"/>
      <c r="J38" s="500"/>
      <c r="K38" s="500"/>
      <c r="L38" s="500"/>
      <c r="M38" s="500"/>
      <c r="N38" s="500"/>
      <c r="O38" s="500"/>
      <c r="P38" s="500"/>
      <c r="Q38" s="500"/>
      <c r="R38" s="500"/>
      <c r="S38" s="500"/>
      <c r="T38" s="500"/>
      <c r="U38" s="500"/>
      <c r="V38" s="500"/>
      <c r="W38" s="500"/>
      <c r="X38" s="500"/>
      <c r="Y38" s="500"/>
      <c r="Z38" s="500"/>
    </row>
    <row r="39" spans="1:26" x14ac:dyDescent="0.3">
      <c r="A39" s="500"/>
      <c r="B39" s="500"/>
      <c r="C39" s="500"/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500"/>
      <c r="P39" s="500"/>
      <c r="Q39" s="500"/>
      <c r="R39" s="500"/>
      <c r="S39" s="500"/>
      <c r="T39" s="500"/>
      <c r="U39" s="500"/>
      <c r="V39" s="500"/>
      <c r="W39" s="500"/>
      <c r="X39" s="500"/>
      <c r="Y39" s="500"/>
      <c r="Z39" s="500"/>
    </row>
    <row r="40" spans="1:26" x14ac:dyDescent="0.3">
      <c r="A40" s="500"/>
      <c r="B40" s="500"/>
      <c r="C40" s="500"/>
      <c r="D40" s="500"/>
      <c r="E40" s="500"/>
      <c r="F40" s="500"/>
      <c r="G40" s="500"/>
      <c r="H40" s="500"/>
      <c r="I40" s="500"/>
      <c r="J40" s="500"/>
      <c r="K40" s="500"/>
      <c r="L40" s="500"/>
      <c r="M40" s="500"/>
      <c r="N40" s="500"/>
      <c r="O40" s="500"/>
      <c r="P40" s="500"/>
      <c r="Q40" s="500"/>
      <c r="R40" s="500"/>
      <c r="S40" s="500"/>
      <c r="T40" s="500"/>
      <c r="U40" s="500"/>
      <c r="V40" s="500"/>
      <c r="W40" s="500"/>
      <c r="X40" s="500"/>
      <c r="Y40" s="500"/>
      <c r="Z40" s="500"/>
    </row>
    <row r="41" spans="1:26" x14ac:dyDescent="0.3">
      <c r="A41" s="500"/>
      <c r="B41" s="500"/>
      <c r="C41" s="500"/>
      <c r="D41" s="500"/>
      <c r="E41" s="500"/>
      <c r="F41" s="500"/>
      <c r="G41" s="500"/>
      <c r="H41" s="500"/>
      <c r="I41" s="500"/>
      <c r="J41" s="500"/>
      <c r="K41" s="500"/>
      <c r="L41" s="500"/>
      <c r="M41" s="500"/>
      <c r="N41" s="500"/>
      <c r="O41" s="500"/>
      <c r="P41" s="500"/>
      <c r="Q41" s="500"/>
      <c r="R41" s="500"/>
      <c r="S41" s="500"/>
      <c r="T41" s="500"/>
      <c r="U41" s="500"/>
      <c r="V41" s="500"/>
      <c r="W41" s="500"/>
      <c r="X41" s="500"/>
      <c r="Y41" s="500"/>
      <c r="Z41" s="500"/>
    </row>
    <row r="42" spans="1:26" x14ac:dyDescent="0.3">
      <c r="A42" s="500"/>
      <c r="B42" s="500"/>
      <c r="C42" s="500"/>
      <c r="D42" s="500"/>
      <c r="E42" s="500"/>
      <c r="F42" s="500"/>
      <c r="G42" s="500"/>
      <c r="H42" s="500"/>
      <c r="I42" s="500"/>
      <c r="J42" s="500"/>
      <c r="K42" s="500"/>
      <c r="L42" s="500"/>
      <c r="M42" s="500"/>
      <c r="N42" s="500"/>
      <c r="O42" s="500"/>
      <c r="P42" s="500"/>
      <c r="Q42" s="500"/>
      <c r="R42" s="500"/>
      <c r="S42" s="500"/>
      <c r="T42" s="500"/>
      <c r="U42" s="500"/>
      <c r="V42" s="500"/>
      <c r="W42" s="500"/>
      <c r="X42" s="500"/>
      <c r="Y42" s="500"/>
      <c r="Z42" s="500"/>
    </row>
    <row r="43" spans="1:26" x14ac:dyDescent="0.3">
      <c r="A43" s="500"/>
      <c r="B43" s="500"/>
      <c r="C43" s="500"/>
      <c r="D43" s="500"/>
      <c r="E43" s="500"/>
      <c r="F43" s="500"/>
      <c r="G43" s="500"/>
      <c r="H43" s="500"/>
      <c r="I43" s="500"/>
      <c r="J43" s="500"/>
      <c r="K43" s="500"/>
      <c r="L43" s="500"/>
      <c r="M43" s="500"/>
      <c r="N43" s="500"/>
      <c r="O43" s="500"/>
      <c r="P43" s="500"/>
      <c r="Q43" s="500"/>
      <c r="R43" s="500"/>
      <c r="S43" s="500"/>
      <c r="T43" s="500"/>
      <c r="U43" s="500"/>
      <c r="V43" s="500"/>
      <c r="W43" s="500"/>
      <c r="X43" s="500"/>
      <c r="Y43" s="500"/>
      <c r="Z43" s="500"/>
    </row>
    <row r="44" spans="1:26" x14ac:dyDescent="0.3">
      <c r="A44" s="500"/>
      <c r="B44" s="500"/>
      <c r="C44" s="500"/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0"/>
      <c r="O44" s="500"/>
      <c r="P44" s="500"/>
      <c r="Q44" s="500"/>
      <c r="R44" s="500"/>
      <c r="S44" s="500"/>
      <c r="T44" s="500"/>
      <c r="U44" s="500"/>
      <c r="V44" s="500"/>
      <c r="W44" s="500"/>
      <c r="X44" s="500"/>
      <c r="Y44" s="500"/>
      <c r="Z44" s="500"/>
    </row>
    <row r="45" spans="1:26" x14ac:dyDescent="0.3">
      <c r="A45" s="500"/>
      <c r="B45" s="500"/>
      <c r="C45" s="500"/>
      <c r="D45" s="500"/>
      <c r="E45" s="500"/>
      <c r="F45" s="500"/>
      <c r="G45" s="500"/>
      <c r="H45" s="500"/>
      <c r="I45" s="500"/>
      <c r="J45" s="500"/>
      <c r="K45" s="500"/>
      <c r="L45" s="500"/>
      <c r="M45" s="500"/>
      <c r="N45" s="500"/>
      <c r="O45" s="500"/>
      <c r="P45" s="500"/>
      <c r="Q45" s="500"/>
      <c r="R45" s="500"/>
      <c r="S45" s="500"/>
      <c r="T45" s="500"/>
      <c r="U45" s="500"/>
      <c r="V45" s="500"/>
      <c r="W45" s="500"/>
      <c r="X45" s="500"/>
      <c r="Y45" s="500"/>
      <c r="Z45" s="500"/>
    </row>
    <row r="46" spans="1:26" x14ac:dyDescent="0.3">
      <c r="A46" s="500"/>
      <c r="B46" s="500"/>
      <c r="C46" s="500"/>
      <c r="D46" s="500"/>
      <c r="E46" s="500"/>
      <c r="F46" s="500"/>
      <c r="G46" s="500"/>
      <c r="H46" s="500"/>
      <c r="I46" s="500"/>
      <c r="J46" s="500"/>
      <c r="K46" s="500"/>
      <c r="L46" s="500"/>
      <c r="M46" s="500"/>
      <c r="N46" s="500"/>
      <c r="O46" s="500"/>
      <c r="P46" s="500"/>
      <c r="Q46" s="500"/>
      <c r="R46" s="500"/>
      <c r="S46" s="500"/>
      <c r="T46" s="500"/>
      <c r="U46" s="500"/>
      <c r="V46" s="500"/>
      <c r="W46" s="500"/>
      <c r="X46" s="500"/>
      <c r="Y46" s="500"/>
      <c r="Z46" s="500"/>
    </row>
    <row r="47" spans="1:26" x14ac:dyDescent="0.3">
      <c r="A47" s="500"/>
      <c r="B47" s="500"/>
      <c r="C47" s="500"/>
      <c r="D47" s="500"/>
      <c r="E47" s="500"/>
      <c r="F47" s="500"/>
      <c r="G47" s="500"/>
      <c r="H47" s="500"/>
      <c r="I47" s="500"/>
      <c r="J47" s="500"/>
      <c r="K47" s="500"/>
      <c r="L47" s="500"/>
      <c r="M47" s="500"/>
      <c r="N47" s="500"/>
      <c r="O47" s="500"/>
      <c r="P47" s="500"/>
      <c r="Q47" s="500"/>
      <c r="R47" s="500"/>
      <c r="S47" s="500"/>
      <c r="T47" s="500"/>
      <c r="U47" s="500"/>
      <c r="V47" s="500"/>
      <c r="W47" s="500"/>
      <c r="X47" s="500"/>
      <c r="Y47" s="500"/>
      <c r="Z47" s="500"/>
    </row>
    <row r="48" spans="1:26" x14ac:dyDescent="0.3">
      <c r="A48" s="500"/>
      <c r="B48" s="500"/>
      <c r="C48" s="500"/>
      <c r="D48" s="500"/>
      <c r="E48" s="500"/>
      <c r="F48" s="500"/>
      <c r="G48" s="500"/>
      <c r="H48" s="500"/>
      <c r="I48" s="500"/>
      <c r="J48" s="500"/>
      <c r="K48" s="500"/>
      <c r="L48" s="500"/>
      <c r="M48" s="500"/>
      <c r="N48" s="500"/>
      <c r="O48" s="500"/>
      <c r="P48" s="500"/>
      <c r="Q48" s="500"/>
      <c r="R48" s="500"/>
      <c r="S48" s="500"/>
      <c r="T48" s="500"/>
      <c r="U48" s="500"/>
      <c r="V48" s="500"/>
      <c r="W48" s="500"/>
      <c r="X48" s="500"/>
      <c r="Y48" s="500"/>
      <c r="Z48" s="500"/>
    </row>
    <row r="49" spans="1:26" x14ac:dyDescent="0.3">
      <c r="A49" s="500"/>
      <c r="B49" s="500"/>
      <c r="C49" s="500"/>
      <c r="D49" s="500"/>
      <c r="E49" s="500"/>
      <c r="F49" s="500"/>
      <c r="G49" s="500"/>
      <c r="H49" s="500"/>
      <c r="I49" s="500"/>
      <c r="J49" s="500"/>
      <c r="K49" s="500"/>
      <c r="L49" s="500"/>
      <c r="M49" s="500"/>
      <c r="N49" s="500"/>
      <c r="O49" s="500"/>
      <c r="P49" s="500"/>
      <c r="Q49" s="500"/>
      <c r="R49" s="500"/>
      <c r="S49" s="500"/>
      <c r="T49" s="500"/>
      <c r="U49" s="500"/>
      <c r="V49" s="500"/>
      <c r="W49" s="500"/>
      <c r="X49" s="500"/>
      <c r="Y49" s="500"/>
      <c r="Z49" s="500"/>
    </row>
    <row r="50" spans="1:26" x14ac:dyDescent="0.3">
      <c r="A50" s="500"/>
      <c r="B50" s="500"/>
      <c r="C50" s="500"/>
      <c r="D50" s="500"/>
      <c r="E50" s="500"/>
      <c r="F50" s="500"/>
      <c r="G50" s="500"/>
      <c r="H50" s="500"/>
      <c r="I50" s="500"/>
      <c r="J50" s="500"/>
      <c r="K50" s="500"/>
      <c r="L50" s="500"/>
      <c r="M50" s="500"/>
      <c r="N50" s="500"/>
      <c r="O50" s="500"/>
      <c r="P50" s="500"/>
      <c r="Q50" s="500"/>
      <c r="R50" s="500"/>
      <c r="S50" s="500"/>
      <c r="T50" s="500"/>
      <c r="U50" s="500"/>
      <c r="V50" s="500"/>
      <c r="W50" s="500"/>
      <c r="X50" s="500"/>
      <c r="Y50" s="500"/>
      <c r="Z50" s="500"/>
    </row>
    <row r="51" spans="1:26" x14ac:dyDescent="0.3">
      <c r="A51" s="500"/>
      <c r="B51" s="500"/>
      <c r="C51" s="500"/>
      <c r="D51" s="500"/>
      <c r="E51" s="500"/>
      <c r="F51" s="500"/>
      <c r="G51" s="500"/>
      <c r="H51" s="500"/>
      <c r="I51" s="500"/>
      <c r="J51" s="500"/>
      <c r="K51" s="500"/>
      <c r="L51" s="500"/>
      <c r="M51" s="500"/>
      <c r="N51" s="500"/>
      <c r="O51" s="500"/>
      <c r="P51" s="500"/>
      <c r="Q51" s="500"/>
      <c r="R51" s="500"/>
      <c r="S51" s="500"/>
      <c r="T51" s="500"/>
      <c r="U51" s="500"/>
      <c r="V51" s="500"/>
      <c r="W51" s="500"/>
      <c r="X51" s="500"/>
      <c r="Y51" s="500"/>
      <c r="Z51" s="500"/>
    </row>
    <row r="52" spans="1:26" x14ac:dyDescent="0.3">
      <c r="A52" s="500"/>
      <c r="B52" s="500"/>
      <c r="C52" s="500"/>
      <c r="D52" s="500"/>
      <c r="E52" s="500"/>
      <c r="F52" s="500"/>
      <c r="G52" s="500"/>
      <c r="H52" s="500"/>
      <c r="I52" s="500"/>
      <c r="J52" s="500"/>
      <c r="K52" s="500"/>
      <c r="L52" s="500"/>
      <c r="M52" s="500"/>
      <c r="N52" s="500"/>
      <c r="O52" s="500"/>
      <c r="P52" s="500"/>
      <c r="Q52" s="500"/>
      <c r="R52" s="500"/>
      <c r="S52" s="500"/>
      <c r="T52" s="500"/>
      <c r="U52" s="500"/>
      <c r="V52" s="500"/>
      <c r="W52" s="500"/>
      <c r="X52" s="500"/>
      <c r="Y52" s="500"/>
      <c r="Z52" s="500"/>
    </row>
    <row r="53" spans="1:26" x14ac:dyDescent="0.3">
      <c r="A53" s="500"/>
      <c r="B53" s="500"/>
      <c r="C53" s="500"/>
      <c r="D53" s="500"/>
      <c r="E53" s="500"/>
      <c r="F53" s="500"/>
      <c r="G53" s="500"/>
      <c r="H53" s="500"/>
      <c r="I53" s="500"/>
      <c r="J53" s="500"/>
      <c r="K53" s="500"/>
      <c r="L53" s="500"/>
      <c r="M53" s="500"/>
      <c r="N53" s="500"/>
      <c r="O53" s="500"/>
      <c r="P53" s="500"/>
      <c r="Q53" s="500"/>
      <c r="R53" s="500"/>
      <c r="S53" s="500"/>
      <c r="T53" s="500"/>
      <c r="U53" s="500"/>
      <c r="V53" s="500"/>
      <c r="W53" s="500"/>
      <c r="X53" s="500"/>
      <c r="Y53" s="500"/>
      <c r="Z53" s="500"/>
    </row>
    <row r="54" spans="1:26" x14ac:dyDescent="0.3">
      <c r="A54" s="500"/>
      <c r="B54" s="500"/>
      <c r="C54" s="500"/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</row>
    <row r="55" spans="1:26" x14ac:dyDescent="0.3">
      <c r="A55" s="500"/>
      <c r="B55" s="500"/>
      <c r="C55" s="500"/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0"/>
      <c r="O55" s="500"/>
      <c r="P55" s="500"/>
      <c r="Q55" s="500"/>
      <c r="R55" s="500"/>
      <c r="S55" s="500"/>
      <c r="T55" s="500"/>
      <c r="U55" s="500"/>
      <c r="V55" s="500"/>
      <c r="W55" s="500"/>
      <c r="X55" s="500"/>
      <c r="Y55" s="500"/>
      <c r="Z55" s="500"/>
    </row>
    <row r="56" spans="1:26" x14ac:dyDescent="0.3">
      <c r="A56" s="500"/>
      <c r="B56" s="500"/>
      <c r="C56" s="500"/>
      <c r="D56" s="500"/>
      <c r="E56" s="500"/>
      <c r="F56" s="500"/>
      <c r="G56" s="500"/>
      <c r="H56" s="500"/>
      <c r="I56" s="500"/>
      <c r="J56" s="500"/>
      <c r="K56" s="500"/>
      <c r="L56" s="500"/>
      <c r="M56" s="500"/>
      <c r="N56" s="500"/>
      <c r="O56" s="500"/>
      <c r="P56" s="500"/>
      <c r="Q56" s="500"/>
      <c r="R56" s="500"/>
      <c r="S56" s="500"/>
      <c r="T56" s="500"/>
      <c r="U56" s="500"/>
      <c r="V56" s="500"/>
      <c r="W56" s="500"/>
      <c r="X56" s="500"/>
      <c r="Y56" s="500"/>
      <c r="Z56" s="500"/>
    </row>
    <row r="57" spans="1:26" x14ac:dyDescent="0.3">
      <c r="A57" s="500"/>
      <c r="B57" s="500"/>
      <c r="C57" s="500"/>
      <c r="D57" s="500"/>
      <c r="E57" s="500"/>
      <c r="F57" s="500"/>
      <c r="G57" s="500"/>
      <c r="H57" s="500"/>
      <c r="I57" s="500"/>
      <c r="J57" s="500"/>
      <c r="K57" s="500"/>
      <c r="L57" s="500"/>
      <c r="M57" s="500"/>
      <c r="N57" s="500"/>
      <c r="O57" s="500"/>
      <c r="P57" s="500"/>
      <c r="Q57" s="500"/>
      <c r="R57" s="500"/>
      <c r="S57" s="500"/>
      <c r="T57" s="500"/>
      <c r="U57" s="500"/>
      <c r="V57" s="500"/>
      <c r="W57" s="500"/>
      <c r="X57" s="500"/>
      <c r="Y57" s="500"/>
      <c r="Z57" s="500"/>
    </row>
    <row r="58" spans="1:26" x14ac:dyDescent="0.3">
      <c r="A58" s="500"/>
      <c r="B58" s="500"/>
      <c r="C58" s="500"/>
      <c r="D58" s="500"/>
      <c r="E58" s="500"/>
      <c r="F58" s="500"/>
      <c r="G58" s="500"/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</row>
    <row r="59" spans="1:26" x14ac:dyDescent="0.3">
      <c r="A59" s="500"/>
      <c r="B59" s="500"/>
      <c r="C59" s="500"/>
      <c r="D59" s="500"/>
      <c r="E59" s="500"/>
      <c r="F59" s="500"/>
      <c r="G59" s="500"/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</row>
    <row r="60" spans="1:26" x14ac:dyDescent="0.3">
      <c r="A60" s="500"/>
      <c r="B60" s="500"/>
      <c r="C60" s="500"/>
      <c r="D60" s="500"/>
      <c r="E60" s="500"/>
      <c r="F60" s="500"/>
      <c r="G60" s="500"/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</row>
    <row r="61" spans="1:26" x14ac:dyDescent="0.3">
      <c r="A61" s="500"/>
      <c r="B61" s="500"/>
      <c r="C61" s="500"/>
      <c r="D61" s="500"/>
      <c r="E61" s="500"/>
      <c r="F61" s="500"/>
      <c r="G61" s="500"/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</row>
    <row r="62" spans="1:26" x14ac:dyDescent="0.3">
      <c r="A62" s="500"/>
      <c r="B62" s="500"/>
      <c r="C62" s="500"/>
      <c r="D62" s="500"/>
      <c r="E62" s="500"/>
      <c r="F62" s="500"/>
      <c r="G62" s="500"/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</row>
    <row r="63" spans="1:26" x14ac:dyDescent="0.3">
      <c r="A63" s="500"/>
      <c r="B63" s="500"/>
      <c r="C63" s="500"/>
      <c r="D63" s="500"/>
      <c r="E63" s="500"/>
      <c r="F63" s="500"/>
      <c r="G63" s="500"/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</row>
    <row r="64" spans="1:26" x14ac:dyDescent="0.3">
      <c r="A64" s="500"/>
      <c r="B64" s="500"/>
      <c r="C64" s="500"/>
      <c r="D64" s="500"/>
      <c r="E64" s="500"/>
      <c r="F64" s="500"/>
      <c r="G64" s="500"/>
      <c r="H64" s="500"/>
      <c r="I64" s="500"/>
      <c r="J64" s="500"/>
      <c r="K64" s="500"/>
      <c r="L64" s="500"/>
      <c r="M64" s="500"/>
      <c r="N64" s="500"/>
      <c r="O64" s="500"/>
      <c r="P64" s="500"/>
      <c r="Q64" s="500"/>
      <c r="R64" s="500"/>
      <c r="S64" s="500"/>
      <c r="T64" s="500"/>
      <c r="U64" s="500"/>
      <c r="V64" s="500"/>
      <c r="W64" s="500"/>
      <c r="X64" s="500"/>
      <c r="Y64" s="500"/>
      <c r="Z64" s="500"/>
    </row>
    <row r="65" spans="1:26" x14ac:dyDescent="0.3">
      <c r="A65" s="500"/>
      <c r="B65" s="500"/>
      <c r="C65" s="500"/>
      <c r="D65" s="500"/>
      <c r="E65" s="500"/>
      <c r="F65" s="500"/>
      <c r="G65" s="500"/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</row>
    <row r="66" spans="1:26" x14ac:dyDescent="0.3">
      <c r="A66" s="500"/>
      <c r="B66" s="500"/>
      <c r="C66" s="500"/>
      <c r="D66" s="500"/>
      <c r="E66" s="500"/>
      <c r="F66" s="500"/>
      <c r="G66" s="500"/>
      <c r="H66" s="500"/>
      <c r="I66" s="500"/>
      <c r="J66" s="500"/>
      <c r="K66" s="500"/>
      <c r="L66" s="500"/>
      <c r="M66" s="500"/>
      <c r="N66" s="500"/>
      <c r="O66" s="500"/>
      <c r="P66" s="500"/>
      <c r="Q66" s="500"/>
      <c r="R66" s="500"/>
      <c r="S66" s="500"/>
      <c r="T66" s="500"/>
      <c r="U66" s="500"/>
      <c r="V66" s="500"/>
      <c r="W66" s="500"/>
      <c r="X66" s="500"/>
      <c r="Y66" s="500"/>
      <c r="Z66" s="500"/>
    </row>
    <row r="67" spans="1:26" x14ac:dyDescent="0.3">
      <c r="A67" s="500"/>
      <c r="B67" s="500"/>
      <c r="C67" s="500"/>
      <c r="D67" s="500"/>
      <c r="E67" s="500"/>
      <c r="F67" s="500"/>
      <c r="G67" s="500"/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</row>
    <row r="68" spans="1:26" x14ac:dyDescent="0.3">
      <c r="A68" s="500"/>
      <c r="B68" s="500"/>
      <c r="C68" s="500"/>
      <c r="D68" s="500"/>
      <c r="E68" s="500"/>
      <c r="F68" s="500"/>
      <c r="G68" s="500"/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</row>
    <row r="69" spans="1:26" x14ac:dyDescent="0.3">
      <c r="A69" s="500"/>
      <c r="B69" s="500"/>
      <c r="C69" s="500"/>
      <c r="D69" s="500"/>
      <c r="E69" s="500"/>
      <c r="F69" s="500"/>
      <c r="G69" s="500"/>
      <c r="H69" s="500"/>
      <c r="I69" s="500"/>
      <c r="J69" s="500"/>
      <c r="K69" s="500"/>
      <c r="L69" s="500"/>
      <c r="M69" s="500"/>
      <c r="N69" s="500"/>
      <c r="O69" s="500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</row>
    <row r="70" spans="1:26" x14ac:dyDescent="0.3">
      <c r="A70" s="500"/>
      <c r="B70" s="500"/>
      <c r="C70" s="500"/>
      <c r="D70" s="500"/>
      <c r="E70" s="500"/>
      <c r="F70" s="500"/>
      <c r="G70" s="500"/>
      <c r="H70" s="500"/>
      <c r="I70" s="500"/>
      <c r="J70" s="500"/>
      <c r="K70" s="500"/>
      <c r="L70" s="500"/>
      <c r="M70" s="500"/>
      <c r="N70" s="500"/>
      <c r="O70" s="500"/>
      <c r="P70" s="500"/>
      <c r="Q70" s="500"/>
      <c r="R70" s="500"/>
      <c r="S70" s="500"/>
      <c r="T70" s="500"/>
      <c r="U70" s="500"/>
      <c r="V70" s="500"/>
      <c r="W70" s="500"/>
      <c r="X70" s="500"/>
      <c r="Y70" s="500"/>
      <c r="Z70" s="500"/>
    </row>
    <row r="71" spans="1:26" x14ac:dyDescent="0.3">
      <c r="A71" s="500"/>
      <c r="B71" s="500"/>
      <c r="C71" s="500"/>
      <c r="D71" s="500"/>
      <c r="E71" s="500"/>
      <c r="F71" s="500"/>
      <c r="G71" s="500"/>
      <c r="H71" s="500"/>
      <c r="I71" s="500"/>
      <c r="J71" s="500"/>
      <c r="K71" s="500"/>
      <c r="L71" s="500"/>
      <c r="M71" s="500"/>
      <c r="N71" s="500"/>
      <c r="O71" s="500"/>
      <c r="P71" s="500"/>
      <c r="Q71" s="500"/>
      <c r="R71" s="500"/>
      <c r="S71" s="500"/>
      <c r="T71" s="500"/>
      <c r="U71" s="500"/>
      <c r="V71" s="500"/>
      <c r="W71" s="500"/>
      <c r="X71" s="500"/>
      <c r="Y71" s="500"/>
      <c r="Z71" s="500"/>
    </row>
    <row r="72" spans="1:26" x14ac:dyDescent="0.3">
      <c r="A72" s="500"/>
      <c r="B72" s="500"/>
      <c r="C72" s="500"/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500"/>
      <c r="P72" s="500"/>
      <c r="Q72" s="500"/>
      <c r="R72" s="500"/>
      <c r="S72" s="500"/>
      <c r="T72" s="500"/>
      <c r="U72" s="500"/>
      <c r="V72" s="500"/>
      <c r="W72" s="500"/>
      <c r="X72" s="500"/>
      <c r="Y72" s="500"/>
      <c r="Z72" s="500"/>
    </row>
    <row r="73" spans="1:26" x14ac:dyDescent="0.3">
      <c r="A73" s="500"/>
      <c r="B73" s="500"/>
      <c r="C73" s="500"/>
      <c r="D73" s="500"/>
      <c r="E73" s="500"/>
      <c r="F73" s="500"/>
      <c r="G73" s="500"/>
      <c r="H73" s="500"/>
      <c r="I73" s="500"/>
      <c r="J73" s="500"/>
      <c r="K73" s="500"/>
      <c r="L73" s="500"/>
      <c r="M73" s="500"/>
      <c r="N73" s="500"/>
      <c r="O73" s="500"/>
      <c r="P73" s="500"/>
      <c r="Q73" s="500"/>
      <c r="R73" s="500"/>
      <c r="S73" s="500"/>
      <c r="T73" s="500"/>
      <c r="U73" s="500"/>
      <c r="V73" s="500"/>
      <c r="W73" s="500"/>
      <c r="X73" s="500"/>
      <c r="Y73" s="500"/>
      <c r="Z73" s="500"/>
    </row>
    <row r="74" spans="1:26" x14ac:dyDescent="0.3">
      <c r="A74" s="500"/>
      <c r="B74" s="500"/>
      <c r="C74" s="500"/>
      <c r="D74" s="500"/>
      <c r="E74" s="500"/>
      <c r="F74" s="500"/>
      <c r="G74" s="500"/>
      <c r="H74" s="500"/>
      <c r="I74" s="500"/>
      <c r="J74" s="500"/>
      <c r="K74" s="500"/>
      <c r="L74" s="500"/>
      <c r="M74" s="500"/>
      <c r="N74" s="500"/>
      <c r="O74" s="500"/>
      <c r="P74" s="500"/>
      <c r="Q74" s="500"/>
      <c r="R74" s="500"/>
      <c r="S74" s="500"/>
      <c r="T74" s="500"/>
      <c r="U74" s="500"/>
      <c r="V74" s="500"/>
      <c r="W74" s="500"/>
      <c r="X74" s="500"/>
      <c r="Y74" s="500"/>
      <c r="Z74" s="500"/>
    </row>
    <row r="75" spans="1:26" x14ac:dyDescent="0.3">
      <c r="A75" s="500"/>
      <c r="B75" s="500"/>
      <c r="C75" s="500"/>
      <c r="D75" s="500"/>
      <c r="E75" s="500"/>
      <c r="F75" s="500"/>
      <c r="G75" s="500"/>
      <c r="H75" s="500"/>
      <c r="I75" s="500"/>
      <c r="J75" s="500"/>
      <c r="K75" s="500"/>
      <c r="L75" s="500"/>
      <c r="M75" s="500"/>
      <c r="N75" s="500"/>
      <c r="O75" s="500"/>
      <c r="P75" s="500"/>
      <c r="Q75" s="500"/>
      <c r="R75" s="500"/>
      <c r="S75" s="500"/>
      <c r="T75" s="500"/>
      <c r="U75" s="500"/>
      <c r="V75" s="500"/>
      <c r="W75" s="500"/>
      <c r="X75" s="500"/>
      <c r="Y75" s="500"/>
      <c r="Z75" s="500"/>
    </row>
    <row r="76" spans="1:26" x14ac:dyDescent="0.3">
      <c r="A76" s="500"/>
      <c r="B76" s="500"/>
      <c r="C76" s="500"/>
      <c r="D76" s="500"/>
      <c r="E76" s="500"/>
      <c r="F76" s="500"/>
      <c r="G76" s="500"/>
      <c r="H76" s="500"/>
      <c r="I76" s="500"/>
      <c r="J76" s="500"/>
      <c r="K76" s="500"/>
      <c r="L76" s="500"/>
      <c r="M76" s="500"/>
      <c r="N76" s="500"/>
      <c r="O76" s="500"/>
      <c r="P76" s="500"/>
      <c r="Q76" s="500"/>
      <c r="R76" s="500"/>
      <c r="S76" s="500"/>
      <c r="T76" s="500"/>
      <c r="U76" s="500"/>
      <c r="V76" s="500"/>
      <c r="W76" s="500"/>
      <c r="X76" s="500"/>
      <c r="Y76" s="500"/>
      <c r="Z76" s="500"/>
    </row>
    <row r="77" spans="1:26" x14ac:dyDescent="0.3">
      <c r="A77" s="500"/>
      <c r="B77" s="500"/>
      <c r="C77" s="500"/>
      <c r="D77" s="500"/>
      <c r="E77" s="500"/>
      <c r="F77" s="500"/>
      <c r="G77" s="500"/>
      <c r="H77" s="500"/>
      <c r="I77" s="500"/>
      <c r="J77" s="500"/>
      <c r="K77" s="500"/>
      <c r="L77" s="500"/>
      <c r="M77" s="500"/>
      <c r="N77" s="500"/>
      <c r="O77" s="500"/>
      <c r="P77" s="500"/>
      <c r="Q77" s="500"/>
      <c r="R77" s="500"/>
      <c r="S77" s="500"/>
      <c r="T77" s="500"/>
      <c r="U77" s="500"/>
      <c r="V77" s="500"/>
      <c r="W77" s="500"/>
      <c r="X77" s="500"/>
      <c r="Y77" s="500"/>
      <c r="Z77" s="500"/>
    </row>
    <row r="78" spans="1:26" x14ac:dyDescent="0.3">
      <c r="A78" s="500"/>
      <c r="B78" s="500"/>
      <c r="C78" s="500"/>
      <c r="D78" s="500"/>
      <c r="E78" s="500"/>
      <c r="F78" s="500"/>
      <c r="G78" s="500"/>
      <c r="H78" s="500"/>
      <c r="I78" s="500"/>
      <c r="J78" s="500"/>
      <c r="K78" s="500"/>
      <c r="L78" s="500"/>
      <c r="M78" s="500"/>
      <c r="N78" s="500"/>
      <c r="O78" s="500"/>
      <c r="P78" s="500"/>
      <c r="Q78" s="500"/>
      <c r="R78" s="500"/>
      <c r="S78" s="500"/>
      <c r="T78" s="500"/>
      <c r="U78" s="500"/>
      <c r="V78" s="500"/>
      <c r="W78" s="500"/>
      <c r="X78" s="500"/>
      <c r="Y78" s="500"/>
      <c r="Z78" s="500"/>
    </row>
    <row r="79" spans="1:26" x14ac:dyDescent="0.3">
      <c r="A79" s="500"/>
      <c r="B79" s="500"/>
      <c r="C79" s="500"/>
      <c r="D79" s="500"/>
      <c r="E79" s="500"/>
      <c r="F79" s="500"/>
      <c r="G79" s="500"/>
      <c r="H79" s="500"/>
      <c r="I79" s="500"/>
      <c r="J79" s="500"/>
      <c r="K79" s="500"/>
      <c r="L79" s="500"/>
      <c r="M79" s="500"/>
      <c r="N79" s="500"/>
      <c r="O79" s="500"/>
      <c r="P79" s="500"/>
      <c r="Q79" s="500"/>
      <c r="R79" s="500"/>
      <c r="S79" s="500"/>
      <c r="T79" s="500"/>
      <c r="U79" s="500"/>
      <c r="V79" s="500"/>
      <c r="W79" s="500"/>
      <c r="X79" s="500"/>
      <c r="Y79" s="500"/>
      <c r="Z79" s="500"/>
    </row>
    <row r="80" spans="1:26" x14ac:dyDescent="0.3">
      <c r="A80" s="500"/>
      <c r="B80" s="500"/>
      <c r="C80" s="500"/>
      <c r="D80" s="500"/>
      <c r="E80" s="500"/>
      <c r="F80" s="500"/>
      <c r="G80" s="500"/>
      <c r="H80" s="500"/>
      <c r="I80" s="500"/>
      <c r="J80" s="500"/>
      <c r="K80" s="500"/>
      <c r="L80" s="500"/>
      <c r="M80" s="500"/>
      <c r="N80" s="500"/>
      <c r="O80" s="500"/>
      <c r="P80" s="500"/>
      <c r="Q80" s="500"/>
      <c r="R80" s="500"/>
      <c r="S80" s="500"/>
      <c r="T80" s="500"/>
      <c r="U80" s="500"/>
      <c r="V80" s="500"/>
      <c r="W80" s="500"/>
      <c r="X80" s="500"/>
      <c r="Y80" s="500"/>
      <c r="Z80" s="500"/>
    </row>
    <row r="81" spans="1:26" x14ac:dyDescent="0.3">
      <c r="A81" s="500"/>
      <c r="B81" s="500"/>
      <c r="C81" s="500"/>
      <c r="D81" s="500"/>
      <c r="E81" s="500"/>
      <c r="F81" s="500"/>
      <c r="G81" s="500"/>
      <c r="H81" s="500"/>
      <c r="I81" s="500"/>
      <c r="J81" s="500"/>
      <c r="K81" s="500"/>
      <c r="L81" s="500"/>
      <c r="M81" s="500"/>
      <c r="N81" s="500"/>
      <c r="O81" s="500"/>
      <c r="P81" s="500"/>
      <c r="Q81" s="500"/>
      <c r="R81" s="500"/>
      <c r="S81" s="500"/>
      <c r="T81" s="500"/>
      <c r="U81" s="500"/>
      <c r="V81" s="500"/>
      <c r="W81" s="500"/>
      <c r="X81" s="500"/>
      <c r="Y81" s="500"/>
      <c r="Z81" s="500"/>
    </row>
    <row r="82" spans="1:26" x14ac:dyDescent="0.3">
      <c r="A82" s="500"/>
      <c r="B82" s="500"/>
      <c r="C82" s="500"/>
      <c r="D82" s="500"/>
      <c r="E82" s="500"/>
      <c r="F82" s="500"/>
      <c r="G82" s="500"/>
      <c r="H82" s="500"/>
      <c r="I82" s="500"/>
      <c r="J82" s="500"/>
      <c r="K82" s="500"/>
      <c r="L82" s="500"/>
      <c r="M82" s="500"/>
      <c r="N82" s="500"/>
      <c r="O82" s="500"/>
      <c r="P82" s="500"/>
      <c r="Q82" s="500"/>
      <c r="R82" s="500"/>
      <c r="S82" s="500"/>
      <c r="T82" s="500"/>
      <c r="U82" s="500"/>
      <c r="V82" s="500"/>
      <c r="W82" s="500"/>
      <c r="X82" s="500"/>
      <c r="Y82" s="500"/>
      <c r="Z82" s="500"/>
    </row>
    <row r="83" spans="1:26" x14ac:dyDescent="0.3">
      <c r="A83" s="500"/>
      <c r="B83" s="500"/>
      <c r="C83" s="500"/>
      <c r="D83" s="500"/>
      <c r="E83" s="500"/>
      <c r="F83" s="500"/>
      <c r="G83" s="500"/>
      <c r="H83" s="500"/>
      <c r="I83" s="500"/>
      <c r="J83" s="500"/>
      <c r="K83" s="500"/>
      <c r="L83" s="500"/>
      <c r="M83" s="500"/>
      <c r="N83" s="500"/>
      <c r="O83" s="500"/>
      <c r="P83" s="500"/>
      <c r="Q83" s="500"/>
      <c r="R83" s="500"/>
      <c r="S83" s="500"/>
      <c r="T83" s="500"/>
      <c r="U83" s="500"/>
      <c r="V83" s="500"/>
      <c r="W83" s="500"/>
      <c r="X83" s="500"/>
      <c r="Y83" s="500"/>
      <c r="Z83" s="500"/>
    </row>
    <row r="84" spans="1:26" x14ac:dyDescent="0.3">
      <c r="A84" s="500"/>
      <c r="B84" s="500"/>
      <c r="C84" s="500"/>
      <c r="D84" s="500"/>
      <c r="E84" s="500"/>
      <c r="F84" s="500"/>
      <c r="G84" s="500"/>
      <c r="H84" s="500"/>
      <c r="I84" s="500"/>
      <c r="J84" s="500"/>
      <c r="K84" s="500"/>
      <c r="L84" s="500"/>
      <c r="M84" s="500"/>
      <c r="N84" s="500"/>
      <c r="O84" s="500"/>
      <c r="P84" s="500"/>
      <c r="Q84" s="500"/>
      <c r="R84" s="500"/>
      <c r="S84" s="500"/>
      <c r="T84" s="500"/>
      <c r="U84" s="500"/>
      <c r="V84" s="500"/>
      <c r="W84" s="500"/>
      <c r="X84" s="500"/>
      <c r="Y84" s="500"/>
      <c r="Z84" s="500"/>
    </row>
    <row r="85" spans="1:26" x14ac:dyDescent="0.3">
      <c r="A85" s="500"/>
      <c r="B85" s="500"/>
      <c r="C85" s="500"/>
      <c r="D85" s="500"/>
      <c r="E85" s="500"/>
      <c r="F85" s="500"/>
      <c r="G85" s="500"/>
      <c r="H85" s="500"/>
      <c r="I85" s="500"/>
      <c r="J85" s="500"/>
      <c r="K85" s="500"/>
      <c r="L85" s="500"/>
      <c r="M85" s="500"/>
      <c r="N85" s="500"/>
      <c r="O85" s="500"/>
      <c r="P85" s="500"/>
      <c r="Q85" s="500"/>
      <c r="R85" s="500"/>
      <c r="S85" s="500"/>
      <c r="T85" s="500"/>
      <c r="U85" s="500"/>
      <c r="V85" s="500"/>
      <c r="W85" s="500"/>
      <c r="X85" s="500"/>
      <c r="Y85" s="500"/>
      <c r="Z85" s="500"/>
    </row>
    <row r="86" spans="1:26" x14ac:dyDescent="0.3">
      <c r="A86" s="500"/>
      <c r="B86" s="500"/>
      <c r="C86" s="500"/>
      <c r="D86" s="500"/>
      <c r="E86" s="500"/>
      <c r="F86" s="500"/>
      <c r="G86" s="500"/>
      <c r="H86" s="500"/>
      <c r="I86" s="500"/>
      <c r="J86" s="500"/>
      <c r="K86" s="500"/>
      <c r="L86" s="500"/>
      <c r="M86" s="500"/>
      <c r="N86" s="500"/>
      <c r="O86" s="500"/>
      <c r="P86" s="500"/>
      <c r="Q86" s="500"/>
      <c r="R86" s="500"/>
      <c r="S86" s="500"/>
      <c r="T86" s="500"/>
      <c r="U86" s="500"/>
      <c r="V86" s="500"/>
      <c r="W86" s="500"/>
      <c r="X86" s="500"/>
      <c r="Y86" s="500"/>
      <c r="Z86" s="500"/>
    </row>
    <row r="87" spans="1:26" x14ac:dyDescent="0.3">
      <c r="A87" s="500"/>
      <c r="B87" s="500"/>
      <c r="C87" s="500"/>
      <c r="D87" s="500"/>
      <c r="E87" s="500"/>
      <c r="F87" s="500"/>
      <c r="G87" s="500"/>
      <c r="H87" s="500"/>
      <c r="I87" s="500"/>
      <c r="J87" s="500"/>
      <c r="K87" s="500"/>
      <c r="L87" s="500"/>
      <c r="M87" s="500"/>
      <c r="N87" s="500"/>
      <c r="O87" s="500"/>
      <c r="P87" s="500"/>
      <c r="Q87" s="500"/>
      <c r="R87" s="500"/>
      <c r="S87" s="500"/>
      <c r="T87" s="500"/>
      <c r="U87" s="500"/>
      <c r="V87" s="500"/>
      <c r="W87" s="500"/>
      <c r="X87" s="500"/>
      <c r="Y87" s="500"/>
      <c r="Z87" s="500"/>
    </row>
    <row r="88" spans="1:26" x14ac:dyDescent="0.3">
      <c r="A88" s="500"/>
      <c r="B88" s="500"/>
      <c r="C88" s="500"/>
      <c r="D88" s="500"/>
      <c r="E88" s="500"/>
      <c r="F88" s="500"/>
      <c r="G88" s="500"/>
      <c r="H88" s="500"/>
      <c r="I88" s="500"/>
      <c r="J88" s="500"/>
      <c r="K88" s="500"/>
      <c r="L88" s="500"/>
      <c r="M88" s="500"/>
      <c r="N88" s="500"/>
      <c r="O88" s="500"/>
      <c r="P88" s="500"/>
      <c r="Q88" s="500"/>
      <c r="R88" s="500"/>
      <c r="S88" s="500"/>
      <c r="T88" s="500"/>
      <c r="U88" s="500"/>
      <c r="V88" s="500"/>
      <c r="W88" s="500"/>
      <c r="X88" s="500"/>
      <c r="Y88" s="500"/>
      <c r="Z88" s="500"/>
    </row>
    <row r="89" spans="1:26" x14ac:dyDescent="0.3">
      <c r="A89" s="500"/>
      <c r="B89" s="500"/>
      <c r="C89" s="500"/>
      <c r="D89" s="500"/>
      <c r="E89" s="500"/>
      <c r="F89" s="500"/>
      <c r="G89" s="500"/>
      <c r="H89" s="500"/>
      <c r="I89" s="500"/>
      <c r="J89" s="500"/>
      <c r="K89" s="500"/>
      <c r="L89" s="500"/>
      <c r="M89" s="500"/>
      <c r="N89" s="500"/>
      <c r="O89" s="500"/>
      <c r="P89" s="500"/>
      <c r="Q89" s="500"/>
      <c r="R89" s="500"/>
      <c r="S89" s="500"/>
      <c r="T89" s="500"/>
      <c r="U89" s="500"/>
      <c r="V89" s="500"/>
      <c r="W89" s="500"/>
      <c r="X89" s="500"/>
      <c r="Y89" s="500"/>
      <c r="Z89" s="500"/>
    </row>
    <row r="90" spans="1:26" x14ac:dyDescent="0.3">
      <c r="A90" s="500"/>
      <c r="B90" s="500"/>
      <c r="C90" s="500"/>
      <c r="D90" s="500"/>
      <c r="E90" s="500"/>
      <c r="F90" s="500"/>
      <c r="G90" s="500"/>
      <c r="H90" s="500"/>
      <c r="I90" s="500"/>
      <c r="J90" s="500"/>
      <c r="K90" s="500"/>
      <c r="L90" s="500"/>
      <c r="M90" s="500"/>
      <c r="N90" s="500"/>
      <c r="O90" s="500"/>
      <c r="P90" s="500"/>
      <c r="Q90" s="500"/>
      <c r="R90" s="500"/>
      <c r="S90" s="500"/>
      <c r="T90" s="500"/>
      <c r="U90" s="500"/>
      <c r="V90" s="500"/>
      <c r="W90" s="500"/>
      <c r="X90" s="500"/>
      <c r="Y90" s="500"/>
      <c r="Z90" s="500"/>
    </row>
    <row r="91" spans="1:26" x14ac:dyDescent="0.3">
      <c r="A91" s="500"/>
      <c r="B91" s="500"/>
      <c r="C91" s="500"/>
      <c r="D91" s="500"/>
      <c r="E91" s="500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R91" s="500"/>
      <c r="S91" s="500"/>
      <c r="T91" s="500"/>
      <c r="U91" s="500"/>
      <c r="V91" s="500"/>
      <c r="W91" s="500"/>
      <c r="X91" s="500"/>
      <c r="Y91" s="500"/>
      <c r="Z91" s="500"/>
    </row>
    <row r="92" spans="1:26" x14ac:dyDescent="0.3">
      <c r="A92" s="500"/>
      <c r="B92" s="500"/>
      <c r="C92" s="500"/>
      <c r="D92" s="500"/>
      <c r="E92" s="500"/>
      <c r="F92" s="500"/>
      <c r="G92" s="500"/>
      <c r="H92" s="500"/>
      <c r="I92" s="500"/>
      <c r="J92" s="500"/>
      <c r="K92" s="500"/>
      <c r="L92" s="500"/>
      <c r="M92" s="500"/>
      <c r="N92" s="500"/>
      <c r="O92" s="500"/>
      <c r="P92" s="500"/>
      <c r="Q92" s="500"/>
      <c r="R92" s="500"/>
      <c r="S92" s="500"/>
      <c r="T92" s="500"/>
      <c r="U92" s="500"/>
      <c r="V92" s="500"/>
      <c r="W92" s="500"/>
      <c r="X92" s="500"/>
      <c r="Y92" s="500"/>
      <c r="Z92" s="500"/>
    </row>
    <row r="93" spans="1:26" x14ac:dyDescent="0.3">
      <c r="A93" s="500"/>
      <c r="B93" s="500"/>
      <c r="C93" s="500"/>
      <c r="D93" s="500"/>
      <c r="E93" s="500"/>
      <c r="F93" s="500"/>
      <c r="G93" s="500"/>
      <c r="H93" s="500"/>
      <c r="I93" s="500"/>
      <c r="J93" s="500"/>
      <c r="K93" s="500"/>
      <c r="L93" s="500"/>
      <c r="M93" s="500"/>
      <c r="N93" s="500"/>
      <c r="O93" s="500"/>
      <c r="P93" s="500"/>
      <c r="Q93" s="500"/>
      <c r="R93" s="500"/>
      <c r="S93" s="500"/>
      <c r="T93" s="500"/>
      <c r="U93" s="500"/>
      <c r="V93" s="500"/>
      <c r="W93" s="500"/>
      <c r="X93" s="500"/>
      <c r="Y93" s="500"/>
      <c r="Z93" s="500"/>
    </row>
    <row r="94" spans="1:26" x14ac:dyDescent="0.3">
      <c r="A94" s="500"/>
      <c r="B94" s="500"/>
      <c r="C94" s="500"/>
      <c r="D94" s="500"/>
      <c r="E94" s="500"/>
      <c r="F94" s="500"/>
      <c r="G94" s="500"/>
      <c r="H94" s="500"/>
      <c r="I94" s="500"/>
      <c r="J94" s="500"/>
      <c r="K94" s="500"/>
      <c r="L94" s="500"/>
      <c r="M94" s="500"/>
      <c r="N94" s="500"/>
      <c r="O94" s="500"/>
      <c r="P94" s="500"/>
      <c r="Q94" s="500"/>
      <c r="R94" s="500"/>
      <c r="S94" s="500"/>
      <c r="T94" s="500"/>
      <c r="U94" s="500"/>
      <c r="V94" s="500"/>
      <c r="W94" s="500"/>
      <c r="X94" s="500"/>
      <c r="Y94" s="500"/>
      <c r="Z94" s="500"/>
    </row>
    <row r="95" spans="1:26" x14ac:dyDescent="0.3">
      <c r="A95" s="500"/>
      <c r="B95" s="500"/>
      <c r="C95" s="500"/>
      <c r="D95" s="500"/>
      <c r="E95" s="500"/>
      <c r="F95" s="500"/>
      <c r="G95" s="500"/>
      <c r="H95" s="500"/>
      <c r="I95" s="500"/>
      <c r="J95" s="500"/>
      <c r="K95" s="500"/>
      <c r="L95" s="500"/>
      <c r="M95" s="500"/>
      <c r="N95" s="500"/>
      <c r="O95" s="500"/>
      <c r="P95" s="500"/>
      <c r="Q95" s="500"/>
      <c r="R95" s="500"/>
      <c r="S95" s="500"/>
      <c r="T95" s="500"/>
      <c r="U95" s="500"/>
      <c r="V95" s="500"/>
      <c r="W95" s="500"/>
      <c r="X95" s="500"/>
      <c r="Y95" s="500"/>
      <c r="Z95" s="500"/>
    </row>
    <row r="96" spans="1:26" x14ac:dyDescent="0.3">
      <c r="A96" s="500"/>
      <c r="B96" s="500"/>
      <c r="C96" s="500"/>
      <c r="D96" s="500"/>
      <c r="E96" s="500"/>
      <c r="F96" s="500"/>
      <c r="G96" s="500"/>
      <c r="H96" s="500"/>
      <c r="I96" s="500"/>
      <c r="J96" s="500"/>
      <c r="K96" s="500"/>
      <c r="L96" s="500"/>
      <c r="M96" s="500"/>
      <c r="N96" s="500"/>
      <c r="O96" s="500"/>
      <c r="P96" s="500"/>
      <c r="Q96" s="500"/>
      <c r="R96" s="500"/>
      <c r="S96" s="500"/>
      <c r="T96" s="500"/>
      <c r="U96" s="500"/>
      <c r="V96" s="500"/>
      <c r="W96" s="500"/>
      <c r="X96" s="500"/>
      <c r="Y96" s="500"/>
      <c r="Z96" s="500"/>
    </row>
    <row r="97" spans="1:26" x14ac:dyDescent="0.3">
      <c r="A97" s="500"/>
      <c r="B97" s="500"/>
      <c r="C97" s="500"/>
      <c r="D97" s="500"/>
      <c r="E97" s="500"/>
      <c r="F97" s="500"/>
      <c r="G97" s="500"/>
      <c r="H97" s="500"/>
      <c r="I97" s="500"/>
      <c r="J97" s="500"/>
      <c r="K97" s="500"/>
      <c r="L97" s="500"/>
      <c r="M97" s="500"/>
      <c r="N97" s="500"/>
      <c r="O97" s="500"/>
      <c r="P97" s="500"/>
      <c r="Q97" s="500"/>
      <c r="R97" s="500"/>
      <c r="S97" s="500"/>
      <c r="T97" s="500"/>
      <c r="U97" s="500"/>
      <c r="V97" s="500"/>
      <c r="W97" s="500"/>
      <c r="X97" s="500"/>
      <c r="Y97" s="500"/>
      <c r="Z97" s="500"/>
    </row>
    <row r="98" spans="1:26" x14ac:dyDescent="0.3">
      <c r="A98" s="500"/>
      <c r="B98" s="500"/>
      <c r="C98" s="500"/>
      <c r="D98" s="500"/>
      <c r="E98" s="500"/>
      <c r="F98" s="500"/>
      <c r="G98" s="500"/>
      <c r="H98" s="500"/>
      <c r="I98" s="500"/>
      <c r="J98" s="500"/>
      <c r="K98" s="500"/>
      <c r="L98" s="500"/>
      <c r="M98" s="500"/>
      <c r="N98" s="500"/>
      <c r="O98" s="500"/>
      <c r="P98" s="500"/>
      <c r="Q98" s="500"/>
      <c r="R98" s="500"/>
      <c r="S98" s="500"/>
      <c r="T98" s="500"/>
      <c r="U98" s="500"/>
      <c r="V98" s="500"/>
      <c r="W98" s="500"/>
      <c r="X98" s="500"/>
      <c r="Y98" s="500"/>
      <c r="Z98" s="500"/>
    </row>
    <row r="99" spans="1:26" x14ac:dyDescent="0.3">
      <c r="A99" s="500"/>
      <c r="B99" s="500"/>
      <c r="C99" s="500"/>
      <c r="D99" s="500"/>
      <c r="E99" s="500"/>
      <c r="F99" s="500"/>
      <c r="G99" s="500"/>
      <c r="H99" s="500"/>
      <c r="I99" s="500"/>
      <c r="J99" s="500"/>
      <c r="K99" s="500"/>
      <c r="L99" s="500"/>
      <c r="M99" s="500"/>
      <c r="N99" s="500"/>
      <c r="O99" s="500"/>
      <c r="P99" s="500"/>
      <c r="Q99" s="500"/>
      <c r="R99" s="500"/>
      <c r="S99" s="500"/>
      <c r="T99" s="500"/>
      <c r="U99" s="500"/>
      <c r="V99" s="500"/>
      <c r="W99" s="500"/>
      <c r="X99" s="500"/>
      <c r="Y99" s="500"/>
      <c r="Z99" s="500"/>
    </row>
    <row r="100" spans="1:26" x14ac:dyDescent="0.3">
      <c r="A100" s="500"/>
      <c r="B100" s="500"/>
      <c r="C100" s="500"/>
      <c r="D100" s="500"/>
      <c r="E100" s="500"/>
      <c r="F100" s="500"/>
      <c r="G100" s="500"/>
      <c r="H100" s="500"/>
      <c r="I100" s="500"/>
      <c r="J100" s="500"/>
      <c r="K100" s="500"/>
      <c r="L100" s="500"/>
      <c r="M100" s="500"/>
      <c r="N100" s="500"/>
      <c r="O100" s="500"/>
      <c r="P100" s="500"/>
      <c r="Q100" s="500"/>
      <c r="R100" s="500"/>
      <c r="S100" s="500"/>
      <c r="T100" s="500"/>
      <c r="U100" s="500"/>
      <c r="V100" s="500"/>
      <c r="W100" s="500"/>
      <c r="X100" s="500"/>
      <c r="Y100" s="500"/>
      <c r="Z100" s="500"/>
    </row>
    <row r="101" spans="1:26" x14ac:dyDescent="0.3">
      <c r="A101" s="500"/>
      <c r="B101" s="500"/>
      <c r="C101" s="500"/>
      <c r="D101" s="500"/>
      <c r="E101" s="500"/>
      <c r="F101" s="500"/>
      <c r="G101" s="500"/>
      <c r="H101" s="500"/>
      <c r="I101" s="500"/>
      <c r="J101" s="500"/>
      <c r="K101" s="500"/>
      <c r="L101" s="500"/>
      <c r="M101" s="500"/>
      <c r="N101" s="500"/>
      <c r="O101" s="500"/>
      <c r="P101" s="500"/>
      <c r="Q101" s="500"/>
      <c r="R101" s="500"/>
      <c r="S101" s="500"/>
      <c r="T101" s="500"/>
      <c r="U101" s="500"/>
      <c r="V101" s="500"/>
      <c r="W101" s="500"/>
      <c r="X101" s="500"/>
      <c r="Y101" s="500"/>
      <c r="Z101" s="500"/>
    </row>
    <row r="102" spans="1:26" x14ac:dyDescent="0.3">
      <c r="A102" s="500"/>
      <c r="B102" s="500"/>
      <c r="C102" s="500"/>
      <c r="D102" s="500"/>
      <c r="E102" s="500"/>
      <c r="F102" s="500"/>
      <c r="G102" s="500"/>
      <c r="H102" s="500"/>
      <c r="I102" s="500"/>
      <c r="J102" s="500"/>
      <c r="K102" s="500"/>
      <c r="L102" s="500"/>
      <c r="M102" s="500"/>
      <c r="N102" s="500"/>
      <c r="O102" s="500"/>
      <c r="P102" s="500"/>
      <c r="Q102" s="500"/>
      <c r="R102" s="500"/>
      <c r="S102" s="500"/>
      <c r="T102" s="500"/>
      <c r="U102" s="500"/>
      <c r="V102" s="500"/>
      <c r="W102" s="500"/>
      <c r="X102" s="500"/>
      <c r="Y102" s="500"/>
      <c r="Z102" s="500"/>
    </row>
    <row r="103" spans="1:26" x14ac:dyDescent="0.3">
      <c r="A103" s="500"/>
      <c r="B103" s="500"/>
      <c r="C103" s="500"/>
      <c r="D103" s="500"/>
      <c r="E103" s="500"/>
      <c r="F103" s="500"/>
      <c r="G103" s="500"/>
      <c r="H103" s="500"/>
      <c r="I103" s="500"/>
      <c r="J103" s="500"/>
      <c r="K103" s="500"/>
      <c r="L103" s="500"/>
      <c r="M103" s="500"/>
      <c r="N103" s="500"/>
      <c r="O103" s="500"/>
      <c r="P103" s="500"/>
      <c r="Q103" s="500"/>
      <c r="R103" s="500"/>
      <c r="S103" s="500"/>
      <c r="T103" s="500"/>
      <c r="U103" s="500"/>
      <c r="V103" s="500"/>
      <c r="W103" s="500"/>
      <c r="X103" s="500"/>
      <c r="Y103" s="500"/>
      <c r="Z103" s="500"/>
    </row>
    <row r="104" spans="1:26" x14ac:dyDescent="0.3">
      <c r="A104" s="500"/>
      <c r="B104" s="500"/>
      <c r="C104" s="500"/>
      <c r="D104" s="500"/>
      <c r="E104" s="500"/>
      <c r="F104" s="500"/>
      <c r="G104" s="500"/>
      <c r="H104" s="500"/>
      <c r="I104" s="500"/>
      <c r="J104" s="500"/>
      <c r="K104" s="500"/>
      <c r="L104" s="500"/>
      <c r="M104" s="500"/>
      <c r="N104" s="500"/>
      <c r="O104" s="500"/>
      <c r="P104" s="500"/>
      <c r="Q104" s="500"/>
      <c r="R104" s="500"/>
      <c r="S104" s="500"/>
      <c r="T104" s="500"/>
      <c r="U104" s="500"/>
      <c r="V104" s="500"/>
      <c r="W104" s="500"/>
      <c r="X104" s="500"/>
      <c r="Y104" s="500"/>
      <c r="Z104" s="500"/>
    </row>
    <row r="105" spans="1:26" x14ac:dyDescent="0.3">
      <c r="A105" s="500"/>
      <c r="B105" s="500"/>
      <c r="C105" s="500"/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500"/>
      <c r="P105" s="500"/>
      <c r="Q105" s="500"/>
      <c r="R105" s="500"/>
      <c r="S105" s="500"/>
      <c r="T105" s="500"/>
      <c r="U105" s="500"/>
      <c r="V105" s="500"/>
      <c r="W105" s="500"/>
      <c r="X105" s="500"/>
      <c r="Y105" s="500"/>
      <c r="Z105" s="500"/>
    </row>
    <row r="106" spans="1:26" x14ac:dyDescent="0.3">
      <c r="A106" s="500"/>
      <c r="B106" s="500"/>
      <c r="C106" s="500"/>
      <c r="D106" s="500"/>
      <c r="E106" s="500"/>
      <c r="F106" s="500"/>
      <c r="G106" s="500"/>
      <c r="H106" s="500"/>
      <c r="I106" s="500"/>
      <c r="J106" s="500"/>
      <c r="K106" s="500"/>
      <c r="L106" s="500"/>
      <c r="M106" s="500"/>
      <c r="N106" s="500"/>
      <c r="O106" s="500"/>
      <c r="P106" s="500"/>
      <c r="Q106" s="500"/>
      <c r="R106" s="500"/>
      <c r="S106" s="500"/>
      <c r="T106" s="500"/>
      <c r="U106" s="500"/>
      <c r="V106" s="500"/>
      <c r="W106" s="500"/>
      <c r="X106" s="500"/>
      <c r="Y106" s="500"/>
      <c r="Z106" s="500"/>
    </row>
    <row r="107" spans="1:26" x14ac:dyDescent="0.3">
      <c r="A107" s="500"/>
      <c r="B107" s="500"/>
      <c r="C107" s="500"/>
      <c r="D107" s="500"/>
      <c r="E107" s="500"/>
      <c r="F107" s="500"/>
      <c r="G107" s="500"/>
      <c r="H107" s="500"/>
      <c r="I107" s="500"/>
      <c r="J107" s="500"/>
      <c r="K107" s="500"/>
      <c r="L107" s="500"/>
      <c r="M107" s="500"/>
      <c r="N107" s="500"/>
      <c r="O107" s="500"/>
      <c r="P107" s="500"/>
      <c r="Q107" s="500"/>
      <c r="R107" s="500"/>
      <c r="S107" s="500"/>
      <c r="T107" s="500"/>
      <c r="U107" s="500"/>
      <c r="V107" s="500"/>
      <c r="W107" s="500"/>
      <c r="X107" s="500"/>
      <c r="Y107" s="500"/>
      <c r="Z107" s="500"/>
    </row>
    <row r="108" spans="1:26" x14ac:dyDescent="0.3">
      <c r="A108" s="500"/>
      <c r="B108" s="500"/>
      <c r="C108" s="500"/>
      <c r="D108" s="500"/>
      <c r="E108" s="500"/>
      <c r="F108" s="500"/>
      <c r="G108" s="500"/>
      <c r="H108" s="500"/>
      <c r="I108" s="500"/>
      <c r="J108" s="500"/>
      <c r="K108" s="500"/>
      <c r="L108" s="500"/>
      <c r="M108" s="500"/>
      <c r="N108" s="500"/>
      <c r="O108" s="500"/>
      <c r="P108" s="500"/>
      <c r="Q108" s="500"/>
      <c r="R108" s="500"/>
      <c r="S108" s="500"/>
      <c r="T108" s="500"/>
      <c r="U108" s="500"/>
      <c r="V108" s="500"/>
      <c r="W108" s="500"/>
      <c r="X108" s="500"/>
      <c r="Y108" s="500"/>
      <c r="Z108" s="500"/>
    </row>
    <row r="109" spans="1:26" x14ac:dyDescent="0.3">
      <c r="A109" s="500"/>
      <c r="B109" s="500"/>
      <c r="C109" s="500"/>
      <c r="D109" s="500"/>
      <c r="E109" s="500"/>
      <c r="F109" s="500"/>
      <c r="G109" s="500"/>
      <c r="H109" s="500"/>
      <c r="I109" s="500"/>
      <c r="J109" s="500"/>
      <c r="K109" s="500"/>
      <c r="L109" s="500"/>
      <c r="M109" s="500"/>
      <c r="N109" s="500"/>
      <c r="O109" s="500"/>
      <c r="P109" s="500"/>
      <c r="Q109" s="500"/>
      <c r="R109" s="500"/>
      <c r="S109" s="500"/>
      <c r="T109" s="500"/>
      <c r="U109" s="500"/>
      <c r="V109" s="500"/>
      <c r="W109" s="500"/>
      <c r="X109" s="500"/>
      <c r="Y109" s="500"/>
      <c r="Z109" s="500"/>
    </row>
    <row r="110" spans="1:26" x14ac:dyDescent="0.3">
      <c r="A110" s="500"/>
      <c r="B110" s="500"/>
      <c r="C110" s="500"/>
      <c r="D110" s="500"/>
      <c r="E110" s="500"/>
      <c r="F110" s="500"/>
      <c r="G110" s="500"/>
      <c r="H110" s="500"/>
      <c r="I110" s="500"/>
      <c r="J110" s="500"/>
      <c r="K110" s="500"/>
      <c r="L110" s="500"/>
      <c r="M110" s="500"/>
      <c r="N110" s="500"/>
      <c r="O110" s="500"/>
      <c r="P110" s="500"/>
      <c r="Q110" s="500"/>
      <c r="R110" s="500"/>
      <c r="S110" s="500"/>
      <c r="T110" s="500"/>
      <c r="U110" s="500"/>
      <c r="V110" s="500"/>
      <c r="W110" s="500"/>
      <c r="X110" s="500"/>
      <c r="Y110" s="500"/>
      <c r="Z110" s="500"/>
    </row>
    <row r="111" spans="1:26" x14ac:dyDescent="0.3">
      <c r="A111" s="500"/>
      <c r="B111" s="500"/>
      <c r="C111" s="500"/>
      <c r="D111" s="500"/>
      <c r="E111" s="500"/>
      <c r="F111" s="500"/>
      <c r="G111" s="500"/>
      <c r="H111" s="500"/>
      <c r="I111" s="500"/>
      <c r="J111" s="500"/>
      <c r="K111" s="500"/>
      <c r="L111" s="500"/>
      <c r="M111" s="500"/>
      <c r="N111" s="500"/>
      <c r="O111" s="500"/>
      <c r="P111" s="500"/>
      <c r="Q111" s="500"/>
      <c r="R111" s="500"/>
      <c r="S111" s="500"/>
      <c r="T111" s="500"/>
      <c r="U111" s="500"/>
      <c r="V111" s="500"/>
      <c r="W111" s="500"/>
      <c r="X111" s="500"/>
      <c r="Y111" s="500"/>
      <c r="Z111" s="500"/>
    </row>
    <row r="112" spans="1:26" x14ac:dyDescent="0.3">
      <c r="A112" s="500"/>
      <c r="B112" s="500"/>
      <c r="C112" s="500"/>
      <c r="D112" s="500"/>
      <c r="E112" s="500"/>
      <c r="F112" s="500"/>
      <c r="G112" s="500"/>
      <c r="H112" s="500"/>
      <c r="I112" s="500"/>
      <c r="J112" s="500"/>
      <c r="K112" s="500"/>
      <c r="L112" s="500"/>
      <c r="M112" s="500"/>
      <c r="N112" s="500"/>
      <c r="O112" s="500"/>
      <c r="P112" s="500"/>
      <c r="Q112" s="500"/>
      <c r="R112" s="500"/>
      <c r="S112" s="500"/>
      <c r="T112" s="500"/>
      <c r="U112" s="500"/>
      <c r="V112" s="500"/>
      <c r="W112" s="500"/>
      <c r="X112" s="500"/>
      <c r="Y112" s="500"/>
      <c r="Z112" s="500"/>
    </row>
    <row r="113" spans="1:26" x14ac:dyDescent="0.3">
      <c r="A113" s="500"/>
      <c r="B113" s="500"/>
      <c r="C113" s="500"/>
      <c r="D113" s="500"/>
      <c r="E113" s="500"/>
      <c r="F113" s="500"/>
      <c r="G113" s="500"/>
      <c r="H113" s="500"/>
      <c r="I113" s="500"/>
      <c r="J113" s="500"/>
      <c r="K113" s="500"/>
      <c r="L113" s="500"/>
      <c r="M113" s="500"/>
      <c r="N113" s="500"/>
      <c r="O113" s="500"/>
      <c r="P113" s="500"/>
      <c r="Q113" s="500"/>
      <c r="R113" s="500"/>
      <c r="S113" s="500"/>
      <c r="T113" s="500"/>
      <c r="U113" s="500"/>
      <c r="V113" s="500"/>
      <c r="W113" s="500"/>
      <c r="X113" s="500"/>
      <c r="Y113" s="500"/>
      <c r="Z113" s="500"/>
    </row>
    <row r="114" spans="1:26" x14ac:dyDescent="0.3">
      <c r="A114" s="500"/>
      <c r="B114" s="500"/>
      <c r="C114" s="500"/>
      <c r="D114" s="500"/>
      <c r="E114" s="500"/>
      <c r="F114" s="500"/>
      <c r="G114" s="500"/>
      <c r="H114" s="500"/>
      <c r="I114" s="500"/>
      <c r="J114" s="500"/>
      <c r="K114" s="500"/>
      <c r="L114" s="500"/>
      <c r="M114" s="500"/>
      <c r="N114" s="500"/>
      <c r="O114" s="500"/>
      <c r="P114" s="500"/>
      <c r="Q114" s="500"/>
      <c r="R114" s="500"/>
      <c r="S114" s="500"/>
      <c r="T114" s="500"/>
      <c r="U114" s="500"/>
      <c r="V114" s="500"/>
      <c r="W114" s="500"/>
      <c r="X114" s="500"/>
      <c r="Y114" s="500"/>
      <c r="Z114" s="500"/>
    </row>
    <row r="115" spans="1:26" x14ac:dyDescent="0.3">
      <c r="A115" s="500"/>
      <c r="B115" s="500"/>
      <c r="C115" s="500"/>
      <c r="D115" s="500"/>
      <c r="E115" s="500"/>
      <c r="F115" s="500"/>
      <c r="G115" s="500"/>
      <c r="H115" s="500"/>
      <c r="I115" s="500"/>
      <c r="J115" s="500"/>
      <c r="K115" s="500"/>
      <c r="L115" s="500"/>
      <c r="M115" s="500"/>
      <c r="N115" s="500"/>
      <c r="O115" s="500"/>
      <c r="P115" s="500"/>
      <c r="Q115" s="500"/>
      <c r="R115" s="500"/>
      <c r="S115" s="500"/>
      <c r="T115" s="500"/>
      <c r="U115" s="500"/>
      <c r="V115" s="500"/>
      <c r="W115" s="500"/>
      <c r="X115" s="500"/>
      <c r="Y115" s="500"/>
      <c r="Z115" s="500"/>
    </row>
    <row r="116" spans="1:26" x14ac:dyDescent="0.3">
      <c r="A116" s="500"/>
      <c r="B116" s="500"/>
      <c r="C116" s="500"/>
      <c r="D116" s="500"/>
      <c r="E116" s="500"/>
      <c r="F116" s="500"/>
      <c r="G116" s="500"/>
      <c r="H116" s="500"/>
      <c r="I116" s="500"/>
      <c r="J116" s="500"/>
      <c r="K116" s="500"/>
      <c r="L116" s="500"/>
      <c r="M116" s="500"/>
      <c r="N116" s="500"/>
      <c r="O116" s="500"/>
      <c r="P116" s="500"/>
      <c r="Q116" s="500"/>
      <c r="R116" s="500"/>
      <c r="S116" s="500"/>
      <c r="T116" s="500"/>
      <c r="U116" s="500"/>
      <c r="V116" s="500"/>
      <c r="W116" s="500"/>
      <c r="X116" s="500"/>
      <c r="Y116" s="500"/>
      <c r="Z116" s="500"/>
    </row>
    <row r="117" spans="1:26" x14ac:dyDescent="0.3">
      <c r="A117" s="500"/>
      <c r="B117" s="500"/>
      <c r="C117" s="500"/>
      <c r="D117" s="500"/>
      <c r="E117" s="500"/>
      <c r="F117" s="500"/>
      <c r="G117" s="500"/>
      <c r="H117" s="500"/>
      <c r="I117" s="500"/>
      <c r="J117" s="500"/>
      <c r="K117" s="500"/>
      <c r="L117" s="500"/>
      <c r="M117" s="500"/>
      <c r="N117" s="500"/>
      <c r="O117" s="500"/>
      <c r="P117" s="500"/>
      <c r="Q117" s="500"/>
      <c r="R117" s="500"/>
      <c r="S117" s="500"/>
      <c r="T117" s="500"/>
      <c r="U117" s="500"/>
      <c r="V117" s="500"/>
      <c r="W117" s="500"/>
      <c r="X117" s="500"/>
      <c r="Y117" s="500"/>
      <c r="Z117" s="500"/>
    </row>
    <row r="118" spans="1:26" x14ac:dyDescent="0.3">
      <c r="A118" s="500"/>
      <c r="B118" s="500"/>
      <c r="C118" s="500"/>
      <c r="D118" s="500"/>
      <c r="E118" s="500"/>
      <c r="F118" s="500"/>
      <c r="G118" s="500"/>
      <c r="H118" s="500"/>
      <c r="I118" s="500"/>
      <c r="J118" s="500"/>
      <c r="K118" s="500"/>
      <c r="L118" s="500"/>
      <c r="M118" s="500"/>
      <c r="N118" s="500"/>
      <c r="O118" s="500"/>
      <c r="P118" s="500"/>
      <c r="Q118" s="500"/>
      <c r="R118" s="500"/>
      <c r="S118" s="500"/>
      <c r="T118" s="500"/>
      <c r="U118" s="500"/>
      <c r="V118" s="500"/>
      <c r="W118" s="500"/>
      <c r="X118" s="500"/>
      <c r="Y118" s="500"/>
      <c r="Z118" s="500"/>
    </row>
    <row r="119" spans="1:26" x14ac:dyDescent="0.3">
      <c r="A119" s="500"/>
      <c r="B119" s="500"/>
      <c r="C119" s="500"/>
      <c r="D119" s="500"/>
      <c r="E119" s="500"/>
      <c r="F119" s="500"/>
      <c r="G119" s="500"/>
      <c r="H119" s="500"/>
      <c r="I119" s="500"/>
      <c r="J119" s="500"/>
      <c r="K119" s="500"/>
      <c r="L119" s="500"/>
      <c r="M119" s="500"/>
      <c r="N119" s="500"/>
      <c r="O119" s="500"/>
      <c r="P119" s="500"/>
      <c r="Q119" s="500"/>
      <c r="R119" s="500"/>
      <c r="S119" s="500"/>
      <c r="T119" s="500"/>
      <c r="U119" s="500"/>
      <c r="V119" s="500"/>
      <c r="W119" s="500"/>
      <c r="X119" s="500"/>
      <c r="Y119" s="500"/>
      <c r="Z119" s="500"/>
    </row>
    <row r="120" spans="1:26" x14ac:dyDescent="0.3">
      <c r="A120" s="500"/>
      <c r="B120" s="500"/>
      <c r="C120" s="500"/>
      <c r="D120" s="500"/>
      <c r="E120" s="500"/>
      <c r="F120" s="500"/>
      <c r="G120" s="500"/>
      <c r="H120" s="500"/>
      <c r="I120" s="500"/>
      <c r="J120" s="500"/>
      <c r="K120" s="500"/>
      <c r="L120" s="500"/>
      <c r="M120" s="500"/>
      <c r="N120" s="500"/>
      <c r="O120" s="500"/>
      <c r="P120" s="500"/>
      <c r="Q120" s="500"/>
      <c r="R120" s="500"/>
      <c r="S120" s="500"/>
      <c r="T120" s="500"/>
      <c r="U120" s="500"/>
      <c r="V120" s="500"/>
      <c r="W120" s="500"/>
      <c r="X120" s="500"/>
      <c r="Y120" s="500"/>
      <c r="Z120" s="500"/>
    </row>
    <row r="121" spans="1:26" x14ac:dyDescent="0.3">
      <c r="A121" s="500"/>
      <c r="B121" s="500"/>
      <c r="C121" s="500"/>
      <c r="D121" s="500"/>
      <c r="E121" s="500"/>
      <c r="F121" s="500"/>
      <c r="G121" s="500"/>
      <c r="H121" s="500"/>
      <c r="I121" s="500"/>
      <c r="J121" s="500"/>
      <c r="K121" s="500"/>
      <c r="L121" s="500"/>
      <c r="M121" s="500"/>
      <c r="N121" s="500"/>
      <c r="O121" s="500"/>
      <c r="P121" s="500"/>
      <c r="Q121" s="500"/>
      <c r="R121" s="500"/>
      <c r="S121" s="500"/>
      <c r="T121" s="500"/>
      <c r="U121" s="500"/>
      <c r="V121" s="500"/>
      <c r="W121" s="500"/>
      <c r="X121" s="500"/>
      <c r="Y121" s="500"/>
      <c r="Z121" s="500"/>
    </row>
    <row r="122" spans="1:26" x14ac:dyDescent="0.3">
      <c r="A122" s="500"/>
      <c r="B122" s="500"/>
      <c r="C122" s="500"/>
      <c r="D122" s="500"/>
      <c r="E122" s="500"/>
      <c r="F122" s="500"/>
      <c r="G122" s="500"/>
      <c r="H122" s="500"/>
      <c r="I122" s="500"/>
      <c r="J122" s="500"/>
      <c r="K122" s="500"/>
      <c r="L122" s="500"/>
      <c r="M122" s="500"/>
      <c r="N122" s="500"/>
      <c r="O122" s="500"/>
      <c r="P122" s="500"/>
      <c r="Q122" s="500"/>
      <c r="R122" s="500"/>
      <c r="S122" s="500"/>
      <c r="T122" s="500"/>
      <c r="U122" s="500"/>
      <c r="V122" s="500"/>
      <c r="W122" s="500"/>
      <c r="X122" s="500"/>
      <c r="Y122" s="500"/>
      <c r="Z122" s="500"/>
    </row>
    <row r="123" spans="1:26" x14ac:dyDescent="0.3">
      <c r="A123" s="500"/>
      <c r="B123" s="500"/>
      <c r="C123" s="500"/>
      <c r="D123" s="500"/>
      <c r="E123" s="500"/>
      <c r="F123" s="500"/>
      <c r="G123" s="500"/>
      <c r="H123" s="500"/>
      <c r="I123" s="500"/>
      <c r="J123" s="500"/>
      <c r="K123" s="500"/>
      <c r="L123" s="500"/>
      <c r="M123" s="500"/>
      <c r="N123" s="500"/>
      <c r="O123" s="500"/>
      <c r="P123" s="500"/>
      <c r="Q123" s="500"/>
      <c r="R123" s="500"/>
      <c r="S123" s="500"/>
      <c r="T123" s="500"/>
      <c r="U123" s="500"/>
      <c r="V123" s="500"/>
      <c r="W123" s="500"/>
      <c r="X123" s="500"/>
      <c r="Y123" s="500"/>
      <c r="Z123" s="500"/>
    </row>
    <row r="124" spans="1:26" x14ac:dyDescent="0.3">
      <c r="A124" s="500"/>
      <c r="B124" s="500"/>
      <c r="C124" s="500"/>
      <c r="D124" s="500"/>
      <c r="E124" s="500"/>
      <c r="F124" s="500"/>
      <c r="G124" s="500"/>
      <c r="H124" s="500"/>
      <c r="I124" s="500"/>
      <c r="J124" s="500"/>
      <c r="K124" s="500"/>
      <c r="L124" s="500"/>
      <c r="M124" s="500"/>
      <c r="N124" s="500"/>
      <c r="O124" s="500"/>
      <c r="P124" s="500"/>
      <c r="Q124" s="500"/>
      <c r="R124" s="500"/>
      <c r="S124" s="500"/>
      <c r="T124" s="500"/>
      <c r="U124" s="500"/>
      <c r="V124" s="500"/>
      <c r="W124" s="500"/>
      <c r="X124" s="500"/>
      <c r="Y124" s="500"/>
      <c r="Z124" s="500"/>
    </row>
    <row r="125" spans="1:26" x14ac:dyDescent="0.3">
      <c r="A125" s="500"/>
      <c r="B125" s="500"/>
      <c r="C125" s="500"/>
      <c r="D125" s="500"/>
      <c r="E125" s="500"/>
      <c r="F125" s="500"/>
      <c r="G125" s="500"/>
      <c r="H125" s="500"/>
      <c r="I125" s="500"/>
      <c r="J125" s="500"/>
      <c r="K125" s="500"/>
      <c r="L125" s="500"/>
      <c r="M125" s="500"/>
      <c r="N125" s="500"/>
      <c r="O125" s="500"/>
      <c r="P125" s="500"/>
      <c r="Q125" s="500"/>
      <c r="R125" s="500"/>
      <c r="S125" s="500"/>
      <c r="T125" s="500"/>
      <c r="U125" s="500"/>
      <c r="V125" s="500"/>
      <c r="W125" s="500"/>
      <c r="X125" s="500"/>
      <c r="Y125" s="500"/>
      <c r="Z125" s="500"/>
    </row>
    <row r="126" spans="1:26" x14ac:dyDescent="0.3">
      <c r="A126" s="500"/>
      <c r="B126" s="500"/>
      <c r="C126" s="500"/>
      <c r="D126" s="500"/>
      <c r="E126" s="500"/>
      <c r="F126" s="500"/>
      <c r="G126" s="500"/>
      <c r="H126" s="500"/>
      <c r="I126" s="500"/>
      <c r="J126" s="500"/>
      <c r="K126" s="500"/>
      <c r="L126" s="500"/>
      <c r="M126" s="500"/>
      <c r="N126" s="500"/>
      <c r="O126" s="500"/>
      <c r="P126" s="500"/>
      <c r="Q126" s="500"/>
      <c r="R126" s="500"/>
      <c r="S126" s="500"/>
      <c r="T126" s="500"/>
      <c r="U126" s="500"/>
      <c r="V126" s="500"/>
      <c r="W126" s="500"/>
      <c r="X126" s="500"/>
      <c r="Y126" s="500"/>
      <c r="Z126" s="500"/>
    </row>
    <row r="127" spans="1:26" x14ac:dyDescent="0.3">
      <c r="A127" s="500"/>
      <c r="B127" s="500"/>
      <c r="C127" s="500"/>
      <c r="D127" s="500"/>
      <c r="E127" s="500"/>
      <c r="F127" s="500"/>
      <c r="G127" s="500"/>
      <c r="H127" s="500"/>
      <c r="I127" s="500"/>
      <c r="J127" s="500"/>
      <c r="K127" s="500"/>
      <c r="L127" s="500"/>
      <c r="M127" s="500"/>
      <c r="N127" s="500"/>
      <c r="O127" s="500"/>
      <c r="P127" s="500"/>
      <c r="Q127" s="500"/>
      <c r="R127" s="500"/>
      <c r="S127" s="500"/>
      <c r="T127" s="500"/>
      <c r="U127" s="500"/>
      <c r="V127" s="500"/>
      <c r="W127" s="500"/>
      <c r="X127" s="500"/>
      <c r="Y127" s="500"/>
      <c r="Z127" s="500"/>
    </row>
    <row r="128" spans="1:26" x14ac:dyDescent="0.3">
      <c r="A128" s="500"/>
      <c r="B128" s="500"/>
      <c r="C128" s="500"/>
      <c r="D128" s="500"/>
      <c r="E128" s="500"/>
      <c r="F128" s="500"/>
      <c r="G128" s="500"/>
      <c r="H128" s="500"/>
      <c r="I128" s="500"/>
      <c r="J128" s="500"/>
      <c r="K128" s="500"/>
      <c r="L128" s="500"/>
      <c r="M128" s="500"/>
      <c r="N128" s="500"/>
      <c r="O128" s="500"/>
      <c r="P128" s="500"/>
      <c r="Q128" s="500"/>
      <c r="R128" s="500"/>
      <c r="S128" s="500"/>
      <c r="T128" s="500"/>
      <c r="U128" s="500"/>
      <c r="V128" s="500"/>
      <c r="W128" s="500"/>
      <c r="X128" s="500"/>
      <c r="Y128" s="500"/>
      <c r="Z128" s="500"/>
    </row>
    <row r="129" spans="1:26" x14ac:dyDescent="0.3">
      <c r="A129" s="500"/>
      <c r="B129" s="500"/>
      <c r="C129" s="500"/>
      <c r="D129" s="500"/>
      <c r="E129" s="500"/>
      <c r="F129" s="500"/>
      <c r="G129" s="500"/>
      <c r="H129" s="500"/>
      <c r="I129" s="500"/>
      <c r="J129" s="500"/>
      <c r="K129" s="500"/>
      <c r="L129" s="500"/>
      <c r="M129" s="500"/>
      <c r="N129" s="500"/>
      <c r="O129" s="500"/>
      <c r="P129" s="500"/>
      <c r="Q129" s="500"/>
      <c r="R129" s="500"/>
      <c r="S129" s="500"/>
      <c r="T129" s="500"/>
      <c r="U129" s="500"/>
      <c r="V129" s="500"/>
      <c r="W129" s="500"/>
      <c r="X129" s="500"/>
      <c r="Y129" s="500"/>
      <c r="Z129" s="500"/>
    </row>
    <row r="130" spans="1:26" x14ac:dyDescent="0.3">
      <c r="A130" s="500"/>
      <c r="B130" s="500"/>
      <c r="C130" s="500"/>
      <c r="D130" s="500"/>
      <c r="E130" s="500"/>
      <c r="F130" s="500"/>
      <c r="G130" s="500"/>
      <c r="H130" s="500"/>
      <c r="I130" s="500"/>
      <c r="J130" s="500"/>
      <c r="K130" s="500"/>
      <c r="L130" s="500"/>
      <c r="M130" s="500"/>
      <c r="N130" s="500"/>
      <c r="O130" s="500"/>
      <c r="P130" s="500"/>
      <c r="Q130" s="500"/>
      <c r="R130" s="500"/>
      <c r="S130" s="500"/>
      <c r="T130" s="500"/>
      <c r="U130" s="500"/>
      <c r="V130" s="500"/>
      <c r="W130" s="500"/>
      <c r="X130" s="500"/>
      <c r="Y130" s="500"/>
      <c r="Z130" s="500"/>
    </row>
    <row r="131" spans="1:26" x14ac:dyDescent="0.3">
      <c r="A131" s="500"/>
      <c r="B131" s="500"/>
      <c r="C131" s="500"/>
      <c r="D131" s="500"/>
      <c r="E131" s="500"/>
      <c r="F131" s="500"/>
      <c r="G131" s="500"/>
      <c r="H131" s="500"/>
      <c r="I131" s="500"/>
      <c r="J131" s="500"/>
      <c r="K131" s="500"/>
      <c r="L131" s="500"/>
      <c r="M131" s="500"/>
      <c r="N131" s="500"/>
      <c r="O131" s="500"/>
      <c r="P131" s="500"/>
      <c r="Q131" s="500"/>
      <c r="R131" s="500"/>
      <c r="S131" s="500"/>
      <c r="T131" s="500"/>
      <c r="U131" s="500"/>
      <c r="V131" s="500"/>
      <c r="W131" s="500"/>
      <c r="X131" s="500"/>
      <c r="Y131" s="500"/>
      <c r="Z131" s="500"/>
    </row>
    <row r="132" spans="1:26" x14ac:dyDescent="0.3">
      <c r="A132" s="500"/>
      <c r="B132" s="500"/>
      <c r="C132" s="500"/>
      <c r="D132" s="500"/>
      <c r="E132" s="500"/>
      <c r="F132" s="500"/>
      <c r="G132" s="500"/>
      <c r="H132" s="500"/>
      <c r="I132" s="500"/>
      <c r="J132" s="500"/>
      <c r="K132" s="500"/>
      <c r="L132" s="500"/>
      <c r="M132" s="500"/>
      <c r="N132" s="500"/>
      <c r="O132" s="500"/>
      <c r="P132" s="500"/>
      <c r="Q132" s="500"/>
      <c r="R132" s="500"/>
      <c r="S132" s="500"/>
      <c r="T132" s="500"/>
      <c r="U132" s="500"/>
      <c r="V132" s="500"/>
      <c r="W132" s="500"/>
      <c r="X132" s="500"/>
      <c r="Y132" s="500"/>
      <c r="Z132" s="500"/>
    </row>
    <row r="133" spans="1:26" x14ac:dyDescent="0.3">
      <c r="A133" s="500"/>
      <c r="B133" s="500"/>
      <c r="C133" s="500"/>
      <c r="D133" s="500"/>
      <c r="E133" s="500"/>
      <c r="F133" s="500"/>
      <c r="G133" s="500"/>
      <c r="H133" s="500"/>
      <c r="I133" s="500"/>
      <c r="J133" s="500"/>
      <c r="K133" s="500"/>
      <c r="L133" s="500"/>
      <c r="M133" s="500"/>
      <c r="N133" s="500"/>
      <c r="O133" s="500"/>
      <c r="P133" s="500"/>
      <c r="Q133" s="500"/>
      <c r="R133" s="500"/>
      <c r="S133" s="500"/>
      <c r="T133" s="500"/>
      <c r="U133" s="500"/>
      <c r="V133" s="500"/>
      <c r="W133" s="500"/>
      <c r="X133" s="500"/>
      <c r="Y133" s="500"/>
      <c r="Z133" s="500"/>
    </row>
    <row r="134" spans="1:26" x14ac:dyDescent="0.3">
      <c r="A134" s="500"/>
      <c r="B134" s="500"/>
      <c r="C134" s="500"/>
      <c r="D134" s="500"/>
      <c r="E134" s="500"/>
      <c r="F134" s="500"/>
      <c r="G134" s="500"/>
      <c r="H134" s="500"/>
      <c r="I134" s="500"/>
      <c r="J134" s="500"/>
      <c r="K134" s="500"/>
      <c r="L134" s="500"/>
      <c r="M134" s="500"/>
      <c r="N134" s="500"/>
      <c r="O134" s="500"/>
      <c r="P134" s="500"/>
      <c r="Q134" s="500"/>
      <c r="R134" s="500"/>
      <c r="S134" s="500"/>
      <c r="T134" s="500"/>
      <c r="U134" s="500"/>
      <c r="V134" s="500"/>
      <c r="W134" s="500"/>
      <c r="X134" s="500"/>
      <c r="Y134" s="500"/>
      <c r="Z134" s="500"/>
    </row>
    <row r="135" spans="1:26" x14ac:dyDescent="0.3">
      <c r="A135" s="500"/>
      <c r="B135" s="500"/>
      <c r="C135" s="500"/>
      <c r="D135" s="500"/>
      <c r="E135" s="500"/>
      <c r="F135" s="500"/>
      <c r="G135" s="500"/>
      <c r="H135" s="500"/>
      <c r="I135" s="500"/>
      <c r="J135" s="500"/>
      <c r="K135" s="500"/>
      <c r="L135" s="500"/>
      <c r="M135" s="500"/>
      <c r="N135" s="500"/>
      <c r="O135" s="500"/>
      <c r="P135" s="500"/>
      <c r="Q135" s="500"/>
      <c r="R135" s="500"/>
      <c r="S135" s="500"/>
      <c r="T135" s="500"/>
      <c r="U135" s="500"/>
      <c r="V135" s="500"/>
      <c r="W135" s="500"/>
      <c r="X135" s="500"/>
      <c r="Y135" s="500"/>
      <c r="Z135" s="500"/>
    </row>
    <row r="136" spans="1:26" x14ac:dyDescent="0.3">
      <c r="A136" s="500"/>
      <c r="B136" s="500"/>
      <c r="C136" s="500"/>
      <c r="D136" s="500"/>
      <c r="E136" s="500"/>
      <c r="F136" s="500"/>
      <c r="G136" s="500"/>
      <c r="H136" s="500"/>
      <c r="I136" s="500"/>
      <c r="J136" s="500"/>
      <c r="K136" s="500"/>
      <c r="L136" s="500"/>
      <c r="M136" s="500"/>
      <c r="N136" s="500"/>
      <c r="O136" s="500"/>
      <c r="P136" s="500"/>
      <c r="Q136" s="500"/>
      <c r="R136" s="500"/>
      <c r="S136" s="500"/>
      <c r="T136" s="500"/>
      <c r="U136" s="500"/>
      <c r="V136" s="500"/>
      <c r="W136" s="500"/>
      <c r="X136" s="500"/>
      <c r="Y136" s="500"/>
      <c r="Z136" s="500"/>
    </row>
    <row r="137" spans="1:26" x14ac:dyDescent="0.3">
      <c r="A137" s="500"/>
      <c r="B137" s="500"/>
      <c r="C137" s="500"/>
      <c r="D137" s="500"/>
      <c r="E137" s="500"/>
      <c r="F137" s="500"/>
      <c r="G137" s="500"/>
      <c r="H137" s="500"/>
      <c r="I137" s="500"/>
      <c r="J137" s="500"/>
      <c r="K137" s="500"/>
      <c r="L137" s="500"/>
      <c r="M137" s="500"/>
      <c r="N137" s="500"/>
      <c r="O137" s="500"/>
      <c r="P137" s="500"/>
      <c r="Q137" s="500"/>
      <c r="R137" s="500"/>
      <c r="S137" s="500"/>
      <c r="T137" s="500"/>
      <c r="U137" s="500"/>
      <c r="V137" s="500"/>
      <c r="W137" s="500"/>
      <c r="X137" s="500"/>
      <c r="Y137" s="500"/>
      <c r="Z137" s="500"/>
    </row>
    <row r="138" spans="1:26" x14ac:dyDescent="0.3">
      <c r="A138" s="500"/>
      <c r="B138" s="500"/>
      <c r="C138" s="500"/>
      <c r="D138" s="500"/>
      <c r="E138" s="500"/>
      <c r="F138" s="500"/>
      <c r="G138" s="500"/>
      <c r="H138" s="500"/>
      <c r="I138" s="500"/>
      <c r="J138" s="500"/>
      <c r="K138" s="500"/>
      <c r="L138" s="500"/>
      <c r="M138" s="500"/>
      <c r="N138" s="500"/>
      <c r="O138" s="500"/>
      <c r="P138" s="500"/>
      <c r="Q138" s="500"/>
      <c r="R138" s="500"/>
      <c r="S138" s="500"/>
      <c r="T138" s="500"/>
      <c r="U138" s="500"/>
      <c r="V138" s="500"/>
      <c r="W138" s="500"/>
      <c r="X138" s="500"/>
      <c r="Y138" s="500"/>
      <c r="Z138" s="500"/>
    </row>
    <row r="139" spans="1:26" x14ac:dyDescent="0.3">
      <c r="A139" s="500"/>
      <c r="B139" s="500"/>
      <c r="C139" s="500"/>
      <c r="D139" s="500"/>
      <c r="E139" s="500"/>
      <c r="F139" s="500"/>
      <c r="G139" s="500"/>
      <c r="H139" s="500"/>
      <c r="I139" s="500"/>
      <c r="J139" s="500"/>
      <c r="K139" s="500"/>
      <c r="L139" s="500"/>
      <c r="M139" s="500"/>
      <c r="N139" s="500"/>
      <c r="O139" s="500"/>
      <c r="P139" s="500"/>
      <c r="Q139" s="500"/>
      <c r="R139" s="500"/>
      <c r="S139" s="500"/>
      <c r="T139" s="500"/>
      <c r="U139" s="500"/>
      <c r="V139" s="500"/>
      <c r="W139" s="500"/>
      <c r="X139" s="500"/>
      <c r="Y139" s="500"/>
      <c r="Z139" s="500"/>
    </row>
    <row r="140" spans="1:26" x14ac:dyDescent="0.3">
      <c r="A140" s="500"/>
      <c r="B140" s="500"/>
      <c r="C140" s="500"/>
      <c r="D140" s="500"/>
      <c r="E140" s="500"/>
      <c r="F140" s="500"/>
      <c r="G140" s="500"/>
      <c r="H140" s="500"/>
      <c r="I140" s="500"/>
      <c r="J140" s="500"/>
      <c r="K140" s="500"/>
      <c r="L140" s="500"/>
      <c r="M140" s="500"/>
      <c r="N140" s="500"/>
      <c r="O140" s="500"/>
      <c r="P140" s="500"/>
      <c r="Q140" s="500"/>
      <c r="R140" s="500"/>
      <c r="S140" s="500"/>
      <c r="T140" s="500"/>
      <c r="U140" s="500"/>
      <c r="V140" s="500"/>
      <c r="W140" s="500"/>
      <c r="X140" s="500"/>
      <c r="Y140" s="500"/>
      <c r="Z140" s="500"/>
    </row>
    <row r="141" spans="1:26" x14ac:dyDescent="0.3">
      <c r="A141" s="500"/>
      <c r="B141" s="500"/>
      <c r="C141" s="500"/>
      <c r="D141" s="500"/>
      <c r="E141" s="500"/>
      <c r="F141" s="500"/>
      <c r="G141" s="500"/>
      <c r="H141" s="500"/>
      <c r="I141" s="500"/>
      <c r="J141" s="500"/>
      <c r="K141" s="500"/>
      <c r="L141" s="500"/>
      <c r="M141" s="500"/>
      <c r="N141" s="500"/>
      <c r="O141" s="500"/>
      <c r="P141" s="500"/>
      <c r="Q141" s="500"/>
      <c r="R141" s="500"/>
      <c r="S141" s="500"/>
      <c r="T141" s="500"/>
      <c r="U141" s="500"/>
      <c r="V141" s="500"/>
      <c r="W141" s="500"/>
      <c r="X141" s="500"/>
      <c r="Y141" s="500"/>
      <c r="Z141" s="500"/>
    </row>
    <row r="142" spans="1:26" x14ac:dyDescent="0.3">
      <c r="A142" s="500"/>
      <c r="B142" s="500"/>
      <c r="C142" s="500"/>
      <c r="D142" s="500"/>
      <c r="E142" s="500"/>
      <c r="F142" s="500"/>
      <c r="G142" s="500"/>
      <c r="H142" s="500"/>
      <c r="I142" s="500"/>
      <c r="J142" s="500"/>
      <c r="K142" s="500"/>
      <c r="L142" s="500"/>
      <c r="M142" s="500"/>
      <c r="N142" s="500"/>
      <c r="O142" s="500"/>
      <c r="P142" s="500"/>
      <c r="Q142" s="500"/>
      <c r="R142" s="500"/>
      <c r="S142" s="500"/>
      <c r="T142" s="500"/>
      <c r="U142" s="500"/>
      <c r="V142" s="500"/>
      <c r="W142" s="500"/>
      <c r="X142" s="500"/>
      <c r="Y142" s="500"/>
      <c r="Z142" s="500"/>
    </row>
    <row r="143" spans="1:26" x14ac:dyDescent="0.3">
      <c r="A143" s="500"/>
      <c r="B143" s="500"/>
      <c r="C143" s="500"/>
      <c r="D143" s="500"/>
      <c r="E143" s="500"/>
      <c r="F143" s="500"/>
      <c r="G143" s="500"/>
      <c r="H143" s="500"/>
      <c r="I143" s="500"/>
      <c r="J143" s="500"/>
      <c r="K143" s="500"/>
      <c r="L143" s="500"/>
      <c r="M143" s="500"/>
      <c r="N143" s="500"/>
      <c r="O143" s="500"/>
      <c r="P143" s="500"/>
      <c r="Q143" s="500"/>
      <c r="R143" s="500"/>
      <c r="S143" s="500"/>
      <c r="T143" s="500"/>
      <c r="U143" s="500"/>
      <c r="V143" s="500"/>
      <c r="W143" s="500"/>
      <c r="X143" s="500"/>
      <c r="Y143" s="500"/>
      <c r="Z143" s="500"/>
    </row>
    <row r="144" spans="1:26" x14ac:dyDescent="0.3">
      <c r="A144" s="500"/>
      <c r="B144" s="500"/>
      <c r="C144" s="500"/>
      <c r="D144" s="500"/>
      <c r="E144" s="500"/>
      <c r="F144" s="500"/>
      <c r="G144" s="500"/>
      <c r="H144" s="500"/>
      <c r="I144" s="500"/>
      <c r="J144" s="500"/>
      <c r="K144" s="500"/>
      <c r="L144" s="500"/>
      <c r="M144" s="500"/>
      <c r="N144" s="500"/>
      <c r="O144" s="500"/>
      <c r="P144" s="500"/>
      <c r="Q144" s="500"/>
      <c r="R144" s="500"/>
      <c r="S144" s="500"/>
      <c r="T144" s="500"/>
      <c r="U144" s="500"/>
      <c r="V144" s="500"/>
      <c r="W144" s="500"/>
      <c r="X144" s="500"/>
      <c r="Y144" s="500"/>
      <c r="Z144" s="500"/>
    </row>
    <row r="145" spans="1:26" x14ac:dyDescent="0.3">
      <c r="A145" s="500"/>
      <c r="B145" s="500"/>
      <c r="C145" s="500"/>
      <c r="D145" s="500"/>
      <c r="E145" s="500"/>
      <c r="F145" s="500"/>
      <c r="G145" s="500"/>
      <c r="H145" s="500"/>
      <c r="I145" s="500"/>
      <c r="J145" s="500"/>
      <c r="K145" s="500"/>
      <c r="L145" s="500"/>
      <c r="M145" s="500"/>
      <c r="N145" s="500"/>
      <c r="O145" s="500"/>
      <c r="P145" s="500"/>
      <c r="Q145" s="500"/>
      <c r="R145" s="500"/>
      <c r="S145" s="500"/>
      <c r="T145" s="500"/>
      <c r="U145" s="500"/>
      <c r="V145" s="500"/>
      <c r="W145" s="500"/>
      <c r="X145" s="500"/>
      <c r="Y145" s="500"/>
      <c r="Z145" s="500"/>
    </row>
    <row r="146" spans="1:26" x14ac:dyDescent="0.3">
      <c r="A146" s="500"/>
      <c r="B146" s="500"/>
      <c r="C146" s="500"/>
      <c r="D146" s="500"/>
      <c r="E146" s="500"/>
      <c r="F146" s="500"/>
      <c r="G146" s="500"/>
      <c r="H146" s="500"/>
      <c r="I146" s="500"/>
      <c r="J146" s="500"/>
      <c r="K146" s="500"/>
      <c r="L146" s="500"/>
      <c r="M146" s="500"/>
      <c r="N146" s="500"/>
      <c r="O146" s="500"/>
      <c r="P146" s="500"/>
      <c r="Q146" s="500"/>
      <c r="R146" s="500"/>
      <c r="S146" s="500"/>
      <c r="T146" s="500"/>
      <c r="U146" s="500"/>
      <c r="V146" s="500"/>
      <c r="W146" s="500"/>
      <c r="X146" s="500"/>
      <c r="Y146" s="500"/>
      <c r="Z146" s="500"/>
    </row>
    <row r="147" spans="1:26" x14ac:dyDescent="0.3">
      <c r="A147" s="500"/>
      <c r="B147" s="500"/>
      <c r="C147" s="500"/>
      <c r="D147" s="500"/>
      <c r="E147" s="500"/>
      <c r="F147" s="500"/>
      <c r="G147" s="500"/>
      <c r="H147" s="500"/>
      <c r="I147" s="500"/>
      <c r="J147" s="500"/>
      <c r="K147" s="500"/>
      <c r="L147" s="500"/>
      <c r="M147" s="500"/>
      <c r="N147" s="500"/>
      <c r="O147" s="500"/>
      <c r="P147" s="500"/>
      <c r="Q147" s="500"/>
      <c r="R147" s="500"/>
      <c r="S147" s="500"/>
      <c r="T147" s="500"/>
      <c r="U147" s="500"/>
      <c r="V147" s="500"/>
      <c r="W147" s="500"/>
      <c r="X147" s="500"/>
      <c r="Y147" s="500"/>
      <c r="Z147" s="500"/>
    </row>
    <row r="148" spans="1:26" x14ac:dyDescent="0.3">
      <c r="A148" s="500"/>
      <c r="B148" s="500"/>
      <c r="C148" s="500"/>
      <c r="D148" s="500"/>
      <c r="E148" s="500"/>
      <c r="F148" s="500"/>
      <c r="G148" s="500"/>
      <c r="H148" s="500"/>
      <c r="I148" s="500"/>
      <c r="J148" s="500"/>
      <c r="K148" s="500"/>
      <c r="L148" s="500"/>
      <c r="M148" s="500"/>
      <c r="N148" s="500"/>
      <c r="O148" s="500"/>
      <c r="P148" s="500"/>
      <c r="Q148" s="500"/>
      <c r="R148" s="500"/>
      <c r="S148" s="500"/>
      <c r="T148" s="500"/>
      <c r="U148" s="500"/>
      <c r="V148" s="500"/>
      <c r="W148" s="500"/>
      <c r="X148" s="500"/>
      <c r="Y148" s="500"/>
      <c r="Z148" s="500"/>
    </row>
    <row r="149" spans="1:26" x14ac:dyDescent="0.3">
      <c r="A149" s="500"/>
      <c r="B149" s="500"/>
      <c r="C149" s="500"/>
      <c r="D149" s="500"/>
      <c r="E149" s="500"/>
      <c r="F149" s="500"/>
      <c r="G149" s="500"/>
      <c r="H149" s="500"/>
      <c r="I149" s="500"/>
      <c r="J149" s="500"/>
      <c r="K149" s="500"/>
      <c r="L149" s="500"/>
      <c r="M149" s="500"/>
      <c r="N149" s="500"/>
      <c r="O149" s="500"/>
      <c r="P149" s="500"/>
      <c r="Q149" s="500"/>
      <c r="R149" s="500"/>
      <c r="S149" s="500"/>
      <c r="T149" s="500"/>
      <c r="U149" s="500"/>
      <c r="V149" s="500"/>
      <c r="W149" s="500"/>
      <c r="X149" s="500"/>
      <c r="Y149" s="500"/>
      <c r="Z149" s="500"/>
    </row>
    <row r="150" spans="1:26" x14ac:dyDescent="0.3">
      <c r="A150" s="500"/>
      <c r="B150" s="500"/>
      <c r="C150" s="500"/>
      <c r="D150" s="500"/>
      <c r="E150" s="500"/>
      <c r="F150" s="500"/>
      <c r="G150" s="500"/>
      <c r="H150" s="500"/>
      <c r="I150" s="500"/>
      <c r="J150" s="500"/>
      <c r="K150" s="500"/>
      <c r="L150" s="500"/>
      <c r="M150" s="500"/>
      <c r="N150" s="500"/>
      <c r="O150" s="500"/>
      <c r="P150" s="500"/>
      <c r="Q150" s="500"/>
      <c r="R150" s="500"/>
      <c r="S150" s="500"/>
      <c r="T150" s="500"/>
      <c r="U150" s="500"/>
      <c r="V150" s="500"/>
      <c r="W150" s="500"/>
      <c r="X150" s="500"/>
      <c r="Y150" s="500"/>
      <c r="Z150" s="500"/>
    </row>
    <row r="151" spans="1:26" x14ac:dyDescent="0.3">
      <c r="A151" s="500"/>
      <c r="B151" s="500"/>
      <c r="C151" s="500"/>
      <c r="D151" s="500"/>
      <c r="E151" s="500"/>
      <c r="F151" s="500"/>
      <c r="G151" s="500"/>
      <c r="H151" s="500"/>
      <c r="I151" s="500"/>
      <c r="J151" s="500"/>
      <c r="K151" s="500"/>
      <c r="L151" s="500"/>
      <c r="M151" s="500"/>
      <c r="N151" s="500"/>
      <c r="O151" s="500"/>
      <c r="P151" s="500"/>
      <c r="Q151" s="500"/>
      <c r="R151" s="500"/>
      <c r="S151" s="500"/>
      <c r="T151" s="500"/>
      <c r="U151" s="500"/>
      <c r="V151" s="500"/>
      <c r="W151" s="500"/>
      <c r="X151" s="500"/>
      <c r="Y151" s="500"/>
      <c r="Z151" s="500"/>
    </row>
    <row r="152" spans="1:26" x14ac:dyDescent="0.3">
      <c r="A152" s="500"/>
      <c r="B152" s="500"/>
      <c r="C152" s="500"/>
      <c r="D152" s="500"/>
      <c r="E152" s="500"/>
      <c r="F152" s="500"/>
      <c r="G152" s="500"/>
      <c r="H152" s="500"/>
      <c r="I152" s="500"/>
      <c r="J152" s="500"/>
      <c r="K152" s="500"/>
      <c r="L152" s="500"/>
      <c r="M152" s="500"/>
      <c r="N152" s="500"/>
      <c r="O152" s="500"/>
      <c r="P152" s="500"/>
      <c r="Q152" s="500"/>
      <c r="R152" s="500"/>
      <c r="S152" s="500"/>
      <c r="T152" s="500"/>
      <c r="U152" s="500"/>
      <c r="V152" s="500"/>
      <c r="W152" s="500"/>
      <c r="X152" s="500"/>
      <c r="Y152" s="500"/>
      <c r="Z152" s="500"/>
    </row>
    <row r="153" spans="1:26" x14ac:dyDescent="0.3">
      <c r="A153" s="500"/>
      <c r="B153" s="500"/>
      <c r="C153" s="500"/>
      <c r="D153" s="500"/>
      <c r="E153" s="500"/>
      <c r="F153" s="500"/>
      <c r="G153" s="500"/>
      <c r="H153" s="500"/>
      <c r="I153" s="500"/>
      <c r="J153" s="500"/>
      <c r="K153" s="500"/>
      <c r="L153" s="500"/>
      <c r="M153" s="500"/>
      <c r="N153" s="500"/>
      <c r="O153" s="500"/>
      <c r="P153" s="500"/>
      <c r="Q153" s="500"/>
      <c r="R153" s="500"/>
      <c r="S153" s="500"/>
      <c r="T153" s="500"/>
      <c r="U153" s="500"/>
      <c r="V153" s="500"/>
      <c r="W153" s="500"/>
      <c r="X153" s="500"/>
      <c r="Y153" s="500"/>
      <c r="Z153" s="500"/>
    </row>
    <row r="154" spans="1:26" x14ac:dyDescent="0.3">
      <c r="A154" s="500"/>
      <c r="B154" s="500"/>
      <c r="C154" s="500"/>
      <c r="D154" s="500"/>
      <c r="E154" s="500"/>
      <c r="F154" s="500"/>
      <c r="G154" s="500"/>
      <c r="H154" s="500"/>
      <c r="I154" s="500"/>
      <c r="J154" s="500"/>
      <c r="K154" s="500"/>
      <c r="L154" s="500"/>
      <c r="M154" s="500"/>
      <c r="N154" s="500"/>
      <c r="O154" s="500"/>
      <c r="P154" s="500"/>
      <c r="Q154" s="500"/>
      <c r="R154" s="500"/>
      <c r="S154" s="500"/>
      <c r="T154" s="500"/>
      <c r="U154" s="500"/>
      <c r="V154" s="500"/>
      <c r="W154" s="500"/>
      <c r="X154" s="500"/>
      <c r="Y154" s="500"/>
      <c r="Z154" s="500"/>
    </row>
    <row r="155" spans="1:26" x14ac:dyDescent="0.3">
      <c r="A155" s="500"/>
      <c r="B155" s="500"/>
      <c r="C155" s="500"/>
      <c r="D155" s="500"/>
      <c r="E155" s="500"/>
      <c r="F155" s="500"/>
      <c r="G155" s="500"/>
      <c r="H155" s="500"/>
      <c r="I155" s="500"/>
      <c r="J155" s="500"/>
      <c r="K155" s="500"/>
      <c r="L155" s="500"/>
      <c r="M155" s="500"/>
      <c r="N155" s="500"/>
      <c r="O155" s="500"/>
      <c r="P155" s="500"/>
      <c r="Q155" s="500"/>
      <c r="R155" s="500"/>
      <c r="S155" s="500"/>
      <c r="T155" s="500"/>
      <c r="U155" s="500"/>
      <c r="V155" s="500"/>
      <c r="W155" s="500"/>
      <c r="X155" s="500"/>
      <c r="Y155" s="500"/>
      <c r="Z155" s="500"/>
    </row>
    <row r="156" spans="1:26" x14ac:dyDescent="0.3">
      <c r="A156" s="500"/>
      <c r="B156" s="500"/>
      <c r="C156" s="500"/>
      <c r="D156" s="500"/>
      <c r="E156" s="500"/>
      <c r="F156" s="500"/>
      <c r="G156" s="500"/>
      <c r="H156" s="500"/>
      <c r="I156" s="500"/>
      <c r="J156" s="500"/>
      <c r="K156" s="500"/>
      <c r="L156" s="500"/>
      <c r="M156" s="500"/>
      <c r="N156" s="500"/>
      <c r="O156" s="500"/>
      <c r="P156" s="500"/>
      <c r="Q156" s="500"/>
      <c r="R156" s="500"/>
      <c r="S156" s="500"/>
      <c r="T156" s="500"/>
      <c r="U156" s="500"/>
      <c r="V156" s="500"/>
      <c r="W156" s="500"/>
      <c r="X156" s="500"/>
      <c r="Y156" s="500"/>
      <c r="Z156" s="500"/>
    </row>
    <row r="157" spans="1:26" x14ac:dyDescent="0.3">
      <c r="A157" s="500"/>
      <c r="B157" s="500"/>
      <c r="C157" s="500"/>
      <c r="D157" s="500"/>
      <c r="E157" s="500"/>
      <c r="F157" s="500"/>
      <c r="G157" s="500"/>
      <c r="H157" s="500"/>
      <c r="I157" s="500"/>
      <c r="J157" s="500"/>
      <c r="K157" s="500"/>
      <c r="L157" s="500"/>
      <c r="M157" s="500"/>
      <c r="N157" s="500"/>
      <c r="O157" s="500"/>
      <c r="P157" s="500"/>
      <c r="Q157" s="500"/>
      <c r="R157" s="500"/>
      <c r="S157" s="500"/>
      <c r="T157" s="500"/>
      <c r="U157" s="500"/>
      <c r="V157" s="500"/>
      <c r="W157" s="500"/>
      <c r="X157" s="500"/>
      <c r="Y157" s="500"/>
      <c r="Z157" s="500"/>
    </row>
    <row r="158" spans="1:26" x14ac:dyDescent="0.3">
      <c r="A158" s="500"/>
      <c r="B158" s="500"/>
      <c r="C158" s="500"/>
      <c r="D158" s="500"/>
      <c r="E158" s="500"/>
      <c r="F158" s="500"/>
      <c r="G158" s="500"/>
      <c r="H158" s="500"/>
      <c r="I158" s="500"/>
      <c r="J158" s="500"/>
      <c r="K158" s="500"/>
      <c r="L158" s="500"/>
      <c r="M158" s="500"/>
      <c r="N158" s="500"/>
      <c r="O158" s="500"/>
      <c r="P158" s="500"/>
      <c r="Q158" s="500"/>
      <c r="R158" s="500"/>
      <c r="S158" s="500"/>
      <c r="T158" s="500"/>
      <c r="U158" s="500"/>
      <c r="V158" s="500"/>
      <c r="W158" s="500"/>
      <c r="X158" s="500"/>
      <c r="Y158" s="500"/>
      <c r="Z158" s="500"/>
    </row>
    <row r="159" spans="1:26" x14ac:dyDescent="0.3">
      <c r="A159" s="500"/>
      <c r="B159" s="500"/>
      <c r="C159" s="500"/>
      <c r="D159" s="500"/>
      <c r="E159" s="500"/>
      <c r="F159" s="500"/>
      <c r="G159" s="500"/>
      <c r="H159" s="500"/>
      <c r="I159" s="500"/>
      <c r="J159" s="500"/>
      <c r="K159" s="500"/>
      <c r="L159" s="500"/>
      <c r="M159" s="500"/>
      <c r="N159" s="500"/>
      <c r="O159" s="500"/>
      <c r="P159" s="500"/>
      <c r="Q159" s="500"/>
      <c r="R159" s="500"/>
      <c r="S159" s="500"/>
      <c r="T159" s="500"/>
      <c r="U159" s="500"/>
      <c r="V159" s="500"/>
      <c r="W159" s="500"/>
      <c r="X159" s="500"/>
      <c r="Y159" s="500"/>
      <c r="Z159" s="500"/>
    </row>
    <row r="160" spans="1:26" x14ac:dyDescent="0.3">
      <c r="A160" s="500"/>
      <c r="B160" s="500"/>
      <c r="C160" s="500"/>
      <c r="D160" s="500"/>
      <c r="E160" s="500"/>
      <c r="F160" s="500"/>
      <c r="G160" s="500"/>
      <c r="H160" s="500"/>
      <c r="I160" s="500"/>
      <c r="J160" s="500"/>
      <c r="K160" s="500"/>
      <c r="L160" s="500"/>
      <c r="M160" s="500"/>
      <c r="N160" s="500"/>
      <c r="O160" s="500"/>
      <c r="P160" s="500"/>
      <c r="Q160" s="500"/>
      <c r="R160" s="500"/>
      <c r="S160" s="500"/>
      <c r="T160" s="500"/>
      <c r="U160" s="500"/>
      <c r="V160" s="500"/>
      <c r="W160" s="500"/>
      <c r="X160" s="500"/>
      <c r="Y160" s="500"/>
      <c r="Z160" s="500"/>
    </row>
    <row r="161" spans="1:26" x14ac:dyDescent="0.3">
      <c r="A161" s="500"/>
      <c r="B161" s="500"/>
      <c r="C161" s="500"/>
      <c r="D161" s="500"/>
      <c r="E161" s="500"/>
      <c r="F161" s="500"/>
      <c r="G161" s="500"/>
      <c r="H161" s="500"/>
      <c r="I161" s="500"/>
      <c r="J161" s="500"/>
      <c r="K161" s="500"/>
      <c r="L161" s="500"/>
      <c r="M161" s="500"/>
      <c r="N161" s="500"/>
      <c r="O161" s="500"/>
      <c r="P161" s="500"/>
      <c r="Q161" s="500"/>
      <c r="R161" s="500"/>
      <c r="S161" s="500"/>
      <c r="T161" s="500"/>
      <c r="U161" s="500"/>
      <c r="V161" s="500"/>
      <c r="W161" s="500"/>
      <c r="X161" s="500"/>
      <c r="Y161" s="500"/>
      <c r="Z161" s="500"/>
    </row>
    <row r="162" spans="1:26" x14ac:dyDescent="0.3">
      <c r="A162" s="500"/>
      <c r="B162" s="500"/>
      <c r="C162" s="500"/>
      <c r="D162" s="500"/>
      <c r="E162" s="500"/>
      <c r="F162" s="500"/>
      <c r="G162" s="500"/>
      <c r="H162" s="500"/>
      <c r="I162" s="500"/>
      <c r="J162" s="500"/>
      <c r="K162" s="500"/>
      <c r="L162" s="500"/>
      <c r="M162" s="500"/>
      <c r="N162" s="500"/>
      <c r="O162" s="500"/>
      <c r="P162" s="500"/>
      <c r="Q162" s="500"/>
      <c r="R162" s="500"/>
      <c r="S162" s="500"/>
      <c r="T162" s="500"/>
      <c r="U162" s="500"/>
      <c r="V162" s="500"/>
      <c r="W162" s="500"/>
      <c r="X162" s="500"/>
      <c r="Y162" s="500"/>
      <c r="Z162" s="500"/>
    </row>
    <row r="163" spans="1:26" x14ac:dyDescent="0.3">
      <c r="A163" s="500"/>
      <c r="B163" s="500"/>
      <c r="C163" s="500"/>
      <c r="D163" s="500"/>
      <c r="E163" s="500"/>
      <c r="F163" s="500"/>
      <c r="G163" s="500"/>
      <c r="H163" s="500"/>
      <c r="I163" s="500"/>
      <c r="J163" s="500"/>
      <c r="K163" s="500"/>
      <c r="L163" s="500"/>
      <c r="M163" s="500"/>
      <c r="N163" s="500"/>
      <c r="O163" s="500"/>
      <c r="P163" s="500"/>
      <c r="Q163" s="500"/>
      <c r="R163" s="500"/>
      <c r="S163" s="500"/>
      <c r="T163" s="500"/>
      <c r="U163" s="500"/>
      <c r="V163" s="500"/>
      <c r="W163" s="500"/>
      <c r="X163" s="500"/>
      <c r="Y163" s="500"/>
      <c r="Z163" s="500"/>
    </row>
    <row r="164" spans="1:26" x14ac:dyDescent="0.3">
      <c r="A164" s="500"/>
      <c r="B164" s="500"/>
      <c r="C164" s="500"/>
      <c r="D164" s="500"/>
      <c r="E164" s="500"/>
      <c r="F164" s="500"/>
      <c r="G164" s="500"/>
      <c r="H164" s="500"/>
      <c r="I164" s="500"/>
      <c r="J164" s="500"/>
      <c r="K164" s="500"/>
      <c r="L164" s="500"/>
      <c r="M164" s="500"/>
      <c r="N164" s="500"/>
      <c r="O164" s="500"/>
      <c r="P164" s="500"/>
      <c r="Q164" s="500"/>
      <c r="R164" s="500"/>
      <c r="S164" s="500"/>
      <c r="T164" s="500"/>
      <c r="U164" s="500"/>
      <c r="V164" s="500"/>
      <c r="W164" s="500"/>
      <c r="X164" s="500"/>
      <c r="Y164" s="500"/>
      <c r="Z164" s="500"/>
    </row>
    <row r="165" spans="1:26" x14ac:dyDescent="0.3">
      <c r="A165" s="500"/>
      <c r="B165" s="500"/>
      <c r="C165" s="500"/>
      <c r="D165" s="500"/>
      <c r="E165" s="500"/>
      <c r="F165" s="500"/>
      <c r="G165" s="500"/>
      <c r="H165" s="500"/>
      <c r="I165" s="500"/>
      <c r="J165" s="500"/>
      <c r="K165" s="500"/>
      <c r="L165" s="500"/>
      <c r="M165" s="500"/>
      <c r="N165" s="500"/>
      <c r="O165" s="500"/>
      <c r="P165" s="500"/>
      <c r="Q165" s="500"/>
      <c r="R165" s="500"/>
      <c r="S165" s="500"/>
      <c r="T165" s="500"/>
      <c r="U165" s="500"/>
      <c r="V165" s="500"/>
      <c r="W165" s="500"/>
      <c r="X165" s="500"/>
      <c r="Y165" s="500"/>
      <c r="Z165" s="500"/>
    </row>
    <row r="166" spans="1:26" x14ac:dyDescent="0.3">
      <c r="A166" s="500"/>
      <c r="B166" s="500"/>
      <c r="C166" s="500"/>
      <c r="D166" s="500"/>
      <c r="E166" s="500"/>
      <c r="F166" s="500"/>
      <c r="G166" s="500"/>
      <c r="H166" s="500"/>
      <c r="I166" s="500"/>
      <c r="J166" s="500"/>
      <c r="K166" s="500"/>
      <c r="L166" s="500"/>
      <c r="M166" s="500"/>
      <c r="N166" s="500"/>
      <c r="O166" s="500"/>
      <c r="P166" s="500"/>
      <c r="Q166" s="500"/>
      <c r="R166" s="500"/>
      <c r="S166" s="500"/>
      <c r="T166" s="500"/>
      <c r="U166" s="500"/>
      <c r="V166" s="500"/>
      <c r="W166" s="500"/>
      <c r="X166" s="500"/>
      <c r="Y166" s="500"/>
      <c r="Z166" s="500"/>
    </row>
    <row r="167" spans="1:26" x14ac:dyDescent="0.3">
      <c r="A167" s="500"/>
      <c r="B167" s="500"/>
      <c r="C167" s="500"/>
      <c r="D167" s="500"/>
      <c r="E167" s="500"/>
      <c r="F167" s="500"/>
      <c r="G167" s="500"/>
      <c r="H167" s="500"/>
      <c r="I167" s="500"/>
      <c r="J167" s="500"/>
      <c r="K167" s="500"/>
      <c r="L167" s="500"/>
      <c r="M167" s="500"/>
      <c r="N167" s="500"/>
      <c r="O167" s="500"/>
      <c r="P167" s="500"/>
      <c r="Q167" s="500"/>
      <c r="R167" s="500"/>
      <c r="S167" s="500"/>
      <c r="T167" s="500"/>
      <c r="U167" s="500"/>
      <c r="V167" s="500"/>
      <c r="W167" s="500"/>
      <c r="X167" s="500"/>
      <c r="Y167" s="500"/>
      <c r="Z167" s="500"/>
    </row>
    <row r="168" spans="1:26" x14ac:dyDescent="0.3">
      <c r="A168" s="500"/>
      <c r="B168" s="500"/>
      <c r="C168" s="500"/>
      <c r="D168" s="500"/>
      <c r="E168" s="500"/>
      <c r="F168" s="500"/>
      <c r="G168" s="500"/>
      <c r="H168" s="500"/>
      <c r="I168" s="500"/>
      <c r="J168" s="500"/>
      <c r="K168" s="500"/>
      <c r="L168" s="500"/>
      <c r="M168" s="500"/>
      <c r="N168" s="500"/>
      <c r="O168" s="500"/>
      <c r="P168" s="500"/>
      <c r="Q168" s="500"/>
      <c r="R168" s="500"/>
      <c r="S168" s="500"/>
      <c r="T168" s="500"/>
      <c r="U168" s="500"/>
      <c r="V168" s="500"/>
      <c r="W168" s="500"/>
      <c r="X168" s="500"/>
      <c r="Y168" s="500"/>
      <c r="Z168" s="500"/>
    </row>
    <row r="169" spans="1:26" x14ac:dyDescent="0.3">
      <c r="A169" s="500"/>
      <c r="B169" s="500"/>
      <c r="C169" s="500"/>
      <c r="D169" s="500"/>
      <c r="E169" s="500"/>
      <c r="F169" s="500"/>
      <c r="G169" s="500"/>
      <c r="H169" s="500"/>
      <c r="I169" s="500"/>
      <c r="J169" s="500"/>
      <c r="K169" s="500"/>
      <c r="L169" s="500"/>
      <c r="M169" s="500"/>
      <c r="N169" s="500"/>
      <c r="O169" s="500"/>
      <c r="P169" s="500"/>
      <c r="Q169" s="500"/>
      <c r="R169" s="500"/>
      <c r="S169" s="500"/>
      <c r="T169" s="500"/>
      <c r="U169" s="500"/>
      <c r="V169" s="500"/>
      <c r="W169" s="500"/>
      <c r="X169" s="500"/>
      <c r="Y169" s="500"/>
      <c r="Z169" s="500"/>
    </row>
    <row r="170" spans="1:26" x14ac:dyDescent="0.3">
      <c r="A170" s="500"/>
      <c r="B170" s="500"/>
      <c r="C170" s="500"/>
      <c r="D170" s="500"/>
      <c r="E170" s="500"/>
      <c r="F170" s="500"/>
      <c r="G170" s="500"/>
      <c r="H170" s="500"/>
      <c r="I170" s="500"/>
      <c r="J170" s="500"/>
      <c r="K170" s="500"/>
      <c r="L170" s="500"/>
      <c r="M170" s="500"/>
      <c r="N170" s="500"/>
      <c r="O170" s="500"/>
      <c r="P170" s="500"/>
      <c r="Q170" s="500"/>
      <c r="R170" s="500"/>
      <c r="S170" s="500"/>
      <c r="T170" s="500"/>
      <c r="U170" s="500"/>
      <c r="V170" s="500"/>
      <c r="W170" s="500"/>
      <c r="X170" s="500"/>
      <c r="Y170" s="500"/>
      <c r="Z170" s="500"/>
    </row>
    <row r="171" spans="1:26" x14ac:dyDescent="0.3">
      <c r="A171" s="500"/>
      <c r="B171" s="500"/>
      <c r="C171" s="500"/>
      <c r="D171" s="500"/>
      <c r="E171" s="500"/>
      <c r="F171" s="500"/>
      <c r="G171" s="500"/>
      <c r="H171" s="500"/>
      <c r="I171" s="500"/>
      <c r="J171" s="500"/>
      <c r="K171" s="500"/>
      <c r="L171" s="500"/>
      <c r="M171" s="500"/>
      <c r="N171" s="500"/>
      <c r="O171" s="500"/>
      <c r="P171" s="500"/>
      <c r="Q171" s="500"/>
      <c r="R171" s="500"/>
      <c r="S171" s="500"/>
      <c r="T171" s="500"/>
      <c r="U171" s="500"/>
      <c r="V171" s="500"/>
      <c r="W171" s="500"/>
      <c r="X171" s="500"/>
      <c r="Y171" s="500"/>
      <c r="Z171" s="500"/>
    </row>
    <row r="172" spans="1:26" x14ac:dyDescent="0.3">
      <c r="A172" s="500"/>
      <c r="B172" s="500"/>
      <c r="C172" s="500"/>
      <c r="D172" s="500"/>
      <c r="E172" s="500"/>
      <c r="F172" s="500"/>
      <c r="G172" s="500"/>
      <c r="H172" s="500"/>
      <c r="I172" s="500"/>
      <c r="J172" s="500"/>
      <c r="K172" s="500"/>
      <c r="L172" s="500"/>
      <c r="M172" s="500"/>
      <c r="N172" s="500"/>
      <c r="O172" s="500"/>
      <c r="P172" s="500"/>
      <c r="Q172" s="500"/>
      <c r="R172" s="500"/>
      <c r="S172" s="500"/>
      <c r="T172" s="500"/>
      <c r="U172" s="500"/>
      <c r="V172" s="500"/>
      <c r="W172" s="500"/>
      <c r="X172" s="500"/>
      <c r="Y172" s="500"/>
      <c r="Z172" s="500"/>
    </row>
    <row r="173" spans="1:26" x14ac:dyDescent="0.3">
      <c r="A173" s="500"/>
      <c r="B173" s="500"/>
      <c r="C173" s="500"/>
      <c r="D173" s="500"/>
      <c r="E173" s="500"/>
      <c r="F173" s="500"/>
      <c r="G173" s="500"/>
      <c r="H173" s="500"/>
      <c r="I173" s="500"/>
      <c r="J173" s="500"/>
      <c r="K173" s="500"/>
      <c r="L173" s="500"/>
      <c r="M173" s="500"/>
      <c r="N173" s="500"/>
      <c r="O173" s="500"/>
      <c r="P173" s="500"/>
      <c r="Q173" s="500"/>
      <c r="R173" s="500"/>
      <c r="S173" s="500"/>
      <c r="T173" s="500"/>
      <c r="U173" s="500"/>
      <c r="V173" s="500"/>
      <c r="W173" s="500"/>
      <c r="X173" s="500"/>
      <c r="Y173" s="500"/>
      <c r="Z173" s="500"/>
    </row>
    <row r="174" spans="1:26" x14ac:dyDescent="0.3">
      <c r="A174" s="500"/>
      <c r="B174" s="500"/>
      <c r="C174" s="500"/>
      <c r="D174" s="500"/>
      <c r="E174" s="500"/>
      <c r="F174" s="500"/>
      <c r="G174" s="500"/>
      <c r="H174" s="500"/>
      <c r="I174" s="500"/>
      <c r="J174" s="500"/>
      <c r="K174" s="500"/>
      <c r="L174" s="500"/>
      <c r="M174" s="500"/>
      <c r="N174" s="500"/>
      <c r="O174" s="500"/>
      <c r="P174" s="500"/>
      <c r="Q174" s="500"/>
      <c r="R174" s="500"/>
      <c r="S174" s="500"/>
      <c r="T174" s="500"/>
      <c r="U174" s="500"/>
      <c r="V174" s="500"/>
      <c r="W174" s="500"/>
      <c r="X174" s="500"/>
      <c r="Y174" s="500"/>
      <c r="Z174" s="500"/>
    </row>
    <row r="175" spans="1:26" x14ac:dyDescent="0.3">
      <c r="A175" s="500"/>
      <c r="B175" s="500"/>
      <c r="C175" s="500"/>
      <c r="D175" s="500"/>
      <c r="E175" s="500"/>
      <c r="F175" s="500"/>
      <c r="G175" s="500"/>
      <c r="H175" s="500"/>
      <c r="I175" s="500"/>
      <c r="J175" s="500"/>
      <c r="K175" s="500"/>
      <c r="L175" s="500"/>
      <c r="M175" s="500"/>
      <c r="N175" s="500"/>
      <c r="O175" s="500"/>
      <c r="P175" s="500"/>
      <c r="Q175" s="500"/>
      <c r="R175" s="500"/>
      <c r="S175" s="500"/>
      <c r="T175" s="500"/>
      <c r="U175" s="500"/>
      <c r="V175" s="500"/>
      <c r="W175" s="500"/>
      <c r="X175" s="500"/>
      <c r="Y175" s="500"/>
      <c r="Z175" s="500"/>
    </row>
    <row r="176" spans="1:26" x14ac:dyDescent="0.3">
      <c r="A176" s="500"/>
      <c r="B176" s="500"/>
      <c r="C176" s="500"/>
      <c r="D176" s="500"/>
      <c r="E176" s="500"/>
      <c r="F176" s="500"/>
      <c r="G176" s="500"/>
      <c r="H176" s="500"/>
      <c r="I176" s="500"/>
      <c r="J176" s="500"/>
      <c r="K176" s="500"/>
      <c r="L176" s="500"/>
      <c r="M176" s="500"/>
      <c r="N176" s="500"/>
      <c r="O176" s="500"/>
      <c r="P176" s="500"/>
      <c r="Q176" s="500"/>
      <c r="R176" s="500"/>
      <c r="S176" s="500"/>
      <c r="T176" s="500"/>
      <c r="U176" s="500"/>
      <c r="V176" s="500"/>
      <c r="W176" s="500"/>
      <c r="X176" s="500"/>
      <c r="Y176" s="500"/>
      <c r="Z176" s="500"/>
    </row>
    <row r="177" spans="1:26" x14ac:dyDescent="0.3">
      <c r="A177" s="500"/>
      <c r="B177" s="500"/>
      <c r="C177" s="500"/>
      <c r="D177" s="500"/>
      <c r="E177" s="500"/>
      <c r="F177" s="500"/>
      <c r="G177" s="500"/>
      <c r="H177" s="500"/>
      <c r="I177" s="500"/>
      <c r="J177" s="500"/>
      <c r="K177" s="500"/>
      <c r="L177" s="500"/>
      <c r="M177" s="500"/>
      <c r="N177" s="500"/>
      <c r="O177" s="500"/>
      <c r="P177" s="500"/>
      <c r="Q177" s="500"/>
      <c r="R177" s="500"/>
      <c r="S177" s="500"/>
      <c r="T177" s="500"/>
      <c r="U177" s="500"/>
      <c r="V177" s="500"/>
      <c r="W177" s="500"/>
      <c r="X177" s="500"/>
      <c r="Y177" s="500"/>
      <c r="Z177" s="500"/>
    </row>
    <row r="178" spans="1:26" x14ac:dyDescent="0.3">
      <c r="A178" s="500"/>
      <c r="B178" s="500"/>
      <c r="C178" s="500"/>
      <c r="D178" s="500"/>
      <c r="E178" s="500"/>
      <c r="F178" s="500"/>
      <c r="G178" s="500"/>
      <c r="H178" s="500"/>
      <c r="I178" s="500"/>
      <c r="J178" s="500"/>
      <c r="K178" s="500"/>
      <c r="L178" s="500"/>
      <c r="M178" s="500"/>
      <c r="N178" s="500"/>
      <c r="O178" s="500"/>
      <c r="P178" s="500"/>
      <c r="Q178" s="500"/>
      <c r="R178" s="500"/>
      <c r="S178" s="500"/>
      <c r="T178" s="500"/>
      <c r="U178" s="500"/>
      <c r="V178" s="500"/>
      <c r="W178" s="500"/>
      <c r="X178" s="500"/>
      <c r="Y178" s="500"/>
      <c r="Z178" s="500"/>
    </row>
    <row r="179" spans="1:26" x14ac:dyDescent="0.3">
      <c r="A179" s="500"/>
      <c r="B179" s="500"/>
      <c r="C179" s="500"/>
      <c r="D179" s="500"/>
      <c r="E179" s="500"/>
      <c r="F179" s="500"/>
      <c r="G179" s="500"/>
      <c r="H179" s="500"/>
      <c r="I179" s="500"/>
      <c r="J179" s="500"/>
      <c r="K179" s="500"/>
      <c r="L179" s="500"/>
      <c r="M179" s="500"/>
      <c r="N179" s="500"/>
      <c r="O179" s="500"/>
      <c r="P179" s="500"/>
      <c r="Q179" s="500"/>
      <c r="R179" s="500"/>
      <c r="S179" s="500"/>
      <c r="T179" s="500"/>
      <c r="U179" s="500"/>
      <c r="V179" s="500"/>
      <c r="W179" s="500"/>
      <c r="X179" s="500"/>
      <c r="Y179" s="500"/>
      <c r="Z179" s="500"/>
    </row>
    <row r="180" spans="1:26" x14ac:dyDescent="0.3">
      <c r="A180" s="500"/>
      <c r="B180" s="500"/>
      <c r="C180" s="500"/>
      <c r="D180" s="500"/>
      <c r="E180" s="500"/>
      <c r="F180" s="500"/>
      <c r="G180" s="500"/>
      <c r="H180" s="500"/>
      <c r="I180" s="500"/>
      <c r="J180" s="500"/>
      <c r="K180" s="500"/>
      <c r="L180" s="500"/>
      <c r="M180" s="500"/>
      <c r="N180" s="500"/>
      <c r="O180" s="500"/>
      <c r="P180" s="500"/>
      <c r="Q180" s="500"/>
      <c r="R180" s="500"/>
      <c r="S180" s="500"/>
      <c r="T180" s="500"/>
      <c r="U180" s="500"/>
      <c r="V180" s="500"/>
      <c r="W180" s="500"/>
      <c r="X180" s="500"/>
      <c r="Y180" s="500"/>
      <c r="Z180" s="500"/>
    </row>
    <row r="181" spans="1:26" x14ac:dyDescent="0.3">
      <c r="A181" s="500"/>
      <c r="B181" s="500"/>
      <c r="C181" s="500"/>
      <c r="D181" s="500"/>
      <c r="E181" s="500"/>
      <c r="F181" s="500"/>
      <c r="G181" s="500"/>
      <c r="H181" s="500"/>
      <c r="I181" s="500"/>
      <c r="J181" s="500"/>
      <c r="K181" s="500"/>
      <c r="L181" s="500"/>
      <c r="M181" s="500"/>
      <c r="N181" s="500"/>
      <c r="O181" s="500"/>
      <c r="P181" s="500"/>
      <c r="Q181" s="500"/>
      <c r="R181" s="500"/>
      <c r="S181" s="500"/>
      <c r="T181" s="500"/>
      <c r="U181" s="500"/>
      <c r="V181" s="500"/>
      <c r="W181" s="500"/>
      <c r="X181" s="500"/>
      <c r="Y181" s="500"/>
      <c r="Z181" s="500"/>
    </row>
    <row r="182" spans="1:26" x14ac:dyDescent="0.3">
      <c r="A182" s="500"/>
      <c r="B182" s="500"/>
      <c r="C182" s="500"/>
      <c r="D182" s="500"/>
      <c r="E182" s="500"/>
      <c r="F182" s="500"/>
      <c r="G182" s="500"/>
      <c r="H182" s="500"/>
      <c r="I182" s="500"/>
      <c r="J182" s="500"/>
      <c r="K182" s="500"/>
      <c r="L182" s="500"/>
      <c r="M182" s="500"/>
      <c r="N182" s="500"/>
      <c r="O182" s="500"/>
      <c r="P182" s="500"/>
      <c r="Q182" s="500"/>
      <c r="R182" s="500"/>
      <c r="S182" s="500"/>
      <c r="T182" s="500"/>
      <c r="U182" s="500"/>
      <c r="V182" s="500"/>
      <c r="W182" s="500"/>
      <c r="X182" s="500"/>
      <c r="Y182" s="500"/>
      <c r="Z182" s="500"/>
    </row>
    <row r="183" spans="1:26" x14ac:dyDescent="0.3">
      <c r="A183" s="500"/>
      <c r="B183" s="500"/>
      <c r="C183" s="500"/>
      <c r="D183" s="500"/>
      <c r="E183" s="500"/>
      <c r="F183" s="500"/>
      <c r="G183" s="500"/>
      <c r="H183" s="500"/>
      <c r="I183" s="500"/>
      <c r="J183" s="500"/>
      <c r="K183" s="500"/>
      <c r="L183" s="500"/>
      <c r="M183" s="500"/>
      <c r="N183" s="500"/>
      <c r="O183" s="500"/>
      <c r="P183" s="500"/>
      <c r="Q183" s="500"/>
      <c r="R183" s="500"/>
      <c r="S183" s="500"/>
      <c r="T183" s="500"/>
      <c r="U183" s="500"/>
      <c r="V183" s="500"/>
      <c r="W183" s="500"/>
      <c r="X183" s="500"/>
      <c r="Y183" s="500"/>
      <c r="Z183" s="500"/>
    </row>
    <row r="184" spans="1:26" x14ac:dyDescent="0.3">
      <c r="A184" s="500"/>
      <c r="B184" s="500"/>
      <c r="C184" s="500"/>
      <c r="D184" s="500"/>
      <c r="E184" s="500"/>
      <c r="F184" s="500"/>
      <c r="G184" s="500"/>
      <c r="H184" s="500"/>
      <c r="I184" s="500"/>
      <c r="J184" s="500"/>
      <c r="K184" s="500"/>
      <c r="L184" s="500"/>
      <c r="M184" s="500"/>
      <c r="N184" s="500"/>
      <c r="O184" s="500"/>
      <c r="P184" s="500"/>
      <c r="Q184" s="500"/>
      <c r="R184" s="500"/>
      <c r="S184" s="500"/>
      <c r="T184" s="500"/>
      <c r="U184" s="500"/>
      <c r="V184" s="500"/>
      <c r="W184" s="500"/>
      <c r="X184" s="500"/>
      <c r="Y184" s="500"/>
      <c r="Z184" s="500"/>
    </row>
    <row r="185" spans="1:26" x14ac:dyDescent="0.3">
      <c r="A185" s="500"/>
      <c r="B185" s="500"/>
      <c r="C185" s="500"/>
      <c r="D185" s="500"/>
      <c r="E185" s="500"/>
      <c r="F185" s="500"/>
      <c r="G185" s="500"/>
      <c r="H185" s="500"/>
      <c r="I185" s="500"/>
      <c r="J185" s="500"/>
      <c r="K185" s="500"/>
      <c r="L185" s="500"/>
      <c r="M185" s="500"/>
      <c r="N185" s="500"/>
      <c r="O185" s="500"/>
      <c r="P185" s="500"/>
      <c r="Q185" s="500"/>
      <c r="R185" s="500"/>
      <c r="S185" s="500"/>
      <c r="T185" s="500"/>
      <c r="U185" s="500"/>
      <c r="V185" s="500"/>
      <c r="W185" s="500"/>
      <c r="X185" s="500"/>
      <c r="Y185" s="500"/>
      <c r="Z185" s="500"/>
    </row>
    <row r="186" spans="1:26" x14ac:dyDescent="0.3">
      <c r="A186" s="500"/>
      <c r="B186" s="500"/>
      <c r="C186" s="500"/>
      <c r="D186" s="500"/>
      <c r="E186" s="500"/>
      <c r="F186" s="500"/>
      <c r="G186" s="500"/>
      <c r="H186" s="500"/>
      <c r="I186" s="500"/>
      <c r="J186" s="500"/>
      <c r="K186" s="500"/>
      <c r="L186" s="500"/>
      <c r="M186" s="500"/>
      <c r="N186" s="500"/>
      <c r="O186" s="500"/>
      <c r="P186" s="500"/>
      <c r="Q186" s="500"/>
      <c r="R186" s="500"/>
      <c r="S186" s="500"/>
      <c r="T186" s="500"/>
      <c r="U186" s="500"/>
      <c r="V186" s="500"/>
      <c r="W186" s="500"/>
      <c r="X186" s="500"/>
      <c r="Y186" s="500"/>
      <c r="Z186" s="500"/>
    </row>
    <row r="187" spans="1:26" x14ac:dyDescent="0.3">
      <c r="A187" s="500"/>
      <c r="B187" s="500"/>
      <c r="C187" s="500"/>
      <c r="D187" s="500"/>
      <c r="E187" s="500"/>
      <c r="F187" s="500"/>
      <c r="G187" s="500"/>
      <c r="H187" s="500"/>
      <c r="I187" s="500"/>
      <c r="J187" s="500"/>
      <c r="K187" s="500"/>
      <c r="L187" s="500"/>
      <c r="M187" s="500"/>
      <c r="N187" s="500"/>
      <c r="O187" s="500"/>
      <c r="P187" s="500"/>
      <c r="Q187" s="500"/>
      <c r="R187" s="500"/>
      <c r="S187" s="500"/>
      <c r="T187" s="500"/>
      <c r="U187" s="500"/>
      <c r="V187" s="500"/>
      <c r="W187" s="500"/>
      <c r="X187" s="500"/>
      <c r="Y187" s="500"/>
      <c r="Z187" s="500"/>
    </row>
    <row r="188" spans="1:26" x14ac:dyDescent="0.3">
      <c r="A188" s="500"/>
      <c r="B188" s="500"/>
      <c r="C188" s="500"/>
      <c r="D188" s="500"/>
      <c r="E188" s="500"/>
      <c r="F188" s="500"/>
      <c r="G188" s="500"/>
      <c r="H188" s="500"/>
      <c r="I188" s="500"/>
      <c r="J188" s="500"/>
      <c r="K188" s="500"/>
      <c r="L188" s="500"/>
      <c r="M188" s="500"/>
      <c r="N188" s="500"/>
      <c r="O188" s="500"/>
      <c r="P188" s="500"/>
      <c r="Q188" s="500"/>
      <c r="R188" s="500"/>
      <c r="S188" s="500"/>
      <c r="T188" s="500"/>
      <c r="U188" s="500"/>
      <c r="V188" s="500"/>
      <c r="W188" s="500"/>
      <c r="X188" s="500"/>
      <c r="Y188" s="500"/>
      <c r="Z188" s="500"/>
    </row>
    <row r="189" spans="1:26" x14ac:dyDescent="0.3">
      <c r="A189" s="500"/>
      <c r="B189" s="500"/>
      <c r="C189" s="500"/>
      <c r="D189" s="500"/>
      <c r="E189" s="500"/>
      <c r="F189" s="500"/>
      <c r="G189" s="500"/>
      <c r="H189" s="500"/>
      <c r="I189" s="500"/>
      <c r="J189" s="500"/>
      <c r="K189" s="500"/>
      <c r="L189" s="500"/>
      <c r="M189" s="500"/>
      <c r="N189" s="500"/>
      <c r="O189" s="500"/>
      <c r="P189" s="500"/>
      <c r="Q189" s="500"/>
      <c r="R189" s="500"/>
      <c r="S189" s="500"/>
      <c r="T189" s="500"/>
      <c r="U189" s="500"/>
      <c r="V189" s="500"/>
      <c r="W189" s="500"/>
      <c r="X189" s="500"/>
      <c r="Y189" s="500"/>
      <c r="Z189" s="500"/>
    </row>
    <row r="190" spans="1:26" x14ac:dyDescent="0.3">
      <c r="A190" s="500"/>
      <c r="B190" s="500"/>
      <c r="C190" s="500"/>
      <c r="D190" s="500"/>
      <c r="E190" s="500"/>
      <c r="F190" s="500"/>
      <c r="G190" s="500"/>
      <c r="H190" s="500"/>
      <c r="I190" s="500"/>
      <c r="J190" s="500"/>
      <c r="K190" s="500"/>
      <c r="L190" s="500"/>
      <c r="M190" s="500"/>
      <c r="N190" s="500"/>
      <c r="O190" s="500"/>
      <c r="P190" s="500"/>
      <c r="Q190" s="500"/>
      <c r="R190" s="500"/>
      <c r="S190" s="500"/>
      <c r="T190" s="500"/>
      <c r="U190" s="500"/>
      <c r="V190" s="500"/>
      <c r="W190" s="500"/>
      <c r="X190" s="500"/>
      <c r="Y190" s="500"/>
      <c r="Z190" s="500"/>
    </row>
    <row r="191" spans="1:26" x14ac:dyDescent="0.3">
      <c r="A191" s="500"/>
      <c r="B191" s="500"/>
      <c r="C191" s="500"/>
      <c r="D191" s="500"/>
      <c r="E191" s="500"/>
      <c r="F191" s="500"/>
      <c r="G191" s="500"/>
      <c r="H191" s="500"/>
      <c r="I191" s="500"/>
      <c r="J191" s="500"/>
      <c r="K191" s="500"/>
      <c r="L191" s="500"/>
      <c r="M191" s="500"/>
      <c r="N191" s="500"/>
      <c r="O191" s="500"/>
      <c r="P191" s="500"/>
      <c r="Q191" s="500"/>
      <c r="R191" s="500"/>
      <c r="S191" s="500"/>
      <c r="T191" s="500"/>
      <c r="U191" s="500"/>
      <c r="V191" s="500"/>
      <c r="W191" s="500"/>
      <c r="X191" s="500"/>
      <c r="Y191" s="500"/>
      <c r="Z191" s="500"/>
    </row>
    <row r="192" spans="1:26" x14ac:dyDescent="0.3">
      <c r="A192" s="500"/>
      <c r="B192" s="500"/>
      <c r="C192" s="500"/>
      <c r="D192" s="500"/>
      <c r="E192" s="500"/>
      <c r="F192" s="500"/>
      <c r="G192" s="500"/>
      <c r="H192" s="500"/>
      <c r="I192" s="500"/>
      <c r="J192" s="500"/>
      <c r="K192" s="500"/>
      <c r="L192" s="500"/>
      <c r="M192" s="500"/>
      <c r="N192" s="500"/>
      <c r="O192" s="500"/>
      <c r="P192" s="500"/>
      <c r="Q192" s="500"/>
      <c r="R192" s="500"/>
      <c r="S192" s="500"/>
      <c r="T192" s="500"/>
      <c r="U192" s="500"/>
      <c r="V192" s="500"/>
      <c r="W192" s="500"/>
      <c r="X192" s="500"/>
      <c r="Y192" s="500"/>
      <c r="Z192" s="500"/>
    </row>
    <row r="193" spans="1:26" x14ac:dyDescent="0.3">
      <c r="A193" s="500"/>
      <c r="B193" s="500"/>
      <c r="C193" s="500"/>
      <c r="D193" s="500"/>
      <c r="E193" s="500"/>
      <c r="F193" s="500"/>
      <c r="G193" s="500"/>
      <c r="H193" s="500"/>
      <c r="I193" s="500"/>
      <c r="J193" s="500"/>
      <c r="K193" s="500"/>
      <c r="L193" s="500"/>
      <c r="M193" s="500"/>
      <c r="N193" s="500"/>
      <c r="O193" s="500"/>
      <c r="P193" s="500"/>
      <c r="Q193" s="500"/>
      <c r="R193" s="500"/>
      <c r="S193" s="500"/>
      <c r="T193" s="500"/>
      <c r="U193" s="500"/>
      <c r="V193" s="500"/>
      <c r="W193" s="500"/>
      <c r="X193" s="500"/>
      <c r="Y193" s="500"/>
      <c r="Z193" s="500"/>
    </row>
    <row r="194" spans="1:26" x14ac:dyDescent="0.3">
      <c r="A194" s="500"/>
      <c r="B194" s="500"/>
      <c r="C194" s="500"/>
      <c r="D194" s="500"/>
      <c r="E194" s="500"/>
      <c r="F194" s="500"/>
      <c r="G194" s="500"/>
      <c r="H194" s="500"/>
      <c r="I194" s="500"/>
      <c r="J194" s="500"/>
      <c r="K194" s="500"/>
      <c r="L194" s="500"/>
      <c r="M194" s="500"/>
      <c r="N194" s="500"/>
      <c r="O194" s="500"/>
      <c r="P194" s="500"/>
      <c r="Q194" s="500"/>
      <c r="R194" s="500"/>
      <c r="S194" s="500"/>
      <c r="T194" s="500"/>
      <c r="U194" s="500"/>
      <c r="V194" s="500"/>
      <c r="W194" s="500"/>
      <c r="X194" s="500"/>
      <c r="Y194" s="500"/>
      <c r="Z194" s="500"/>
    </row>
    <row r="195" spans="1:26" x14ac:dyDescent="0.3">
      <c r="A195" s="500"/>
      <c r="B195" s="500"/>
      <c r="C195" s="500"/>
      <c r="D195" s="500"/>
      <c r="E195" s="500"/>
      <c r="F195" s="500"/>
      <c r="G195" s="500"/>
      <c r="H195" s="500"/>
      <c r="I195" s="500"/>
      <c r="J195" s="500"/>
      <c r="K195" s="500"/>
      <c r="L195" s="500"/>
      <c r="M195" s="500"/>
      <c r="N195" s="500"/>
      <c r="O195" s="500"/>
      <c r="P195" s="500"/>
      <c r="Q195" s="500"/>
      <c r="R195" s="500"/>
      <c r="S195" s="500"/>
      <c r="T195" s="500"/>
      <c r="U195" s="500"/>
      <c r="V195" s="500"/>
      <c r="W195" s="500"/>
      <c r="X195" s="500"/>
      <c r="Y195" s="500"/>
      <c r="Z195" s="500"/>
    </row>
    <row r="196" spans="1:26" x14ac:dyDescent="0.3">
      <c r="A196" s="500"/>
      <c r="B196" s="500"/>
      <c r="C196" s="500"/>
      <c r="D196" s="500"/>
      <c r="E196" s="500"/>
      <c r="F196" s="500"/>
      <c r="G196" s="500"/>
      <c r="H196" s="500"/>
      <c r="I196" s="500"/>
      <c r="J196" s="500"/>
      <c r="K196" s="500"/>
      <c r="L196" s="500"/>
      <c r="M196" s="500"/>
      <c r="N196" s="500"/>
      <c r="O196" s="500"/>
      <c r="P196" s="500"/>
      <c r="Q196" s="500"/>
      <c r="R196" s="500"/>
      <c r="S196" s="500"/>
      <c r="T196" s="500"/>
      <c r="U196" s="500"/>
      <c r="V196" s="500"/>
      <c r="W196" s="500"/>
      <c r="X196" s="500"/>
      <c r="Y196" s="500"/>
      <c r="Z196" s="500"/>
    </row>
    <row r="197" spans="1:26" x14ac:dyDescent="0.3">
      <c r="A197" s="500"/>
      <c r="B197" s="500"/>
      <c r="C197" s="500"/>
      <c r="D197" s="500"/>
      <c r="E197" s="500"/>
      <c r="F197" s="500"/>
      <c r="G197" s="500"/>
      <c r="H197" s="500"/>
      <c r="I197" s="500"/>
      <c r="J197" s="500"/>
      <c r="K197" s="500"/>
      <c r="L197" s="500"/>
      <c r="M197" s="500"/>
      <c r="N197" s="500"/>
      <c r="O197" s="500"/>
      <c r="P197" s="500"/>
      <c r="Q197" s="500"/>
      <c r="R197" s="500"/>
      <c r="S197" s="500"/>
      <c r="T197" s="500"/>
      <c r="U197" s="500"/>
      <c r="V197" s="500"/>
      <c r="W197" s="500"/>
      <c r="X197" s="500"/>
      <c r="Y197" s="500"/>
      <c r="Z197" s="500"/>
    </row>
    <row r="198" spans="1:26" x14ac:dyDescent="0.3">
      <c r="A198" s="500"/>
      <c r="B198" s="500"/>
      <c r="C198" s="500"/>
      <c r="D198" s="500"/>
      <c r="E198" s="500"/>
      <c r="F198" s="500"/>
      <c r="G198" s="500"/>
      <c r="H198" s="500"/>
      <c r="I198" s="500"/>
      <c r="J198" s="500"/>
      <c r="K198" s="500"/>
      <c r="L198" s="500"/>
      <c r="M198" s="500"/>
      <c r="N198" s="500"/>
      <c r="O198" s="500"/>
      <c r="P198" s="500"/>
      <c r="Q198" s="500"/>
      <c r="R198" s="500"/>
      <c r="S198" s="500"/>
      <c r="T198" s="500"/>
      <c r="U198" s="500"/>
      <c r="V198" s="500"/>
      <c r="W198" s="500"/>
      <c r="X198" s="500"/>
      <c r="Y198" s="500"/>
      <c r="Z198" s="500"/>
    </row>
    <row r="199" spans="1:26" x14ac:dyDescent="0.3">
      <c r="A199" s="500"/>
      <c r="B199" s="500"/>
      <c r="C199" s="500"/>
      <c r="D199" s="500"/>
      <c r="E199" s="500"/>
      <c r="F199" s="500"/>
      <c r="G199" s="500"/>
      <c r="H199" s="500"/>
      <c r="I199" s="500"/>
      <c r="J199" s="500"/>
      <c r="K199" s="500"/>
      <c r="L199" s="500"/>
      <c r="M199" s="500"/>
      <c r="N199" s="500"/>
      <c r="O199" s="500"/>
      <c r="P199" s="500"/>
      <c r="Q199" s="500"/>
      <c r="R199" s="500"/>
      <c r="S199" s="500"/>
      <c r="T199" s="500"/>
      <c r="U199" s="500"/>
      <c r="V199" s="500"/>
      <c r="W199" s="500"/>
      <c r="X199" s="500"/>
      <c r="Y199" s="500"/>
      <c r="Z199" s="500"/>
    </row>
    <row r="200" spans="1:26" x14ac:dyDescent="0.3">
      <c r="A200" s="500"/>
      <c r="B200" s="500"/>
      <c r="C200" s="500"/>
      <c r="D200" s="500"/>
      <c r="E200" s="500"/>
      <c r="F200" s="500"/>
      <c r="G200" s="500"/>
      <c r="H200" s="500"/>
      <c r="I200" s="500"/>
      <c r="J200" s="500"/>
      <c r="K200" s="500"/>
      <c r="L200" s="500"/>
      <c r="M200" s="500"/>
      <c r="N200" s="500"/>
      <c r="O200" s="500"/>
      <c r="P200" s="500"/>
      <c r="Q200" s="500"/>
      <c r="R200" s="500"/>
      <c r="S200" s="500"/>
      <c r="T200" s="500"/>
      <c r="U200" s="500"/>
      <c r="V200" s="500"/>
      <c r="W200" s="500"/>
      <c r="X200" s="500"/>
      <c r="Y200" s="500"/>
      <c r="Z200" s="500"/>
    </row>
    <row r="201" spans="1:26" x14ac:dyDescent="0.3">
      <c r="A201" s="500"/>
      <c r="B201" s="500"/>
      <c r="C201" s="500"/>
      <c r="D201" s="500"/>
      <c r="E201" s="500"/>
      <c r="F201" s="500"/>
      <c r="G201" s="500"/>
      <c r="H201" s="500"/>
      <c r="I201" s="500"/>
      <c r="J201" s="500"/>
      <c r="K201" s="500"/>
      <c r="L201" s="500"/>
      <c r="M201" s="500"/>
      <c r="N201" s="500"/>
      <c r="O201" s="500"/>
      <c r="P201" s="500"/>
      <c r="Q201" s="500"/>
      <c r="R201" s="500"/>
      <c r="S201" s="500"/>
      <c r="T201" s="500"/>
      <c r="U201" s="500"/>
      <c r="V201" s="500"/>
      <c r="W201" s="500"/>
      <c r="X201" s="500"/>
      <c r="Y201" s="500"/>
      <c r="Z201" s="500"/>
    </row>
    <row r="202" spans="1:26" x14ac:dyDescent="0.3">
      <c r="A202" s="500"/>
      <c r="B202" s="500"/>
      <c r="C202" s="500"/>
      <c r="D202" s="500"/>
      <c r="E202" s="500"/>
      <c r="F202" s="500"/>
      <c r="G202" s="500"/>
      <c r="H202" s="500"/>
      <c r="I202" s="500"/>
      <c r="J202" s="500"/>
      <c r="K202" s="500"/>
      <c r="L202" s="500"/>
      <c r="M202" s="500"/>
      <c r="N202" s="500"/>
      <c r="O202" s="500"/>
      <c r="P202" s="500"/>
      <c r="Q202" s="500"/>
      <c r="R202" s="500"/>
      <c r="S202" s="500"/>
      <c r="T202" s="500"/>
      <c r="U202" s="500"/>
      <c r="V202" s="500"/>
      <c r="W202" s="500"/>
      <c r="X202" s="500"/>
      <c r="Y202" s="500"/>
      <c r="Z202" s="500"/>
    </row>
    <row r="203" spans="1:26" x14ac:dyDescent="0.3">
      <c r="A203" s="500"/>
      <c r="B203" s="500"/>
      <c r="C203" s="500"/>
      <c r="D203" s="500"/>
      <c r="E203" s="500"/>
      <c r="F203" s="500"/>
      <c r="G203" s="500"/>
      <c r="H203" s="500"/>
      <c r="I203" s="500"/>
      <c r="J203" s="500"/>
      <c r="K203" s="500"/>
      <c r="L203" s="500"/>
      <c r="M203" s="500"/>
      <c r="N203" s="500"/>
      <c r="O203" s="500"/>
      <c r="P203" s="500"/>
      <c r="Q203" s="500"/>
      <c r="R203" s="500"/>
      <c r="S203" s="500"/>
      <c r="T203" s="500"/>
      <c r="U203" s="500"/>
      <c r="V203" s="500"/>
      <c r="W203" s="500"/>
      <c r="X203" s="500"/>
      <c r="Y203" s="500"/>
      <c r="Z203" s="500"/>
    </row>
    <row r="204" spans="1:26" x14ac:dyDescent="0.3">
      <c r="A204" s="500"/>
      <c r="B204" s="500"/>
      <c r="C204" s="500"/>
      <c r="D204" s="500"/>
      <c r="E204" s="500"/>
      <c r="F204" s="500"/>
      <c r="G204" s="500"/>
      <c r="H204" s="500"/>
      <c r="I204" s="500"/>
      <c r="J204" s="500"/>
      <c r="K204" s="500"/>
      <c r="L204" s="500"/>
      <c r="M204" s="500"/>
      <c r="N204" s="500"/>
      <c r="O204" s="500"/>
      <c r="P204" s="500"/>
      <c r="Q204" s="500"/>
      <c r="R204" s="500"/>
      <c r="S204" s="500"/>
      <c r="T204" s="500"/>
      <c r="U204" s="500"/>
      <c r="V204" s="500"/>
      <c r="W204" s="500"/>
      <c r="X204" s="500"/>
      <c r="Y204" s="500"/>
      <c r="Z204" s="500"/>
    </row>
    <row r="205" spans="1:26" x14ac:dyDescent="0.3">
      <c r="A205" s="500"/>
      <c r="B205" s="500"/>
      <c r="C205" s="500"/>
      <c r="D205" s="500"/>
      <c r="E205" s="500"/>
      <c r="F205" s="500"/>
      <c r="G205" s="500"/>
      <c r="H205" s="500"/>
      <c r="I205" s="500"/>
      <c r="J205" s="500"/>
      <c r="K205" s="500"/>
      <c r="L205" s="500"/>
      <c r="M205" s="500"/>
      <c r="N205" s="500"/>
      <c r="O205" s="500"/>
      <c r="P205" s="500"/>
      <c r="Q205" s="500"/>
      <c r="R205" s="500"/>
      <c r="S205" s="500"/>
      <c r="T205" s="500"/>
      <c r="U205" s="500"/>
      <c r="V205" s="500"/>
      <c r="W205" s="500"/>
      <c r="X205" s="500"/>
      <c r="Y205" s="500"/>
      <c r="Z205" s="500"/>
    </row>
    <row r="206" spans="1:26" x14ac:dyDescent="0.3">
      <c r="A206" s="500"/>
      <c r="B206" s="500"/>
      <c r="C206" s="500"/>
      <c r="D206" s="500"/>
      <c r="E206" s="500"/>
      <c r="F206" s="500"/>
      <c r="G206" s="500"/>
      <c r="H206" s="500"/>
      <c r="I206" s="500"/>
      <c r="J206" s="500"/>
      <c r="K206" s="500"/>
      <c r="L206" s="500"/>
      <c r="M206" s="500"/>
      <c r="N206" s="500"/>
      <c r="O206" s="500"/>
      <c r="P206" s="500"/>
      <c r="Q206" s="500"/>
      <c r="R206" s="500"/>
      <c r="S206" s="500"/>
      <c r="T206" s="500"/>
      <c r="U206" s="500"/>
      <c r="V206" s="500"/>
      <c r="W206" s="500"/>
      <c r="X206" s="500"/>
      <c r="Y206" s="500"/>
      <c r="Z206" s="500"/>
    </row>
    <row r="207" spans="1:26" x14ac:dyDescent="0.3">
      <c r="A207" s="500"/>
      <c r="B207" s="500"/>
      <c r="C207" s="500"/>
      <c r="D207" s="500"/>
      <c r="E207" s="500"/>
      <c r="F207" s="500"/>
      <c r="G207" s="500"/>
      <c r="H207" s="500"/>
      <c r="I207" s="500"/>
      <c r="J207" s="500"/>
      <c r="K207" s="500"/>
      <c r="L207" s="500"/>
      <c r="M207" s="500"/>
      <c r="N207" s="500"/>
      <c r="O207" s="500"/>
      <c r="P207" s="500"/>
      <c r="Q207" s="500"/>
      <c r="R207" s="500"/>
      <c r="S207" s="500"/>
      <c r="T207" s="500"/>
      <c r="U207" s="500"/>
      <c r="V207" s="500"/>
      <c r="W207" s="500"/>
      <c r="X207" s="500"/>
      <c r="Y207" s="500"/>
      <c r="Z207" s="500"/>
    </row>
    <row r="208" spans="1:26" x14ac:dyDescent="0.3">
      <c r="A208" s="500"/>
      <c r="B208" s="500"/>
      <c r="C208" s="500"/>
      <c r="D208" s="500"/>
      <c r="E208" s="500"/>
      <c r="F208" s="500"/>
      <c r="G208" s="500"/>
      <c r="H208" s="500"/>
      <c r="I208" s="500"/>
      <c r="J208" s="500"/>
      <c r="K208" s="500"/>
      <c r="L208" s="500"/>
      <c r="M208" s="500"/>
      <c r="N208" s="500"/>
      <c r="O208" s="500"/>
      <c r="P208" s="500"/>
      <c r="Q208" s="500"/>
      <c r="R208" s="500"/>
      <c r="S208" s="500"/>
      <c r="T208" s="500"/>
      <c r="U208" s="500"/>
      <c r="V208" s="500"/>
      <c r="W208" s="500"/>
      <c r="X208" s="500"/>
      <c r="Y208" s="500"/>
      <c r="Z208" s="500"/>
    </row>
    <row r="209" spans="1:26" x14ac:dyDescent="0.3">
      <c r="A209" s="500"/>
      <c r="B209" s="500"/>
      <c r="C209" s="500"/>
      <c r="D209" s="500"/>
      <c r="E209" s="500"/>
      <c r="F209" s="500"/>
      <c r="G209" s="500"/>
      <c r="H209" s="500"/>
      <c r="I209" s="500"/>
      <c r="J209" s="500"/>
      <c r="K209" s="500"/>
      <c r="L209" s="500"/>
      <c r="M209" s="500"/>
      <c r="N209" s="500"/>
      <c r="O209" s="500"/>
      <c r="P209" s="500"/>
      <c r="Q209" s="500"/>
      <c r="R209" s="500"/>
      <c r="S209" s="500"/>
      <c r="T209" s="500"/>
      <c r="U209" s="500"/>
      <c r="V209" s="500"/>
      <c r="W209" s="500"/>
      <c r="X209" s="500"/>
      <c r="Y209" s="500"/>
      <c r="Z209" s="500"/>
    </row>
    <row r="210" spans="1:26" x14ac:dyDescent="0.3">
      <c r="A210" s="500"/>
      <c r="B210" s="500"/>
      <c r="C210" s="500"/>
      <c r="D210" s="500"/>
      <c r="E210" s="500"/>
      <c r="F210" s="500"/>
      <c r="G210" s="500"/>
      <c r="H210" s="500"/>
      <c r="I210" s="500"/>
      <c r="J210" s="500"/>
      <c r="K210" s="500"/>
      <c r="L210" s="500"/>
      <c r="M210" s="500"/>
      <c r="N210" s="500"/>
      <c r="O210" s="500"/>
      <c r="P210" s="500"/>
      <c r="Q210" s="500"/>
      <c r="R210" s="500"/>
      <c r="S210" s="500"/>
      <c r="T210" s="500"/>
      <c r="U210" s="500"/>
      <c r="V210" s="500"/>
      <c r="W210" s="500"/>
      <c r="X210" s="500"/>
      <c r="Y210" s="500"/>
      <c r="Z210" s="500"/>
    </row>
    <row r="211" spans="1:26" x14ac:dyDescent="0.3">
      <c r="A211" s="500"/>
      <c r="B211" s="500"/>
      <c r="C211" s="500"/>
      <c r="D211" s="500"/>
      <c r="E211" s="500"/>
      <c r="F211" s="500"/>
      <c r="G211" s="500"/>
      <c r="H211" s="500"/>
      <c r="I211" s="500"/>
      <c r="J211" s="500"/>
      <c r="K211" s="500"/>
      <c r="L211" s="500"/>
      <c r="M211" s="500"/>
      <c r="N211" s="500"/>
      <c r="O211" s="500"/>
      <c r="P211" s="500"/>
      <c r="Q211" s="500"/>
      <c r="R211" s="500"/>
      <c r="S211" s="500"/>
      <c r="T211" s="500"/>
      <c r="U211" s="500"/>
      <c r="V211" s="500"/>
      <c r="W211" s="500"/>
      <c r="X211" s="500"/>
      <c r="Y211" s="500"/>
      <c r="Z211" s="500"/>
    </row>
    <row r="212" spans="1:26" x14ac:dyDescent="0.3">
      <c r="A212" s="500"/>
      <c r="B212" s="500"/>
      <c r="C212" s="500"/>
      <c r="D212" s="500"/>
      <c r="E212" s="500"/>
      <c r="F212" s="500"/>
      <c r="G212" s="500"/>
      <c r="H212" s="500"/>
      <c r="I212" s="500"/>
      <c r="J212" s="500"/>
      <c r="K212" s="500"/>
      <c r="L212" s="500"/>
      <c r="M212" s="500"/>
      <c r="N212" s="500"/>
      <c r="O212" s="500"/>
      <c r="P212" s="500"/>
      <c r="Q212" s="500"/>
      <c r="R212" s="500"/>
      <c r="S212" s="500"/>
      <c r="T212" s="500"/>
      <c r="U212" s="500"/>
      <c r="V212" s="500"/>
      <c r="W212" s="500"/>
      <c r="X212" s="500"/>
      <c r="Y212" s="500"/>
      <c r="Z212" s="500"/>
    </row>
    <row r="213" spans="1:26" x14ac:dyDescent="0.3">
      <c r="A213" s="500"/>
      <c r="B213" s="500"/>
      <c r="C213" s="500"/>
      <c r="D213" s="500"/>
      <c r="E213" s="500"/>
      <c r="F213" s="500"/>
      <c r="G213" s="500"/>
      <c r="H213" s="500"/>
      <c r="I213" s="500"/>
      <c r="J213" s="500"/>
      <c r="K213" s="500"/>
      <c r="L213" s="500"/>
      <c r="M213" s="500"/>
      <c r="N213" s="500"/>
      <c r="O213" s="500"/>
      <c r="P213" s="500"/>
      <c r="Q213" s="500"/>
      <c r="R213" s="500"/>
      <c r="S213" s="500"/>
      <c r="T213" s="500"/>
      <c r="U213" s="500"/>
      <c r="V213" s="500"/>
      <c r="W213" s="500"/>
      <c r="X213" s="500"/>
      <c r="Y213" s="500"/>
      <c r="Z213" s="500"/>
    </row>
    <row r="214" spans="1:26" x14ac:dyDescent="0.3">
      <c r="A214" s="500"/>
      <c r="B214" s="500"/>
      <c r="C214" s="500"/>
      <c r="D214" s="500"/>
      <c r="E214" s="500"/>
      <c r="F214" s="500"/>
      <c r="G214" s="500"/>
      <c r="H214" s="500"/>
      <c r="I214" s="500"/>
      <c r="J214" s="500"/>
      <c r="K214" s="500"/>
      <c r="L214" s="500"/>
      <c r="M214" s="500"/>
      <c r="N214" s="500"/>
      <c r="O214" s="500"/>
      <c r="P214" s="500"/>
      <c r="Q214" s="500"/>
      <c r="R214" s="500"/>
      <c r="S214" s="500"/>
      <c r="T214" s="500"/>
      <c r="U214" s="500"/>
      <c r="V214" s="500"/>
      <c r="W214" s="500"/>
      <c r="X214" s="500"/>
      <c r="Y214" s="500"/>
      <c r="Z214" s="500"/>
    </row>
    <row r="215" spans="1:26" x14ac:dyDescent="0.3">
      <c r="A215" s="500"/>
      <c r="B215" s="500"/>
      <c r="C215" s="500"/>
      <c r="D215" s="500"/>
      <c r="E215" s="500"/>
      <c r="F215" s="500"/>
      <c r="G215" s="500"/>
      <c r="H215" s="500"/>
      <c r="I215" s="500"/>
      <c r="J215" s="500"/>
      <c r="K215" s="500"/>
      <c r="L215" s="500"/>
      <c r="M215" s="500"/>
      <c r="N215" s="500"/>
      <c r="O215" s="500"/>
      <c r="P215" s="500"/>
      <c r="Q215" s="500"/>
      <c r="R215" s="500"/>
      <c r="S215" s="500"/>
      <c r="T215" s="500"/>
      <c r="U215" s="500"/>
      <c r="V215" s="500"/>
      <c r="W215" s="500"/>
      <c r="X215" s="500"/>
      <c r="Y215" s="500"/>
      <c r="Z215" s="500"/>
    </row>
    <row r="216" spans="1:26" x14ac:dyDescent="0.3">
      <c r="A216" s="500"/>
      <c r="B216" s="500"/>
      <c r="C216" s="500"/>
      <c r="D216" s="500"/>
      <c r="E216" s="500"/>
      <c r="F216" s="500"/>
      <c r="G216" s="500"/>
      <c r="H216" s="500"/>
      <c r="I216" s="500"/>
      <c r="J216" s="500"/>
      <c r="K216" s="500"/>
      <c r="L216" s="500"/>
      <c r="M216" s="500"/>
      <c r="N216" s="500"/>
      <c r="O216" s="500"/>
      <c r="P216" s="500"/>
      <c r="Q216" s="500"/>
      <c r="R216" s="500"/>
      <c r="S216" s="500"/>
      <c r="T216" s="500"/>
      <c r="U216" s="500"/>
      <c r="V216" s="500"/>
      <c r="W216" s="500"/>
      <c r="X216" s="500"/>
      <c r="Y216" s="500"/>
      <c r="Z216" s="500"/>
    </row>
    <row r="217" spans="1:26" x14ac:dyDescent="0.3">
      <c r="A217" s="500"/>
      <c r="B217" s="500"/>
      <c r="C217" s="500"/>
      <c r="D217" s="500"/>
      <c r="E217" s="500"/>
      <c r="F217" s="500"/>
      <c r="G217" s="500"/>
      <c r="H217" s="500"/>
      <c r="I217" s="500"/>
      <c r="J217" s="500"/>
      <c r="K217" s="500"/>
      <c r="L217" s="500"/>
      <c r="M217" s="500"/>
      <c r="N217" s="500"/>
      <c r="O217" s="500"/>
      <c r="P217" s="500"/>
      <c r="Q217" s="500"/>
      <c r="R217" s="500"/>
      <c r="S217" s="500"/>
      <c r="T217" s="500"/>
      <c r="U217" s="500"/>
      <c r="V217" s="500"/>
      <c r="W217" s="500"/>
      <c r="X217" s="500"/>
      <c r="Y217" s="500"/>
      <c r="Z217" s="500"/>
    </row>
    <row r="218" spans="1:26" x14ac:dyDescent="0.3">
      <c r="A218" s="500"/>
      <c r="B218" s="500"/>
      <c r="C218" s="500"/>
      <c r="D218" s="500"/>
      <c r="E218" s="500"/>
      <c r="F218" s="500"/>
      <c r="G218" s="500"/>
      <c r="H218" s="500"/>
      <c r="I218" s="500"/>
      <c r="J218" s="500"/>
      <c r="K218" s="500"/>
      <c r="L218" s="500"/>
      <c r="M218" s="500"/>
      <c r="N218" s="500"/>
      <c r="O218" s="500"/>
      <c r="P218" s="500"/>
      <c r="Q218" s="500"/>
      <c r="R218" s="500"/>
      <c r="S218" s="500"/>
      <c r="T218" s="500"/>
      <c r="U218" s="500"/>
      <c r="V218" s="500"/>
      <c r="W218" s="500"/>
      <c r="X218" s="500"/>
      <c r="Y218" s="500"/>
      <c r="Z218" s="500"/>
    </row>
    <row r="219" spans="1:26" x14ac:dyDescent="0.3">
      <c r="A219" s="500"/>
      <c r="B219" s="500"/>
      <c r="C219" s="500"/>
      <c r="D219" s="500"/>
      <c r="E219" s="500"/>
      <c r="F219" s="500"/>
      <c r="G219" s="500"/>
      <c r="H219" s="500"/>
      <c r="I219" s="500"/>
      <c r="J219" s="500"/>
      <c r="K219" s="500"/>
      <c r="L219" s="500"/>
      <c r="M219" s="500"/>
      <c r="N219" s="500"/>
      <c r="O219" s="500"/>
      <c r="P219" s="500"/>
      <c r="Q219" s="500"/>
      <c r="R219" s="500"/>
      <c r="S219" s="500"/>
      <c r="T219" s="500"/>
      <c r="U219" s="500"/>
      <c r="V219" s="500"/>
      <c r="W219" s="500"/>
      <c r="X219" s="500"/>
      <c r="Y219" s="500"/>
      <c r="Z219" s="500"/>
    </row>
    <row r="220" spans="1:26" x14ac:dyDescent="0.3">
      <c r="A220" s="500"/>
      <c r="B220" s="500"/>
      <c r="C220" s="500"/>
      <c r="D220" s="500"/>
      <c r="E220" s="500"/>
      <c r="F220" s="500"/>
      <c r="G220" s="500"/>
      <c r="H220" s="500"/>
      <c r="I220" s="500"/>
      <c r="J220" s="500"/>
      <c r="K220" s="500"/>
      <c r="L220" s="500"/>
      <c r="M220" s="500"/>
      <c r="N220" s="500"/>
      <c r="O220" s="500"/>
      <c r="P220" s="500"/>
      <c r="Q220" s="500"/>
      <c r="R220" s="500"/>
      <c r="S220" s="500"/>
      <c r="T220" s="500"/>
      <c r="U220" s="500"/>
      <c r="V220" s="500"/>
      <c r="W220" s="500"/>
      <c r="X220" s="500"/>
      <c r="Y220" s="500"/>
      <c r="Z220" s="500"/>
    </row>
    <row r="221" spans="1:26" x14ac:dyDescent="0.3">
      <c r="A221" s="500"/>
      <c r="B221" s="500"/>
      <c r="C221" s="500"/>
      <c r="D221" s="500"/>
      <c r="E221" s="500"/>
      <c r="F221" s="500"/>
      <c r="G221" s="500"/>
      <c r="H221" s="500"/>
      <c r="I221" s="500"/>
      <c r="J221" s="500"/>
      <c r="K221" s="500"/>
      <c r="L221" s="500"/>
      <c r="M221" s="500"/>
      <c r="N221" s="500"/>
      <c r="O221" s="500"/>
      <c r="P221" s="500"/>
      <c r="Q221" s="500"/>
      <c r="R221" s="500"/>
      <c r="S221" s="500"/>
      <c r="T221" s="500"/>
      <c r="U221" s="500"/>
      <c r="V221" s="500"/>
      <c r="W221" s="500"/>
      <c r="X221" s="500"/>
      <c r="Y221" s="500"/>
      <c r="Z221" s="500"/>
    </row>
    <row r="222" spans="1:26" x14ac:dyDescent="0.3">
      <c r="A222" s="500"/>
      <c r="B222" s="500"/>
      <c r="C222" s="500"/>
      <c r="D222" s="500"/>
      <c r="E222" s="500"/>
      <c r="F222" s="500"/>
      <c r="G222" s="500"/>
      <c r="H222" s="500"/>
      <c r="I222" s="500"/>
      <c r="J222" s="500"/>
      <c r="K222" s="500"/>
      <c r="L222" s="500"/>
      <c r="M222" s="500"/>
      <c r="N222" s="500"/>
      <c r="O222" s="500"/>
      <c r="P222" s="500"/>
      <c r="Q222" s="500"/>
      <c r="R222" s="500"/>
      <c r="S222" s="500"/>
      <c r="T222" s="500"/>
      <c r="U222" s="500"/>
      <c r="V222" s="500"/>
      <c r="W222" s="500"/>
      <c r="X222" s="500"/>
      <c r="Y222" s="500"/>
      <c r="Z222" s="500"/>
    </row>
    <row r="223" spans="1:26" x14ac:dyDescent="0.3">
      <c r="A223" s="500"/>
      <c r="B223" s="500"/>
      <c r="C223" s="500"/>
      <c r="D223" s="500"/>
      <c r="E223" s="500"/>
      <c r="F223" s="500"/>
      <c r="G223" s="500"/>
      <c r="H223" s="500"/>
      <c r="I223" s="500"/>
      <c r="J223" s="500"/>
      <c r="K223" s="500"/>
      <c r="L223" s="500"/>
      <c r="M223" s="500"/>
      <c r="N223" s="500"/>
      <c r="O223" s="500"/>
      <c r="P223" s="500"/>
      <c r="Q223" s="500"/>
      <c r="R223" s="500"/>
      <c r="S223" s="500"/>
      <c r="T223" s="500"/>
      <c r="U223" s="500"/>
      <c r="V223" s="500"/>
      <c r="W223" s="500"/>
      <c r="X223" s="500"/>
      <c r="Y223" s="500"/>
      <c r="Z223" s="500"/>
    </row>
    <row r="224" spans="1:26" x14ac:dyDescent="0.3">
      <c r="A224" s="500"/>
      <c r="B224" s="500"/>
      <c r="C224" s="500"/>
      <c r="D224" s="500"/>
      <c r="E224" s="500"/>
      <c r="F224" s="500"/>
      <c r="G224" s="500"/>
      <c r="H224" s="500"/>
      <c r="I224" s="500"/>
      <c r="J224" s="500"/>
      <c r="K224" s="500"/>
      <c r="L224" s="500"/>
      <c r="M224" s="500"/>
      <c r="N224" s="500"/>
      <c r="O224" s="500"/>
      <c r="P224" s="500"/>
      <c r="Q224" s="500"/>
      <c r="R224" s="500"/>
      <c r="S224" s="500"/>
      <c r="T224" s="500"/>
      <c r="U224" s="500"/>
      <c r="V224" s="500"/>
      <c r="W224" s="500"/>
      <c r="X224" s="500"/>
      <c r="Y224" s="500"/>
      <c r="Z224" s="500"/>
    </row>
    <row r="225" spans="1:26" x14ac:dyDescent="0.3">
      <c r="A225" s="500"/>
      <c r="B225" s="500"/>
      <c r="C225" s="500"/>
      <c r="D225" s="500"/>
      <c r="E225" s="500"/>
      <c r="F225" s="500"/>
      <c r="G225" s="500"/>
      <c r="H225" s="500"/>
      <c r="I225" s="500"/>
      <c r="J225" s="500"/>
      <c r="K225" s="500"/>
      <c r="L225" s="500"/>
      <c r="M225" s="500"/>
      <c r="N225" s="500"/>
      <c r="O225" s="500"/>
      <c r="P225" s="500"/>
      <c r="Q225" s="500"/>
      <c r="R225" s="500"/>
      <c r="S225" s="500"/>
      <c r="T225" s="500"/>
      <c r="U225" s="500"/>
      <c r="V225" s="500"/>
      <c r="W225" s="500"/>
      <c r="X225" s="500"/>
      <c r="Y225" s="500"/>
      <c r="Z225" s="500"/>
    </row>
    <row r="226" spans="1:26" x14ac:dyDescent="0.3">
      <c r="A226" s="500"/>
      <c r="B226" s="500"/>
      <c r="C226" s="500"/>
      <c r="D226" s="500"/>
      <c r="E226" s="500"/>
      <c r="F226" s="500"/>
      <c r="G226" s="500"/>
      <c r="H226" s="500"/>
      <c r="I226" s="500"/>
      <c r="J226" s="500"/>
      <c r="K226" s="500"/>
      <c r="L226" s="500"/>
      <c r="M226" s="500"/>
      <c r="N226" s="500"/>
      <c r="O226" s="500"/>
      <c r="P226" s="500"/>
      <c r="Q226" s="500"/>
      <c r="R226" s="500"/>
      <c r="S226" s="500"/>
      <c r="T226" s="500"/>
      <c r="U226" s="500"/>
      <c r="V226" s="500"/>
      <c r="W226" s="500"/>
      <c r="X226" s="500"/>
      <c r="Y226" s="500"/>
      <c r="Z226" s="500"/>
    </row>
    <row r="227" spans="1:26" x14ac:dyDescent="0.3">
      <c r="A227" s="500"/>
      <c r="B227" s="500"/>
      <c r="C227" s="500"/>
      <c r="D227" s="500"/>
      <c r="E227" s="500"/>
      <c r="F227" s="500"/>
      <c r="G227" s="500"/>
      <c r="H227" s="500"/>
      <c r="I227" s="500"/>
      <c r="J227" s="500"/>
      <c r="K227" s="500"/>
      <c r="L227" s="500"/>
      <c r="M227" s="500"/>
      <c r="N227" s="500"/>
      <c r="O227" s="500"/>
      <c r="P227" s="500"/>
      <c r="Q227" s="500"/>
      <c r="R227" s="500"/>
      <c r="S227" s="500"/>
      <c r="T227" s="500"/>
      <c r="U227" s="500"/>
      <c r="V227" s="500"/>
      <c r="W227" s="500"/>
      <c r="X227" s="500"/>
      <c r="Y227" s="500"/>
      <c r="Z227" s="500"/>
    </row>
    <row r="228" spans="1:26" x14ac:dyDescent="0.3">
      <c r="A228" s="500"/>
      <c r="B228" s="500"/>
      <c r="C228" s="500"/>
      <c r="D228" s="500"/>
      <c r="E228" s="500"/>
      <c r="F228" s="500"/>
      <c r="G228" s="500"/>
      <c r="H228" s="500"/>
      <c r="I228" s="500"/>
      <c r="J228" s="500"/>
      <c r="K228" s="500"/>
      <c r="L228" s="500"/>
      <c r="M228" s="500"/>
      <c r="N228" s="500"/>
      <c r="O228" s="500"/>
      <c r="P228" s="500"/>
      <c r="Q228" s="500"/>
      <c r="R228" s="500"/>
      <c r="S228" s="500"/>
      <c r="T228" s="500"/>
      <c r="U228" s="500"/>
      <c r="V228" s="500"/>
      <c r="W228" s="500"/>
      <c r="X228" s="500"/>
      <c r="Y228" s="500"/>
      <c r="Z228" s="500"/>
    </row>
    <row r="229" spans="1:26" x14ac:dyDescent="0.3">
      <c r="A229" s="500"/>
      <c r="B229" s="500"/>
      <c r="C229" s="500"/>
      <c r="D229" s="500"/>
      <c r="E229" s="500"/>
      <c r="F229" s="500"/>
      <c r="G229" s="500"/>
      <c r="H229" s="500"/>
      <c r="I229" s="500"/>
      <c r="J229" s="500"/>
      <c r="K229" s="500"/>
      <c r="L229" s="500"/>
      <c r="M229" s="500"/>
      <c r="N229" s="500"/>
      <c r="O229" s="500"/>
      <c r="P229" s="500"/>
      <c r="Q229" s="500"/>
      <c r="R229" s="500"/>
      <c r="S229" s="500"/>
      <c r="T229" s="500"/>
      <c r="U229" s="500"/>
      <c r="V229" s="500"/>
      <c r="W229" s="500"/>
      <c r="X229" s="500"/>
      <c r="Y229" s="500"/>
      <c r="Z229" s="500"/>
    </row>
    <row r="230" spans="1:26" x14ac:dyDescent="0.3">
      <c r="A230" s="500"/>
      <c r="B230" s="500"/>
      <c r="C230" s="500"/>
      <c r="D230" s="500"/>
      <c r="E230" s="500"/>
      <c r="F230" s="500"/>
      <c r="G230" s="500"/>
      <c r="H230" s="500"/>
      <c r="I230" s="500"/>
      <c r="J230" s="500"/>
      <c r="K230" s="500"/>
      <c r="L230" s="500"/>
      <c r="M230" s="500"/>
      <c r="N230" s="500"/>
      <c r="O230" s="500"/>
      <c r="P230" s="500"/>
      <c r="Q230" s="500"/>
      <c r="R230" s="500"/>
      <c r="S230" s="500"/>
      <c r="T230" s="500"/>
      <c r="U230" s="500"/>
      <c r="V230" s="500"/>
      <c r="W230" s="500"/>
      <c r="X230" s="500"/>
      <c r="Y230" s="500"/>
      <c r="Z230" s="500"/>
    </row>
    <row r="231" spans="1:26" x14ac:dyDescent="0.3">
      <c r="A231" s="500"/>
      <c r="B231" s="500"/>
      <c r="C231" s="500"/>
      <c r="D231" s="500"/>
      <c r="E231" s="500"/>
      <c r="F231" s="500"/>
      <c r="G231" s="500"/>
      <c r="H231" s="500"/>
      <c r="I231" s="500"/>
      <c r="J231" s="500"/>
      <c r="K231" s="500"/>
      <c r="L231" s="500"/>
      <c r="M231" s="500"/>
      <c r="N231" s="500"/>
      <c r="O231" s="500"/>
      <c r="P231" s="500"/>
      <c r="Q231" s="500"/>
      <c r="R231" s="500"/>
      <c r="S231" s="500"/>
      <c r="T231" s="500"/>
      <c r="U231" s="500"/>
      <c r="V231" s="500"/>
      <c r="W231" s="500"/>
      <c r="X231" s="500"/>
      <c r="Y231" s="500"/>
      <c r="Z231" s="500"/>
    </row>
    <row r="232" spans="1:26" x14ac:dyDescent="0.3">
      <c r="A232" s="500"/>
      <c r="B232" s="500"/>
      <c r="C232" s="500"/>
      <c r="D232" s="500"/>
      <c r="E232" s="500"/>
      <c r="F232" s="500"/>
      <c r="G232" s="500"/>
      <c r="H232" s="500"/>
      <c r="I232" s="500"/>
      <c r="J232" s="500"/>
      <c r="K232" s="500"/>
      <c r="L232" s="500"/>
      <c r="M232" s="500"/>
      <c r="N232" s="500"/>
      <c r="O232" s="500"/>
      <c r="P232" s="500"/>
      <c r="Q232" s="500"/>
      <c r="R232" s="500"/>
      <c r="S232" s="500"/>
      <c r="T232" s="500"/>
      <c r="U232" s="500"/>
      <c r="V232" s="500"/>
      <c r="W232" s="500"/>
      <c r="X232" s="500"/>
      <c r="Y232" s="500"/>
      <c r="Z232" s="500"/>
    </row>
    <row r="233" spans="1:26" x14ac:dyDescent="0.3">
      <c r="A233" s="500"/>
      <c r="B233" s="500"/>
      <c r="C233" s="500"/>
      <c r="D233" s="500"/>
      <c r="E233" s="500"/>
      <c r="F233" s="500"/>
      <c r="G233" s="500"/>
      <c r="H233" s="500"/>
      <c r="I233" s="500"/>
      <c r="J233" s="500"/>
      <c r="K233" s="500"/>
      <c r="L233" s="500"/>
      <c r="M233" s="500"/>
      <c r="N233" s="500"/>
      <c r="O233" s="500"/>
      <c r="P233" s="500"/>
      <c r="Q233" s="500"/>
      <c r="R233" s="500"/>
      <c r="S233" s="500"/>
      <c r="T233" s="500"/>
      <c r="U233" s="500"/>
      <c r="V233" s="500"/>
      <c r="W233" s="500"/>
      <c r="X233" s="500"/>
      <c r="Y233" s="500"/>
      <c r="Z233" s="500"/>
    </row>
    <row r="234" spans="1:26" x14ac:dyDescent="0.3">
      <c r="A234" s="500"/>
      <c r="B234" s="500"/>
      <c r="C234" s="500"/>
      <c r="D234" s="500"/>
      <c r="E234" s="500"/>
      <c r="F234" s="500"/>
      <c r="G234" s="500"/>
      <c r="H234" s="500"/>
      <c r="I234" s="500"/>
      <c r="J234" s="500"/>
      <c r="K234" s="500"/>
      <c r="L234" s="500"/>
      <c r="M234" s="500"/>
      <c r="N234" s="500"/>
      <c r="O234" s="500"/>
      <c r="P234" s="500"/>
      <c r="Q234" s="500"/>
      <c r="R234" s="500"/>
      <c r="S234" s="500"/>
      <c r="T234" s="500"/>
      <c r="U234" s="500"/>
      <c r="V234" s="500"/>
      <c r="W234" s="500"/>
      <c r="X234" s="500"/>
      <c r="Y234" s="500"/>
      <c r="Z234" s="500"/>
    </row>
    <row r="235" spans="1:26" x14ac:dyDescent="0.3">
      <c r="A235" s="500"/>
      <c r="B235" s="500"/>
      <c r="C235" s="500"/>
      <c r="D235" s="500"/>
      <c r="E235" s="500"/>
      <c r="F235" s="500"/>
      <c r="G235" s="500"/>
      <c r="H235" s="500"/>
      <c r="I235" s="500"/>
      <c r="J235" s="500"/>
      <c r="K235" s="500"/>
      <c r="L235" s="500"/>
      <c r="M235" s="500"/>
      <c r="N235" s="500"/>
      <c r="O235" s="500"/>
      <c r="P235" s="500"/>
      <c r="Q235" s="500"/>
      <c r="R235" s="500"/>
      <c r="S235" s="500"/>
      <c r="T235" s="500"/>
      <c r="U235" s="500"/>
      <c r="V235" s="500"/>
      <c r="W235" s="500"/>
      <c r="X235" s="500"/>
      <c r="Y235" s="500"/>
      <c r="Z235" s="500"/>
    </row>
    <row r="236" spans="1:26" x14ac:dyDescent="0.3">
      <c r="A236" s="500"/>
      <c r="B236" s="500"/>
      <c r="C236" s="500"/>
      <c r="D236" s="500"/>
      <c r="E236" s="500"/>
      <c r="F236" s="500"/>
      <c r="G236" s="500"/>
      <c r="H236" s="500"/>
      <c r="I236" s="500"/>
      <c r="J236" s="500"/>
      <c r="K236" s="500"/>
      <c r="L236" s="500"/>
      <c r="M236" s="500"/>
      <c r="N236" s="500"/>
      <c r="O236" s="500"/>
      <c r="P236" s="500"/>
      <c r="Q236" s="500"/>
      <c r="R236" s="500"/>
      <c r="S236" s="500"/>
      <c r="T236" s="500"/>
      <c r="U236" s="500"/>
      <c r="V236" s="500"/>
      <c r="W236" s="500"/>
      <c r="X236" s="500"/>
      <c r="Y236" s="500"/>
      <c r="Z236" s="500"/>
    </row>
    <row r="237" spans="1:26" x14ac:dyDescent="0.3">
      <c r="A237" s="500"/>
      <c r="B237" s="500"/>
      <c r="C237" s="500"/>
      <c r="D237" s="500"/>
      <c r="E237" s="500"/>
      <c r="F237" s="500"/>
      <c r="G237" s="500"/>
      <c r="H237" s="500"/>
      <c r="I237" s="500"/>
      <c r="J237" s="500"/>
      <c r="K237" s="500"/>
      <c r="L237" s="500"/>
      <c r="M237" s="500"/>
      <c r="N237" s="500"/>
      <c r="O237" s="500"/>
      <c r="P237" s="500"/>
      <c r="Q237" s="500"/>
      <c r="R237" s="500"/>
      <c r="S237" s="500"/>
      <c r="T237" s="500"/>
      <c r="U237" s="500"/>
      <c r="V237" s="500"/>
      <c r="W237" s="500"/>
      <c r="X237" s="500"/>
      <c r="Y237" s="500"/>
      <c r="Z237" s="500"/>
    </row>
    <row r="238" spans="1:26" x14ac:dyDescent="0.3">
      <c r="A238" s="500"/>
      <c r="B238" s="500"/>
      <c r="C238" s="500"/>
      <c r="D238" s="500"/>
      <c r="E238" s="500"/>
      <c r="F238" s="500"/>
      <c r="G238" s="500"/>
      <c r="H238" s="500"/>
      <c r="I238" s="500"/>
      <c r="J238" s="500"/>
      <c r="K238" s="500"/>
      <c r="L238" s="500"/>
      <c r="M238" s="500"/>
      <c r="N238" s="500"/>
      <c r="O238" s="500"/>
      <c r="P238" s="500"/>
      <c r="Q238" s="500"/>
      <c r="R238" s="500"/>
      <c r="S238" s="500"/>
      <c r="T238" s="500"/>
      <c r="U238" s="500"/>
      <c r="V238" s="500"/>
      <c r="W238" s="500"/>
      <c r="X238" s="500"/>
      <c r="Y238" s="500"/>
      <c r="Z238" s="500"/>
    </row>
    <row r="239" spans="1:26" x14ac:dyDescent="0.3">
      <c r="A239" s="500"/>
      <c r="B239" s="500"/>
      <c r="C239" s="500"/>
      <c r="D239" s="500"/>
      <c r="E239" s="500"/>
      <c r="F239" s="500"/>
      <c r="G239" s="500"/>
      <c r="H239" s="500"/>
      <c r="I239" s="500"/>
      <c r="J239" s="500"/>
      <c r="K239" s="500"/>
      <c r="L239" s="500"/>
      <c r="M239" s="500"/>
      <c r="N239" s="500"/>
      <c r="O239" s="500"/>
      <c r="P239" s="500"/>
      <c r="Q239" s="500"/>
      <c r="R239" s="500"/>
      <c r="S239" s="500"/>
      <c r="T239" s="500"/>
      <c r="U239" s="500"/>
      <c r="V239" s="500"/>
      <c r="W239" s="500"/>
      <c r="X239" s="500"/>
      <c r="Y239" s="500"/>
      <c r="Z239" s="500"/>
    </row>
    <row r="240" spans="1:26" x14ac:dyDescent="0.3">
      <c r="A240" s="500"/>
      <c r="B240" s="500"/>
      <c r="C240" s="500"/>
      <c r="D240" s="500"/>
      <c r="E240" s="500"/>
      <c r="F240" s="500"/>
      <c r="G240" s="500"/>
      <c r="H240" s="500"/>
      <c r="I240" s="500"/>
      <c r="J240" s="500"/>
      <c r="K240" s="500"/>
      <c r="L240" s="500"/>
      <c r="M240" s="500"/>
      <c r="N240" s="500"/>
      <c r="O240" s="500"/>
      <c r="P240" s="500"/>
      <c r="Q240" s="500"/>
      <c r="R240" s="500"/>
      <c r="S240" s="500"/>
      <c r="T240" s="500"/>
      <c r="U240" s="500"/>
      <c r="V240" s="500"/>
      <c r="W240" s="500"/>
      <c r="X240" s="500"/>
      <c r="Y240" s="500"/>
      <c r="Z240" s="500"/>
    </row>
    <row r="241" spans="1:26" x14ac:dyDescent="0.3">
      <c r="A241" s="500"/>
      <c r="B241" s="500"/>
      <c r="C241" s="500"/>
      <c r="D241" s="500"/>
      <c r="E241" s="500"/>
      <c r="F241" s="500"/>
      <c r="G241" s="500"/>
      <c r="H241" s="500"/>
      <c r="I241" s="500"/>
      <c r="J241" s="500"/>
      <c r="K241" s="500"/>
      <c r="L241" s="500"/>
      <c r="M241" s="500"/>
      <c r="N241" s="500"/>
      <c r="O241" s="500"/>
      <c r="P241" s="500"/>
      <c r="Q241" s="500"/>
      <c r="R241" s="500"/>
      <c r="S241" s="500"/>
      <c r="T241" s="500"/>
      <c r="U241" s="500"/>
      <c r="V241" s="500"/>
      <c r="W241" s="500"/>
      <c r="X241" s="500"/>
      <c r="Y241" s="500"/>
      <c r="Z241" s="500"/>
    </row>
    <row r="242" spans="1:26" x14ac:dyDescent="0.3">
      <c r="A242" s="500"/>
      <c r="B242" s="500"/>
      <c r="C242" s="500"/>
      <c r="D242" s="500"/>
      <c r="E242" s="500"/>
      <c r="F242" s="500"/>
      <c r="G242" s="500"/>
      <c r="H242" s="500"/>
      <c r="I242" s="500"/>
      <c r="J242" s="500"/>
      <c r="K242" s="500"/>
      <c r="L242" s="500"/>
      <c r="M242" s="500"/>
      <c r="N242" s="500"/>
      <c r="O242" s="500"/>
      <c r="P242" s="500"/>
      <c r="Q242" s="500"/>
      <c r="R242" s="500"/>
      <c r="S242" s="500"/>
      <c r="T242" s="500"/>
      <c r="U242" s="500"/>
      <c r="V242" s="500"/>
      <c r="W242" s="500"/>
      <c r="X242" s="500"/>
      <c r="Y242" s="500"/>
      <c r="Z242" s="500"/>
    </row>
    <row r="243" spans="1:26" x14ac:dyDescent="0.3">
      <c r="A243" s="500"/>
      <c r="B243" s="500"/>
      <c r="C243" s="500"/>
      <c r="D243" s="500"/>
      <c r="E243" s="500"/>
      <c r="F243" s="500"/>
      <c r="G243" s="500"/>
      <c r="H243" s="500"/>
      <c r="I243" s="500"/>
      <c r="J243" s="500"/>
      <c r="K243" s="500"/>
      <c r="L243" s="500"/>
      <c r="M243" s="500"/>
      <c r="N243" s="500"/>
      <c r="O243" s="500"/>
      <c r="P243" s="500"/>
      <c r="Q243" s="500"/>
      <c r="R243" s="500"/>
      <c r="S243" s="500"/>
      <c r="T243" s="500"/>
      <c r="U243" s="500"/>
      <c r="V243" s="500"/>
      <c r="W243" s="500"/>
      <c r="X243" s="500"/>
      <c r="Y243" s="500"/>
      <c r="Z243" s="500"/>
    </row>
    <row r="244" spans="1:26" x14ac:dyDescent="0.3">
      <c r="A244" s="500"/>
      <c r="B244" s="500"/>
      <c r="C244" s="500"/>
      <c r="D244" s="500"/>
      <c r="E244" s="500"/>
      <c r="F244" s="500"/>
      <c r="G244" s="500"/>
      <c r="H244" s="500"/>
      <c r="I244" s="500"/>
      <c r="J244" s="500"/>
      <c r="K244" s="500"/>
      <c r="L244" s="500"/>
      <c r="M244" s="500"/>
      <c r="N244" s="500"/>
      <c r="O244" s="500"/>
      <c r="P244" s="500"/>
      <c r="Q244" s="500"/>
      <c r="R244" s="500"/>
      <c r="S244" s="500"/>
      <c r="T244" s="500"/>
      <c r="U244" s="500"/>
      <c r="V244" s="500"/>
      <c r="W244" s="500"/>
      <c r="X244" s="500"/>
      <c r="Y244" s="500"/>
      <c r="Z244" s="500"/>
    </row>
    <row r="245" spans="1:26" x14ac:dyDescent="0.3">
      <c r="A245" s="500"/>
      <c r="B245" s="500"/>
      <c r="C245" s="500"/>
      <c r="D245" s="500"/>
      <c r="E245" s="500"/>
      <c r="F245" s="500"/>
      <c r="G245" s="500"/>
      <c r="H245" s="500"/>
      <c r="I245" s="500"/>
      <c r="J245" s="500"/>
      <c r="K245" s="500"/>
      <c r="L245" s="500"/>
      <c r="M245" s="500"/>
      <c r="N245" s="500"/>
      <c r="O245" s="500"/>
      <c r="P245" s="500"/>
      <c r="Q245" s="500"/>
      <c r="R245" s="500"/>
      <c r="S245" s="500"/>
      <c r="T245" s="500"/>
      <c r="U245" s="500"/>
      <c r="V245" s="500"/>
      <c r="W245" s="500"/>
      <c r="X245" s="500"/>
      <c r="Y245" s="500"/>
      <c r="Z245" s="500"/>
    </row>
    <row r="246" spans="1:26" x14ac:dyDescent="0.3">
      <c r="A246" s="500"/>
      <c r="B246" s="500"/>
      <c r="C246" s="500"/>
      <c r="D246" s="500"/>
      <c r="E246" s="500"/>
      <c r="F246" s="500"/>
      <c r="G246" s="500"/>
      <c r="H246" s="500"/>
      <c r="I246" s="500"/>
      <c r="J246" s="500"/>
      <c r="K246" s="500"/>
      <c r="L246" s="500"/>
      <c r="M246" s="500"/>
      <c r="N246" s="500"/>
      <c r="O246" s="500"/>
      <c r="P246" s="500"/>
      <c r="Q246" s="500"/>
      <c r="R246" s="500"/>
      <c r="S246" s="500"/>
      <c r="T246" s="500"/>
      <c r="U246" s="500"/>
      <c r="V246" s="500"/>
      <c r="W246" s="500"/>
      <c r="X246" s="500"/>
      <c r="Y246" s="500"/>
      <c r="Z246" s="500"/>
    </row>
    <row r="247" spans="1:26" x14ac:dyDescent="0.3">
      <c r="A247" s="500"/>
      <c r="B247" s="500"/>
      <c r="C247" s="500"/>
      <c r="D247" s="500"/>
      <c r="E247" s="500"/>
      <c r="F247" s="500"/>
      <c r="G247" s="500"/>
      <c r="H247" s="500"/>
      <c r="I247" s="500"/>
      <c r="J247" s="500"/>
      <c r="K247" s="500"/>
      <c r="L247" s="500"/>
      <c r="M247" s="500"/>
      <c r="N247" s="500"/>
      <c r="O247" s="500"/>
      <c r="P247" s="500"/>
      <c r="Q247" s="500"/>
      <c r="R247" s="500"/>
      <c r="S247" s="500"/>
      <c r="T247" s="500"/>
      <c r="U247" s="500"/>
      <c r="V247" s="500"/>
      <c r="W247" s="500"/>
      <c r="X247" s="500"/>
      <c r="Y247" s="500"/>
      <c r="Z247" s="500"/>
    </row>
    <row r="248" spans="1:26" x14ac:dyDescent="0.3">
      <c r="A248" s="500"/>
      <c r="B248" s="500"/>
      <c r="C248" s="500"/>
      <c r="D248" s="500"/>
      <c r="E248" s="500"/>
      <c r="F248" s="500"/>
      <c r="G248" s="500"/>
      <c r="H248" s="500"/>
      <c r="I248" s="500"/>
      <c r="J248" s="500"/>
      <c r="K248" s="500"/>
      <c r="L248" s="500"/>
      <c r="M248" s="500"/>
      <c r="N248" s="500"/>
      <c r="O248" s="500"/>
      <c r="P248" s="500"/>
      <c r="Q248" s="500"/>
      <c r="R248" s="500"/>
      <c r="S248" s="500"/>
      <c r="T248" s="500"/>
      <c r="U248" s="500"/>
      <c r="V248" s="500"/>
      <c r="W248" s="500"/>
      <c r="X248" s="500"/>
      <c r="Y248" s="500"/>
      <c r="Z248" s="500"/>
    </row>
    <row r="249" spans="1:26" x14ac:dyDescent="0.3">
      <c r="A249" s="500"/>
      <c r="B249" s="500"/>
      <c r="C249" s="500"/>
      <c r="D249" s="500"/>
      <c r="E249" s="500"/>
      <c r="F249" s="500"/>
      <c r="G249" s="500"/>
      <c r="H249" s="500"/>
      <c r="I249" s="500"/>
      <c r="J249" s="500"/>
      <c r="K249" s="500"/>
      <c r="L249" s="500"/>
      <c r="M249" s="500"/>
      <c r="N249" s="500"/>
      <c r="O249" s="500"/>
      <c r="P249" s="500"/>
      <c r="Q249" s="500"/>
      <c r="R249" s="500"/>
      <c r="S249" s="500"/>
      <c r="T249" s="500"/>
      <c r="U249" s="500"/>
      <c r="V249" s="500"/>
      <c r="W249" s="500"/>
      <c r="X249" s="500"/>
      <c r="Y249" s="500"/>
      <c r="Z249" s="500"/>
    </row>
    <row r="250" spans="1:26" x14ac:dyDescent="0.3">
      <c r="A250" s="500"/>
      <c r="B250" s="500"/>
      <c r="C250" s="500"/>
      <c r="D250" s="500"/>
      <c r="E250" s="500"/>
      <c r="F250" s="500"/>
      <c r="G250" s="500"/>
      <c r="H250" s="500"/>
      <c r="I250" s="500"/>
      <c r="J250" s="500"/>
      <c r="K250" s="500"/>
      <c r="L250" s="500"/>
      <c r="M250" s="500"/>
      <c r="N250" s="500"/>
      <c r="O250" s="500"/>
      <c r="P250" s="500"/>
      <c r="Q250" s="500"/>
      <c r="R250" s="500"/>
      <c r="S250" s="500"/>
      <c r="T250" s="500"/>
      <c r="U250" s="500"/>
      <c r="V250" s="500"/>
      <c r="W250" s="500"/>
      <c r="X250" s="500"/>
      <c r="Y250" s="500"/>
      <c r="Z250" s="500"/>
    </row>
    <row r="251" spans="1:26" x14ac:dyDescent="0.3">
      <c r="A251" s="500"/>
      <c r="B251" s="500"/>
      <c r="C251" s="500"/>
      <c r="D251" s="500"/>
      <c r="E251" s="500"/>
      <c r="F251" s="500"/>
      <c r="G251" s="500"/>
      <c r="H251" s="500"/>
      <c r="I251" s="500"/>
      <c r="J251" s="500"/>
      <c r="K251" s="500"/>
      <c r="L251" s="500"/>
      <c r="M251" s="500"/>
      <c r="N251" s="500"/>
      <c r="O251" s="500"/>
      <c r="P251" s="500"/>
      <c r="Q251" s="500"/>
      <c r="R251" s="500"/>
      <c r="S251" s="500"/>
      <c r="T251" s="500"/>
      <c r="U251" s="500"/>
      <c r="V251" s="500"/>
      <c r="W251" s="500"/>
      <c r="X251" s="500"/>
      <c r="Y251" s="500"/>
      <c r="Z251" s="500"/>
    </row>
    <row r="252" spans="1:26" x14ac:dyDescent="0.3">
      <c r="A252" s="500"/>
      <c r="B252" s="500"/>
      <c r="C252" s="500"/>
      <c r="D252" s="500"/>
      <c r="E252" s="500"/>
      <c r="F252" s="500"/>
      <c r="G252" s="500"/>
      <c r="H252" s="500"/>
      <c r="I252" s="500"/>
      <c r="J252" s="500"/>
      <c r="K252" s="500"/>
      <c r="L252" s="500"/>
      <c r="M252" s="500"/>
      <c r="N252" s="500"/>
      <c r="O252" s="500"/>
      <c r="P252" s="500"/>
      <c r="Q252" s="500"/>
      <c r="R252" s="500"/>
      <c r="S252" s="500"/>
      <c r="T252" s="500"/>
      <c r="U252" s="500"/>
      <c r="V252" s="500"/>
      <c r="W252" s="500"/>
      <c r="X252" s="500"/>
      <c r="Y252" s="500"/>
      <c r="Z252" s="500"/>
    </row>
    <row r="253" spans="1:26" x14ac:dyDescent="0.3">
      <c r="A253" s="500"/>
      <c r="B253" s="500"/>
      <c r="C253" s="500"/>
      <c r="D253" s="500"/>
      <c r="E253" s="500"/>
      <c r="F253" s="500"/>
      <c r="G253" s="500"/>
      <c r="H253" s="500"/>
      <c r="I253" s="500"/>
      <c r="J253" s="500"/>
      <c r="K253" s="500"/>
      <c r="L253" s="500"/>
      <c r="M253" s="500"/>
      <c r="N253" s="500"/>
      <c r="O253" s="500"/>
      <c r="P253" s="500"/>
      <c r="Q253" s="500"/>
      <c r="R253" s="500"/>
      <c r="S253" s="500"/>
      <c r="T253" s="500"/>
      <c r="U253" s="500"/>
      <c r="V253" s="500"/>
      <c r="W253" s="500"/>
      <c r="X253" s="500"/>
      <c r="Y253" s="500"/>
      <c r="Z253" s="500"/>
    </row>
    <row r="254" spans="1:26" x14ac:dyDescent="0.3">
      <c r="A254" s="500"/>
      <c r="B254" s="500"/>
      <c r="C254" s="500"/>
      <c r="D254" s="500"/>
      <c r="E254" s="500"/>
      <c r="F254" s="500"/>
      <c r="G254" s="500"/>
      <c r="H254" s="500"/>
      <c r="I254" s="500"/>
      <c r="J254" s="500"/>
      <c r="K254" s="500"/>
      <c r="L254" s="500"/>
      <c r="M254" s="500"/>
      <c r="N254" s="500"/>
      <c r="O254" s="500"/>
      <c r="P254" s="500"/>
      <c r="Q254" s="500"/>
      <c r="R254" s="500"/>
      <c r="S254" s="500"/>
      <c r="T254" s="500"/>
      <c r="U254" s="500"/>
      <c r="V254" s="500"/>
      <c r="W254" s="500"/>
      <c r="X254" s="500"/>
      <c r="Y254" s="500"/>
      <c r="Z254" s="500"/>
    </row>
    <row r="255" spans="1:26" x14ac:dyDescent="0.3">
      <c r="A255" s="500"/>
      <c r="B255" s="500"/>
      <c r="C255" s="500"/>
      <c r="D255" s="500"/>
      <c r="E255" s="500"/>
      <c r="F255" s="500"/>
      <c r="G255" s="500"/>
      <c r="H255" s="500"/>
      <c r="I255" s="500"/>
      <c r="J255" s="500"/>
      <c r="K255" s="500"/>
      <c r="L255" s="500"/>
      <c r="M255" s="500"/>
      <c r="N255" s="500"/>
      <c r="O255" s="500"/>
      <c r="P255" s="500"/>
      <c r="Q255" s="500"/>
      <c r="R255" s="500"/>
      <c r="S255" s="500"/>
      <c r="T255" s="500"/>
      <c r="U255" s="500"/>
      <c r="V255" s="500"/>
      <c r="W255" s="500"/>
      <c r="X255" s="500"/>
      <c r="Y255" s="500"/>
      <c r="Z255" s="500"/>
    </row>
    <row r="256" spans="1:26" x14ac:dyDescent="0.3">
      <c r="A256" s="500"/>
      <c r="B256" s="500"/>
      <c r="C256" s="500"/>
      <c r="D256" s="500"/>
      <c r="E256" s="500"/>
      <c r="F256" s="500"/>
      <c r="G256" s="500"/>
      <c r="H256" s="500"/>
      <c r="I256" s="500"/>
      <c r="J256" s="500"/>
      <c r="K256" s="500"/>
      <c r="L256" s="500"/>
      <c r="M256" s="500"/>
      <c r="N256" s="500"/>
      <c r="O256" s="500"/>
      <c r="P256" s="500"/>
      <c r="Q256" s="500"/>
      <c r="R256" s="500"/>
      <c r="S256" s="500"/>
      <c r="T256" s="500"/>
      <c r="U256" s="500"/>
      <c r="V256" s="500"/>
      <c r="W256" s="500"/>
      <c r="X256" s="500"/>
      <c r="Y256" s="500"/>
      <c r="Z256" s="500"/>
    </row>
    <row r="257" spans="1:26" x14ac:dyDescent="0.3">
      <c r="A257" s="500"/>
      <c r="B257" s="500"/>
      <c r="C257" s="500"/>
      <c r="D257" s="500"/>
      <c r="E257" s="500"/>
      <c r="F257" s="500"/>
      <c r="G257" s="500"/>
      <c r="H257" s="500"/>
      <c r="I257" s="500"/>
      <c r="J257" s="500"/>
      <c r="K257" s="500"/>
      <c r="L257" s="500"/>
      <c r="M257" s="500"/>
      <c r="N257" s="500"/>
      <c r="O257" s="500"/>
      <c r="P257" s="500"/>
      <c r="Q257" s="500"/>
      <c r="R257" s="500"/>
      <c r="S257" s="500"/>
      <c r="T257" s="500"/>
      <c r="U257" s="500"/>
      <c r="V257" s="500"/>
      <c r="W257" s="500"/>
      <c r="X257" s="500"/>
      <c r="Y257" s="500"/>
      <c r="Z257" s="500"/>
    </row>
    <row r="258" spans="1:26" x14ac:dyDescent="0.3">
      <c r="A258" s="500"/>
      <c r="B258" s="500"/>
      <c r="C258" s="500"/>
      <c r="D258" s="500"/>
      <c r="E258" s="500"/>
      <c r="F258" s="500"/>
      <c r="G258" s="500"/>
      <c r="H258" s="500"/>
      <c r="I258" s="500"/>
      <c r="J258" s="500"/>
      <c r="K258" s="500"/>
      <c r="L258" s="500"/>
      <c r="M258" s="500"/>
      <c r="N258" s="500"/>
      <c r="O258" s="500"/>
      <c r="P258" s="500"/>
      <c r="Q258" s="500"/>
      <c r="R258" s="500"/>
      <c r="S258" s="500"/>
      <c r="T258" s="500"/>
      <c r="U258" s="500"/>
      <c r="V258" s="500"/>
      <c r="W258" s="500"/>
      <c r="X258" s="500"/>
      <c r="Y258" s="500"/>
      <c r="Z258" s="500"/>
    </row>
    <row r="259" spans="1:26" x14ac:dyDescent="0.3">
      <c r="A259" s="500"/>
      <c r="B259" s="500"/>
      <c r="C259" s="500"/>
      <c r="D259" s="500"/>
      <c r="E259" s="500"/>
      <c r="F259" s="500"/>
      <c r="G259" s="500"/>
      <c r="H259" s="500"/>
      <c r="I259" s="500"/>
      <c r="J259" s="500"/>
      <c r="K259" s="500"/>
      <c r="L259" s="500"/>
      <c r="M259" s="500"/>
      <c r="N259" s="500"/>
      <c r="O259" s="500"/>
      <c r="P259" s="500"/>
      <c r="Q259" s="500"/>
      <c r="R259" s="500"/>
      <c r="S259" s="500"/>
      <c r="T259" s="500"/>
      <c r="U259" s="500"/>
      <c r="V259" s="500"/>
      <c r="W259" s="500"/>
      <c r="X259" s="500"/>
      <c r="Y259" s="500"/>
      <c r="Z259" s="500"/>
    </row>
    <row r="260" spans="1:26" x14ac:dyDescent="0.3">
      <c r="A260" s="500"/>
      <c r="B260" s="500"/>
      <c r="C260" s="500"/>
      <c r="D260" s="500"/>
      <c r="E260" s="500"/>
      <c r="F260" s="500"/>
      <c r="G260" s="500"/>
      <c r="H260" s="500"/>
      <c r="I260" s="500"/>
      <c r="J260" s="500"/>
      <c r="K260" s="500"/>
      <c r="L260" s="500"/>
      <c r="M260" s="500"/>
      <c r="N260" s="500"/>
      <c r="O260" s="500"/>
      <c r="P260" s="500"/>
      <c r="Q260" s="500"/>
      <c r="R260" s="500"/>
      <c r="S260" s="500"/>
      <c r="T260" s="500"/>
      <c r="U260" s="500"/>
      <c r="V260" s="500"/>
      <c r="W260" s="500"/>
      <c r="X260" s="500"/>
      <c r="Y260" s="500"/>
      <c r="Z260" s="500"/>
    </row>
    <row r="261" spans="1:26" x14ac:dyDescent="0.3">
      <c r="A261" s="500"/>
      <c r="B261" s="500"/>
      <c r="C261" s="500"/>
      <c r="D261" s="500"/>
      <c r="E261" s="500"/>
      <c r="F261" s="500"/>
      <c r="G261" s="500"/>
      <c r="H261" s="500"/>
      <c r="I261" s="500"/>
      <c r="J261" s="500"/>
      <c r="K261" s="500"/>
      <c r="L261" s="500"/>
      <c r="M261" s="500"/>
      <c r="N261" s="500"/>
      <c r="O261" s="500"/>
      <c r="P261" s="500"/>
      <c r="Q261" s="500"/>
      <c r="R261" s="500"/>
      <c r="S261" s="500"/>
      <c r="T261" s="500"/>
      <c r="U261" s="500"/>
      <c r="V261" s="500"/>
      <c r="W261" s="500"/>
      <c r="X261" s="500"/>
      <c r="Y261" s="500"/>
      <c r="Z261" s="500"/>
    </row>
    <row r="262" spans="1:26" x14ac:dyDescent="0.3">
      <c r="A262" s="500"/>
      <c r="B262" s="500"/>
      <c r="C262" s="500"/>
      <c r="D262" s="500"/>
      <c r="E262" s="500"/>
      <c r="F262" s="500"/>
      <c r="G262" s="500"/>
      <c r="H262" s="500"/>
      <c r="I262" s="500"/>
      <c r="J262" s="500"/>
      <c r="K262" s="500"/>
      <c r="L262" s="500"/>
      <c r="M262" s="500"/>
      <c r="N262" s="500"/>
      <c r="O262" s="500"/>
      <c r="P262" s="500"/>
      <c r="Q262" s="500"/>
      <c r="R262" s="500"/>
      <c r="S262" s="500"/>
      <c r="T262" s="500"/>
      <c r="U262" s="500"/>
      <c r="V262" s="500"/>
      <c r="W262" s="500"/>
      <c r="X262" s="500"/>
      <c r="Y262" s="500"/>
      <c r="Z262" s="500"/>
    </row>
    <row r="263" spans="1:26" x14ac:dyDescent="0.3">
      <c r="A263" s="500"/>
      <c r="B263" s="500"/>
      <c r="C263" s="500"/>
      <c r="D263" s="500"/>
      <c r="E263" s="500"/>
      <c r="F263" s="500"/>
      <c r="G263" s="500"/>
      <c r="H263" s="500"/>
      <c r="I263" s="500"/>
      <c r="J263" s="500"/>
      <c r="K263" s="500"/>
      <c r="L263" s="500"/>
      <c r="M263" s="500"/>
      <c r="N263" s="500"/>
      <c r="O263" s="500"/>
      <c r="P263" s="500"/>
      <c r="Q263" s="500"/>
      <c r="R263" s="500"/>
      <c r="S263" s="500"/>
      <c r="T263" s="500"/>
      <c r="U263" s="500"/>
      <c r="V263" s="500"/>
      <c r="W263" s="500"/>
      <c r="X263" s="500"/>
      <c r="Y263" s="500"/>
      <c r="Z263" s="500"/>
    </row>
    <row r="264" spans="1:26" x14ac:dyDescent="0.3">
      <c r="A264" s="500"/>
      <c r="B264" s="500"/>
      <c r="C264" s="500"/>
      <c r="D264" s="500"/>
      <c r="E264" s="500"/>
      <c r="F264" s="500"/>
      <c r="G264" s="500"/>
      <c r="H264" s="500"/>
      <c r="I264" s="500"/>
      <c r="J264" s="500"/>
      <c r="K264" s="500"/>
      <c r="L264" s="500"/>
      <c r="M264" s="500"/>
      <c r="N264" s="500"/>
      <c r="O264" s="500"/>
      <c r="P264" s="500"/>
      <c r="Q264" s="500"/>
      <c r="R264" s="500"/>
      <c r="S264" s="500"/>
      <c r="T264" s="500"/>
      <c r="U264" s="500"/>
      <c r="V264" s="500"/>
      <c r="W264" s="500"/>
      <c r="X264" s="500"/>
      <c r="Y264" s="500"/>
      <c r="Z264" s="500"/>
    </row>
    <row r="265" spans="1:26" x14ac:dyDescent="0.3">
      <c r="A265" s="500"/>
      <c r="B265" s="500"/>
      <c r="C265" s="500"/>
      <c r="D265" s="500"/>
      <c r="E265" s="500"/>
      <c r="F265" s="500"/>
      <c r="G265" s="500"/>
      <c r="H265" s="500"/>
      <c r="I265" s="500"/>
      <c r="J265" s="500"/>
      <c r="K265" s="500"/>
      <c r="L265" s="500"/>
      <c r="M265" s="500"/>
      <c r="N265" s="500"/>
      <c r="O265" s="500"/>
      <c r="P265" s="500"/>
      <c r="Q265" s="500"/>
      <c r="R265" s="500"/>
      <c r="S265" s="500"/>
      <c r="T265" s="500"/>
      <c r="U265" s="500"/>
      <c r="V265" s="500"/>
      <c r="W265" s="500"/>
      <c r="X265" s="500"/>
      <c r="Y265" s="500"/>
      <c r="Z265" s="500"/>
    </row>
    <row r="266" spans="1:26" x14ac:dyDescent="0.3">
      <c r="A266" s="500"/>
      <c r="B266" s="500"/>
      <c r="C266" s="500"/>
      <c r="D266" s="500"/>
      <c r="E266" s="500"/>
      <c r="F266" s="500"/>
      <c r="G266" s="500"/>
      <c r="H266" s="500"/>
      <c r="I266" s="500"/>
      <c r="J266" s="500"/>
      <c r="K266" s="500"/>
      <c r="L266" s="500"/>
      <c r="M266" s="500"/>
      <c r="N266" s="500"/>
      <c r="O266" s="500"/>
      <c r="P266" s="500"/>
      <c r="Q266" s="500"/>
      <c r="R266" s="500"/>
      <c r="S266" s="500"/>
      <c r="T266" s="500"/>
      <c r="U266" s="500"/>
      <c r="V266" s="500"/>
      <c r="W266" s="500"/>
      <c r="X266" s="500"/>
      <c r="Y266" s="500"/>
      <c r="Z266" s="500"/>
    </row>
    <row r="267" spans="1:26" x14ac:dyDescent="0.3">
      <c r="A267" s="500"/>
      <c r="B267" s="500"/>
      <c r="C267" s="500"/>
      <c r="D267" s="500"/>
      <c r="E267" s="500"/>
      <c r="F267" s="500"/>
      <c r="G267" s="500"/>
      <c r="H267" s="500"/>
      <c r="I267" s="500"/>
      <c r="J267" s="500"/>
      <c r="K267" s="500"/>
      <c r="L267" s="500"/>
      <c r="M267" s="500"/>
      <c r="N267" s="500"/>
      <c r="O267" s="500"/>
      <c r="P267" s="500"/>
      <c r="Q267" s="500"/>
      <c r="R267" s="500"/>
      <c r="S267" s="500"/>
      <c r="T267" s="500"/>
      <c r="U267" s="500"/>
      <c r="V267" s="500"/>
      <c r="W267" s="500"/>
      <c r="X267" s="500"/>
      <c r="Y267" s="500"/>
      <c r="Z267" s="500"/>
    </row>
    <row r="268" spans="1:26" x14ac:dyDescent="0.3">
      <c r="A268" s="500"/>
      <c r="B268" s="500"/>
      <c r="C268" s="500"/>
      <c r="D268" s="500"/>
      <c r="E268" s="500"/>
      <c r="F268" s="500"/>
      <c r="G268" s="500"/>
      <c r="H268" s="500"/>
      <c r="I268" s="500"/>
      <c r="J268" s="500"/>
      <c r="K268" s="500"/>
      <c r="L268" s="500"/>
      <c r="M268" s="500"/>
      <c r="N268" s="500"/>
      <c r="O268" s="500"/>
      <c r="P268" s="500"/>
      <c r="Q268" s="500"/>
      <c r="R268" s="500"/>
      <c r="S268" s="500"/>
      <c r="T268" s="500"/>
      <c r="U268" s="500"/>
      <c r="V268" s="500"/>
      <c r="W268" s="500"/>
      <c r="X268" s="500"/>
      <c r="Y268" s="500"/>
      <c r="Z268" s="500"/>
    </row>
    <row r="269" spans="1:26" x14ac:dyDescent="0.3">
      <c r="A269" s="500"/>
      <c r="B269" s="500"/>
      <c r="C269" s="500"/>
      <c r="D269" s="500"/>
      <c r="E269" s="500"/>
      <c r="F269" s="500"/>
      <c r="G269" s="500"/>
      <c r="H269" s="500"/>
      <c r="I269" s="500"/>
      <c r="J269" s="500"/>
      <c r="K269" s="500"/>
      <c r="L269" s="500"/>
      <c r="M269" s="500"/>
      <c r="N269" s="500"/>
      <c r="O269" s="500"/>
      <c r="P269" s="500"/>
      <c r="Q269" s="500"/>
      <c r="R269" s="500"/>
      <c r="S269" s="500"/>
      <c r="T269" s="500"/>
      <c r="U269" s="500"/>
      <c r="V269" s="500"/>
      <c r="W269" s="500"/>
      <c r="X269" s="500"/>
      <c r="Y269" s="500"/>
      <c r="Z269" s="500"/>
    </row>
    <row r="270" spans="1:26" x14ac:dyDescent="0.3">
      <c r="A270" s="500"/>
      <c r="B270" s="500"/>
      <c r="C270" s="500"/>
      <c r="D270" s="500"/>
      <c r="E270" s="500"/>
      <c r="F270" s="500"/>
      <c r="G270" s="500"/>
      <c r="H270" s="500"/>
      <c r="I270" s="500"/>
      <c r="J270" s="500"/>
      <c r="K270" s="500"/>
      <c r="L270" s="500"/>
      <c r="M270" s="500"/>
      <c r="N270" s="500"/>
      <c r="O270" s="500"/>
      <c r="P270" s="500"/>
      <c r="Q270" s="500"/>
      <c r="R270" s="500"/>
      <c r="S270" s="500"/>
      <c r="T270" s="500"/>
      <c r="U270" s="500"/>
      <c r="V270" s="500"/>
      <c r="W270" s="500"/>
      <c r="X270" s="500"/>
      <c r="Y270" s="500"/>
      <c r="Z270" s="500"/>
    </row>
    <row r="271" spans="1:26" x14ac:dyDescent="0.3">
      <c r="A271" s="500"/>
      <c r="B271" s="500"/>
      <c r="C271" s="500"/>
      <c r="D271" s="500"/>
      <c r="E271" s="500"/>
      <c r="F271" s="500"/>
      <c r="G271" s="500"/>
      <c r="H271" s="500"/>
      <c r="I271" s="500"/>
      <c r="J271" s="500"/>
      <c r="K271" s="500"/>
      <c r="L271" s="500"/>
      <c r="M271" s="500"/>
      <c r="N271" s="500"/>
      <c r="O271" s="500"/>
      <c r="P271" s="500"/>
      <c r="Q271" s="500"/>
      <c r="R271" s="500"/>
      <c r="S271" s="500"/>
      <c r="T271" s="500"/>
      <c r="U271" s="500"/>
      <c r="V271" s="500"/>
      <c r="W271" s="500"/>
      <c r="X271" s="500"/>
      <c r="Y271" s="500"/>
      <c r="Z271" s="500"/>
    </row>
    <row r="272" spans="1:26" x14ac:dyDescent="0.3">
      <c r="A272" s="500"/>
      <c r="B272" s="500"/>
      <c r="C272" s="500"/>
      <c r="D272" s="500"/>
      <c r="E272" s="500"/>
      <c r="F272" s="500"/>
      <c r="G272" s="500"/>
      <c r="H272" s="500"/>
      <c r="I272" s="500"/>
      <c r="J272" s="500"/>
      <c r="K272" s="500"/>
      <c r="L272" s="500"/>
      <c r="M272" s="500"/>
      <c r="N272" s="500"/>
      <c r="O272" s="500"/>
      <c r="P272" s="500"/>
      <c r="Q272" s="500"/>
      <c r="R272" s="500"/>
      <c r="S272" s="500"/>
      <c r="T272" s="500"/>
      <c r="U272" s="500"/>
      <c r="V272" s="500"/>
      <c r="W272" s="500"/>
      <c r="X272" s="500"/>
      <c r="Y272" s="500"/>
      <c r="Z272" s="500"/>
    </row>
    <row r="273" spans="1:26" x14ac:dyDescent="0.3">
      <c r="A273" s="500"/>
      <c r="B273" s="500"/>
      <c r="C273" s="500"/>
      <c r="D273" s="500"/>
      <c r="E273" s="500"/>
      <c r="F273" s="500"/>
      <c r="G273" s="500"/>
      <c r="H273" s="500"/>
      <c r="I273" s="500"/>
      <c r="J273" s="500"/>
      <c r="K273" s="500"/>
      <c r="L273" s="500"/>
      <c r="M273" s="500"/>
      <c r="N273" s="500"/>
      <c r="O273" s="500"/>
      <c r="P273" s="500"/>
      <c r="Q273" s="500"/>
      <c r="R273" s="500"/>
      <c r="S273" s="500"/>
      <c r="T273" s="500"/>
      <c r="U273" s="500"/>
      <c r="V273" s="500"/>
      <c r="W273" s="500"/>
      <c r="X273" s="500"/>
      <c r="Y273" s="500"/>
      <c r="Z273" s="500"/>
    </row>
    <row r="274" spans="1:26" x14ac:dyDescent="0.3">
      <c r="A274" s="500"/>
      <c r="B274" s="500"/>
      <c r="C274" s="500"/>
      <c r="D274" s="500"/>
      <c r="E274" s="500"/>
      <c r="F274" s="500"/>
      <c r="G274" s="500"/>
      <c r="H274" s="500"/>
      <c r="I274" s="500"/>
      <c r="J274" s="500"/>
      <c r="K274" s="500"/>
      <c r="L274" s="500"/>
      <c r="M274" s="500"/>
      <c r="N274" s="500"/>
      <c r="O274" s="500"/>
      <c r="P274" s="500"/>
      <c r="Q274" s="500"/>
      <c r="R274" s="500"/>
      <c r="S274" s="500"/>
      <c r="T274" s="500"/>
      <c r="U274" s="500"/>
      <c r="V274" s="500"/>
      <c r="W274" s="500"/>
      <c r="X274" s="500"/>
      <c r="Y274" s="500"/>
      <c r="Z274" s="500"/>
    </row>
    <row r="275" spans="1:26" x14ac:dyDescent="0.3">
      <c r="A275" s="500"/>
      <c r="B275" s="500"/>
      <c r="C275" s="500"/>
      <c r="D275" s="500"/>
      <c r="E275" s="500"/>
      <c r="F275" s="500"/>
      <c r="G275" s="500"/>
      <c r="H275" s="500"/>
      <c r="I275" s="500"/>
      <c r="J275" s="500"/>
      <c r="K275" s="500"/>
      <c r="L275" s="500"/>
      <c r="M275" s="500"/>
      <c r="N275" s="500"/>
      <c r="O275" s="500"/>
      <c r="P275" s="500"/>
      <c r="Q275" s="500"/>
      <c r="R275" s="500"/>
      <c r="S275" s="500"/>
      <c r="T275" s="500"/>
      <c r="U275" s="500"/>
      <c r="V275" s="500"/>
      <c r="W275" s="500"/>
      <c r="X275" s="500"/>
      <c r="Y275" s="500"/>
      <c r="Z275" s="500"/>
    </row>
    <row r="276" spans="1:26" x14ac:dyDescent="0.3">
      <c r="A276" s="500"/>
      <c r="B276" s="500"/>
      <c r="C276" s="500"/>
      <c r="D276" s="500"/>
      <c r="E276" s="500"/>
      <c r="F276" s="500"/>
      <c r="G276" s="500"/>
      <c r="H276" s="500"/>
      <c r="I276" s="500"/>
      <c r="J276" s="500"/>
      <c r="K276" s="500"/>
      <c r="L276" s="500"/>
      <c r="M276" s="500"/>
      <c r="N276" s="500"/>
      <c r="O276" s="500"/>
      <c r="P276" s="500"/>
      <c r="Q276" s="500"/>
      <c r="R276" s="500"/>
      <c r="S276" s="500"/>
      <c r="T276" s="500"/>
      <c r="U276" s="500"/>
      <c r="V276" s="500"/>
      <c r="W276" s="500"/>
      <c r="X276" s="500"/>
      <c r="Y276" s="500"/>
      <c r="Z276" s="500"/>
    </row>
    <row r="277" spans="1:26" x14ac:dyDescent="0.3">
      <c r="A277" s="500"/>
      <c r="B277" s="500"/>
      <c r="C277" s="500"/>
      <c r="D277" s="500"/>
      <c r="E277" s="500"/>
      <c r="F277" s="500"/>
      <c r="G277" s="500"/>
      <c r="H277" s="500"/>
      <c r="I277" s="500"/>
      <c r="J277" s="500"/>
      <c r="K277" s="500"/>
      <c r="L277" s="500"/>
      <c r="M277" s="500"/>
      <c r="N277" s="500"/>
      <c r="O277" s="500"/>
      <c r="P277" s="500"/>
      <c r="Q277" s="500"/>
      <c r="R277" s="500"/>
      <c r="S277" s="500"/>
      <c r="T277" s="500"/>
      <c r="U277" s="500"/>
      <c r="V277" s="500"/>
      <c r="W277" s="500"/>
      <c r="X277" s="500"/>
      <c r="Y277" s="500"/>
      <c r="Z277" s="500"/>
    </row>
    <row r="278" spans="1:26" x14ac:dyDescent="0.3">
      <c r="A278" s="500"/>
      <c r="B278" s="500"/>
      <c r="C278" s="500"/>
      <c r="D278" s="500"/>
      <c r="E278" s="500"/>
      <c r="F278" s="500"/>
      <c r="G278" s="500"/>
      <c r="H278" s="500"/>
      <c r="I278" s="500"/>
      <c r="J278" s="500"/>
      <c r="K278" s="500"/>
      <c r="L278" s="500"/>
      <c r="M278" s="500"/>
      <c r="N278" s="500"/>
      <c r="O278" s="500"/>
      <c r="P278" s="500"/>
      <c r="Q278" s="500"/>
      <c r="R278" s="500"/>
      <c r="S278" s="500"/>
      <c r="T278" s="500"/>
      <c r="U278" s="500"/>
      <c r="V278" s="500"/>
      <c r="W278" s="500"/>
      <c r="X278" s="500"/>
      <c r="Y278" s="500"/>
      <c r="Z278" s="500"/>
    </row>
    <row r="279" spans="1:26" x14ac:dyDescent="0.3">
      <c r="A279" s="500"/>
      <c r="B279" s="500"/>
      <c r="C279" s="500"/>
      <c r="D279" s="500"/>
      <c r="E279" s="500"/>
      <c r="F279" s="500"/>
      <c r="G279" s="500"/>
      <c r="H279" s="500"/>
      <c r="I279" s="500"/>
      <c r="J279" s="500"/>
      <c r="K279" s="500"/>
      <c r="L279" s="500"/>
      <c r="M279" s="500"/>
      <c r="N279" s="500"/>
      <c r="O279" s="500"/>
      <c r="P279" s="500"/>
      <c r="Q279" s="500"/>
      <c r="R279" s="500"/>
      <c r="S279" s="500"/>
      <c r="T279" s="500"/>
      <c r="U279" s="500"/>
      <c r="V279" s="500"/>
      <c r="W279" s="500"/>
      <c r="X279" s="500"/>
      <c r="Y279" s="500"/>
      <c r="Z279" s="500"/>
    </row>
    <row r="280" spans="1:26" x14ac:dyDescent="0.3">
      <c r="A280" s="500"/>
      <c r="B280" s="500"/>
      <c r="C280" s="500"/>
      <c r="D280" s="500"/>
      <c r="E280" s="500"/>
      <c r="F280" s="500"/>
      <c r="G280" s="500"/>
      <c r="H280" s="500"/>
      <c r="I280" s="500"/>
      <c r="J280" s="500"/>
      <c r="K280" s="500"/>
      <c r="L280" s="500"/>
      <c r="M280" s="500"/>
      <c r="N280" s="500"/>
      <c r="O280" s="500"/>
      <c r="P280" s="500"/>
      <c r="Q280" s="500"/>
      <c r="R280" s="500"/>
      <c r="S280" s="500"/>
      <c r="T280" s="500"/>
      <c r="U280" s="500"/>
      <c r="V280" s="500"/>
      <c r="W280" s="500"/>
      <c r="X280" s="500"/>
      <c r="Y280" s="500"/>
      <c r="Z280" s="500"/>
    </row>
    <row r="281" spans="1:26" x14ac:dyDescent="0.3">
      <c r="A281" s="500"/>
      <c r="B281" s="500"/>
      <c r="C281" s="500"/>
      <c r="D281" s="500"/>
      <c r="E281" s="500"/>
      <c r="F281" s="500"/>
      <c r="G281" s="500"/>
      <c r="H281" s="500"/>
      <c r="I281" s="500"/>
      <c r="J281" s="500"/>
      <c r="K281" s="500"/>
      <c r="L281" s="500"/>
      <c r="M281" s="500"/>
      <c r="N281" s="500"/>
      <c r="O281" s="500"/>
      <c r="P281" s="500"/>
      <c r="Q281" s="500"/>
      <c r="R281" s="500"/>
      <c r="S281" s="500"/>
      <c r="T281" s="500"/>
      <c r="U281" s="500"/>
      <c r="V281" s="500"/>
      <c r="W281" s="500"/>
      <c r="X281" s="500"/>
      <c r="Y281" s="500"/>
      <c r="Z281" s="500"/>
    </row>
    <row r="282" spans="1:26" x14ac:dyDescent="0.3">
      <c r="A282" s="500"/>
      <c r="B282" s="500"/>
      <c r="C282" s="500"/>
      <c r="D282" s="500"/>
      <c r="E282" s="500"/>
      <c r="F282" s="500"/>
      <c r="G282" s="500"/>
      <c r="H282" s="500"/>
      <c r="I282" s="500"/>
      <c r="J282" s="500"/>
      <c r="K282" s="500"/>
      <c r="L282" s="500"/>
      <c r="M282" s="500"/>
      <c r="N282" s="500"/>
      <c r="O282" s="500"/>
      <c r="P282" s="500"/>
      <c r="Q282" s="500"/>
      <c r="R282" s="500"/>
      <c r="S282" s="500"/>
      <c r="T282" s="500"/>
      <c r="U282" s="500"/>
      <c r="V282" s="500"/>
      <c r="W282" s="500"/>
      <c r="X282" s="500"/>
      <c r="Y282" s="500"/>
      <c r="Z282" s="500"/>
    </row>
    <row r="283" spans="1:26" x14ac:dyDescent="0.3">
      <c r="A283" s="500"/>
      <c r="B283" s="500"/>
      <c r="C283" s="500"/>
      <c r="D283" s="500"/>
      <c r="E283" s="500"/>
      <c r="F283" s="500"/>
      <c r="G283" s="500"/>
      <c r="H283" s="500"/>
      <c r="I283" s="500"/>
      <c r="J283" s="500"/>
      <c r="K283" s="500"/>
      <c r="L283" s="500"/>
      <c r="M283" s="500"/>
      <c r="N283" s="500"/>
      <c r="O283" s="500"/>
      <c r="P283" s="500"/>
      <c r="Q283" s="500"/>
      <c r="R283" s="500"/>
      <c r="S283" s="500"/>
      <c r="T283" s="500"/>
      <c r="U283" s="500"/>
      <c r="V283" s="500"/>
      <c r="W283" s="500"/>
      <c r="X283" s="500"/>
      <c r="Y283" s="500"/>
      <c r="Z283" s="500"/>
    </row>
    <row r="284" spans="1:26" x14ac:dyDescent="0.3">
      <c r="A284" s="500"/>
      <c r="B284" s="500"/>
      <c r="C284" s="500"/>
      <c r="D284" s="500"/>
      <c r="E284" s="500"/>
      <c r="F284" s="500"/>
      <c r="G284" s="500"/>
      <c r="H284" s="500"/>
      <c r="I284" s="500"/>
      <c r="J284" s="500"/>
      <c r="K284" s="500"/>
      <c r="L284" s="500"/>
      <c r="M284" s="500"/>
      <c r="N284" s="500"/>
      <c r="O284" s="500"/>
      <c r="P284" s="500"/>
      <c r="Q284" s="500"/>
      <c r="R284" s="500"/>
      <c r="S284" s="500"/>
      <c r="T284" s="500"/>
      <c r="U284" s="500"/>
      <c r="V284" s="500"/>
      <c r="W284" s="500"/>
      <c r="X284" s="500"/>
      <c r="Y284" s="500"/>
      <c r="Z284" s="500"/>
    </row>
    <row r="285" spans="1:26" x14ac:dyDescent="0.3">
      <c r="A285" s="500"/>
      <c r="B285" s="500"/>
      <c r="C285" s="500"/>
      <c r="D285" s="500"/>
      <c r="E285" s="500"/>
      <c r="F285" s="500"/>
      <c r="G285" s="500"/>
      <c r="H285" s="500"/>
      <c r="I285" s="500"/>
      <c r="J285" s="500"/>
      <c r="K285" s="500"/>
      <c r="L285" s="500"/>
      <c r="M285" s="500"/>
      <c r="N285" s="500"/>
      <c r="O285" s="500"/>
      <c r="P285" s="500"/>
      <c r="Q285" s="500"/>
      <c r="R285" s="500"/>
      <c r="S285" s="500"/>
      <c r="T285" s="500"/>
      <c r="U285" s="500"/>
      <c r="V285" s="500"/>
      <c r="W285" s="500"/>
      <c r="X285" s="500"/>
      <c r="Y285" s="500"/>
      <c r="Z285" s="500"/>
    </row>
    <row r="286" spans="1:26" x14ac:dyDescent="0.3">
      <c r="A286" s="500"/>
      <c r="B286" s="500"/>
      <c r="C286" s="500"/>
      <c r="D286" s="500"/>
      <c r="E286" s="500"/>
      <c r="F286" s="500"/>
      <c r="G286" s="500"/>
      <c r="H286" s="500"/>
      <c r="I286" s="500"/>
      <c r="J286" s="500"/>
      <c r="K286" s="500"/>
      <c r="L286" s="500"/>
      <c r="M286" s="500"/>
      <c r="N286" s="500"/>
      <c r="O286" s="500"/>
      <c r="P286" s="500"/>
      <c r="Q286" s="500"/>
      <c r="R286" s="500"/>
      <c r="S286" s="500"/>
      <c r="T286" s="500"/>
      <c r="U286" s="500"/>
      <c r="V286" s="500"/>
      <c r="W286" s="500"/>
      <c r="X286" s="500"/>
      <c r="Y286" s="500"/>
      <c r="Z286" s="500"/>
    </row>
    <row r="287" spans="1:26" x14ac:dyDescent="0.3">
      <c r="A287" s="500"/>
      <c r="B287" s="500"/>
      <c r="C287" s="500"/>
      <c r="D287" s="500"/>
      <c r="E287" s="500"/>
      <c r="F287" s="500"/>
      <c r="G287" s="500"/>
      <c r="H287" s="500"/>
      <c r="I287" s="500"/>
      <c r="J287" s="500"/>
      <c r="K287" s="500"/>
      <c r="L287" s="500"/>
      <c r="M287" s="500"/>
      <c r="N287" s="500"/>
      <c r="O287" s="500"/>
      <c r="P287" s="500"/>
      <c r="Q287" s="500"/>
      <c r="R287" s="500"/>
      <c r="S287" s="500"/>
      <c r="T287" s="500"/>
      <c r="U287" s="500"/>
      <c r="V287" s="500"/>
      <c r="W287" s="500"/>
      <c r="X287" s="500"/>
      <c r="Y287" s="500"/>
      <c r="Z287" s="500"/>
    </row>
    <row r="288" spans="1:26" x14ac:dyDescent="0.3">
      <c r="A288" s="500"/>
      <c r="B288" s="500"/>
      <c r="C288" s="500"/>
      <c r="D288" s="500"/>
      <c r="E288" s="500"/>
      <c r="F288" s="500"/>
      <c r="G288" s="500"/>
      <c r="H288" s="500"/>
      <c r="I288" s="500"/>
      <c r="J288" s="500"/>
      <c r="K288" s="500"/>
      <c r="L288" s="500"/>
      <c r="M288" s="500"/>
      <c r="N288" s="500"/>
      <c r="O288" s="500"/>
      <c r="P288" s="500"/>
      <c r="Q288" s="500"/>
      <c r="R288" s="500"/>
      <c r="S288" s="500"/>
      <c r="T288" s="500"/>
      <c r="U288" s="500"/>
      <c r="V288" s="500"/>
      <c r="W288" s="500"/>
      <c r="X288" s="500"/>
      <c r="Y288" s="500"/>
      <c r="Z288" s="500"/>
    </row>
    <row r="289" spans="1:26" x14ac:dyDescent="0.3">
      <c r="A289" s="500"/>
      <c r="B289" s="500"/>
      <c r="C289" s="500"/>
      <c r="D289" s="500"/>
      <c r="E289" s="500"/>
      <c r="F289" s="500"/>
      <c r="G289" s="500"/>
      <c r="H289" s="500"/>
      <c r="I289" s="500"/>
      <c r="J289" s="500"/>
      <c r="K289" s="500"/>
      <c r="L289" s="500"/>
      <c r="M289" s="500"/>
      <c r="N289" s="500"/>
      <c r="O289" s="500"/>
      <c r="P289" s="500"/>
      <c r="Q289" s="500"/>
      <c r="R289" s="500"/>
      <c r="S289" s="500"/>
      <c r="T289" s="500"/>
      <c r="U289" s="500"/>
      <c r="V289" s="500"/>
      <c r="W289" s="500"/>
      <c r="X289" s="500"/>
      <c r="Y289" s="500"/>
      <c r="Z289" s="500"/>
    </row>
    <row r="290" spans="1:26" x14ac:dyDescent="0.3">
      <c r="A290" s="500"/>
      <c r="B290" s="500"/>
      <c r="C290" s="500"/>
      <c r="D290" s="500"/>
      <c r="E290" s="500"/>
      <c r="F290" s="500"/>
      <c r="G290" s="500"/>
      <c r="H290" s="500"/>
      <c r="I290" s="500"/>
      <c r="J290" s="500"/>
      <c r="K290" s="500"/>
      <c r="L290" s="500"/>
      <c r="M290" s="500"/>
      <c r="N290" s="500"/>
      <c r="O290" s="500"/>
      <c r="P290" s="500"/>
      <c r="Q290" s="500"/>
      <c r="R290" s="500"/>
      <c r="S290" s="500"/>
      <c r="T290" s="500"/>
      <c r="U290" s="500"/>
      <c r="V290" s="500"/>
      <c r="W290" s="500"/>
      <c r="X290" s="500"/>
      <c r="Y290" s="500"/>
      <c r="Z290" s="500"/>
    </row>
    <row r="291" spans="1:26" x14ac:dyDescent="0.3">
      <c r="A291" s="500"/>
      <c r="B291" s="500"/>
      <c r="C291" s="500"/>
      <c r="D291" s="500"/>
      <c r="E291" s="500"/>
      <c r="F291" s="500"/>
      <c r="G291" s="500"/>
      <c r="H291" s="500"/>
      <c r="I291" s="500"/>
      <c r="J291" s="500"/>
      <c r="K291" s="500"/>
      <c r="L291" s="500"/>
      <c r="M291" s="500"/>
      <c r="N291" s="500"/>
      <c r="O291" s="500"/>
      <c r="P291" s="500"/>
      <c r="Q291" s="500"/>
      <c r="R291" s="500"/>
      <c r="S291" s="500"/>
      <c r="T291" s="500"/>
      <c r="U291" s="500"/>
      <c r="V291" s="500"/>
      <c r="W291" s="500"/>
      <c r="X291" s="500"/>
      <c r="Y291" s="500"/>
      <c r="Z291" s="500"/>
    </row>
    <row r="292" spans="1:26" x14ac:dyDescent="0.3">
      <c r="A292" s="500"/>
      <c r="B292" s="500"/>
      <c r="C292" s="500"/>
      <c r="D292" s="500"/>
      <c r="E292" s="500"/>
      <c r="F292" s="500"/>
      <c r="G292" s="500"/>
      <c r="H292" s="500"/>
      <c r="I292" s="500"/>
      <c r="J292" s="500"/>
      <c r="K292" s="500"/>
      <c r="L292" s="500"/>
      <c r="M292" s="500"/>
      <c r="N292" s="500"/>
      <c r="O292" s="500"/>
      <c r="P292" s="500"/>
      <c r="Q292" s="500"/>
      <c r="R292" s="500"/>
      <c r="S292" s="500"/>
      <c r="T292" s="500"/>
      <c r="U292" s="500"/>
      <c r="V292" s="500"/>
      <c r="W292" s="500"/>
      <c r="X292" s="500"/>
      <c r="Y292" s="500"/>
      <c r="Z292" s="500"/>
    </row>
    <row r="293" spans="1:26" x14ac:dyDescent="0.3">
      <c r="A293" s="500"/>
      <c r="B293" s="500"/>
      <c r="C293" s="500"/>
      <c r="D293" s="500"/>
      <c r="E293" s="500"/>
      <c r="F293" s="500"/>
      <c r="G293" s="500"/>
      <c r="H293" s="500"/>
      <c r="I293" s="500"/>
      <c r="J293" s="500"/>
      <c r="K293" s="500"/>
      <c r="L293" s="500"/>
      <c r="M293" s="500"/>
      <c r="N293" s="500"/>
      <c r="O293" s="500"/>
      <c r="P293" s="500"/>
      <c r="Q293" s="500"/>
      <c r="R293" s="500"/>
      <c r="S293" s="500"/>
      <c r="T293" s="500"/>
      <c r="U293" s="500"/>
      <c r="V293" s="500"/>
      <c r="W293" s="500"/>
      <c r="X293" s="500"/>
      <c r="Y293" s="500"/>
      <c r="Z293" s="500"/>
    </row>
    <row r="294" spans="1:26" x14ac:dyDescent="0.3">
      <c r="A294" s="500"/>
      <c r="B294" s="500"/>
      <c r="C294" s="500"/>
      <c r="D294" s="500"/>
      <c r="E294" s="500"/>
      <c r="F294" s="500"/>
      <c r="G294" s="500"/>
      <c r="H294" s="500"/>
      <c r="I294" s="500"/>
      <c r="J294" s="500"/>
      <c r="K294" s="500"/>
      <c r="L294" s="500"/>
      <c r="M294" s="500"/>
      <c r="N294" s="500"/>
      <c r="O294" s="500"/>
      <c r="P294" s="500"/>
      <c r="Q294" s="500"/>
      <c r="R294" s="500"/>
      <c r="S294" s="500"/>
      <c r="T294" s="500"/>
      <c r="U294" s="500"/>
      <c r="V294" s="500"/>
      <c r="W294" s="500"/>
      <c r="X294" s="500"/>
      <c r="Y294" s="500"/>
      <c r="Z294" s="500"/>
    </row>
    <row r="295" spans="1:26" x14ac:dyDescent="0.3">
      <c r="A295" s="500"/>
      <c r="B295" s="500"/>
      <c r="C295" s="500"/>
      <c r="D295" s="500"/>
      <c r="E295" s="500"/>
      <c r="F295" s="500"/>
      <c r="G295" s="500"/>
      <c r="H295" s="500"/>
      <c r="I295" s="500"/>
      <c r="J295" s="500"/>
      <c r="K295" s="500"/>
      <c r="L295" s="500"/>
      <c r="M295" s="500"/>
      <c r="N295" s="500"/>
      <c r="O295" s="500"/>
      <c r="P295" s="500"/>
      <c r="Q295" s="500"/>
      <c r="R295" s="500"/>
      <c r="S295" s="500"/>
      <c r="T295" s="500"/>
      <c r="U295" s="500"/>
      <c r="V295" s="500"/>
      <c r="W295" s="500"/>
      <c r="X295" s="500"/>
      <c r="Y295" s="500"/>
      <c r="Z295" s="500"/>
    </row>
    <row r="296" spans="1:26" x14ac:dyDescent="0.3">
      <c r="A296" s="500"/>
      <c r="B296" s="500"/>
      <c r="C296" s="500"/>
      <c r="D296" s="500"/>
      <c r="E296" s="500"/>
      <c r="F296" s="500"/>
      <c r="G296" s="500"/>
      <c r="H296" s="500"/>
      <c r="I296" s="500"/>
      <c r="J296" s="500"/>
      <c r="K296" s="500"/>
      <c r="L296" s="500"/>
      <c r="M296" s="500"/>
      <c r="N296" s="500"/>
      <c r="O296" s="500"/>
      <c r="P296" s="500"/>
      <c r="Q296" s="500"/>
      <c r="R296" s="500"/>
      <c r="S296" s="500"/>
      <c r="T296" s="500"/>
      <c r="U296" s="500"/>
      <c r="V296" s="500"/>
      <c r="W296" s="500"/>
      <c r="X296" s="500"/>
      <c r="Y296" s="500"/>
      <c r="Z296" s="500"/>
    </row>
    <row r="297" spans="1:26" x14ac:dyDescent="0.3">
      <c r="A297" s="500"/>
      <c r="B297" s="500"/>
      <c r="C297" s="500"/>
      <c r="D297" s="500"/>
      <c r="E297" s="500"/>
      <c r="F297" s="500"/>
      <c r="G297" s="500"/>
      <c r="H297" s="500"/>
      <c r="I297" s="500"/>
      <c r="J297" s="500"/>
      <c r="K297" s="500"/>
      <c r="L297" s="500"/>
      <c r="M297" s="500"/>
      <c r="N297" s="500"/>
      <c r="O297" s="500"/>
      <c r="P297" s="500"/>
      <c r="Q297" s="500"/>
      <c r="R297" s="500"/>
      <c r="S297" s="500"/>
      <c r="T297" s="500"/>
      <c r="U297" s="500"/>
      <c r="V297" s="500"/>
      <c r="W297" s="500"/>
      <c r="X297" s="500"/>
      <c r="Y297" s="500"/>
      <c r="Z297" s="500"/>
    </row>
    <row r="298" spans="1:26" x14ac:dyDescent="0.3">
      <c r="A298" s="500"/>
      <c r="B298" s="500"/>
      <c r="C298" s="500"/>
      <c r="D298" s="500"/>
      <c r="E298" s="500"/>
      <c r="F298" s="500"/>
      <c r="G298" s="500"/>
      <c r="H298" s="500"/>
      <c r="I298" s="500"/>
      <c r="J298" s="500"/>
      <c r="K298" s="500"/>
      <c r="L298" s="500"/>
      <c r="M298" s="500"/>
      <c r="N298" s="500"/>
      <c r="O298" s="500"/>
      <c r="P298" s="500"/>
      <c r="Q298" s="500"/>
      <c r="R298" s="500"/>
      <c r="S298" s="500"/>
      <c r="T298" s="500"/>
      <c r="U298" s="500"/>
      <c r="V298" s="500"/>
      <c r="W298" s="500"/>
      <c r="X298" s="500"/>
      <c r="Y298" s="500"/>
      <c r="Z298" s="500"/>
    </row>
    <row r="299" spans="1:26" x14ac:dyDescent="0.3">
      <c r="A299" s="500"/>
      <c r="B299" s="500"/>
      <c r="C299" s="500"/>
      <c r="D299" s="500"/>
      <c r="E299" s="500"/>
      <c r="F299" s="500"/>
      <c r="G299" s="500"/>
      <c r="H299" s="500"/>
      <c r="I299" s="500"/>
      <c r="J299" s="500"/>
      <c r="K299" s="500"/>
      <c r="L299" s="500"/>
      <c r="M299" s="500"/>
      <c r="N299" s="500"/>
      <c r="O299" s="500"/>
      <c r="P299" s="500"/>
      <c r="Q299" s="500"/>
      <c r="R299" s="500"/>
      <c r="S299" s="500"/>
      <c r="T299" s="500"/>
      <c r="U299" s="500"/>
      <c r="V299" s="500"/>
      <c r="W299" s="500"/>
      <c r="X299" s="500"/>
      <c r="Y299" s="500"/>
      <c r="Z299" s="500"/>
    </row>
    <row r="300" spans="1:26" x14ac:dyDescent="0.3">
      <c r="A300" s="500"/>
      <c r="B300" s="500"/>
      <c r="C300" s="500"/>
      <c r="D300" s="500"/>
      <c r="E300" s="500"/>
      <c r="F300" s="500"/>
      <c r="G300" s="500"/>
      <c r="H300" s="500"/>
      <c r="I300" s="500"/>
      <c r="J300" s="500"/>
      <c r="K300" s="500"/>
      <c r="L300" s="500"/>
      <c r="M300" s="500"/>
      <c r="N300" s="500"/>
      <c r="O300" s="500"/>
      <c r="P300" s="500"/>
      <c r="Q300" s="500"/>
      <c r="R300" s="500"/>
      <c r="S300" s="500"/>
      <c r="T300" s="500"/>
      <c r="U300" s="500"/>
      <c r="V300" s="500"/>
      <c r="W300" s="500"/>
      <c r="X300" s="500"/>
      <c r="Y300" s="500"/>
      <c r="Z300" s="500"/>
    </row>
    <row r="301" spans="1:26" x14ac:dyDescent="0.3">
      <c r="A301" s="500"/>
      <c r="B301" s="500"/>
      <c r="C301" s="500"/>
      <c r="D301" s="500"/>
      <c r="E301" s="500"/>
      <c r="F301" s="500"/>
      <c r="G301" s="500"/>
      <c r="H301" s="500"/>
      <c r="I301" s="500"/>
      <c r="J301" s="500"/>
      <c r="K301" s="500"/>
      <c r="L301" s="500"/>
      <c r="M301" s="500"/>
      <c r="N301" s="500"/>
      <c r="O301" s="500"/>
      <c r="P301" s="500"/>
      <c r="Q301" s="500"/>
      <c r="R301" s="500"/>
      <c r="S301" s="500"/>
      <c r="T301" s="500"/>
      <c r="U301" s="500"/>
      <c r="V301" s="500"/>
      <c r="W301" s="500"/>
      <c r="X301" s="500"/>
      <c r="Y301" s="500"/>
      <c r="Z301" s="500"/>
    </row>
    <row r="302" spans="1:26" x14ac:dyDescent="0.3">
      <c r="A302" s="500"/>
      <c r="B302" s="500"/>
      <c r="C302" s="500"/>
      <c r="D302" s="500"/>
      <c r="E302" s="500"/>
      <c r="F302" s="500"/>
      <c r="G302" s="500"/>
      <c r="H302" s="500"/>
      <c r="I302" s="500"/>
      <c r="J302" s="500"/>
      <c r="K302" s="500"/>
      <c r="L302" s="500"/>
      <c r="M302" s="500"/>
      <c r="N302" s="500"/>
      <c r="O302" s="500"/>
      <c r="P302" s="500"/>
      <c r="Q302" s="500"/>
      <c r="R302" s="500"/>
      <c r="S302" s="500"/>
      <c r="T302" s="500"/>
      <c r="U302" s="500"/>
      <c r="V302" s="500"/>
      <c r="W302" s="500"/>
      <c r="X302" s="500"/>
      <c r="Y302" s="500"/>
      <c r="Z302" s="500"/>
    </row>
    <row r="303" spans="1:26" x14ac:dyDescent="0.3">
      <c r="A303" s="500"/>
      <c r="B303" s="500"/>
      <c r="C303" s="500"/>
      <c r="D303" s="500"/>
      <c r="E303" s="500"/>
      <c r="F303" s="500"/>
      <c r="G303" s="500"/>
      <c r="H303" s="500"/>
      <c r="I303" s="500"/>
      <c r="J303" s="500"/>
      <c r="K303" s="500"/>
      <c r="L303" s="500"/>
      <c r="M303" s="500"/>
      <c r="N303" s="500"/>
      <c r="O303" s="500"/>
      <c r="P303" s="500"/>
      <c r="Q303" s="500"/>
      <c r="R303" s="500"/>
      <c r="S303" s="500"/>
      <c r="T303" s="500"/>
      <c r="U303" s="500"/>
      <c r="V303" s="500"/>
      <c r="W303" s="500"/>
      <c r="X303" s="500"/>
      <c r="Y303" s="500"/>
      <c r="Z303" s="500"/>
    </row>
    <row r="304" spans="1:26" x14ac:dyDescent="0.3">
      <c r="A304" s="500"/>
      <c r="B304" s="500"/>
      <c r="C304" s="500"/>
      <c r="D304" s="500"/>
      <c r="E304" s="500"/>
      <c r="F304" s="500"/>
      <c r="G304" s="500"/>
      <c r="H304" s="500"/>
      <c r="I304" s="500"/>
      <c r="J304" s="500"/>
      <c r="K304" s="500"/>
      <c r="L304" s="500"/>
      <c r="M304" s="500"/>
      <c r="N304" s="500"/>
      <c r="O304" s="500"/>
      <c r="P304" s="500"/>
      <c r="Q304" s="500"/>
      <c r="R304" s="500"/>
      <c r="S304" s="500"/>
      <c r="T304" s="500"/>
      <c r="U304" s="500"/>
      <c r="V304" s="500"/>
      <c r="W304" s="500"/>
      <c r="X304" s="500"/>
      <c r="Y304" s="500"/>
      <c r="Z304" s="500"/>
    </row>
    <row r="305" spans="1:26" x14ac:dyDescent="0.3">
      <c r="A305" s="500"/>
      <c r="B305" s="500"/>
      <c r="C305" s="500"/>
      <c r="D305" s="500"/>
      <c r="E305" s="500"/>
      <c r="F305" s="500"/>
      <c r="G305" s="500"/>
      <c r="H305" s="500"/>
      <c r="I305" s="500"/>
      <c r="J305" s="500"/>
      <c r="K305" s="500"/>
      <c r="L305" s="500"/>
      <c r="M305" s="500"/>
      <c r="N305" s="500"/>
      <c r="O305" s="500"/>
      <c r="P305" s="500"/>
      <c r="Q305" s="500"/>
      <c r="R305" s="500"/>
      <c r="S305" s="500"/>
      <c r="T305" s="500"/>
      <c r="U305" s="500"/>
      <c r="V305" s="500"/>
      <c r="W305" s="500"/>
      <c r="X305" s="500"/>
      <c r="Y305" s="500"/>
      <c r="Z305" s="500"/>
    </row>
    <row r="306" spans="1:26" x14ac:dyDescent="0.3">
      <c r="A306" s="500"/>
      <c r="B306" s="500"/>
      <c r="C306" s="500"/>
      <c r="D306" s="500"/>
      <c r="E306" s="500"/>
      <c r="F306" s="500"/>
      <c r="G306" s="500"/>
      <c r="H306" s="500"/>
      <c r="I306" s="500"/>
      <c r="J306" s="500"/>
      <c r="K306" s="500"/>
      <c r="L306" s="500"/>
      <c r="M306" s="500"/>
      <c r="N306" s="500"/>
      <c r="O306" s="500"/>
      <c r="P306" s="500"/>
      <c r="Q306" s="500"/>
      <c r="R306" s="500"/>
      <c r="S306" s="500"/>
      <c r="T306" s="500"/>
      <c r="U306" s="500"/>
      <c r="V306" s="500"/>
      <c r="W306" s="500"/>
      <c r="X306" s="500"/>
      <c r="Y306" s="500"/>
      <c r="Z306" s="500"/>
    </row>
    <row r="307" spans="1:26" x14ac:dyDescent="0.3">
      <c r="A307" s="500"/>
      <c r="B307" s="500"/>
      <c r="C307" s="500"/>
      <c r="D307" s="500"/>
      <c r="E307" s="500"/>
      <c r="F307" s="500"/>
      <c r="G307" s="500"/>
      <c r="H307" s="500"/>
      <c r="I307" s="500"/>
      <c r="J307" s="500"/>
      <c r="K307" s="500"/>
      <c r="L307" s="500"/>
      <c r="M307" s="500"/>
      <c r="N307" s="500"/>
      <c r="O307" s="500"/>
      <c r="P307" s="500"/>
      <c r="Q307" s="500"/>
      <c r="R307" s="500"/>
      <c r="S307" s="500"/>
      <c r="T307" s="500"/>
      <c r="U307" s="500"/>
      <c r="V307" s="500"/>
      <c r="W307" s="500"/>
      <c r="X307" s="500"/>
      <c r="Y307" s="500"/>
      <c r="Z307" s="500"/>
    </row>
    <row r="308" spans="1:26" x14ac:dyDescent="0.3">
      <c r="A308" s="500"/>
      <c r="B308" s="500"/>
      <c r="C308" s="500"/>
      <c r="D308" s="500"/>
      <c r="E308" s="500"/>
      <c r="F308" s="500"/>
      <c r="G308" s="500"/>
      <c r="H308" s="500"/>
      <c r="I308" s="500"/>
      <c r="J308" s="500"/>
      <c r="K308" s="500"/>
      <c r="L308" s="500"/>
      <c r="M308" s="500"/>
      <c r="N308" s="500"/>
      <c r="O308" s="500"/>
      <c r="P308" s="500"/>
      <c r="Q308" s="500"/>
      <c r="R308" s="500"/>
      <c r="S308" s="500"/>
      <c r="T308" s="500"/>
      <c r="U308" s="500"/>
      <c r="V308" s="500"/>
      <c r="W308" s="500"/>
      <c r="X308" s="500"/>
      <c r="Y308" s="500"/>
      <c r="Z308" s="500"/>
    </row>
    <row r="309" spans="1:26" x14ac:dyDescent="0.3">
      <c r="A309" s="500"/>
      <c r="B309" s="500"/>
      <c r="C309" s="500"/>
      <c r="D309" s="500"/>
      <c r="E309" s="500"/>
      <c r="F309" s="500"/>
      <c r="G309" s="500"/>
      <c r="H309" s="500"/>
      <c r="I309" s="500"/>
      <c r="J309" s="500"/>
      <c r="K309" s="500"/>
      <c r="L309" s="500"/>
      <c r="M309" s="500"/>
      <c r="N309" s="500"/>
      <c r="O309" s="500"/>
      <c r="P309" s="500"/>
      <c r="Q309" s="500"/>
      <c r="R309" s="500"/>
      <c r="S309" s="500"/>
      <c r="T309" s="500"/>
      <c r="U309" s="500"/>
      <c r="V309" s="500"/>
      <c r="W309" s="500"/>
      <c r="X309" s="500"/>
      <c r="Y309" s="500"/>
      <c r="Z309" s="500"/>
    </row>
    <row r="310" spans="1:26" x14ac:dyDescent="0.3">
      <c r="A310" s="500"/>
      <c r="B310" s="500"/>
      <c r="C310" s="500"/>
      <c r="D310" s="500"/>
      <c r="E310" s="500"/>
      <c r="F310" s="500"/>
      <c r="G310" s="500"/>
      <c r="H310" s="500"/>
      <c r="I310" s="500"/>
      <c r="J310" s="500"/>
      <c r="K310" s="500"/>
      <c r="L310" s="500"/>
      <c r="M310" s="500"/>
      <c r="N310" s="500"/>
      <c r="O310" s="500"/>
      <c r="P310" s="500"/>
      <c r="Q310" s="500"/>
      <c r="R310" s="500"/>
      <c r="S310" s="500"/>
      <c r="T310" s="500"/>
      <c r="U310" s="500"/>
      <c r="V310" s="500"/>
      <c r="W310" s="500"/>
      <c r="X310" s="500"/>
      <c r="Y310" s="500"/>
      <c r="Z310" s="500"/>
    </row>
    <row r="311" spans="1:26" x14ac:dyDescent="0.3">
      <c r="A311" s="500"/>
      <c r="B311" s="500"/>
      <c r="C311" s="500"/>
      <c r="D311" s="500"/>
      <c r="E311" s="500"/>
      <c r="F311" s="500"/>
      <c r="G311" s="500"/>
      <c r="H311" s="500"/>
      <c r="I311" s="500"/>
      <c r="J311" s="500"/>
      <c r="K311" s="500"/>
      <c r="L311" s="500"/>
      <c r="M311" s="500"/>
      <c r="N311" s="500"/>
      <c r="O311" s="500"/>
      <c r="P311" s="500"/>
      <c r="Q311" s="500"/>
      <c r="R311" s="500"/>
      <c r="S311" s="500"/>
      <c r="T311" s="500"/>
      <c r="U311" s="500"/>
      <c r="V311" s="500"/>
      <c r="W311" s="500"/>
      <c r="X311" s="500"/>
      <c r="Y311" s="500"/>
      <c r="Z311" s="500"/>
    </row>
    <row r="312" spans="1:26" x14ac:dyDescent="0.3">
      <c r="A312" s="500"/>
      <c r="B312" s="500"/>
      <c r="C312" s="500"/>
      <c r="D312" s="500"/>
      <c r="E312" s="500"/>
      <c r="F312" s="500"/>
      <c r="G312" s="500"/>
      <c r="H312" s="500"/>
      <c r="I312" s="500"/>
      <c r="J312" s="500"/>
      <c r="K312" s="500"/>
      <c r="L312" s="500"/>
      <c r="M312" s="500"/>
      <c r="N312" s="500"/>
      <c r="O312" s="500"/>
      <c r="P312" s="500"/>
      <c r="Q312" s="500"/>
      <c r="R312" s="500"/>
      <c r="S312" s="500"/>
      <c r="T312" s="500"/>
      <c r="U312" s="500"/>
      <c r="V312" s="500"/>
      <c r="W312" s="500"/>
      <c r="X312" s="500"/>
      <c r="Y312" s="500"/>
      <c r="Z312" s="500"/>
    </row>
    <row r="313" spans="1:26" x14ac:dyDescent="0.3">
      <c r="A313" s="500"/>
      <c r="B313" s="500"/>
      <c r="C313" s="500"/>
      <c r="D313" s="500"/>
      <c r="E313" s="500"/>
      <c r="F313" s="500"/>
      <c r="G313" s="500"/>
      <c r="H313" s="500"/>
      <c r="I313" s="500"/>
      <c r="J313" s="500"/>
      <c r="K313" s="500"/>
      <c r="L313" s="500"/>
      <c r="M313" s="500"/>
      <c r="N313" s="500"/>
      <c r="O313" s="500"/>
      <c r="P313" s="500"/>
      <c r="Q313" s="500"/>
      <c r="R313" s="500"/>
      <c r="S313" s="500"/>
      <c r="T313" s="500"/>
      <c r="U313" s="500"/>
      <c r="V313" s="500"/>
      <c r="W313" s="500"/>
      <c r="X313" s="500"/>
      <c r="Y313" s="500"/>
      <c r="Z313" s="500"/>
    </row>
    <row r="314" spans="1:26" x14ac:dyDescent="0.3">
      <c r="A314" s="500"/>
      <c r="B314" s="500"/>
      <c r="C314" s="500"/>
      <c r="D314" s="500"/>
      <c r="E314" s="500"/>
      <c r="F314" s="500"/>
      <c r="G314" s="500"/>
      <c r="H314" s="500"/>
      <c r="I314" s="500"/>
      <c r="J314" s="500"/>
      <c r="K314" s="500"/>
      <c r="L314" s="500"/>
      <c r="M314" s="500"/>
      <c r="N314" s="500"/>
      <c r="O314" s="500"/>
      <c r="P314" s="500"/>
      <c r="Q314" s="500"/>
      <c r="R314" s="500"/>
      <c r="S314" s="500"/>
      <c r="T314" s="500"/>
      <c r="U314" s="500"/>
      <c r="V314" s="500"/>
      <c r="W314" s="500"/>
      <c r="X314" s="500"/>
      <c r="Y314" s="500"/>
      <c r="Z314" s="500"/>
    </row>
    <row r="315" spans="1:26" x14ac:dyDescent="0.3">
      <c r="A315" s="500"/>
      <c r="B315" s="500"/>
      <c r="C315" s="500"/>
      <c r="D315" s="500"/>
      <c r="E315" s="500"/>
      <c r="F315" s="500"/>
      <c r="G315" s="500"/>
      <c r="H315" s="500"/>
      <c r="I315" s="500"/>
      <c r="J315" s="500"/>
      <c r="K315" s="500"/>
      <c r="L315" s="500"/>
      <c r="M315" s="500"/>
      <c r="N315" s="500"/>
      <c r="O315" s="500"/>
      <c r="P315" s="500"/>
      <c r="Q315" s="500"/>
      <c r="R315" s="500"/>
      <c r="S315" s="500"/>
      <c r="T315" s="500"/>
      <c r="U315" s="500"/>
      <c r="V315" s="500"/>
      <c r="W315" s="500"/>
      <c r="X315" s="500"/>
      <c r="Y315" s="500"/>
      <c r="Z315" s="500"/>
    </row>
    <row r="316" spans="1:26" x14ac:dyDescent="0.3">
      <c r="A316" s="500"/>
      <c r="B316" s="500"/>
      <c r="C316" s="500"/>
      <c r="D316" s="500"/>
      <c r="E316" s="500"/>
      <c r="F316" s="500"/>
      <c r="G316" s="500"/>
      <c r="H316" s="500"/>
      <c r="I316" s="500"/>
      <c r="J316" s="500"/>
      <c r="K316" s="500"/>
      <c r="L316" s="500"/>
      <c r="M316" s="500"/>
      <c r="N316" s="500"/>
      <c r="O316" s="500"/>
      <c r="P316" s="500"/>
      <c r="Q316" s="500"/>
      <c r="R316" s="500"/>
      <c r="S316" s="500"/>
      <c r="T316" s="500"/>
      <c r="U316" s="500"/>
      <c r="V316" s="500"/>
      <c r="W316" s="500"/>
      <c r="X316" s="500"/>
      <c r="Y316" s="500"/>
      <c r="Z316" s="500"/>
    </row>
    <row r="317" spans="1:26" x14ac:dyDescent="0.3">
      <c r="A317" s="500"/>
      <c r="B317" s="500"/>
      <c r="C317" s="500"/>
      <c r="D317" s="500"/>
      <c r="E317" s="500"/>
      <c r="F317" s="500"/>
      <c r="G317" s="500"/>
      <c r="H317" s="500"/>
      <c r="I317" s="500"/>
      <c r="J317" s="500"/>
      <c r="K317" s="500"/>
      <c r="L317" s="500"/>
      <c r="M317" s="500"/>
      <c r="N317" s="500"/>
      <c r="O317" s="500"/>
      <c r="P317" s="500"/>
      <c r="Q317" s="500"/>
      <c r="R317" s="500"/>
      <c r="S317" s="500"/>
      <c r="T317" s="500"/>
      <c r="U317" s="500"/>
      <c r="V317" s="500"/>
      <c r="W317" s="500"/>
      <c r="X317" s="500"/>
      <c r="Y317" s="500"/>
      <c r="Z317" s="500"/>
    </row>
    <row r="318" spans="1:26" x14ac:dyDescent="0.3">
      <c r="A318" s="500"/>
      <c r="B318" s="500"/>
      <c r="C318" s="500"/>
      <c r="D318" s="500"/>
      <c r="E318" s="500"/>
      <c r="F318" s="500"/>
      <c r="G318" s="500"/>
      <c r="H318" s="500"/>
      <c r="I318" s="500"/>
      <c r="J318" s="500"/>
      <c r="K318" s="500"/>
      <c r="L318" s="500"/>
      <c r="M318" s="500"/>
      <c r="N318" s="500"/>
      <c r="O318" s="500"/>
      <c r="P318" s="500"/>
      <c r="Q318" s="500"/>
      <c r="R318" s="500"/>
      <c r="S318" s="500"/>
      <c r="T318" s="500"/>
      <c r="U318" s="500"/>
      <c r="V318" s="500"/>
      <c r="W318" s="500"/>
      <c r="X318" s="500"/>
      <c r="Y318" s="500"/>
      <c r="Z318" s="500"/>
    </row>
    <row r="319" spans="1:26" x14ac:dyDescent="0.3">
      <c r="A319" s="500"/>
      <c r="B319" s="500"/>
      <c r="C319" s="500"/>
      <c r="D319" s="500"/>
      <c r="E319" s="500"/>
      <c r="F319" s="500"/>
      <c r="G319" s="500"/>
      <c r="H319" s="500"/>
      <c r="I319" s="500"/>
      <c r="J319" s="500"/>
      <c r="K319" s="500"/>
      <c r="L319" s="500"/>
      <c r="M319" s="500"/>
      <c r="N319" s="500"/>
      <c r="O319" s="500"/>
      <c r="P319" s="500"/>
      <c r="Q319" s="500"/>
      <c r="R319" s="500"/>
      <c r="S319" s="500"/>
      <c r="T319" s="500"/>
      <c r="U319" s="500"/>
      <c r="V319" s="500"/>
      <c r="W319" s="500"/>
      <c r="X319" s="500"/>
      <c r="Y319" s="500"/>
      <c r="Z319" s="500"/>
    </row>
    <row r="320" spans="1:26" x14ac:dyDescent="0.3">
      <c r="A320" s="500"/>
      <c r="B320" s="500"/>
      <c r="C320" s="500"/>
      <c r="D320" s="500"/>
      <c r="E320" s="500"/>
      <c r="F320" s="500"/>
      <c r="G320" s="500"/>
      <c r="H320" s="500"/>
      <c r="I320" s="500"/>
      <c r="J320" s="500"/>
      <c r="K320" s="500"/>
      <c r="L320" s="500"/>
      <c r="M320" s="500"/>
      <c r="N320" s="500"/>
      <c r="O320" s="500"/>
      <c r="P320" s="500"/>
      <c r="Q320" s="500"/>
      <c r="R320" s="500"/>
      <c r="S320" s="500"/>
      <c r="T320" s="500"/>
      <c r="U320" s="500"/>
      <c r="V320" s="500"/>
      <c r="W320" s="500"/>
      <c r="X320" s="500"/>
      <c r="Y320" s="500"/>
      <c r="Z320" s="500"/>
    </row>
    <row r="321" spans="1:26" x14ac:dyDescent="0.3">
      <c r="A321" s="500"/>
      <c r="B321" s="500"/>
      <c r="C321" s="500"/>
      <c r="D321" s="500"/>
      <c r="E321" s="500"/>
      <c r="F321" s="500"/>
      <c r="G321" s="500"/>
      <c r="H321" s="500"/>
      <c r="I321" s="500"/>
      <c r="J321" s="500"/>
      <c r="K321" s="500"/>
      <c r="L321" s="500"/>
      <c r="M321" s="500"/>
      <c r="N321" s="500"/>
      <c r="O321" s="500"/>
      <c r="P321" s="500"/>
      <c r="Q321" s="500"/>
      <c r="R321" s="500"/>
      <c r="S321" s="500"/>
      <c r="T321" s="500"/>
      <c r="U321" s="500"/>
      <c r="V321" s="500"/>
      <c r="W321" s="500"/>
      <c r="X321" s="500"/>
      <c r="Y321" s="500"/>
      <c r="Z321" s="500"/>
    </row>
    <row r="322" spans="1:26" x14ac:dyDescent="0.3">
      <c r="A322" s="500"/>
      <c r="B322" s="500"/>
      <c r="C322" s="500"/>
      <c r="D322" s="500"/>
      <c r="E322" s="500"/>
      <c r="F322" s="500"/>
      <c r="G322" s="500"/>
      <c r="H322" s="500"/>
      <c r="I322" s="500"/>
      <c r="J322" s="500"/>
      <c r="K322" s="500"/>
      <c r="L322" s="500"/>
      <c r="M322" s="500"/>
      <c r="N322" s="500"/>
      <c r="O322" s="500"/>
      <c r="P322" s="500"/>
      <c r="Q322" s="500"/>
      <c r="R322" s="500"/>
      <c r="S322" s="500"/>
      <c r="T322" s="500"/>
      <c r="U322" s="500"/>
      <c r="V322" s="500"/>
      <c r="W322" s="500"/>
      <c r="X322" s="500"/>
      <c r="Y322" s="500"/>
      <c r="Z322" s="500"/>
    </row>
    <row r="323" spans="1:26" x14ac:dyDescent="0.3">
      <c r="A323" s="500"/>
      <c r="B323" s="500"/>
      <c r="C323" s="500"/>
      <c r="D323" s="500"/>
      <c r="E323" s="500"/>
      <c r="F323" s="500"/>
      <c r="G323" s="500"/>
      <c r="H323" s="500"/>
      <c r="I323" s="500"/>
      <c r="J323" s="500"/>
      <c r="K323" s="500"/>
      <c r="L323" s="500"/>
      <c r="M323" s="500"/>
      <c r="N323" s="500"/>
      <c r="O323" s="500"/>
      <c r="P323" s="500"/>
      <c r="Q323" s="500"/>
      <c r="R323" s="500"/>
      <c r="S323" s="500"/>
      <c r="T323" s="500"/>
      <c r="U323" s="500"/>
      <c r="V323" s="500"/>
      <c r="W323" s="500"/>
      <c r="X323" s="500"/>
      <c r="Y323" s="500"/>
      <c r="Z323" s="500"/>
    </row>
    <row r="324" spans="1:26" x14ac:dyDescent="0.3">
      <c r="A324" s="500"/>
      <c r="B324" s="500"/>
      <c r="C324" s="500"/>
      <c r="D324" s="500"/>
      <c r="E324" s="500"/>
      <c r="F324" s="500"/>
      <c r="G324" s="500"/>
      <c r="H324" s="500"/>
      <c r="I324" s="500"/>
      <c r="J324" s="500"/>
      <c r="K324" s="500"/>
      <c r="L324" s="500"/>
      <c r="M324" s="500"/>
      <c r="N324" s="500"/>
      <c r="O324" s="500"/>
      <c r="P324" s="500"/>
      <c r="Q324" s="500"/>
      <c r="R324" s="500"/>
      <c r="S324" s="500"/>
      <c r="T324" s="500"/>
      <c r="U324" s="500"/>
      <c r="V324" s="500"/>
      <c r="W324" s="500"/>
      <c r="X324" s="500"/>
      <c r="Y324" s="500"/>
      <c r="Z324" s="500"/>
    </row>
    <row r="325" spans="1:26" x14ac:dyDescent="0.3">
      <c r="A325" s="500"/>
      <c r="B325" s="500"/>
      <c r="C325" s="500"/>
      <c r="D325" s="500"/>
      <c r="E325" s="500"/>
      <c r="F325" s="500"/>
      <c r="G325" s="500"/>
      <c r="H325" s="500"/>
      <c r="I325" s="500"/>
      <c r="J325" s="500"/>
      <c r="K325" s="500"/>
      <c r="L325" s="500"/>
      <c r="M325" s="500"/>
      <c r="N325" s="500"/>
      <c r="O325" s="500"/>
      <c r="P325" s="500"/>
      <c r="Q325" s="500"/>
      <c r="R325" s="500"/>
      <c r="S325" s="500"/>
      <c r="T325" s="500"/>
      <c r="U325" s="500"/>
      <c r="V325" s="500"/>
      <c r="W325" s="500"/>
      <c r="X325" s="500"/>
      <c r="Y325" s="500"/>
      <c r="Z325" s="500"/>
    </row>
    <row r="326" spans="1:26" x14ac:dyDescent="0.3">
      <c r="A326" s="500"/>
      <c r="B326" s="500"/>
      <c r="C326" s="500"/>
      <c r="D326" s="500"/>
      <c r="E326" s="500"/>
      <c r="F326" s="500"/>
      <c r="G326" s="500"/>
      <c r="H326" s="500"/>
      <c r="I326" s="500"/>
      <c r="J326" s="500"/>
      <c r="K326" s="500"/>
      <c r="L326" s="500"/>
      <c r="M326" s="500"/>
      <c r="N326" s="500"/>
      <c r="O326" s="500"/>
      <c r="P326" s="500"/>
      <c r="Q326" s="500"/>
      <c r="R326" s="500"/>
      <c r="S326" s="500"/>
      <c r="T326" s="500"/>
      <c r="U326" s="500"/>
      <c r="V326" s="500"/>
      <c r="W326" s="500"/>
      <c r="X326" s="500"/>
      <c r="Y326" s="500"/>
      <c r="Z326" s="500"/>
    </row>
    <row r="327" spans="1:26" x14ac:dyDescent="0.3">
      <c r="A327" s="500"/>
      <c r="B327" s="500"/>
      <c r="C327" s="500"/>
      <c r="D327" s="500"/>
      <c r="E327" s="500"/>
      <c r="F327" s="500"/>
      <c r="G327" s="500"/>
      <c r="H327" s="500"/>
      <c r="I327" s="500"/>
      <c r="J327" s="500"/>
      <c r="K327" s="500"/>
      <c r="L327" s="500"/>
      <c r="M327" s="500"/>
      <c r="N327" s="500"/>
      <c r="O327" s="500"/>
      <c r="P327" s="500"/>
      <c r="Q327" s="500"/>
      <c r="R327" s="500"/>
      <c r="S327" s="500"/>
      <c r="T327" s="500"/>
      <c r="U327" s="500"/>
      <c r="V327" s="500"/>
      <c r="W327" s="500"/>
      <c r="X327" s="500"/>
      <c r="Y327" s="500"/>
      <c r="Z327" s="500"/>
    </row>
    <row r="328" spans="1:26" x14ac:dyDescent="0.3">
      <c r="A328" s="500"/>
      <c r="B328" s="500"/>
      <c r="C328" s="500"/>
      <c r="D328" s="500"/>
      <c r="E328" s="500"/>
      <c r="F328" s="500"/>
      <c r="G328" s="500"/>
      <c r="H328" s="500"/>
      <c r="I328" s="500"/>
      <c r="J328" s="500"/>
      <c r="K328" s="500"/>
      <c r="L328" s="500"/>
      <c r="M328" s="500"/>
      <c r="N328" s="500"/>
      <c r="O328" s="500"/>
      <c r="P328" s="500"/>
      <c r="Q328" s="500"/>
      <c r="R328" s="500"/>
      <c r="S328" s="500"/>
      <c r="T328" s="500"/>
      <c r="U328" s="500"/>
      <c r="V328" s="500"/>
      <c r="W328" s="500"/>
      <c r="X328" s="500"/>
      <c r="Y328" s="500"/>
      <c r="Z328" s="500"/>
    </row>
    <row r="329" spans="1:26" x14ac:dyDescent="0.3">
      <c r="A329" s="500"/>
      <c r="B329" s="500"/>
      <c r="C329" s="500"/>
      <c r="D329" s="500"/>
      <c r="E329" s="500"/>
      <c r="F329" s="500"/>
      <c r="G329" s="500"/>
      <c r="H329" s="500"/>
      <c r="I329" s="500"/>
      <c r="J329" s="500"/>
      <c r="K329" s="500"/>
      <c r="L329" s="500"/>
      <c r="M329" s="500"/>
      <c r="N329" s="500"/>
      <c r="O329" s="500"/>
      <c r="P329" s="500"/>
      <c r="Q329" s="500"/>
      <c r="R329" s="500"/>
      <c r="S329" s="500"/>
      <c r="T329" s="500"/>
      <c r="U329" s="500"/>
      <c r="V329" s="500"/>
      <c r="W329" s="500"/>
      <c r="X329" s="500"/>
      <c r="Y329" s="500"/>
      <c r="Z329" s="500"/>
    </row>
    <row r="330" spans="1:26" x14ac:dyDescent="0.3">
      <c r="A330" s="500"/>
      <c r="B330" s="500"/>
      <c r="C330" s="500"/>
      <c r="D330" s="500"/>
      <c r="E330" s="500"/>
      <c r="F330" s="500"/>
      <c r="G330" s="500"/>
      <c r="H330" s="500"/>
      <c r="I330" s="500"/>
      <c r="J330" s="500"/>
      <c r="K330" s="500"/>
      <c r="L330" s="500"/>
      <c r="M330" s="500"/>
      <c r="N330" s="500"/>
      <c r="O330" s="500"/>
      <c r="P330" s="500"/>
      <c r="Q330" s="500"/>
      <c r="R330" s="500"/>
      <c r="S330" s="500"/>
      <c r="T330" s="500"/>
      <c r="U330" s="500"/>
      <c r="V330" s="500"/>
      <c r="W330" s="500"/>
      <c r="X330" s="500"/>
      <c r="Y330" s="500"/>
      <c r="Z330" s="500"/>
    </row>
    <row r="331" spans="1:26" x14ac:dyDescent="0.3">
      <c r="A331" s="500"/>
      <c r="B331" s="500"/>
      <c r="C331" s="500"/>
      <c r="D331" s="500"/>
      <c r="E331" s="500"/>
      <c r="F331" s="500"/>
      <c r="G331" s="500"/>
      <c r="H331" s="500"/>
      <c r="I331" s="500"/>
      <c r="J331" s="500"/>
      <c r="K331" s="500"/>
      <c r="L331" s="500"/>
      <c r="M331" s="500"/>
      <c r="N331" s="500"/>
      <c r="O331" s="500"/>
      <c r="P331" s="500"/>
      <c r="Q331" s="500"/>
      <c r="R331" s="500"/>
      <c r="S331" s="500"/>
      <c r="T331" s="500"/>
      <c r="U331" s="500"/>
      <c r="V331" s="500"/>
      <c r="W331" s="500"/>
      <c r="X331" s="500"/>
      <c r="Y331" s="500"/>
      <c r="Z331" s="500"/>
    </row>
    <row r="332" spans="1:26" x14ac:dyDescent="0.3">
      <c r="A332" s="500"/>
      <c r="B332" s="500"/>
      <c r="C332" s="500"/>
      <c r="D332" s="500"/>
      <c r="E332" s="500"/>
      <c r="F332" s="500"/>
      <c r="G332" s="500"/>
      <c r="H332" s="500"/>
      <c r="I332" s="500"/>
      <c r="J332" s="500"/>
      <c r="K332" s="500"/>
      <c r="L332" s="500"/>
      <c r="M332" s="500"/>
      <c r="N332" s="500"/>
      <c r="O332" s="500"/>
      <c r="P332" s="500"/>
      <c r="Q332" s="500"/>
      <c r="R332" s="500"/>
      <c r="S332" s="500"/>
      <c r="T332" s="500"/>
      <c r="U332" s="500"/>
      <c r="V332" s="500"/>
      <c r="W332" s="500"/>
      <c r="X332" s="500"/>
      <c r="Y332" s="500"/>
      <c r="Z332" s="500"/>
    </row>
    <row r="333" spans="1:26" x14ac:dyDescent="0.3">
      <c r="A333" s="500"/>
      <c r="B333" s="500"/>
      <c r="C333" s="500"/>
      <c r="D333" s="500"/>
      <c r="E333" s="500"/>
      <c r="F333" s="500"/>
      <c r="G333" s="500"/>
      <c r="H333" s="500"/>
      <c r="I333" s="500"/>
      <c r="J333" s="500"/>
      <c r="K333" s="500"/>
      <c r="L333" s="500"/>
      <c r="M333" s="500"/>
      <c r="N333" s="500"/>
      <c r="O333" s="500"/>
      <c r="P333" s="500"/>
      <c r="Q333" s="500"/>
      <c r="R333" s="500"/>
      <c r="S333" s="500"/>
      <c r="T333" s="500"/>
      <c r="U333" s="500"/>
      <c r="V333" s="500"/>
      <c r="W333" s="500"/>
      <c r="X333" s="500"/>
      <c r="Y333" s="500"/>
      <c r="Z333" s="500"/>
    </row>
    <row r="334" spans="1:26" x14ac:dyDescent="0.3">
      <c r="A334" s="500"/>
      <c r="B334" s="500"/>
      <c r="C334" s="500"/>
      <c r="D334" s="500"/>
      <c r="E334" s="500"/>
      <c r="F334" s="500"/>
      <c r="G334" s="500"/>
      <c r="H334" s="500"/>
      <c r="I334" s="500"/>
      <c r="J334" s="500"/>
      <c r="K334" s="500"/>
      <c r="L334" s="500"/>
      <c r="M334" s="500"/>
      <c r="N334" s="500"/>
      <c r="O334" s="500"/>
      <c r="P334" s="500"/>
      <c r="Q334" s="500"/>
      <c r="R334" s="500"/>
      <c r="S334" s="500"/>
      <c r="T334" s="500"/>
      <c r="U334" s="500"/>
      <c r="V334" s="500"/>
      <c r="W334" s="500"/>
      <c r="X334" s="500"/>
      <c r="Y334" s="500"/>
      <c r="Z334" s="500"/>
    </row>
    <row r="335" spans="1:26" x14ac:dyDescent="0.3">
      <c r="A335" s="500"/>
      <c r="B335" s="500"/>
      <c r="C335" s="500"/>
      <c r="D335" s="500"/>
      <c r="E335" s="500"/>
      <c r="F335" s="500"/>
      <c r="G335" s="500"/>
      <c r="H335" s="500"/>
      <c r="I335" s="500"/>
      <c r="J335" s="500"/>
      <c r="K335" s="500"/>
      <c r="L335" s="500"/>
      <c r="M335" s="500"/>
      <c r="N335" s="500"/>
      <c r="O335" s="500"/>
      <c r="P335" s="500"/>
      <c r="Q335" s="500"/>
      <c r="R335" s="500"/>
      <c r="S335" s="500"/>
      <c r="T335" s="500"/>
      <c r="U335" s="500"/>
      <c r="V335" s="500"/>
      <c r="W335" s="500"/>
      <c r="X335" s="500"/>
      <c r="Y335" s="500"/>
      <c r="Z335" s="500"/>
    </row>
    <row r="336" spans="1:26" x14ac:dyDescent="0.3">
      <c r="A336" s="500"/>
      <c r="B336" s="500"/>
      <c r="C336" s="500"/>
      <c r="D336" s="500"/>
      <c r="E336" s="500"/>
      <c r="F336" s="500"/>
      <c r="G336" s="500"/>
      <c r="H336" s="500"/>
      <c r="I336" s="500"/>
      <c r="J336" s="500"/>
      <c r="K336" s="500"/>
      <c r="L336" s="500"/>
      <c r="M336" s="500"/>
      <c r="N336" s="500"/>
      <c r="O336" s="500"/>
      <c r="P336" s="500"/>
      <c r="Q336" s="500"/>
      <c r="R336" s="500"/>
      <c r="S336" s="500"/>
      <c r="T336" s="500"/>
      <c r="U336" s="500"/>
      <c r="V336" s="500"/>
      <c r="W336" s="500"/>
      <c r="X336" s="500"/>
      <c r="Y336" s="500"/>
      <c r="Z336" s="500"/>
    </row>
    <row r="337" spans="1:26" x14ac:dyDescent="0.3">
      <c r="A337" s="500"/>
      <c r="B337" s="500"/>
      <c r="C337" s="500"/>
      <c r="D337" s="500"/>
      <c r="E337" s="500"/>
      <c r="F337" s="500"/>
      <c r="G337" s="500"/>
      <c r="H337" s="500"/>
      <c r="I337" s="500"/>
      <c r="J337" s="500"/>
      <c r="K337" s="500"/>
      <c r="L337" s="500"/>
      <c r="M337" s="500"/>
      <c r="N337" s="500"/>
      <c r="O337" s="500"/>
      <c r="P337" s="500"/>
      <c r="Q337" s="500"/>
      <c r="R337" s="500"/>
      <c r="S337" s="500"/>
      <c r="T337" s="500"/>
      <c r="U337" s="500"/>
      <c r="V337" s="500"/>
      <c r="W337" s="500"/>
      <c r="X337" s="500"/>
      <c r="Y337" s="500"/>
      <c r="Z337" s="500"/>
    </row>
    <row r="338" spans="1:26" x14ac:dyDescent="0.3">
      <c r="A338" s="500"/>
      <c r="B338" s="500"/>
      <c r="C338" s="500"/>
      <c r="D338" s="500"/>
      <c r="E338" s="500"/>
      <c r="F338" s="500"/>
      <c r="G338" s="500"/>
      <c r="H338" s="500"/>
      <c r="I338" s="500"/>
      <c r="J338" s="500"/>
      <c r="K338" s="500"/>
      <c r="L338" s="500"/>
      <c r="M338" s="500"/>
      <c r="N338" s="500"/>
      <c r="O338" s="500"/>
      <c r="P338" s="500"/>
      <c r="Q338" s="500"/>
      <c r="R338" s="500"/>
      <c r="S338" s="500"/>
      <c r="T338" s="500"/>
      <c r="U338" s="500"/>
      <c r="V338" s="500"/>
      <c r="W338" s="500"/>
      <c r="X338" s="500"/>
      <c r="Y338" s="500"/>
      <c r="Z338" s="500"/>
    </row>
    <row r="339" spans="1:26" x14ac:dyDescent="0.3">
      <c r="A339" s="500"/>
      <c r="B339" s="500"/>
      <c r="C339" s="500"/>
      <c r="D339" s="500"/>
      <c r="E339" s="500"/>
      <c r="F339" s="500"/>
      <c r="G339" s="500"/>
      <c r="H339" s="500"/>
      <c r="I339" s="500"/>
      <c r="J339" s="500"/>
      <c r="K339" s="500"/>
      <c r="L339" s="500"/>
      <c r="M339" s="500"/>
      <c r="N339" s="500"/>
      <c r="O339" s="500"/>
      <c r="P339" s="500"/>
      <c r="Q339" s="500"/>
      <c r="R339" s="500"/>
      <c r="S339" s="500"/>
      <c r="T339" s="500"/>
      <c r="U339" s="500"/>
      <c r="V339" s="500"/>
      <c r="W339" s="500"/>
      <c r="X339" s="500"/>
      <c r="Y339" s="500"/>
      <c r="Z339" s="500"/>
    </row>
    <row r="340" spans="1:26" x14ac:dyDescent="0.3">
      <c r="A340" s="500"/>
      <c r="B340" s="500"/>
      <c r="C340" s="500"/>
      <c r="D340" s="500"/>
      <c r="E340" s="500"/>
      <c r="F340" s="500"/>
      <c r="G340" s="500"/>
      <c r="H340" s="500"/>
      <c r="I340" s="500"/>
      <c r="J340" s="500"/>
      <c r="K340" s="500"/>
      <c r="L340" s="500"/>
      <c r="M340" s="500"/>
      <c r="N340" s="500"/>
      <c r="O340" s="500"/>
      <c r="P340" s="500"/>
      <c r="Q340" s="500"/>
      <c r="R340" s="500"/>
      <c r="S340" s="500"/>
      <c r="T340" s="500"/>
      <c r="U340" s="500"/>
      <c r="V340" s="500"/>
      <c r="W340" s="500"/>
      <c r="X340" s="500"/>
      <c r="Y340" s="500"/>
      <c r="Z340" s="500"/>
    </row>
    <row r="341" spans="1:26" x14ac:dyDescent="0.3">
      <c r="A341" s="500"/>
      <c r="B341" s="500"/>
      <c r="C341" s="500"/>
      <c r="D341" s="500"/>
      <c r="E341" s="500"/>
      <c r="F341" s="500"/>
      <c r="G341" s="500"/>
      <c r="H341" s="500"/>
      <c r="I341" s="500"/>
      <c r="J341" s="500"/>
      <c r="K341" s="500"/>
      <c r="L341" s="500"/>
      <c r="M341" s="500"/>
      <c r="N341" s="500"/>
      <c r="O341" s="500"/>
      <c r="P341" s="500"/>
      <c r="Q341" s="500"/>
      <c r="R341" s="500"/>
      <c r="S341" s="500"/>
      <c r="T341" s="500"/>
      <c r="U341" s="500"/>
      <c r="V341" s="500"/>
      <c r="W341" s="500"/>
      <c r="X341" s="500"/>
      <c r="Y341" s="500"/>
      <c r="Z341" s="500"/>
    </row>
    <row r="342" spans="1:26" x14ac:dyDescent="0.3">
      <c r="A342" s="500"/>
      <c r="B342" s="500"/>
      <c r="C342" s="500"/>
      <c r="D342" s="500"/>
      <c r="E342" s="500"/>
      <c r="F342" s="500"/>
      <c r="G342" s="500"/>
      <c r="H342" s="500"/>
      <c r="I342" s="500"/>
      <c r="J342" s="500"/>
      <c r="K342" s="500"/>
      <c r="L342" s="500"/>
      <c r="M342" s="500"/>
      <c r="N342" s="500"/>
      <c r="O342" s="500"/>
      <c r="P342" s="500"/>
      <c r="Q342" s="500"/>
      <c r="R342" s="500"/>
      <c r="S342" s="500"/>
      <c r="T342" s="500"/>
      <c r="U342" s="500"/>
      <c r="V342" s="500"/>
      <c r="W342" s="500"/>
      <c r="X342" s="500"/>
      <c r="Y342" s="500"/>
      <c r="Z342" s="500"/>
    </row>
    <row r="343" spans="1:26" x14ac:dyDescent="0.3">
      <c r="A343" s="500"/>
      <c r="B343" s="500"/>
      <c r="C343" s="500"/>
      <c r="D343" s="500"/>
      <c r="E343" s="500"/>
      <c r="F343" s="500"/>
      <c r="G343" s="500"/>
      <c r="H343" s="500"/>
      <c r="I343" s="500"/>
      <c r="J343" s="500"/>
      <c r="K343" s="500"/>
      <c r="L343" s="500"/>
      <c r="M343" s="500"/>
      <c r="N343" s="500"/>
      <c r="O343" s="500"/>
      <c r="P343" s="500"/>
      <c r="Q343" s="500"/>
      <c r="R343" s="500"/>
      <c r="S343" s="500"/>
      <c r="T343" s="500"/>
      <c r="U343" s="500"/>
      <c r="V343" s="500"/>
      <c r="W343" s="500"/>
      <c r="X343" s="500"/>
      <c r="Y343" s="500"/>
      <c r="Z343" s="500"/>
    </row>
    <row r="344" spans="1:26" x14ac:dyDescent="0.3">
      <c r="A344" s="500"/>
      <c r="B344" s="500"/>
      <c r="C344" s="500"/>
      <c r="D344" s="500"/>
      <c r="E344" s="500"/>
      <c r="F344" s="500"/>
      <c r="G344" s="500"/>
      <c r="H344" s="500"/>
      <c r="I344" s="500"/>
      <c r="J344" s="500"/>
      <c r="K344" s="500"/>
      <c r="L344" s="500"/>
      <c r="M344" s="500"/>
      <c r="N344" s="500"/>
      <c r="O344" s="500"/>
      <c r="P344" s="500"/>
      <c r="Q344" s="500"/>
      <c r="R344" s="500"/>
      <c r="S344" s="500"/>
      <c r="T344" s="500"/>
      <c r="U344" s="500"/>
      <c r="V344" s="500"/>
      <c r="W344" s="500"/>
      <c r="X344" s="500"/>
      <c r="Y344" s="500"/>
      <c r="Z344" s="500"/>
    </row>
    <row r="345" spans="1:26" x14ac:dyDescent="0.3">
      <c r="A345" s="500"/>
      <c r="B345" s="500"/>
      <c r="C345" s="500"/>
      <c r="D345" s="500"/>
      <c r="E345" s="500"/>
      <c r="F345" s="500"/>
      <c r="G345" s="500"/>
      <c r="H345" s="500"/>
      <c r="I345" s="500"/>
      <c r="J345" s="500"/>
      <c r="K345" s="500"/>
      <c r="L345" s="500"/>
      <c r="M345" s="500"/>
      <c r="N345" s="500"/>
      <c r="O345" s="500"/>
      <c r="P345" s="500"/>
      <c r="Q345" s="500"/>
      <c r="R345" s="500"/>
      <c r="S345" s="500"/>
      <c r="T345" s="500"/>
      <c r="U345" s="500"/>
      <c r="V345" s="500"/>
      <c r="W345" s="500"/>
      <c r="X345" s="500"/>
      <c r="Y345" s="500"/>
      <c r="Z345" s="500"/>
    </row>
    <row r="346" spans="1:26" x14ac:dyDescent="0.3">
      <c r="A346" s="500"/>
      <c r="B346" s="500"/>
      <c r="C346" s="500"/>
      <c r="D346" s="500"/>
      <c r="E346" s="500"/>
      <c r="F346" s="500"/>
      <c r="G346" s="500"/>
      <c r="H346" s="500"/>
      <c r="I346" s="500"/>
      <c r="J346" s="500"/>
      <c r="K346" s="500"/>
      <c r="L346" s="500"/>
      <c r="M346" s="500"/>
      <c r="N346" s="500"/>
      <c r="O346" s="500"/>
      <c r="P346" s="500"/>
      <c r="Q346" s="500"/>
      <c r="R346" s="500"/>
      <c r="S346" s="500"/>
      <c r="T346" s="500"/>
      <c r="U346" s="500"/>
      <c r="V346" s="500"/>
      <c r="W346" s="500"/>
      <c r="X346" s="500"/>
      <c r="Y346" s="500"/>
      <c r="Z346" s="500"/>
    </row>
    <row r="347" spans="1:26" x14ac:dyDescent="0.3">
      <c r="A347" s="500"/>
      <c r="B347" s="500"/>
      <c r="C347" s="500"/>
      <c r="D347" s="500"/>
      <c r="E347" s="500"/>
      <c r="F347" s="500"/>
      <c r="G347" s="500"/>
      <c r="H347" s="500"/>
      <c r="I347" s="500"/>
      <c r="J347" s="500"/>
      <c r="K347" s="500"/>
      <c r="L347" s="500"/>
      <c r="M347" s="500"/>
      <c r="N347" s="500"/>
      <c r="O347" s="500"/>
      <c r="P347" s="500"/>
      <c r="Q347" s="500"/>
      <c r="R347" s="500"/>
      <c r="S347" s="500"/>
      <c r="T347" s="500"/>
      <c r="U347" s="500"/>
      <c r="V347" s="500"/>
      <c r="W347" s="500"/>
      <c r="X347" s="500"/>
      <c r="Y347" s="500"/>
      <c r="Z347" s="500"/>
    </row>
    <row r="348" spans="1:26" x14ac:dyDescent="0.3">
      <c r="A348" s="500"/>
      <c r="B348" s="500"/>
      <c r="C348" s="500"/>
      <c r="D348" s="500"/>
      <c r="E348" s="500"/>
      <c r="F348" s="500"/>
      <c r="G348" s="500"/>
      <c r="H348" s="500"/>
      <c r="I348" s="500"/>
      <c r="J348" s="500"/>
      <c r="K348" s="500"/>
      <c r="L348" s="500"/>
      <c r="M348" s="500"/>
      <c r="N348" s="500"/>
      <c r="O348" s="500"/>
      <c r="P348" s="500"/>
      <c r="Q348" s="500"/>
      <c r="R348" s="500"/>
      <c r="S348" s="500"/>
      <c r="T348" s="500"/>
      <c r="U348" s="500"/>
      <c r="V348" s="500"/>
      <c r="W348" s="500"/>
      <c r="X348" s="500"/>
      <c r="Y348" s="500"/>
      <c r="Z348" s="500"/>
    </row>
    <row r="349" spans="1:26" x14ac:dyDescent="0.3">
      <c r="A349" s="500"/>
      <c r="B349" s="500"/>
      <c r="C349" s="500"/>
      <c r="D349" s="500"/>
      <c r="E349" s="500"/>
      <c r="F349" s="500"/>
      <c r="G349" s="500"/>
      <c r="H349" s="500"/>
      <c r="I349" s="500"/>
      <c r="J349" s="500"/>
      <c r="K349" s="500"/>
      <c r="L349" s="500"/>
      <c r="M349" s="500"/>
      <c r="N349" s="500"/>
      <c r="O349" s="500"/>
      <c r="P349" s="500"/>
      <c r="Q349" s="500"/>
      <c r="R349" s="500"/>
      <c r="S349" s="500"/>
      <c r="T349" s="500"/>
      <c r="U349" s="500"/>
      <c r="V349" s="500"/>
      <c r="W349" s="500"/>
      <c r="X349" s="500"/>
      <c r="Y349" s="500"/>
      <c r="Z349" s="500"/>
    </row>
    <row r="350" spans="1:26" x14ac:dyDescent="0.3">
      <c r="A350" s="500"/>
      <c r="B350" s="500"/>
      <c r="C350" s="500"/>
      <c r="D350" s="500"/>
      <c r="E350" s="500"/>
      <c r="F350" s="500"/>
      <c r="G350" s="500"/>
      <c r="H350" s="500"/>
      <c r="I350" s="500"/>
      <c r="J350" s="500"/>
      <c r="K350" s="500"/>
      <c r="L350" s="500"/>
      <c r="M350" s="500"/>
      <c r="N350" s="500"/>
      <c r="O350" s="500"/>
      <c r="P350" s="500"/>
      <c r="Q350" s="500"/>
      <c r="R350" s="500"/>
      <c r="S350" s="500"/>
      <c r="T350" s="500"/>
      <c r="U350" s="500"/>
      <c r="V350" s="500"/>
      <c r="W350" s="500"/>
      <c r="X350" s="500"/>
      <c r="Y350" s="500"/>
      <c r="Z350" s="500"/>
    </row>
    <row r="351" spans="1:26" x14ac:dyDescent="0.3">
      <c r="A351" s="500"/>
      <c r="B351" s="500"/>
      <c r="C351" s="500"/>
      <c r="D351" s="500"/>
      <c r="E351" s="500"/>
      <c r="F351" s="500"/>
      <c r="G351" s="500"/>
      <c r="H351" s="500"/>
      <c r="I351" s="500"/>
      <c r="J351" s="500"/>
      <c r="K351" s="500"/>
      <c r="L351" s="500"/>
      <c r="M351" s="500"/>
      <c r="N351" s="500"/>
      <c r="O351" s="500"/>
      <c r="P351" s="500"/>
      <c r="Q351" s="500"/>
      <c r="R351" s="500"/>
      <c r="S351" s="500"/>
      <c r="T351" s="500"/>
      <c r="U351" s="500"/>
      <c r="V351" s="500"/>
      <c r="W351" s="500"/>
      <c r="X351" s="500"/>
      <c r="Y351" s="500"/>
      <c r="Z351" s="500"/>
    </row>
    <row r="352" spans="1:26" x14ac:dyDescent="0.3">
      <c r="A352" s="500"/>
      <c r="B352" s="500"/>
      <c r="C352" s="500"/>
      <c r="D352" s="500"/>
      <c r="E352" s="500"/>
      <c r="F352" s="500"/>
      <c r="G352" s="500"/>
      <c r="H352" s="500"/>
      <c r="I352" s="500"/>
      <c r="J352" s="500"/>
      <c r="K352" s="500"/>
      <c r="L352" s="500"/>
      <c r="M352" s="500"/>
      <c r="N352" s="500"/>
      <c r="O352" s="500"/>
      <c r="P352" s="500"/>
      <c r="Q352" s="500"/>
      <c r="R352" s="500"/>
      <c r="S352" s="500"/>
      <c r="T352" s="500"/>
      <c r="U352" s="500"/>
      <c r="V352" s="500"/>
      <c r="W352" s="500"/>
      <c r="X352" s="500"/>
      <c r="Y352" s="500"/>
      <c r="Z352" s="500"/>
    </row>
    <row r="353" spans="1:26" x14ac:dyDescent="0.3">
      <c r="A353" s="500"/>
      <c r="B353" s="500"/>
      <c r="C353" s="500"/>
      <c r="D353" s="500"/>
      <c r="E353" s="500"/>
      <c r="F353" s="500"/>
      <c r="G353" s="500"/>
      <c r="H353" s="500"/>
      <c r="I353" s="500"/>
      <c r="J353" s="500"/>
      <c r="K353" s="500"/>
      <c r="L353" s="500"/>
      <c r="M353" s="500"/>
      <c r="N353" s="500"/>
      <c r="O353" s="500"/>
      <c r="P353" s="500"/>
      <c r="Q353" s="500"/>
      <c r="R353" s="500"/>
      <c r="S353" s="500"/>
      <c r="T353" s="500"/>
      <c r="U353" s="500"/>
      <c r="V353" s="500"/>
      <c r="W353" s="500"/>
      <c r="X353" s="500"/>
      <c r="Y353" s="500"/>
      <c r="Z353" s="500"/>
    </row>
    <row r="354" spans="1:26" x14ac:dyDescent="0.3">
      <c r="A354" s="500"/>
      <c r="B354" s="500"/>
      <c r="C354" s="500"/>
      <c r="D354" s="500"/>
      <c r="E354" s="500"/>
      <c r="F354" s="500"/>
      <c r="G354" s="500"/>
      <c r="H354" s="500"/>
      <c r="I354" s="500"/>
      <c r="J354" s="500"/>
      <c r="K354" s="500"/>
      <c r="L354" s="500"/>
      <c r="M354" s="500"/>
      <c r="N354" s="500"/>
      <c r="O354" s="500"/>
      <c r="P354" s="500"/>
      <c r="Q354" s="500"/>
      <c r="R354" s="500"/>
      <c r="S354" s="500"/>
      <c r="T354" s="500"/>
      <c r="U354" s="500"/>
      <c r="V354" s="500"/>
      <c r="W354" s="500"/>
      <c r="X354" s="500"/>
      <c r="Y354" s="500"/>
      <c r="Z354" s="500"/>
    </row>
    <row r="355" spans="1:26" x14ac:dyDescent="0.3">
      <c r="A355" s="500"/>
      <c r="B355" s="500"/>
      <c r="C355" s="500"/>
      <c r="D355" s="500"/>
      <c r="E355" s="500"/>
      <c r="F355" s="500"/>
      <c r="G355" s="500"/>
      <c r="H355" s="500"/>
      <c r="I355" s="500"/>
      <c r="J355" s="500"/>
      <c r="K355" s="500"/>
      <c r="L355" s="500"/>
      <c r="M355" s="500"/>
      <c r="N355" s="500"/>
      <c r="O355" s="500"/>
      <c r="P355" s="500"/>
      <c r="Q355" s="500"/>
      <c r="R355" s="500"/>
      <c r="S355" s="500"/>
      <c r="T355" s="500"/>
      <c r="U355" s="500"/>
      <c r="V355" s="500"/>
      <c r="W355" s="500"/>
      <c r="X355" s="500"/>
      <c r="Y355" s="500"/>
      <c r="Z355" s="500"/>
    </row>
    <row r="356" spans="1:26" x14ac:dyDescent="0.3">
      <c r="A356" s="500"/>
      <c r="B356" s="500"/>
      <c r="C356" s="500"/>
      <c r="D356" s="500"/>
      <c r="E356" s="500"/>
      <c r="F356" s="500"/>
      <c r="G356" s="500"/>
      <c r="H356" s="500"/>
      <c r="I356" s="500"/>
      <c r="J356" s="500"/>
      <c r="K356" s="500"/>
      <c r="L356" s="500"/>
      <c r="M356" s="500"/>
      <c r="N356" s="500"/>
      <c r="O356" s="500"/>
      <c r="P356" s="500"/>
      <c r="Q356" s="500"/>
      <c r="R356" s="500"/>
      <c r="S356" s="500"/>
      <c r="T356" s="500"/>
      <c r="U356" s="500"/>
      <c r="V356" s="500"/>
      <c r="W356" s="500"/>
      <c r="X356" s="500"/>
      <c r="Y356" s="500"/>
      <c r="Z356" s="500"/>
    </row>
    <row r="357" spans="1:26" x14ac:dyDescent="0.3">
      <c r="A357" s="500"/>
      <c r="B357" s="500"/>
      <c r="C357" s="500"/>
      <c r="D357" s="500"/>
      <c r="E357" s="500"/>
      <c r="F357" s="500"/>
      <c r="G357" s="500"/>
      <c r="H357" s="500"/>
      <c r="I357" s="500"/>
      <c r="J357" s="500"/>
      <c r="K357" s="500"/>
      <c r="L357" s="500"/>
      <c r="M357" s="500"/>
      <c r="N357" s="500"/>
      <c r="O357" s="500"/>
      <c r="P357" s="500"/>
      <c r="Q357" s="500"/>
      <c r="R357" s="500"/>
      <c r="S357" s="500"/>
      <c r="T357" s="500"/>
      <c r="U357" s="500"/>
      <c r="V357" s="500"/>
      <c r="W357" s="500"/>
      <c r="X357" s="500"/>
      <c r="Y357" s="500"/>
      <c r="Z357" s="500"/>
    </row>
    <row r="358" spans="1:26" x14ac:dyDescent="0.3">
      <c r="A358" s="500"/>
      <c r="B358" s="500"/>
      <c r="C358" s="500"/>
      <c r="D358" s="500"/>
      <c r="E358" s="500"/>
      <c r="F358" s="500"/>
      <c r="G358" s="500"/>
      <c r="H358" s="500"/>
      <c r="I358" s="500"/>
      <c r="J358" s="500"/>
      <c r="K358" s="500"/>
      <c r="L358" s="500"/>
      <c r="M358" s="500"/>
      <c r="N358" s="500"/>
      <c r="O358" s="500"/>
      <c r="P358" s="500"/>
      <c r="Q358" s="500"/>
      <c r="R358" s="500"/>
      <c r="S358" s="500"/>
      <c r="T358" s="500"/>
      <c r="U358" s="500"/>
      <c r="V358" s="500"/>
      <c r="W358" s="500"/>
      <c r="X358" s="500"/>
      <c r="Y358" s="500"/>
      <c r="Z358" s="500"/>
    </row>
    <row r="359" spans="1:26" x14ac:dyDescent="0.3">
      <c r="A359" s="500"/>
      <c r="B359" s="500"/>
      <c r="C359" s="500"/>
      <c r="D359" s="500"/>
      <c r="E359" s="500"/>
      <c r="F359" s="500"/>
      <c r="G359" s="500"/>
      <c r="H359" s="500"/>
      <c r="I359" s="500"/>
      <c r="J359" s="500"/>
      <c r="K359" s="500"/>
      <c r="L359" s="500"/>
      <c r="M359" s="500"/>
      <c r="N359" s="500"/>
      <c r="O359" s="500"/>
      <c r="P359" s="500"/>
      <c r="Q359" s="500"/>
      <c r="R359" s="500"/>
      <c r="S359" s="500"/>
      <c r="T359" s="500"/>
      <c r="U359" s="500"/>
      <c r="V359" s="500"/>
      <c r="W359" s="500"/>
      <c r="X359" s="500"/>
      <c r="Y359" s="500"/>
      <c r="Z359" s="500"/>
    </row>
    <row r="360" spans="1:26" x14ac:dyDescent="0.3">
      <c r="A360" s="500"/>
      <c r="B360" s="500"/>
      <c r="C360" s="500"/>
      <c r="D360" s="500"/>
      <c r="E360" s="500"/>
      <c r="F360" s="500"/>
      <c r="G360" s="500"/>
      <c r="H360" s="500"/>
      <c r="I360" s="500"/>
      <c r="J360" s="500"/>
      <c r="K360" s="500"/>
      <c r="L360" s="500"/>
      <c r="M360" s="500"/>
      <c r="N360" s="500"/>
      <c r="O360" s="500"/>
      <c r="P360" s="500"/>
      <c r="Q360" s="500"/>
      <c r="R360" s="500"/>
      <c r="S360" s="500"/>
      <c r="T360" s="500"/>
      <c r="U360" s="500"/>
      <c r="V360" s="500"/>
      <c r="W360" s="500"/>
      <c r="X360" s="500"/>
      <c r="Y360" s="500"/>
      <c r="Z360" s="500"/>
    </row>
    <row r="361" spans="1:26" x14ac:dyDescent="0.3">
      <c r="A361" s="500"/>
      <c r="B361" s="500"/>
      <c r="C361" s="500"/>
      <c r="D361" s="500"/>
      <c r="E361" s="500"/>
      <c r="F361" s="500"/>
      <c r="G361" s="500"/>
      <c r="H361" s="500"/>
      <c r="I361" s="500"/>
      <c r="J361" s="500"/>
      <c r="K361" s="500"/>
      <c r="L361" s="500"/>
      <c r="M361" s="500"/>
      <c r="N361" s="500"/>
      <c r="O361" s="500"/>
      <c r="P361" s="500"/>
      <c r="Q361" s="500"/>
      <c r="R361" s="500"/>
      <c r="S361" s="500"/>
      <c r="T361" s="500"/>
      <c r="U361" s="500"/>
      <c r="V361" s="500"/>
      <c r="W361" s="500"/>
      <c r="X361" s="500"/>
      <c r="Y361" s="500"/>
      <c r="Z361" s="500"/>
    </row>
    <row r="362" spans="1:26" x14ac:dyDescent="0.3">
      <c r="A362" s="500"/>
      <c r="B362" s="500"/>
      <c r="C362" s="500"/>
      <c r="D362" s="500"/>
      <c r="E362" s="500"/>
      <c r="F362" s="500"/>
      <c r="G362" s="500"/>
      <c r="H362" s="500"/>
      <c r="I362" s="500"/>
      <c r="J362" s="500"/>
      <c r="K362" s="500"/>
      <c r="L362" s="500"/>
      <c r="M362" s="500"/>
      <c r="N362" s="500"/>
      <c r="O362" s="500"/>
      <c r="P362" s="500"/>
      <c r="Q362" s="500"/>
      <c r="R362" s="500"/>
      <c r="S362" s="500"/>
      <c r="T362" s="500"/>
      <c r="U362" s="500"/>
      <c r="V362" s="500"/>
      <c r="W362" s="500"/>
      <c r="X362" s="500"/>
      <c r="Y362" s="500"/>
      <c r="Z362" s="500"/>
    </row>
    <row r="363" spans="1:26" x14ac:dyDescent="0.3">
      <c r="A363" s="500"/>
      <c r="B363" s="500"/>
      <c r="C363" s="500"/>
      <c r="D363" s="500"/>
      <c r="E363" s="500"/>
      <c r="F363" s="500"/>
      <c r="G363" s="500"/>
      <c r="H363" s="500"/>
      <c r="I363" s="500"/>
      <c r="J363" s="500"/>
      <c r="K363" s="500"/>
      <c r="L363" s="500"/>
      <c r="M363" s="500"/>
      <c r="N363" s="500"/>
      <c r="O363" s="500"/>
      <c r="P363" s="500"/>
      <c r="Q363" s="500"/>
      <c r="R363" s="500"/>
      <c r="S363" s="500"/>
      <c r="T363" s="500"/>
      <c r="U363" s="500"/>
      <c r="V363" s="500"/>
      <c r="W363" s="500"/>
      <c r="X363" s="500"/>
      <c r="Y363" s="500"/>
      <c r="Z363" s="500"/>
    </row>
    <row r="364" spans="1:26" x14ac:dyDescent="0.3">
      <c r="A364" s="500"/>
      <c r="B364" s="500"/>
      <c r="C364" s="500"/>
      <c r="D364" s="500"/>
      <c r="E364" s="500"/>
      <c r="F364" s="500"/>
      <c r="G364" s="500"/>
      <c r="H364" s="500"/>
      <c r="I364" s="500"/>
      <c r="J364" s="500"/>
      <c r="K364" s="500"/>
      <c r="L364" s="500"/>
      <c r="M364" s="500"/>
      <c r="N364" s="500"/>
      <c r="O364" s="500"/>
      <c r="P364" s="500"/>
      <c r="Q364" s="500"/>
      <c r="R364" s="500"/>
      <c r="S364" s="500"/>
      <c r="T364" s="500"/>
      <c r="U364" s="500"/>
      <c r="V364" s="500"/>
      <c r="W364" s="500"/>
      <c r="X364" s="500"/>
      <c r="Y364" s="500"/>
      <c r="Z364" s="500"/>
    </row>
    <row r="365" spans="1:26" x14ac:dyDescent="0.3">
      <c r="A365" s="500"/>
      <c r="B365" s="500"/>
      <c r="C365" s="500"/>
      <c r="D365" s="500"/>
      <c r="E365" s="500"/>
      <c r="F365" s="500"/>
      <c r="G365" s="500"/>
      <c r="H365" s="500"/>
      <c r="I365" s="500"/>
      <c r="J365" s="500"/>
      <c r="K365" s="500"/>
      <c r="L365" s="500"/>
      <c r="M365" s="500"/>
      <c r="N365" s="500"/>
      <c r="O365" s="500"/>
      <c r="P365" s="500"/>
      <c r="Q365" s="500"/>
      <c r="R365" s="500"/>
      <c r="S365" s="500"/>
      <c r="T365" s="500"/>
      <c r="U365" s="500"/>
      <c r="V365" s="500"/>
      <c r="W365" s="500"/>
      <c r="X365" s="500"/>
      <c r="Y365" s="500"/>
      <c r="Z365" s="500"/>
    </row>
    <row r="366" spans="1:26" x14ac:dyDescent="0.3">
      <c r="A366" s="500"/>
      <c r="B366" s="500"/>
      <c r="C366" s="500"/>
      <c r="D366" s="500"/>
      <c r="E366" s="500"/>
      <c r="F366" s="500"/>
      <c r="G366" s="500"/>
      <c r="H366" s="500"/>
      <c r="I366" s="500"/>
      <c r="J366" s="500"/>
      <c r="K366" s="500"/>
      <c r="L366" s="500"/>
      <c r="M366" s="500"/>
      <c r="N366" s="500"/>
      <c r="O366" s="500"/>
      <c r="P366" s="500"/>
      <c r="Q366" s="500"/>
      <c r="R366" s="500"/>
      <c r="S366" s="500"/>
      <c r="T366" s="500"/>
      <c r="U366" s="500"/>
      <c r="V366" s="500"/>
      <c r="W366" s="500"/>
      <c r="X366" s="500"/>
      <c r="Y366" s="500"/>
      <c r="Z366" s="500"/>
    </row>
    <row r="367" spans="1:26" x14ac:dyDescent="0.3">
      <c r="A367" s="500"/>
      <c r="B367" s="500"/>
      <c r="C367" s="500"/>
      <c r="D367" s="500"/>
      <c r="E367" s="500"/>
      <c r="F367" s="500"/>
      <c r="G367" s="500"/>
      <c r="H367" s="500"/>
      <c r="I367" s="500"/>
      <c r="J367" s="500"/>
      <c r="K367" s="500"/>
      <c r="L367" s="500"/>
      <c r="M367" s="500"/>
      <c r="N367" s="500"/>
      <c r="O367" s="500"/>
      <c r="P367" s="500"/>
      <c r="Q367" s="500"/>
      <c r="R367" s="500"/>
      <c r="S367" s="500"/>
      <c r="T367" s="500"/>
      <c r="U367" s="500"/>
      <c r="V367" s="500"/>
      <c r="W367" s="500"/>
      <c r="X367" s="500"/>
      <c r="Y367" s="500"/>
      <c r="Z367" s="500"/>
    </row>
    <row r="368" spans="1:26" x14ac:dyDescent="0.3">
      <c r="A368" s="500"/>
      <c r="B368" s="500"/>
      <c r="C368" s="500"/>
      <c r="D368" s="500"/>
      <c r="E368" s="500"/>
      <c r="F368" s="500"/>
      <c r="G368" s="500"/>
      <c r="H368" s="500"/>
      <c r="I368" s="500"/>
      <c r="J368" s="500"/>
      <c r="K368" s="500"/>
      <c r="L368" s="500"/>
      <c r="M368" s="500"/>
      <c r="N368" s="500"/>
      <c r="O368" s="500"/>
      <c r="P368" s="500"/>
      <c r="Q368" s="500"/>
      <c r="R368" s="500"/>
      <c r="S368" s="500"/>
      <c r="T368" s="500"/>
      <c r="U368" s="500"/>
      <c r="V368" s="500"/>
      <c r="W368" s="500"/>
      <c r="X368" s="500"/>
      <c r="Y368" s="500"/>
      <c r="Z368" s="500"/>
    </row>
    <row r="369" spans="1:26" x14ac:dyDescent="0.3">
      <c r="A369" s="500"/>
      <c r="B369" s="500"/>
      <c r="C369" s="500"/>
      <c r="D369" s="500"/>
      <c r="E369" s="500"/>
      <c r="F369" s="500"/>
      <c r="G369" s="500"/>
      <c r="H369" s="500"/>
      <c r="I369" s="500"/>
      <c r="J369" s="500"/>
      <c r="K369" s="500"/>
      <c r="L369" s="500"/>
      <c r="M369" s="500"/>
      <c r="N369" s="500"/>
      <c r="O369" s="500"/>
      <c r="P369" s="500"/>
      <c r="Q369" s="500"/>
      <c r="R369" s="500"/>
      <c r="S369" s="500"/>
      <c r="T369" s="500"/>
      <c r="U369" s="500"/>
      <c r="V369" s="500"/>
      <c r="W369" s="500"/>
      <c r="X369" s="500"/>
      <c r="Y369" s="500"/>
      <c r="Z369" s="500"/>
    </row>
    <row r="370" spans="1:26" x14ac:dyDescent="0.3">
      <c r="A370" s="500"/>
      <c r="B370" s="500"/>
      <c r="C370" s="500"/>
      <c r="D370" s="500"/>
      <c r="E370" s="500"/>
      <c r="F370" s="500"/>
      <c r="G370" s="500"/>
      <c r="H370" s="500"/>
      <c r="I370" s="500"/>
      <c r="J370" s="500"/>
      <c r="K370" s="500"/>
      <c r="L370" s="500"/>
      <c r="M370" s="500"/>
      <c r="N370" s="500"/>
      <c r="O370" s="500"/>
      <c r="P370" s="500"/>
      <c r="Q370" s="500"/>
      <c r="R370" s="500"/>
      <c r="S370" s="500"/>
      <c r="T370" s="500"/>
      <c r="U370" s="500"/>
      <c r="V370" s="500"/>
      <c r="W370" s="500"/>
      <c r="X370" s="500"/>
      <c r="Y370" s="500"/>
      <c r="Z370" s="500"/>
    </row>
    <row r="371" spans="1:26" x14ac:dyDescent="0.3">
      <c r="A371" s="500"/>
      <c r="B371" s="500"/>
      <c r="C371" s="500"/>
      <c r="D371" s="500"/>
      <c r="E371" s="500"/>
      <c r="F371" s="500"/>
      <c r="G371" s="500"/>
      <c r="H371" s="500"/>
      <c r="I371" s="500"/>
      <c r="J371" s="500"/>
      <c r="K371" s="500"/>
      <c r="L371" s="500"/>
      <c r="M371" s="500"/>
      <c r="N371" s="500"/>
      <c r="O371" s="500"/>
      <c r="P371" s="500"/>
      <c r="Q371" s="500"/>
      <c r="R371" s="500"/>
      <c r="S371" s="500"/>
      <c r="T371" s="500"/>
      <c r="U371" s="500"/>
      <c r="V371" s="500"/>
      <c r="W371" s="500"/>
      <c r="X371" s="500"/>
      <c r="Y371" s="500"/>
      <c r="Z371" s="500"/>
    </row>
    <row r="372" spans="1:26" x14ac:dyDescent="0.3">
      <c r="A372" s="500"/>
      <c r="B372" s="500"/>
      <c r="C372" s="500"/>
      <c r="D372" s="500"/>
      <c r="E372" s="500"/>
      <c r="F372" s="500"/>
      <c r="G372" s="500"/>
      <c r="H372" s="500"/>
      <c r="I372" s="500"/>
      <c r="J372" s="500"/>
      <c r="K372" s="500"/>
      <c r="L372" s="500"/>
      <c r="M372" s="500"/>
      <c r="N372" s="500"/>
      <c r="O372" s="500"/>
      <c r="P372" s="500"/>
      <c r="Q372" s="500"/>
      <c r="R372" s="500"/>
      <c r="S372" s="500"/>
      <c r="T372" s="500"/>
      <c r="U372" s="500"/>
      <c r="V372" s="500"/>
      <c r="W372" s="500"/>
      <c r="X372" s="500"/>
      <c r="Y372" s="500"/>
      <c r="Z372" s="500"/>
    </row>
    <row r="373" spans="1:26" x14ac:dyDescent="0.3">
      <c r="A373" s="500"/>
      <c r="B373" s="500"/>
      <c r="C373" s="500"/>
      <c r="D373" s="500"/>
      <c r="E373" s="500"/>
      <c r="F373" s="500"/>
      <c r="G373" s="500"/>
      <c r="H373" s="500"/>
      <c r="I373" s="500"/>
      <c r="J373" s="500"/>
      <c r="K373" s="500"/>
      <c r="L373" s="500"/>
      <c r="M373" s="500"/>
      <c r="N373" s="500"/>
      <c r="O373" s="500"/>
      <c r="P373" s="500"/>
      <c r="Q373" s="500"/>
      <c r="R373" s="500"/>
      <c r="S373" s="500"/>
      <c r="T373" s="500"/>
      <c r="U373" s="500"/>
      <c r="V373" s="500"/>
      <c r="W373" s="500"/>
      <c r="X373" s="500"/>
      <c r="Y373" s="500"/>
      <c r="Z373" s="500"/>
    </row>
    <row r="374" spans="1:26" x14ac:dyDescent="0.3">
      <c r="A374" s="500"/>
      <c r="B374" s="500"/>
      <c r="C374" s="500"/>
      <c r="D374" s="500"/>
      <c r="E374" s="500"/>
      <c r="F374" s="500"/>
      <c r="G374" s="500"/>
      <c r="H374" s="500"/>
      <c r="I374" s="500"/>
      <c r="J374" s="500"/>
      <c r="K374" s="500"/>
      <c r="L374" s="500"/>
      <c r="M374" s="500"/>
      <c r="N374" s="500"/>
      <c r="O374" s="500"/>
      <c r="P374" s="500"/>
      <c r="Q374" s="500"/>
      <c r="R374" s="500"/>
      <c r="S374" s="500"/>
      <c r="T374" s="500"/>
      <c r="U374" s="500"/>
      <c r="V374" s="500"/>
      <c r="W374" s="500"/>
      <c r="X374" s="500"/>
      <c r="Y374" s="500"/>
      <c r="Z374" s="500"/>
    </row>
    <row r="375" spans="1:26" x14ac:dyDescent="0.3">
      <c r="A375" s="500"/>
      <c r="B375" s="500"/>
      <c r="C375" s="500"/>
      <c r="D375" s="500"/>
      <c r="E375" s="500"/>
      <c r="F375" s="500"/>
      <c r="G375" s="500"/>
      <c r="H375" s="500"/>
      <c r="I375" s="500"/>
      <c r="J375" s="500"/>
      <c r="K375" s="500"/>
      <c r="L375" s="500"/>
      <c r="M375" s="500"/>
      <c r="N375" s="500"/>
      <c r="O375" s="500"/>
      <c r="P375" s="500"/>
      <c r="Q375" s="500"/>
      <c r="R375" s="500"/>
      <c r="S375" s="500"/>
      <c r="T375" s="500"/>
      <c r="U375" s="500"/>
      <c r="V375" s="500"/>
      <c r="W375" s="500"/>
      <c r="X375" s="500"/>
      <c r="Y375" s="500"/>
      <c r="Z375" s="500"/>
    </row>
    <row r="376" spans="1:26" x14ac:dyDescent="0.3">
      <c r="A376" s="500"/>
      <c r="B376" s="500"/>
      <c r="C376" s="500"/>
      <c r="D376" s="500"/>
      <c r="E376" s="500"/>
      <c r="F376" s="500"/>
      <c r="G376" s="500"/>
      <c r="H376" s="500"/>
      <c r="I376" s="500"/>
      <c r="J376" s="500"/>
      <c r="K376" s="500"/>
      <c r="L376" s="500"/>
      <c r="M376" s="500"/>
      <c r="N376" s="500"/>
      <c r="O376" s="500"/>
      <c r="P376" s="500"/>
      <c r="Q376" s="500"/>
      <c r="R376" s="500"/>
      <c r="S376" s="500"/>
      <c r="T376" s="500"/>
      <c r="U376" s="500"/>
      <c r="V376" s="500"/>
      <c r="W376" s="500"/>
      <c r="X376" s="500"/>
      <c r="Y376" s="500"/>
      <c r="Z376" s="500"/>
    </row>
    <row r="377" spans="1:26" x14ac:dyDescent="0.3">
      <c r="A377" s="500"/>
      <c r="B377" s="500"/>
      <c r="C377" s="500"/>
      <c r="D377" s="500"/>
      <c r="E377" s="500"/>
      <c r="F377" s="500"/>
      <c r="G377" s="500"/>
      <c r="H377" s="500"/>
      <c r="I377" s="500"/>
      <c r="J377" s="500"/>
      <c r="K377" s="500"/>
      <c r="L377" s="500"/>
      <c r="M377" s="500"/>
      <c r="N377" s="500"/>
      <c r="O377" s="500"/>
      <c r="P377" s="500"/>
      <c r="Q377" s="500"/>
      <c r="R377" s="500"/>
      <c r="S377" s="500"/>
      <c r="T377" s="500"/>
      <c r="U377" s="500"/>
      <c r="V377" s="500"/>
      <c r="W377" s="500"/>
      <c r="X377" s="500"/>
      <c r="Y377" s="500"/>
      <c r="Z377" s="500"/>
    </row>
    <row r="378" spans="1:26" x14ac:dyDescent="0.3">
      <c r="A378" s="500"/>
      <c r="B378" s="500"/>
      <c r="C378" s="500"/>
      <c r="D378" s="500"/>
      <c r="E378" s="500"/>
      <c r="F378" s="500"/>
      <c r="G378" s="500"/>
      <c r="H378" s="500"/>
      <c r="I378" s="500"/>
      <c r="J378" s="500"/>
      <c r="K378" s="500"/>
      <c r="L378" s="500"/>
      <c r="M378" s="500"/>
      <c r="N378" s="500"/>
      <c r="O378" s="500"/>
      <c r="P378" s="500"/>
      <c r="Q378" s="500"/>
      <c r="R378" s="500"/>
      <c r="S378" s="500"/>
      <c r="T378" s="500"/>
      <c r="U378" s="500"/>
      <c r="V378" s="500"/>
      <c r="W378" s="500"/>
      <c r="X378" s="500"/>
      <c r="Y378" s="500"/>
      <c r="Z378" s="500"/>
    </row>
    <row r="379" spans="1:26" x14ac:dyDescent="0.3">
      <c r="A379" s="500"/>
      <c r="B379" s="500"/>
      <c r="C379" s="500"/>
      <c r="D379" s="500"/>
      <c r="E379" s="500"/>
      <c r="F379" s="500"/>
      <c r="G379" s="500"/>
      <c r="H379" s="500"/>
      <c r="I379" s="500"/>
      <c r="J379" s="500"/>
      <c r="K379" s="500"/>
      <c r="L379" s="500"/>
      <c r="M379" s="500"/>
      <c r="N379" s="500"/>
      <c r="O379" s="500"/>
      <c r="P379" s="500"/>
      <c r="Q379" s="500"/>
      <c r="R379" s="500"/>
      <c r="S379" s="500"/>
      <c r="T379" s="500"/>
      <c r="U379" s="500"/>
      <c r="V379" s="500"/>
      <c r="W379" s="500"/>
      <c r="X379" s="500"/>
      <c r="Y379" s="500"/>
      <c r="Z379" s="500"/>
    </row>
    <row r="380" spans="1:26" x14ac:dyDescent="0.3">
      <c r="A380" s="500"/>
      <c r="B380" s="500"/>
      <c r="C380" s="500"/>
      <c r="D380" s="500"/>
      <c r="E380" s="500"/>
      <c r="F380" s="500"/>
      <c r="G380" s="500"/>
      <c r="H380" s="500"/>
      <c r="I380" s="500"/>
      <c r="J380" s="500"/>
      <c r="K380" s="500"/>
      <c r="L380" s="500"/>
      <c r="M380" s="500"/>
      <c r="N380" s="500"/>
      <c r="O380" s="500"/>
      <c r="P380" s="500"/>
      <c r="Q380" s="500"/>
      <c r="R380" s="500"/>
      <c r="S380" s="500"/>
      <c r="T380" s="500"/>
      <c r="U380" s="500"/>
      <c r="V380" s="500"/>
      <c r="W380" s="500"/>
      <c r="X380" s="500"/>
      <c r="Y380" s="500"/>
      <c r="Z380" s="500"/>
    </row>
    <row r="381" spans="1:26" x14ac:dyDescent="0.3">
      <c r="A381" s="500"/>
      <c r="B381" s="500"/>
      <c r="C381" s="500"/>
      <c r="D381" s="500"/>
      <c r="E381" s="500"/>
      <c r="F381" s="500"/>
      <c r="G381" s="500"/>
      <c r="H381" s="500"/>
      <c r="I381" s="500"/>
      <c r="J381" s="500"/>
      <c r="K381" s="500"/>
      <c r="L381" s="500"/>
      <c r="M381" s="500"/>
      <c r="N381" s="500"/>
      <c r="O381" s="500"/>
      <c r="P381" s="500"/>
      <c r="Q381" s="500"/>
      <c r="R381" s="500"/>
      <c r="S381" s="500"/>
      <c r="T381" s="500"/>
      <c r="U381" s="500"/>
      <c r="V381" s="500"/>
      <c r="W381" s="500"/>
      <c r="X381" s="500"/>
      <c r="Y381" s="500"/>
      <c r="Z381" s="500"/>
    </row>
    <row r="382" spans="1:26" x14ac:dyDescent="0.3">
      <c r="A382" s="500"/>
      <c r="B382" s="500"/>
      <c r="C382" s="500"/>
      <c r="D382" s="500"/>
      <c r="E382" s="500"/>
      <c r="F382" s="500"/>
      <c r="G382" s="500"/>
      <c r="H382" s="500"/>
      <c r="I382" s="500"/>
      <c r="J382" s="500"/>
      <c r="K382" s="500"/>
      <c r="L382" s="500"/>
      <c r="M382" s="500"/>
      <c r="N382" s="500"/>
      <c r="O382" s="500"/>
      <c r="P382" s="500"/>
      <c r="Q382" s="500"/>
      <c r="R382" s="500"/>
      <c r="S382" s="500"/>
      <c r="T382" s="500"/>
      <c r="U382" s="500"/>
      <c r="V382" s="500"/>
      <c r="W382" s="500"/>
      <c r="X382" s="500"/>
      <c r="Y382" s="500"/>
      <c r="Z382" s="500"/>
    </row>
    <row r="383" spans="1:26" x14ac:dyDescent="0.3">
      <c r="A383" s="500"/>
      <c r="B383" s="500"/>
      <c r="C383" s="500"/>
      <c r="D383" s="500"/>
      <c r="E383" s="500"/>
      <c r="F383" s="500"/>
      <c r="G383" s="500"/>
      <c r="H383" s="500"/>
      <c r="I383" s="500"/>
      <c r="J383" s="500"/>
      <c r="K383" s="500"/>
      <c r="L383" s="500"/>
      <c r="M383" s="500"/>
      <c r="N383" s="500"/>
      <c r="O383" s="500"/>
      <c r="P383" s="500"/>
      <c r="Q383" s="500"/>
      <c r="R383" s="500"/>
      <c r="S383" s="500"/>
      <c r="T383" s="500"/>
      <c r="U383" s="500"/>
      <c r="V383" s="500"/>
      <c r="W383" s="500"/>
      <c r="X383" s="500"/>
      <c r="Y383" s="500"/>
      <c r="Z383" s="500"/>
    </row>
    <row r="384" spans="1:26" x14ac:dyDescent="0.3">
      <c r="A384" s="500"/>
      <c r="B384" s="500"/>
      <c r="C384" s="500"/>
      <c r="D384" s="500"/>
      <c r="E384" s="500"/>
      <c r="F384" s="500"/>
      <c r="G384" s="500"/>
      <c r="H384" s="500"/>
      <c r="I384" s="500"/>
      <c r="J384" s="500"/>
      <c r="K384" s="500"/>
      <c r="L384" s="500"/>
      <c r="M384" s="500"/>
      <c r="N384" s="500"/>
      <c r="O384" s="500"/>
      <c r="P384" s="500"/>
      <c r="Q384" s="500"/>
      <c r="R384" s="500"/>
      <c r="S384" s="500"/>
      <c r="T384" s="500"/>
      <c r="U384" s="500"/>
      <c r="V384" s="500"/>
      <c r="W384" s="500"/>
      <c r="X384" s="500"/>
      <c r="Y384" s="500"/>
      <c r="Z384" s="500"/>
    </row>
    <row r="385" spans="1:26" x14ac:dyDescent="0.3">
      <c r="A385" s="500"/>
      <c r="B385" s="500"/>
      <c r="C385" s="500"/>
      <c r="D385" s="500"/>
      <c r="E385" s="500"/>
      <c r="F385" s="500"/>
      <c r="G385" s="500"/>
      <c r="H385" s="500"/>
      <c r="I385" s="500"/>
      <c r="J385" s="500"/>
      <c r="K385" s="500"/>
      <c r="L385" s="500"/>
      <c r="M385" s="500"/>
      <c r="N385" s="500"/>
      <c r="O385" s="500"/>
      <c r="P385" s="500"/>
      <c r="Q385" s="500"/>
      <c r="R385" s="500"/>
      <c r="S385" s="500"/>
      <c r="T385" s="500"/>
      <c r="U385" s="500"/>
      <c r="V385" s="500"/>
      <c r="W385" s="500"/>
      <c r="X385" s="500"/>
      <c r="Y385" s="500"/>
      <c r="Z385" s="500"/>
    </row>
    <row r="386" spans="1:26" x14ac:dyDescent="0.3">
      <c r="A386" s="500"/>
      <c r="B386" s="500"/>
      <c r="C386" s="500"/>
      <c r="D386" s="500"/>
      <c r="E386" s="500"/>
      <c r="F386" s="500"/>
      <c r="G386" s="500"/>
      <c r="H386" s="500"/>
      <c r="I386" s="500"/>
      <c r="J386" s="500"/>
      <c r="K386" s="500"/>
      <c r="L386" s="500"/>
      <c r="M386" s="500"/>
      <c r="N386" s="500"/>
      <c r="O386" s="500"/>
      <c r="P386" s="500"/>
      <c r="Q386" s="500"/>
      <c r="R386" s="500"/>
      <c r="S386" s="500"/>
      <c r="T386" s="500"/>
      <c r="U386" s="500"/>
      <c r="V386" s="500"/>
      <c r="W386" s="500"/>
      <c r="X386" s="500"/>
      <c r="Y386" s="500"/>
      <c r="Z386" s="500"/>
    </row>
    <row r="387" spans="1:26" x14ac:dyDescent="0.3">
      <c r="A387" s="500"/>
      <c r="B387" s="500"/>
      <c r="C387" s="500"/>
      <c r="D387" s="500"/>
      <c r="E387" s="500"/>
      <c r="F387" s="500"/>
      <c r="G387" s="500"/>
      <c r="H387" s="500"/>
      <c r="I387" s="500"/>
      <c r="J387" s="500"/>
      <c r="K387" s="500"/>
      <c r="L387" s="500"/>
      <c r="M387" s="500"/>
      <c r="N387" s="500"/>
      <c r="O387" s="500"/>
      <c r="P387" s="500"/>
      <c r="Q387" s="500"/>
      <c r="R387" s="500"/>
      <c r="S387" s="500"/>
      <c r="T387" s="500"/>
      <c r="U387" s="500"/>
      <c r="V387" s="500"/>
      <c r="W387" s="500"/>
      <c r="X387" s="500"/>
      <c r="Y387" s="500"/>
      <c r="Z387" s="500"/>
    </row>
    <row r="388" spans="1:26" x14ac:dyDescent="0.3">
      <c r="A388" s="500"/>
      <c r="B388" s="500"/>
      <c r="C388" s="500"/>
      <c r="D388" s="500"/>
      <c r="E388" s="500"/>
      <c r="F388" s="500"/>
      <c r="G388" s="500"/>
      <c r="H388" s="500"/>
      <c r="I388" s="500"/>
      <c r="J388" s="500"/>
      <c r="K388" s="500"/>
      <c r="L388" s="500"/>
      <c r="M388" s="500"/>
      <c r="N388" s="500"/>
      <c r="O388" s="500"/>
      <c r="P388" s="500"/>
      <c r="Q388" s="500"/>
      <c r="R388" s="500"/>
      <c r="S388" s="500"/>
      <c r="T388" s="500"/>
      <c r="U388" s="500"/>
      <c r="V388" s="500"/>
      <c r="W388" s="500"/>
      <c r="X388" s="500"/>
      <c r="Y388" s="500"/>
      <c r="Z388" s="500"/>
    </row>
    <row r="389" spans="1:26" x14ac:dyDescent="0.3">
      <c r="A389" s="500"/>
      <c r="B389" s="500"/>
      <c r="C389" s="500"/>
      <c r="D389" s="500"/>
      <c r="E389" s="500"/>
      <c r="F389" s="500"/>
      <c r="G389" s="500"/>
      <c r="H389" s="500"/>
      <c r="I389" s="500"/>
      <c r="J389" s="500"/>
      <c r="K389" s="500"/>
      <c r="L389" s="500"/>
      <c r="M389" s="500"/>
      <c r="N389" s="500"/>
      <c r="O389" s="500"/>
      <c r="P389" s="500"/>
      <c r="Q389" s="500"/>
      <c r="R389" s="500"/>
      <c r="S389" s="500"/>
      <c r="T389" s="500"/>
      <c r="U389" s="500"/>
      <c r="V389" s="500"/>
      <c r="W389" s="500"/>
      <c r="X389" s="500"/>
      <c r="Y389" s="500"/>
      <c r="Z389" s="500"/>
    </row>
    <row r="390" spans="1:26" x14ac:dyDescent="0.3">
      <c r="A390" s="500"/>
      <c r="B390" s="500"/>
      <c r="C390" s="500"/>
      <c r="D390" s="500"/>
      <c r="E390" s="500"/>
      <c r="F390" s="500"/>
      <c r="G390" s="500"/>
      <c r="H390" s="500"/>
      <c r="I390" s="500"/>
      <c r="J390" s="500"/>
      <c r="K390" s="500"/>
      <c r="L390" s="500"/>
      <c r="M390" s="500"/>
      <c r="N390" s="500"/>
      <c r="O390" s="500"/>
      <c r="P390" s="500"/>
      <c r="Q390" s="500"/>
      <c r="R390" s="500"/>
      <c r="S390" s="500"/>
      <c r="T390" s="500"/>
      <c r="U390" s="500"/>
      <c r="V390" s="500"/>
      <c r="W390" s="500"/>
      <c r="X390" s="500"/>
      <c r="Y390" s="500"/>
      <c r="Z390" s="500"/>
    </row>
    <row r="391" spans="1:26" x14ac:dyDescent="0.3">
      <c r="A391" s="500"/>
      <c r="B391" s="500"/>
      <c r="C391" s="500"/>
      <c r="D391" s="500"/>
      <c r="E391" s="500"/>
      <c r="F391" s="500"/>
      <c r="G391" s="500"/>
      <c r="H391" s="500"/>
      <c r="I391" s="500"/>
      <c r="J391" s="500"/>
      <c r="K391" s="500"/>
      <c r="L391" s="500"/>
      <c r="M391" s="500"/>
      <c r="N391" s="500"/>
      <c r="O391" s="500"/>
      <c r="P391" s="500"/>
      <c r="Q391" s="500"/>
      <c r="R391" s="500"/>
      <c r="S391" s="500"/>
      <c r="T391" s="500"/>
      <c r="U391" s="500"/>
      <c r="V391" s="500"/>
      <c r="W391" s="500"/>
      <c r="X391" s="500"/>
      <c r="Y391" s="500"/>
      <c r="Z391" s="500"/>
    </row>
    <row r="392" spans="1:26" x14ac:dyDescent="0.3">
      <c r="A392" s="500"/>
      <c r="B392" s="500"/>
      <c r="C392" s="500"/>
      <c r="D392" s="500"/>
      <c r="E392" s="500"/>
      <c r="F392" s="500"/>
      <c r="G392" s="500"/>
      <c r="H392" s="500"/>
      <c r="I392" s="500"/>
      <c r="J392" s="500"/>
      <c r="K392" s="500"/>
      <c r="L392" s="500"/>
      <c r="M392" s="500"/>
      <c r="N392" s="500"/>
      <c r="O392" s="500"/>
      <c r="P392" s="500"/>
      <c r="Q392" s="500"/>
      <c r="R392" s="500"/>
      <c r="S392" s="500"/>
      <c r="T392" s="500"/>
      <c r="U392" s="500"/>
      <c r="V392" s="500"/>
      <c r="W392" s="500"/>
      <c r="X392" s="500"/>
      <c r="Y392" s="500"/>
      <c r="Z392" s="500"/>
    </row>
    <row r="393" spans="1:26" x14ac:dyDescent="0.3">
      <c r="A393" s="500"/>
      <c r="B393" s="500"/>
      <c r="C393" s="500"/>
      <c r="D393" s="500"/>
      <c r="E393" s="500"/>
      <c r="F393" s="500"/>
      <c r="G393" s="500"/>
      <c r="H393" s="500"/>
      <c r="I393" s="500"/>
      <c r="J393" s="500"/>
      <c r="K393" s="500"/>
      <c r="L393" s="500"/>
      <c r="M393" s="500"/>
      <c r="N393" s="500"/>
      <c r="O393" s="500"/>
      <c r="P393" s="500"/>
      <c r="Q393" s="500"/>
      <c r="R393" s="500"/>
      <c r="S393" s="500"/>
      <c r="T393" s="500"/>
      <c r="U393" s="500"/>
      <c r="V393" s="500"/>
      <c r="W393" s="500"/>
      <c r="X393" s="500"/>
      <c r="Y393" s="500"/>
      <c r="Z393" s="500"/>
    </row>
    <row r="394" spans="1:26" x14ac:dyDescent="0.3">
      <c r="A394" s="500"/>
      <c r="B394" s="500"/>
      <c r="C394" s="500"/>
      <c r="D394" s="500"/>
      <c r="E394" s="500"/>
      <c r="F394" s="500"/>
      <c r="G394" s="500"/>
      <c r="H394" s="500"/>
      <c r="I394" s="500"/>
      <c r="J394" s="500"/>
      <c r="K394" s="500"/>
      <c r="L394" s="500"/>
      <c r="M394" s="500"/>
      <c r="N394" s="500"/>
      <c r="O394" s="500"/>
      <c r="P394" s="500"/>
      <c r="Q394" s="500"/>
      <c r="R394" s="500"/>
      <c r="S394" s="500"/>
      <c r="T394" s="500"/>
      <c r="U394" s="500"/>
      <c r="V394" s="500"/>
      <c r="W394" s="500"/>
      <c r="X394" s="500"/>
      <c r="Y394" s="500"/>
      <c r="Z394" s="500"/>
    </row>
    <row r="395" spans="1:26" x14ac:dyDescent="0.3">
      <c r="A395" s="500"/>
      <c r="B395" s="500"/>
      <c r="C395" s="500"/>
      <c r="D395" s="500"/>
      <c r="E395" s="500"/>
      <c r="F395" s="500"/>
      <c r="G395" s="500"/>
      <c r="H395" s="500"/>
      <c r="I395" s="500"/>
      <c r="J395" s="500"/>
      <c r="K395" s="500"/>
      <c r="L395" s="500"/>
      <c r="M395" s="500"/>
      <c r="N395" s="500"/>
      <c r="O395" s="500"/>
      <c r="P395" s="500"/>
      <c r="Q395" s="500"/>
      <c r="R395" s="500"/>
      <c r="S395" s="500"/>
      <c r="T395" s="500"/>
      <c r="U395" s="500"/>
      <c r="V395" s="500"/>
      <c r="W395" s="500"/>
      <c r="X395" s="500"/>
      <c r="Y395" s="500"/>
      <c r="Z395" s="500"/>
    </row>
    <row r="396" spans="1:26" x14ac:dyDescent="0.3">
      <c r="A396" s="500"/>
      <c r="B396" s="500"/>
      <c r="C396" s="500"/>
      <c r="D396" s="500"/>
      <c r="E396" s="500"/>
      <c r="F396" s="500"/>
      <c r="G396" s="500"/>
      <c r="H396" s="500"/>
      <c r="I396" s="500"/>
      <c r="J396" s="500"/>
      <c r="K396" s="500"/>
      <c r="L396" s="500"/>
      <c r="M396" s="500"/>
      <c r="N396" s="500"/>
      <c r="O396" s="500"/>
      <c r="P396" s="500"/>
      <c r="Q396" s="500"/>
      <c r="R396" s="500"/>
      <c r="S396" s="500"/>
      <c r="T396" s="500"/>
      <c r="U396" s="500"/>
      <c r="V396" s="500"/>
      <c r="W396" s="500"/>
      <c r="X396" s="500"/>
      <c r="Y396" s="500"/>
      <c r="Z396" s="500"/>
    </row>
    <row r="397" spans="1:26" x14ac:dyDescent="0.3">
      <c r="A397" s="500"/>
      <c r="B397" s="500"/>
      <c r="C397" s="500"/>
      <c r="D397" s="500"/>
      <c r="E397" s="500"/>
      <c r="F397" s="500"/>
      <c r="G397" s="500"/>
      <c r="H397" s="500"/>
      <c r="I397" s="500"/>
      <c r="J397" s="500"/>
      <c r="K397" s="500"/>
      <c r="L397" s="500"/>
      <c r="M397" s="500"/>
      <c r="N397" s="500"/>
      <c r="O397" s="500"/>
      <c r="P397" s="500"/>
      <c r="Q397" s="500"/>
      <c r="R397" s="500"/>
      <c r="S397" s="500"/>
      <c r="T397" s="500"/>
      <c r="U397" s="500"/>
      <c r="V397" s="500"/>
      <c r="W397" s="500"/>
      <c r="X397" s="500"/>
      <c r="Y397" s="500"/>
      <c r="Z397" s="500"/>
    </row>
    <row r="398" spans="1:26" x14ac:dyDescent="0.3">
      <c r="A398" s="500"/>
      <c r="B398" s="500"/>
      <c r="C398" s="500"/>
      <c r="D398" s="500"/>
      <c r="E398" s="500"/>
      <c r="F398" s="500"/>
      <c r="G398" s="500"/>
      <c r="H398" s="500"/>
      <c r="I398" s="500"/>
      <c r="J398" s="500"/>
      <c r="K398" s="500"/>
      <c r="L398" s="500"/>
      <c r="M398" s="500"/>
      <c r="N398" s="500"/>
      <c r="O398" s="500"/>
      <c r="P398" s="500"/>
      <c r="Q398" s="500"/>
      <c r="R398" s="500"/>
      <c r="S398" s="500"/>
      <c r="T398" s="500"/>
      <c r="U398" s="500"/>
      <c r="V398" s="500"/>
      <c r="W398" s="500"/>
      <c r="X398" s="500"/>
      <c r="Y398" s="500"/>
      <c r="Z398" s="500"/>
    </row>
    <row r="399" spans="1:26" x14ac:dyDescent="0.3">
      <c r="A399" s="500"/>
      <c r="B399" s="500"/>
      <c r="C399" s="500"/>
      <c r="D399" s="500"/>
      <c r="E399" s="500"/>
      <c r="F399" s="500"/>
      <c r="G399" s="500"/>
      <c r="H399" s="500"/>
      <c r="I399" s="500"/>
      <c r="J399" s="500"/>
      <c r="K399" s="500"/>
      <c r="L399" s="500"/>
      <c r="M399" s="500"/>
      <c r="N399" s="500"/>
      <c r="O399" s="500"/>
      <c r="P399" s="500"/>
      <c r="Q399" s="500"/>
      <c r="R399" s="500"/>
      <c r="S399" s="500"/>
      <c r="T399" s="500"/>
      <c r="U399" s="500"/>
      <c r="V399" s="500"/>
      <c r="W399" s="500"/>
      <c r="X399" s="500"/>
      <c r="Y399" s="500"/>
      <c r="Z399" s="500"/>
    </row>
    <row r="400" spans="1:26" x14ac:dyDescent="0.3">
      <c r="A400" s="500"/>
      <c r="B400" s="500"/>
      <c r="C400" s="500"/>
      <c r="D400" s="500"/>
      <c r="E400" s="500"/>
      <c r="F400" s="500"/>
      <c r="G400" s="500"/>
      <c r="H400" s="500"/>
      <c r="I400" s="500"/>
      <c r="J400" s="500"/>
      <c r="K400" s="500"/>
      <c r="L400" s="500"/>
      <c r="M400" s="500"/>
      <c r="N400" s="500"/>
      <c r="O400" s="500"/>
      <c r="P400" s="500"/>
      <c r="Q400" s="500"/>
      <c r="R400" s="500"/>
      <c r="S400" s="500"/>
      <c r="T400" s="500"/>
      <c r="U400" s="500"/>
      <c r="V400" s="500"/>
      <c r="W400" s="500"/>
      <c r="X400" s="500"/>
      <c r="Y400" s="500"/>
      <c r="Z400" s="500"/>
    </row>
    <row r="401" spans="1:26" x14ac:dyDescent="0.3">
      <c r="A401" s="500"/>
      <c r="B401" s="500"/>
      <c r="C401" s="500"/>
      <c r="D401" s="500"/>
      <c r="E401" s="500"/>
      <c r="F401" s="500"/>
      <c r="G401" s="500"/>
      <c r="H401" s="500"/>
      <c r="I401" s="500"/>
      <c r="J401" s="500"/>
      <c r="K401" s="500"/>
      <c r="L401" s="500"/>
      <c r="M401" s="500"/>
      <c r="N401" s="500"/>
      <c r="O401" s="500"/>
      <c r="P401" s="500"/>
      <c r="Q401" s="500"/>
      <c r="R401" s="500"/>
      <c r="S401" s="500"/>
      <c r="T401" s="500"/>
      <c r="U401" s="500"/>
      <c r="V401" s="500"/>
      <c r="W401" s="500"/>
      <c r="X401" s="500"/>
      <c r="Y401" s="500"/>
      <c r="Z401" s="500"/>
    </row>
    <row r="402" spans="1:26" x14ac:dyDescent="0.3">
      <c r="A402" s="500"/>
      <c r="B402" s="500"/>
      <c r="C402" s="500"/>
      <c r="D402" s="500"/>
      <c r="E402" s="500"/>
      <c r="F402" s="500"/>
      <c r="G402" s="500"/>
      <c r="H402" s="500"/>
      <c r="I402" s="500"/>
      <c r="J402" s="500"/>
      <c r="K402" s="500"/>
      <c r="L402" s="500"/>
      <c r="M402" s="500"/>
      <c r="N402" s="500"/>
      <c r="O402" s="500"/>
      <c r="P402" s="500"/>
      <c r="Q402" s="500"/>
      <c r="R402" s="500"/>
      <c r="S402" s="500"/>
      <c r="T402" s="500"/>
      <c r="U402" s="500"/>
      <c r="V402" s="500"/>
      <c r="W402" s="500"/>
      <c r="X402" s="500"/>
      <c r="Y402" s="500"/>
      <c r="Z402" s="500"/>
    </row>
    <row r="403" spans="1:26" x14ac:dyDescent="0.3">
      <c r="A403" s="500"/>
      <c r="B403" s="500"/>
      <c r="C403" s="500"/>
      <c r="D403" s="500"/>
      <c r="E403" s="500"/>
      <c r="F403" s="500"/>
      <c r="G403" s="500"/>
      <c r="H403" s="500"/>
      <c r="I403" s="500"/>
      <c r="J403" s="500"/>
      <c r="K403" s="500"/>
      <c r="L403" s="500"/>
      <c r="M403" s="500"/>
      <c r="N403" s="500"/>
      <c r="O403" s="500"/>
      <c r="P403" s="500"/>
      <c r="Q403" s="500"/>
      <c r="R403" s="500"/>
      <c r="S403" s="500"/>
      <c r="T403" s="500"/>
      <c r="U403" s="500"/>
      <c r="V403" s="500"/>
      <c r="W403" s="500"/>
      <c r="X403" s="500"/>
      <c r="Y403" s="500"/>
      <c r="Z403" s="500"/>
    </row>
    <row r="404" spans="1:26" x14ac:dyDescent="0.3">
      <c r="A404" s="500"/>
      <c r="B404" s="500"/>
      <c r="C404" s="500"/>
      <c r="D404" s="500"/>
      <c r="E404" s="500"/>
      <c r="F404" s="500"/>
      <c r="G404" s="500"/>
      <c r="H404" s="500"/>
      <c r="I404" s="500"/>
      <c r="J404" s="500"/>
      <c r="K404" s="500"/>
      <c r="L404" s="500"/>
      <c r="M404" s="500"/>
      <c r="N404" s="500"/>
      <c r="O404" s="500"/>
      <c r="P404" s="500"/>
      <c r="Q404" s="500"/>
      <c r="R404" s="500"/>
      <c r="S404" s="500"/>
      <c r="T404" s="500"/>
      <c r="U404" s="500"/>
      <c r="V404" s="500"/>
      <c r="W404" s="500"/>
      <c r="X404" s="500"/>
      <c r="Y404" s="500"/>
      <c r="Z404" s="500"/>
    </row>
    <row r="405" spans="1:26" x14ac:dyDescent="0.3">
      <c r="A405" s="500"/>
      <c r="B405" s="500"/>
      <c r="C405" s="500"/>
      <c r="D405" s="500"/>
      <c r="E405" s="500"/>
      <c r="F405" s="500"/>
      <c r="G405" s="500"/>
      <c r="H405" s="500"/>
      <c r="I405" s="500"/>
      <c r="J405" s="500"/>
      <c r="K405" s="500"/>
      <c r="L405" s="500"/>
      <c r="M405" s="500"/>
      <c r="N405" s="500"/>
      <c r="O405" s="500"/>
      <c r="P405" s="500"/>
      <c r="Q405" s="500"/>
      <c r="R405" s="500"/>
      <c r="S405" s="500"/>
      <c r="T405" s="500"/>
      <c r="U405" s="500"/>
      <c r="V405" s="500"/>
      <c r="W405" s="500"/>
      <c r="X405" s="500"/>
      <c r="Y405" s="500"/>
      <c r="Z405" s="500"/>
    </row>
    <row r="406" spans="1:26" x14ac:dyDescent="0.3">
      <c r="A406" s="500"/>
      <c r="B406" s="500"/>
      <c r="C406" s="500"/>
      <c r="D406" s="500"/>
      <c r="E406" s="500"/>
      <c r="F406" s="500"/>
      <c r="G406" s="500"/>
      <c r="H406" s="500"/>
      <c r="I406" s="500"/>
      <c r="J406" s="500"/>
      <c r="K406" s="500"/>
      <c r="L406" s="500"/>
      <c r="M406" s="500"/>
      <c r="N406" s="500"/>
      <c r="O406" s="500"/>
      <c r="P406" s="500"/>
      <c r="Q406" s="500"/>
      <c r="R406" s="500"/>
      <c r="S406" s="500"/>
      <c r="T406" s="500"/>
      <c r="U406" s="500"/>
      <c r="V406" s="500"/>
      <c r="W406" s="500"/>
      <c r="X406" s="500"/>
      <c r="Y406" s="500"/>
      <c r="Z406" s="500"/>
    </row>
    <row r="407" spans="1:26" x14ac:dyDescent="0.3">
      <c r="A407" s="500"/>
      <c r="B407" s="500"/>
      <c r="C407" s="500"/>
      <c r="D407" s="500"/>
      <c r="E407" s="500"/>
      <c r="F407" s="500"/>
      <c r="G407" s="500"/>
      <c r="H407" s="500"/>
      <c r="I407" s="500"/>
      <c r="J407" s="500"/>
      <c r="K407" s="500"/>
      <c r="L407" s="500"/>
      <c r="M407" s="500"/>
      <c r="N407" s="500"/>
      <c r="O407" s="500"/>
      <c r="P407" s="500"/>
      <c r="Q407" s="500"/>
      <c r="R407" s="500"/>
      <c r="S407" s="500"/>
      <c r="T407" s="500"/>
      <c r="U407" s="500"/>
      <c r="V407" s="500"/>
      <c r="W407" s="500"/>
      <c r="X407" s="500"/>
      <c r="Y407" s="500"/>
      <c r="Z407" s="500"/>
    </row>
    <row r="408" spans="1:26" x14ac:dyDescent="0.3">
      <c r="A408" s="500"/>
      <c r="B408" s="500"/>
      <c r="C408" s="500"/>
      <c r="D408" s="500"/>
      <c r="E408" s="500"/>
      <c r="F408" s="500"/>
      <c r="G408" s="500"/>
      <c r="H408" s="500"/>
      <c r="I408" s="500"/>
      <c r="J408" s="500"/>
      <c r="K408" s="500"/>
      <c r="L408" s="500"/>
      <c r="M408" s="500"/>
      <c r="N408" s="500"/>
      <c r="O408" s="500"/>
      <c r="P408" s="500"/>
      <c r="Q408" s="500"/>
      <c r="R408" s="500"/>
      <c r="S408" s="500"/>
      <c r="T408" s="500"/>
      <c r="U408" s="500"/>
      <c r="V408" s="500"/>
      <c r="W408" s="500"/>
      <c r="X408" s="500"/>
      <c r="Y408" s="500"/>
      <c r="Z408" s="500"/>
    </row>
    <row r="409" spans="1:26" x14ac:dyDescent="0.3">
      <c r="A409" s="500"/>
      <c r="B409" s="500"/>
      <c r="C409" s="500"/>
      <c r="D409" s="500"/>
      <c r="E409" s="500"/>
      <c r="F409" s="500"/>
      <c r="G409" s="500"/>
      <c r="H409" s="500"/>
      <c r="I409" s="500"/>
      <c r="J409" s="500"/>
      <c r="K409" s="500"/>
      <c r="L409" s="500"/>
      <c r="M409" s="500"/>
      <c r="N409" s="500"/>
      <c r="O409" s="500"/>
      <c r="P409" s="500"/>
      <c r="Q409" s="500"/>
      <c r="R409" s="500"/>
      <c r="S409" s="500"/>
      <c r="T409" s="500"/>
      <c r="U409" s="500"/>
      <c r="V409" s="500"/>
      <c r="W409" s="500"/>
      <c r="X409" s="500"/>
      <c r="Y409" s="500"/>
      <c r="Z409" s="500"/>
    </row>
    <row r="410" spans="1:26" x14ac:dyDescent="0.3">
      <c r="A410" s="500"/>
      <c r="B410" s="500"/>
      <c r="C410" s="500"/>
      <c r="D410" s="500"/>
      <c r="E410" s="500"/>
      <c r="F410" s="500"/>
      <c r="G410" s="500"/>
      <c r="H410" s="500"/>
      <c r="I410" s="500"/>
      <c r="J410" s="500"/>
      <c r="K410" s="500"/>
      <c r="L410" s="500"/>
      <c r="M410" s="500"/>
      <c r="N410" s="500"/>
      <c r="O410" s="500"/>
      <c r="P410" s="500"/>
      <c r="Q410" s="500"/>
      <c r="R410" s="500"/>
      <c r="S410" s="500"/>
      <c r="T410" s="500"/>
      <c r="U410" s="500"/>
      <c r="V410" s="500"/>
      <c r="W410" s="500"/>
      <c r="X410" s="500"/>
      <c r="Y410" s="500"/>
      <c r="Z410" s="500"/>
    </row>
    <row r="411" spans="1:26" x14ac:dyDescent="0.3">
      <c r="A411" s="500"/>
      <c r="B411" s="500"/>
      <c r="C411" s="500"/>
      <c r="D411" s="500"/>
      <c r="E411" s="500"/>
      <c r="F411" s="500"/>
      <c r="G411" s="500"/>
      <c r="H411" s="500"/>
      <c r="I411" s="500"/>
      <c r="J411" s="500"/>
      <c r="K411" s="500"/>
      <c r="L411" s="500"/>
      <c r="M411" s="500"/>
      <c r="N411" s="500"/>
      <c r="O411" s="500"/>
      <c r="P411" s="500"/>
      <c r="Q411" s="500"/>
      <c r="R411" s="500"/>
      <c r="S411" s="500"/>
      <c r="T411" s="500"/>
      <c r="U411" s="500"/>
      <c r="V411" s="500"/>
      <c r="W411" s="500"/>
      <c r="X411" s="500"/>
      <c r="Y411" s="500"/>
      <c r="Z411" s="500"/>
    </row>
    <row r="412" spans="1:26" x14ac:dyDescent="0.3">
      <c r="A412" s="500"/>
      <c r="B412" s="500"/>
      <c r="C412" s="500"/>
      <c r="D412" s="500"/>
      <c r="E412" s="500"/>
      <c r="F412" s="500"/>
      <c r="G412" s="500"/>
      <c r="H412" s="500"/>
      <c r="I412" s="500"/>
      <c r="J412" s="500"/>
      <c r="K412" s="500"/>
      <c r="L412" s="500"/>
      <c r="M412" s="500"/>
      <c r="N412" s="500"/>
      <c r="O412" s="500"/>
      <c r="P412" s="500"/>
      <c r="Q412" s="500"/>
      <c r="R412" s="500"/>
      <c r="S412" s="500"/>
      <c r="T412" s="500"/>
      <c r="U412" s="500"/>
      <c r="V412" s="500"/>
      <c r="W412" s="500"/>
      <c r="X412" s="500"/>
      <c r="Y412" s="500"/>
      <c r="Z412" s="500"/>
    </row>
    <row r="413" spans="1:26" x14ac:dyDescent="0.3">
      <c r="A413" s="500"/>
      <c r="B413" s="500"/>
      <c r="C413" s="500"/>
      <c r="D413" s="500"/>
      <c r="E413" s="500"/>
      <c r="F413" s="500"/>
      <c r="G413" s="500"/>
      <c r="H413" s="500"/>
      <c r="I413" s="500"/>
      <c r="J413" s="500"/>
      <c r="K413" s="500"/>
      <c r="L413" s="500"/>
      <c r="M413" s="500"/>
      <c r="N413" s="500"/>
      <c r="O413" s="500"/>
      <c r="P413" s="500"/>
      <c r="Q413" s="500"/>
      <c r="R413" s="500"/>
      <c r="S413" s="500"/>
      <c r="T413" s="500"/>
      <c r="U413" s="500"/>
      <c r="V413" s="500"/>
      <c r="W413" s="500"/>
      <c r="X413" s="500"/>
      <c r="Y413" s="500"/>
      <c r="Z413" s="500"/>
    </row>
    <row r="414" spans="1:26" x14ac:dyDescent="0.3">
      <c r="A414" s="500"/>
      <c r="B414" s="500"/>
      <c r="C414" s="500"/>
      <c r="D414" s="500"/>
      <c r="E414" s="500"/>
      <c r="F414" s="500"/>
      <c r="G414" s="500"/>
      <c r="H414" s="500"/>
      <c r="I414" s="500"/>
      <c r="J414" s="500"/>
      <c r="K414" s="500"/>
      <c r="L414" s="500"/>
      <c r="M414" s="500"/>
      <c r="N414" s="500"/>
      <c r="O414" s="500"/>
      <c r="P414" s="500"/>
      <c r="Q414" s="500"/>
      <c r="R414" s="500"/>
      <c r="S414" s="500"/>
      <c r="T414" s="500"/>
      <c r="U414" s="500"/>
      <c r="V414" s="500"/>
      <c r="W414" s="500"/>
      <c r="X414" s="500"/>
      <c r="Y414" s="500"/>
      <c r="Z414" s="500"/>
    </row>
    <row r="415" spans="1:26" x14ac:dyDescent="0.3">
      <c r="A415" s="500"/>
      <c r="B415" s="500"/>
      <c r="C415" s="500"/>
      <c r="D415" s="500"/>
      <c r="E415" s="500"/>
      <c r="F415" s="500"/>
      <c r="G415" s="500"/>
      <c r="H415" s="500"/>
      <c r="I415" s="500"/>
      <c r="J415" s="500"/>
      <c r="K415" s="500"/>
      <c r="L415" s="500"/>
      <c r="M415" s="500"/>
      <c r="N415" s="500"/>
      <c r="O415" s="500"/>
      <c r="P415" s="500"/>
      <c r="Q415" s="500"/>
      <c r="R415" s="500"/>
      <c r="S415" s="500"/>
      <c r="T415" s="500"/>
      <c r="U415" s="500"/>
      <c r="V415" s="500"/>
      <c r="W415" s="500"/>
      <c r="X415" s="500"/>
      <c r="Y415" s="500"/>
      <c r="Z415" s="500"/>
    </row>
    <row r="416" spans="1:26" x14ac:dyDescent="0.3">
      <c r="A416" s="500"/>
      <c r="B416" s="500"/>
      <c r="C416" s="500"/>
      <c r="D416" s="500"/>
      <c r="E416" s="500"/>
      <c r="F416" s="500"/>
      <c r="G416" s="500"/>
      <c r="H416" s="500"/>
      <c r="I416" s="500"/>
      <c r="J416" s="500"/>
      <c r="K416" s="500"/>
      <c r="L416" s="500"/>
      <c r="M416" s="500"/>
      <c r="N416" s="500"/>
      <c r="O416" s="500"/>
      <c r="P416" s="500"/>
      <c r="Q416" s="500"/>
      <c r="R416" s="500"/>
      <c r="S416" s="500"/>
      <c r="T416" s="500"/>
      <c r="U416" s="500"/>
      <c r="V416" s="500"/>
      <c r="W416" s="500"/>
      <c r="X416" s="500"/>
      <c r="Y416" s="500"/>
      <c r="Z416" s="500"/>
    </row>
    <row r="417" spans="1:26" x14ac:dyDescent="0.3">
      <c r="A417" s="500"/>
      <c r="B417" s="500"/>
      <c r="C417" s="500"/>
      <c r="D417" s="500"/>
      <c r="E417" s="500"/>
      <c r="F417" s="500"/>
      <c r="G417" s="500"/>
      <c r="H417" s="500"/>
      <c r="I417" s="500"/>
      <c r="J417" s="500"/>
      <c r="K417" s="500"/>
      <c r="L417" s="500"/>
      <c r="M417" s="500"/>
      <c r="N417" s="500"/>
      <c r="O417" s="500"/>
      <c r="P417" s="500"/>
      <c r="Q417" s="500"/>
      <c r="R417" s="500"/>
      <c r="S417" s="500"/>
      <c r="T417" s="500"/>
      <c r="U417" s="500"/>
      <c r="V417" s="500"/>
      <c r="W417" s="500"/>
      <c r="X417" s="500"/>
      <c r="Y417" s="500"/>
      <c r="Z417" s="500"/>
    </row>
    <row r="418" spans="1:26" x14ac:dyDescent="0.3">
      <c r="A418" s="500"/>
      <c r="B418" s="500"/>
      <c r="C418" s="500"/>
      <c r="D418" s="500"/>
      <c r="E418" s="500"/>
      <c r="F418" s="500"/>
      <c r="G418" s="500"/>
      <c r="H418" s="500"/>
      <c r="I418" s="500"/>
      <c r="J418" s="500"/>
      <c r="K418" s="500"/>
      <c r="L418" s="500"/>
      <c r="M418" s="500"/>
      <c r="N418" s="500"/>
      <c r="O418" s="500"/>
      <c r="P418" s="500"/>
      <c r="Q418" s="500"/>
      <c r="R418" s="500"/>
      <c r="S418" s="500"/>
      <c r="T418" s="500"/>
      <c r="U418" s="500"/>
      <c r="V418" s="500"/>
      <c r="W418" s="500"/>
      <c r="X418" s="500"/>
      <c r="Y418" s="500"/>
      <c r="Z418" s="500"/>
    </row>
    <row r="419" spans="1:26" x14ac:dyDescent="0.3">
      <c r="A419" s="500"/>
      <c r="B419" s="500"/>
      <c r="C419" s="500"/>
      <c r="D419" s="500"/>
      <c r="E419" s="500"/>
      <c r="F419" s="500"/>
      <c r="G419" s="500"/>
      <c r="H419" s="500"/>
      <c r="I419" s="500"/>
      <c r="J419" s="500"/>
      <c r="K419" s="500"/>
      <c r="L419" s="500"/>
      <c r="M419" s="500"/>
      <c r="N419" s="500"/>
      <c r="O419" s="500"/>
      <c r="P419" s="500"/>
      <c r="Q419" s="500"/>
      <c r="R419" s="500"/>
      <c r="S419" s="500"/>
      <c r="T419" s="500"/>
      <c r="U419" s="500"/>
      <c r="V419" s="500"/>
      <c r="W419" s="500"/>
      <c r="X419" s="500"/>
      <c r="Y419" s="500"/>
      <c r="Z419" s="500"/>
    </row>
    <row r="420" spans="1:26" x14ac:dyDescent="0.3">
      <c r="A420" s="500"/>
      <c r="B420" s="500"/>
      <c r="C420" s="500"/>
      <c r="D420" s="500"/>
      <c r="E420" s="500"/>
      <c r="F420" s="500"/>
      <c r="G420" s="500"/>
      <c r="H420" s="500"/>
      <c r="I420" s="500"/>
      <c r="J420" s="500"/>
      <c r="K420" s="500"/>
      <c r="L420" s="500"/>
      <c r="M420" s="500"/>
      <c r="N420" s="500"/>
      <c r="O420" s="500"/>
      <c r="P420" s="500"/>
      <c r="Q420" s="500"/>
      <c r="R420" s="500"/>
      <c r="S420" s="500"/>
      <c r="T420" s="500"/>
      <c r="U420" s="500"/>
      <c r="V420" s="500"/>
      <c r="W420" s="500"/>
      <c r="X420" s="500"/>
      <c r="Y420" s="500"/>
      <c r="Z420" s="500"/>
    </row>
    <row r="421" spans="1:26" x14ac:dyDescent="0.3">
      <c r="A421" s="500"/>
      <c r="B421" s="500"/>
      <c r="C421" s="500"/>
      <c r="D421" s="500"/>
      <c r="E421" s="500"/>
      <c r="F421" s="500"/>
      <c r="G421" s="500"/>
      <c r="H421" s="500"/>
      <c r="I421" s="500"/>
      <c r="J421" s="500"/>
      <c r="K421" s="500"/>
      <c r="L421" s="500"/>
      <c r="M421" s="500"/>
      <c r="N421" s="500"/>
      <c r="O421" s="500"/>
      <c r="P421" s="500"/>
      <c r="Q421" s="500"/>
      <c r="R421" s="500"/>
      <c r="S421" s="500"/>
      <c r="T421" s="500"/>
      <c r="U421" s="500"/>
      <c r="V421" s="500"/>
      <c r="W421" s="500"/>
      <c r="X421" s="500"/>
      <c r="Y421" s="500"/>
      <c r="Z421" s="500"/>
    </row>
    <row r="422" spans="1:26" x14ac:dyDescent="0.3">
      <c r="A422" s="500"/>
      <c r="B422" s="500"/>
      <c r="C422" s="500"/>
      <c r="D422" s="500"/>
      <c r="E422" s="500"/>
      <c r="F422" s="500"/>
      <c r="G422" s="500"/>
      <c r="H422" s="500"/>
      <c r="I422" s="500"/>
      <c r="J422" s="500"/>
      <c r="K422" s="500"/>
      <c r="L422" s="500"/>
      <c r="M422" s="500"/>
      <c r="N422" s="500"/>
      <c r="O422" s="500"/>
      <c r="P422" s="500"/>
      <c r="Q422" s="500"/>
      <c r="R422" s="500"/>
      <c r="S422" s="500"/>
      <c r="T422" s="500"/>
      <c r="U422" s="500"/>
      <c r="V422" s="500"/>
      <c r="W422" s="500"/>
      <c r="X422" s="500"/>
      <c r="Y422" s="500"/>
      <c r="Z422" s="500"/>
    </row>
    <row r="423" spans="1:26" x14ac:dyDescent="0.3">
      <c r="A423" s="500"/>
      <c r="B423" s="500"/>
      <c r="C423" s="500"/>
      <c r="D423" s="500"/>
      <c r="E423" s="500"/>
      <c r="F423" s="500"/>
      <c r="G423" s="500"/>
      <c r="H423" s="500"/>
      <c r="I423" s="500"/>
      <c r="J423" s="500"/>
      <c r="K423" s="500"/>
      <c r="L423" s="500"/>
      <c r="M423" s="500"/>
      <c r="N423" s="500"/>
      <c r="O423" s="500"/>
      <c r="P423" s="500"/>
      <c r="Q423" s="500"/>
      <c r="R423" s="500"/>
      <c r="S423" s="500"/>
      <c r="T423" s="500"/>
      <c r="U423" s="500"/>
      <c r="V423" s="500"/>
      <c r="W423" s="500"/>
      <c r="X423" s="500"/>
      <c r="Y423" s="500"/>
      <c r="Z423" s="500"/>
    </row>
    <row r="424" spans="1:26" x14ac:dyDescent="0.3">
      <c r="A424" s="500"/>
      <c r="B424" s="500"/>
      <c r="C424" s="500"/>
      <c r="D424" s="500"/>
      <c r="E424" s="500"/>
      <c r="F424" s="500"/>
      <c r="G424" s="500"/>
      <c r="H424" s="500"/>
      <c r="I424" s="500"/>
      <c r="J424" s="500"/>
      <c r="K424" s="500"/>
      <c r="L424" s="500"/>
      <c r="M424" s="500"/>
      <c r="N424" s="500"/>
      <c r="O424" s="500"/>
      <c r="P424" s="500"/>
      <c r="Q424" s="500"/>
      <c r="R424" s="500"/>
      <c r="S424" s="500"/>
      <c r="T424" s="500"/>
      <c r="U424" s="500"/>
      <c r="V424" s="500"/>
      <c r="W424" s="500"/>
      <c r="X424" s="500"/>
      <c r="Y424" s="500"/>
      <c r="Z424" s="500"/>
    </row>
    <row r="425" spans="1:26" x14ac:dyDescent="0.3">
      <c r="A425" s="500"/>
      <c r="B425" s="500"/>
      <c r="C425" s="500"/>
      <c r="D425" s="500"/>
      <c r="E425" s="500"/>
      <c r="F425" s="500"/>
      <c r="G425" s="500"/>
      <c r="H425" s="500"/>
      <c r="I425" s="500"/>
      <c r="J425" s="500"/>
      <c r="K425" s="500"/>
      <c r="L425" s="500"/>
      <c r="M425" s="500"/>
      <c r="N425" s="500"/>
      <c r="O425" s="500"/>
      <c r="P425" s="500"/>
      <c r="Q425" s="500"/>
      <c r="R425" s="500"/>
      <c r="S425" s="500"/>
      <c r="T425" s="500"/>
      <c r="U425" s="500"/>
      <c r="V425" s="500"/>
      <c r="W425" s="500"/>
      <c r="X425" s="500"/>
      <c r="Y425" s="500"/>
      <c r="Z425" s="500"/>
    </row>
    <row r="426" spans="1:26" x14ac:dyDescent="0.3">
      <c r="A426" s="500"/>
      <c r="B426" s="500"/>
      <c r="C426" s="500"/>
      <c r="D426" s="500"/>
      <c r="E426" s="500"/>
      <c r="F426" s="500"/>
      <c r="G426" s="500"/>
      <c r="H426" s="500"/>
      <c r="I426" s="500"/>
      <c r="J426" s="500"/>
      <c r="K426" s="500"/>
      <c r="L426" s="500"/>
      <c r="M426" s="500"/>
      <c r="N426" s="500"/>
      <c r="O426" s="500"/>
      <c r="P426" s="500"/>
      <c r="Q426" s="500"/>
      <c r="R426" s="500"/>
      <c r="S426" s="500"/>
      <c r="T426" s="500"/>
      <c r="U426" s="500"/>
      <c r="V426" s="500"/>
      <c r="W426" s="500"/>
      <c r="X426" s="500"/>
      <c r="Y426" s="500"/>
      <c r="Z426" s="500"/>
    </row>
    <row r="427" spans="1:26" x14ac:dyDescent="0.3">
      <c r="A427" s="500"/>
      <c r="B427" s="500"/>
      <c r="C427" s="500"/>
      <c r="D427" s="500"/>
      <c r="E427" s="500"/>
      <c r="F427" s="500"/>
      <c r="G427" s="500"/>
      <c r="H427" s="500"/>
      <c r="I427" s="500"/>
      <c r="J427" s="500"/>
      <c r="K427" s="500"/>
      <c r="L427" s="500"/>
      <c r="M427" s="500"/>
      <c r="N427" s="500"/>
      <c r="O427" s="500"/>
      <c r="P427" s="500"/>
      <c r="Q427" s="500"/>
      <c r="R427" s="500"/>
      <c r="S427" s="500"/>
      <c r="T427" s="500"/>
      <c r="U427" s="500"/>
      <c r="V427" s="500"/>
      <c r="W427" s="500"/>
      <c r="X427" s="500"/>
      <c r="Y427" s="500"/>
      <c r="Z427" s="500"/>
    </row>
    <row r="428" spans="1:26" x14ac:dyDescent="0.3">
      <c r="A428" s="500"/>
      <c r="B428" s="500"/>
      <c r="C428" s="500"/>
      <c r="D428" s="500"/>
      <c r="E428" s="500"/>
      <c r="F428" s="500"/>
      <c r="G428" s="500"/>
      <c r="H428" s="500"/>
      <c r="I428" s="500"/>
      <c r="J428" s="500"/>
      <c r="K428" s="500"/>
      <c r="L428" s="500"/>
      <c r="M428" s="500"/>
      <c r="N428" s="500"/>
      <c r="O428" s="500"/>
      <c r="P428" s="500"/>
      <c r="Q428" s="500"/>
      <c r="R428" s="500"/>
      <c r="S428" s="500"/>
      <c r="T428" s="500"/>
      <c r="U428" s="500"/>
      <c r="V428" s="500"/>
      <c r="W428" s="500"/>
      <c r="X428" s="500"/>
      <c r="Y428" s="500"/>
      <c r="Z428" s="500"/>
    </row>
    <row r="429" spans="1:26" x14ac:dyDescent="0.3">
      <c r="A429" s="500"/>
      <c r="B429" s="500"/>
      <c r="C429" s="500"/>
      <c r="D429" s="500"/>
      <c r="E429" s="500"/>
      <c r="F429" s="500"/>
      <c r="G429" s="500"/>
      <c r="H429" s="500"/>
      <c r="I429" s="500"/>
      <c r="J429" s="500"/>
      <c r="K429" s="500"/>
      <c r="L429" s="500"/>
      <c r="M429" s="500"/>
      <c r="N429" s="500"/>
      <c r="O429" s="500"/>
      <c r="P429" s="500"/>
      <c r="Q429" s="500"/>
      <c r="R429" s="500"/>
      <c r="S429" s="500"/>
      <c r="T429" s="500"/>
      <c r="U429" s="500"/>
      <c r="V429" s="500"/>
      <c r="W429" s="500"/>
      <c r="X429" s="500"/>
      <c r="Y429" s="500"/>
      <c r="Z429" s="500"/>
    </row>
    <row r="430" spans="1:26" x14ac:dyDescent="0.3">
      <c r="A430" s="500"/>
      <c r="B430" s="500"/>
      <c r="C430" s="500"/>
      <c r="D430" s="500"/>
      <c r="E430" s="500"/>
      <c r="F430" s="500"/>
      <c r="G430" s="500"/>
      <c r="H430" s="500"/>
      <c r="I430" s="500"/>
      <c r="J430" s="500"/>
      <c r="K430" s="500"/>
      <c r="L430" s="500"/>
      <c r="M430" s="500"/>
      <c r="N430" s="500"/>
      <c r="O430" s="500"/>
      <c r="P430" s="500"/>
      <c r="Q430" s="500"/>
      <c r="R430" s="500"/>
      <c r="S430" s="500"/>
      <c r="T430" s="500"/>
      <c r="U430" s="500"/>
      <c r="V430" s="500"/>
      <c r="W430" s="500"/>
      <c r="X430" s="500"/>
      <c r="Y430" s="500"/>
      <c r="Z430" s="500"/>
    </row>
    <row r="431" spans="1:26" x14ac:dyDescent="0.3">
      <c r="A431" s="500"/>
      <c r="B431" s="500"/>
      <c r="C431" s="500"/>
      <c r="D431" s="500"/>
      <c r="E431" s="500"/>
      <c r="F431" s="500"/>
      <c r="G431" s="500"/>
      <c r="H431" s="500"/>
      <c r="I431" s="500"/>
      <c r="J431" s="500"/>
      <c r="K431" s="500"/>
      <c r="L431" s="500"/>
      <c r="M431" s="500"/>
      <c r="N431" s="500"/>
      <c r="O431" s="500"/>
      <c r="P431" s="500"/>
      <c r="Q431" s="500"/>
      <c r="R431" s="500"/>
      <c r="S431" s="500"/>
      <c r="T431" s="500"/>
      <c r="U431" s="500"/>
      <c r="V431" s="500"/>
      <c r="W431" s="500"/>
      <c r="X431" s="500"/>
      <c r="Y431" s="500"/>
      <c r="Z431" s="500"/>
    </row>
    <row r="432" spans="1:26" x14ac:dyDescent="0.3">
      <c r="A432" s="500"/>
      <c r="B432" s="500"/>
      <c r="C432" s="500"/>
      <c r="D432" s="500"/>
      <c r="E432" s="500"/>
      <c r="F432" s="500"/>
      <c r="G432" s="500"/>
      <c r="H432" s="500"/>
      <c r="I432" s="500"/>
      <c r="J432" s="500"/>
      <c r="K432" s="500"/>
      <c r="L432" s="500"/>
      <c r="M432" s="500"/>
      <c r="N432" s="500"/>
      <c r="O432" s="500"/>
      <c r="P432" s="500"/>
      <c r="Q432" s="500"/>
      <c r="R432" s="500"/>
      <c r="S432" s="500"/>
      <c r="T432" s="500"/>
      <c r="U432" s="500"/>
      <c r="V432" s="500"/>
      <c r="W432" s="500"/>
      <c r="X432" s="500"/>
      <c r="Y432" s="500"/>
      <c r="Z432" s="500"/>
    </row>
    <row r="433" spans="1:26" x14ac:dyDescent="0.3">
      <c r="A433" s="500"/>
      <c r="B433" s="500"/>
      <c r="C433" s="500"/>
      <c r="D433" s="500"/>
      <c r="E433" s="500"/>
      <c r="F433" s="500"/>
      <c r="G433" s="500"/>
      <c r="H433" s="500"/>
      <c r="I433" s="500"/>
      <c r="J433" s="500"/>
      <c r="K433" s="500"/>
      <c r="L433" s="500"/>
      <c r="M433" s="500"/>
      <c r="N433" s="500"/>
      <c r="O433" s="500"/>
      <c r="P433" s="500"/>
      <c r="Q433" s="500"/>
      <c r="R433" s="500"/>
      <c r="S433" s="500"/>
      <c r="T433" s="500"/>
      <c r="U433" s="500"/>
      <c r="V433" s="500"/>
      <c r="W433" s="500"/>
      <c r="X433" s="500"/>
      <c r="Y433" s="500"/>
      <c r="Z433" s="500"/>
    </row>
    <row r="434" spans="1:26" x14ac:dyDescent="0.3">
      <c r="A434" s="500"/>
      <c r="B434" s="500"/>
      <c r="C434" s="500"/>
      <c r="D434" s="500"/>
      <c r="E434" s="500"/>
      <c r="F434" s="500"/>
      <c r="G434" s="500"/>
      <c r="H434" s="500"/>
      <c r="I434" s="500"/>
      <c r="J434" s="500"/>
      <c r="K434" s="500"/>
      <c r="L434" s="500"/>
      <c r="M434" s="500"/>
      <c r="N434" s="500"/>
      <c r="O434" s="500"/>
      <c r="P434" s="500"/>
      <c r="Q434" s="500"/>
      <c r="R434" s="500"/>
      <c r="S434" s="500"/>
      <c r="T434" s="500"/>
      <c r="U434" s="500"/>
      <c r="V434" s="500"/>
      <c r="W434" s="500"/>
      <c r="X434" s="500"/>
      <c r="Y434" s="500"/>
      <c r="Z434" s="500"/>
    </row>
    <row r="435" spans="1:26" x14ac:dyDescent="0.3">
      <c r="A435" s="500"/>
      <c r="B435" s="500"/>
      <c r="C435" s="500"/>
      <c r="D435" s="500"/>
      <c r="E435" s="500"/>
      <c r="F435" s="500"/>
      <c r="G435" s="500"/>
      <c r="H435" s="500"/>
      <c r="I435" s="500"/>
      <c r="J435" s="500"/>
      <c r="K435" s="500"/>
      <c r="L435" s="500"/>
      <c r="M435" s="500"/>
      <c r="N435" s="500"/>
      <c r="O435" s="500"/>
      <c r="P435" s="500"/>
      <c r="Q435" s="500"/>
      <c r="R435" s="500"/>
      <c r="S435" s="500"/>
      <c r="T435" s="500"/>
      <c r="U435" s="500"/>
      <c r="V435" s="500"/>
      <c r="W435" s="500"/>
      <c r="X435" s="500"/>
      <c r="Y435" s="500"/>
      <c r="Z435" s="500"/>
    </row>
    <row r="436" spans="1:26" x14ac:dyDescent="0.3">
      <c r="A436" s="500"/>
      <c r="B436" s="500"/>
      <c r="C436" s="500"/>
      <c r="D436" s="500"/>
      <c r="E436" s="500"/>
      <c r="F436" s="500"/>
      <c r="G436" s="500"/>
      <c r="H436" s="500"/>
      <c r="I436" s="500"/>
      <c r="J436" s="500"/>
      <c r="K436" s="500"/>
      <c r="L436" s="500"/>
      <c r="M436" s="500"/>
      <c r="N436" s="500"/>
      <c r="O436" s="500"/>
      <c r="P436" s="500"/>
      <c r="Q436" s="500"/>
      <c r="R436" s="500"/>
      <c r="S436" s="500"/>
      <c r="T436" s="500"/>
      <c r="U436" s="500"/>
      <c r="V436" s="500"/>
      <c r="W436" s="500"/>
      <c r="X436" s="500"/>
      <c r="Y436" s="500"/>
      <c r="Z436" s="500"/>
    </row>
    <row r="437" spans="1:26" x14ac:dyDescent="0.3">
      <c r="A437" s="500"/>
      <c r="B437" s="500"/>
      <c r="C437" s="500"/>
      <c r="D437" s="500"/>
      <c r="E437" s="500"/>
      <c r="F437" s="500"/>
      <c r="G437" s="500"/>
      <c r="H437" s="500"/>
      <c r="I437" s="500"/>
      <c r="J437" s="500"/>
      <c r="K437" s="500"/>
      <c r="L437" s="500"/>
      <c r="M437" s="500"/>
      <c r="N437" s="500"/>
      <c r="O437" s="500"/>
      <c r="P437" s="500"/>
      <c r="Q437" s="500"/>
      <c r="R437" s="500"/>
      <c r="S437" s="500"/>
      <c r="T437" s="500"/>
      <c r="U437" s="500"/>
      <c r="V437" s="500"/>
      <c r="W437" s="500"/>
      <c r="X437" s="500"/>
      <c r="Y437" s="500"/>
      <c r="Z437" s="500"/>
    </row>
    <row r="438" spans="1:26" x14ac:dyDescent="0.3">
      <c r="A438" s="500"/>
      <c r="B438" s="500"/>
      <c r="C438" s="500"/>
      <c r="D438" s="500"/>
      <c r="E438" s="500"/>
      <c r="F438" s="500"/>
      <c r="G438" s="500"/>
      <c r="H438" s="500"/>
      <c r="I438" s="500"/>
      <c r="J438" s="500"/>
      <c r="K438" s="500"/>
      <c r="L438" s="500"/>
      <c r="M438" s="500"/>
      <c r="N438" s="500"/>
      <c r="O438" s="500"/>
      <c r="P438" s="500"/>
      <c r="Q438" s="500"/>
      <c r="R438" s="500"/>
      <c r="S438" s="500"/>
      <c r="T438" s="500"/>
      <c r="U438" s="500"/>
      <c r="V438" s="500"/>
      <c r="W438" s="500"/>
      <c r="X438" s="500"/>
      <c r="Y438" s="500"/>
      <c r="Z438" s="500"/>
    </row>
    <row r="439" spans="1:26" x14ac:dyDescent="0.3">
      <c r="A439" s="500"/>
      <c r="B439" s="500"/>
      <c r="C439" s="500"/>
      <c r="D439" s="500"/>
      <c r="E439" s="500"/>
      <c r="F439" s="500"/>
      <c r="G439" s="500"/>
      <c r="H439" s="500"/>
      <c r="I439" s="500"/>
      <c r="J439" s="500"/>
      <c r="K439" s="500"/>
      <c r="L439" s="500"/>
      <c r="M439" s="500"/>
      <c r="N439" s="500"/>
      <c r="O439" s="500"/>
      <c r="P439" s="500"/>
      <c r="Q439" s="500"/>
      <c r="R439" s="500"/>
      <c r="S439" s="500"/>
      <c r="T439" s="500"/>
      <c r="U439" s="500"/>
      <c r="V439" s="500"/>
      <c r="W439" s="500"/>
      <c r="X439" s="500"/>
      <c r="Y439" s="500"/>
      <c r="Z439" s="500"/>
    </row>
    <row r="440" spans="1:26" x14ac:dyDescent="0.3">
      <c r="A440" s="500"/>
      <c r="B440" s="500"/>
      <c r="C440" s="500"/>
      <c r="D440" s="500"/>
      <c r="E440" s="500"/>
      <c r="F440" s="500"/>
      <c r="G440" s="500"/>
      <c r="H440" s="500"/>
      <c r="I440" s="500"/>
      <c r="J440" s="500"/>
      <c r="K440" s="500"/>
      <c r="L440" s="500"/>
      <c r="M440" s="500"/>
      <c r="N440" s="500"/>
      <c r="O440" s="500"/>
      <c r="P440" s="500"/>
      <c r="Q440" s="500"/>
      <c r="R440" s="500"/>
      <c r="S440" s="500"/>
      <c r="T440" s="500"/>
      <c r="U440" s="500"/>
      <c r="V440" s="500"/>
      <c r="W440" s="500"/>
      <c r="X440" s="500"/>
      <c r="Y440" s="500"/>
      <c r="Z440" s="500"/>
    </row>
    <row r="441" spans="1:26" x14ac:dyDescent="0.3">
      <c r="A441" s="500"/>
      <c r="B441" s="500"/>
      <c r="C441" s="500"/>
      <c r="D441" s="500"/>
      <c r="E441" s="500"/>
      <c r="F441" s="500"/>
      <c r="G441" s="500"/>
      <c r="H441" s="500"/>
      <c r="I441" s="500"/>
      <c r="J441" s="500"/>
      <c r="K441" s="500"/>
      <c r="L441" s="500"/>
      <c r="M441" s="500"/>
      <c r="N441" s="500"/>
      <c r="O441" s="500"/>
      <c r="P441" s="500"/>
      <c r="Q441" s="500"/>
      <c r="R441" s="500"/>
      <c r="S441" s="500"/>
      <c r="T441" s="500"/>
      <c r="U441" s="500"/>
      <c r="V441" s="500"/>
      <c r="W441" s="500"/>
      <c r="X441" s="500"/>
      <c r="Y441" s="500"/>
      <c r="Z441" s="500"/>
    </row>
    <row r="442" spans="1:26" x14ac:dyDescent="0.3">
      <c r="A442" s="500"/>
      <c r="B442" s="500"/>
      <c r="C442" s="500"/>
      <c r="D442" s="500"/>
      <c r="E442" s="500"/>
      <c r="F442" s="500"/>
      <c r="G442" s="500"/>
      <c r="H442" s="500"/>
      <c r="I442" s="500"/>
      <c r="J442" s="500"/>
      <c r="K442" s="500"/>
      <c r="L442" s="500"/>
      <c r="M442" s="500"/>
      <c r="N442" s="500"/>
      <c r="O442" s="500"/>
      <c r="P442" s="500"/>
      <c r="Q442" s="500"/>
      <c r="R442" s="500"/>
      <c r="S442" s="500"/>
      <c r="T442" s="500"/>
      <c r="U442" s="500"/>
      <c r="V442" s="500"/>
      <c r="W442" s="500"/>
      <c r="X442" s="500"/>
      <c r="Y442" s="500"/>
      <c r="Z442" s="500"/>
    </row>
    <row r="443" spans="1:26" x14ac:dyDescent="0.3">
      <c r="A443" s="500"/>
      <c r="B443" s="500"/>
      <c r="C443" s="500"/>
      <c r="D443" s="500"/>
      <c r="E443" s="500"/>
      <c r="F443" s="500"/>
      <c r="G443" s="500"/>
      <c r="H443" s="500"/>
      <c r="I443" s="500"/>
      <c r="J443" s="500"/>
      <c r="K443" s="500"/>
      <c r="L443" s="500"/>
      <c r="M443" s="500"/>
      <c r="N443" s="500"/>
      <c r="O443" s="500"/>
      <c r="P443" s="500"/>
      <c r="Q443" s="500"/>
      <c r="R443" s="500"/>
      <c r="S443" s="500"/>
      <c r="T443" s="500"/>
      <c r="U443" s="500"/>
      <c r="V443" s="500"/>
      <c r="W443" s="500"/>
      <c r="X443" s="500"/>
      <c r="Y443" s="500"/>
      <c r="Z443" s="500"/>
    </row>
    <row r="444" spans="1:26" x14ac:dyDescent="0.3">
      <c r="A444" s="500"/>
      <c r="B444" s="500"/>
      <c r="C444" s="500"/>
      <c r="D444" s="500"/>
      <c r="E444" s="500"/>
      <c r="F444" s="500"/>
      <c r="G444" s="500"/>
      <c r="H444" s="500"/>
      <c r="I444" s="500"/>
      <c r="J444" s="500"/>
      <c r="K444" s="500"/>
      <c r="L444" s="500"/>
      <c r="M444" s="500"/>
      <c r="N444" s="500"/>
      <c r="O444" s="500"/>
      <c r="P444" s="500"/>
      <c r="Q444" s="500"/>
      <c r="R444" s="500"/>
      <c r="S444" s="500"/>
      <c r="T444" s="500"/>
      <c r="U444" s="500"/>
      <c r="V444" s="500"/>
      <c r="W444" s="500"/>
      <c r="X444" s="500"/>
      <c r="Y444" s="500"/>
      <c r="Z444" s="500"/>
    </row>
    <row r="445" spans="1:26" x14ac:dyDescent="0.3">
      <c r="A445" s="500"/>
      <c r="B445" s="500"/>
      <c r="C445" s="500"/>
      <c r="D445" s="500"/>
      <c r="E445" s="500"/>
      <c r="F445" s="500"/>
      <c r="G445" s="500"/>
      <c r="H445" s="500"/>
      <c r="I445" s="500"/>
      <c r="J445" s="500"/>
      <c r="K445" s="500"/>
      <c r="L445" s="500"/>
      <c r="M445" s="500"/>
      <c r="N445" s="500"/>
      <c r="O445" s="500"/>
      <c r="P445" s="500"/>
      <c r="Q445" s="500"/>
      <c r="R445" s="500"/>
      <c r="S445" s="500"/>
      <c r="T445" s="500"/>
      <c r="U445" s="500"/>
      <c r="V445" s="500"/>
      <c r="W445" s="500"/>
      <c r="X445" s="500"/>
      <c r="Y445" s="500"/>
      <c r="Z445" s="500"/>
    </row>
    <row r="446" spans="1:26" x14ac:dyDescent="0.3">
      <c r="A446" s="500"/>
      <c r="B446" s="500"/>
      <c r="C446" s="500"/>
      <c r="D446" s="500"/>
      <c r="E446" s="500"/>
      <c r="F446" s="500"/>
      <c r="G446" s="500"/>
      <c r="H446" s="500"/>
      <c r="I446" s="500"/>
      <c r="J446" s="500"/>
      <c r="K446" s="500"/>
      <c r="L446" s="500"/>
      <c r="M446" s="500"/>
      <c r="N446" s="500"/>
      <c r="O446" s="500"/>
      <c r="P446" s="500"/>
      <c r="Q446" s="500"/>
      <c r="R446" s="500"/>
      <c r="S446" s="500"/>
      <c r="T446" s="500"/>
      <c r="U446" s="500"/>
      <c r="V446" s="500"/>
      <c r="W446" s="500"/>
      <c r="X446" s="500"/>
      <c r="Y446" s="500"/>
      <c r="Z446" s="500"/>
    </row>
    <row r="447" spans="1:26" x14ac:dyDescent="0.3">
      <c r="A447" s="500"/>
      <c r="B447" s="500"/>
      <c r="C447" s="500"/>
      <c r="D447" s="500"/>
      <c r="E447" s="500"/>
      <c r="F447" s="500"/>
      <c r="G447" s="500"/>
      <c r="H447" s="500"/>
      <c r="I447" s="500"/>
      <c r="J447" s="500"/>
      <c r="K447" s="500"/>
      <c r="L447" s="500"/>
      <c r="M447" s="500"/>
      <c r="N447" s="500"/>
      <c r="O447" s="500"/>
      <c r="P447" s="500"/>
      <c r="Q447" s="500"/>
      <c r="R447" s="500"/>
      <c r="S447" s="500"/>
      <c r="T447" s="500"/>
      <c r="U447" s="500"/>
      <c r="V447" s="500"/>
      <c r="W447" s="500"/>
      <c r="X447" s="500"/>
      <c r="Y447" s="500"/>
      <c r="Z447" s="500"/>
    </row>
    <row r="448" spans="1:26" x14ac:dyDescent="0.3">
      <c r="A448" s="500"/>
      <c r="B448" s="500"/>
      <c r="C448" s="500"/>
      <c r="D448" s="500"/>
      <c r="E448" s="500"/>
      <c r="F448" s="500"/>
      <c r="G448" s="500"/>
      <c r="H448" s="500"/>
      <c r="I448" s="500"/>
      <c r="J448" s="500"/>
      <c r="K448" s="500"/>
      <c r="L448" s="500"/>
      <c r="M448" s="500"/>
      <c r="N448" s="500"/>
      <c r="O448" s="500"/>
      <c r="P448" s="500"/>
      <c r="Q448" s="500"/>
      <c r="R448" s="500"/>
      <c r="S448" s="500"/>
      <c r="T448" s="500"/>
      <c r="U448" s="500"/>
      <c r="V448" s="500"/>
      <c r="W448" s="500"/>
      <c r="X448" s="500"/>
      <c r="Y448" s="500"/>
      <c r="Z448" s="500"/>
    </row>
    <row r="449" spans="1:26" x14ac:dyDescent="0.3">
      <c r="A449" s="500"/>
      <c r="B449" s="500"/>
      <c r="C449" s="500"/>
      <c r="D449" s="500"/>
      <c r="E449" s="500"/>
      <c r="F449" s="500"/>
      <c r="G449" s="500"/>
      <c r="H449" s="500"/>
      <c r="I449" s="500"/>
      <c r="J449" s="500"/>
      <c r="K449" s="500"/>
      <c r="L449" s="500"/>
      <c r="M449" s="500"/>
      <c r="N449" s="500"/>
      <c r="O449" s="500"/>
      <c r="P449" s="500"/>
      <c r="Q449" s="500"/>
      <c r="R449" s="500"/>
      <c r="S449" s="500"/>
      <c r="T449" s="500"/>
      <c r="U449" s="500"/>
      <c r="V449" s="500"/>
      <c r="W449" s="500"/>
      <c r="X449" s="500"/>
      <c r="Y449" s="500"/>
      <c r="Z449" s="500"/>
    </row>
    <row r="450" spans="1:26" x14ac:dyDescent="0.3">
      <c r="A450" s="500"/>
      <c r="B450" s="500"/>
      <c r="C450" s="500"/>
      <c r="D450" s="500"/>
      <c r="E450" s="500"/>
      <c r="F450" s="500"/>
      <c r="G450" s="500"/>
      <c r="H450" s="500"/>
      <c r="I450" s="500"/>
      <c r="J450" s="500"/>
      <c r="K450" s="500"/>
      <c r="L450" s="500"/>
      <c r="M450" s="500"/>
      <c r="N450" s="500"/>
      <c r="O450" s="500"/>
      <c r="P450" s="500"/>
      <c r="Q450" s="500"/>
      <c r="R450" s="500"/>
      <c r="S450" s="500"/>
      <c r="T450" s="500"/>
      <c r="U450" s="500"/>
      <c r="V450" s="500"/>
      <c r="W450" s="500"/>
      <c r="X450" s="500"/>
      <c r="Y450" s="500"/>
      <c r="Z450" s="500"/>
    </row>
    <row r="451" spans="1:26" x14ac:dyDescent="0.3">
      <c r="A451" s="500"/>
      <c r="B451" s="500"/>
      <c r="C451" s="500"/>
      <c r="D451" s="500"/>
      <c r="E451" s="500"/>
      <c r="F451" s="500"/>
      <c r="G451" s="500"/>
      <c r="H451" s="500"/>
      <c r="I451" s="500"/>
      <c r="J451" s="500"/>
      <c r="K451" s="500"/>
      <c r="L451" s="500"/>
      <c r="M451" s="500"/>
      <c r="N451" s="500"/>
      <c r="O451" s="500"/>
      <c r="P451" s="500"/>
      <c r="Q451" s="500"/>
      <c r="R451" s="500"/>
      <c r="S451" s="500"/>
      <c r="T451" s="500"/>
      <c r="U451" s="500"/>
      <c r="V451" s="500"/>
      <c r="W451" s="500"/>
      <c r="X451" s="500"/>
      <c r="Y451" s="500"/>
      <c r="Z451" s="500"/>
    </row>
    <row r="452" spans="1:26" x14ac:dyDescent="0.3">
      <c r="A452" s="500"/>
      <c r="B452" s="500"/>
      <c r="C452" s="500"/>
      <c r="D452" s="500"/>
      <c r="E452" s="500"/>
      <c r="F452" s="500"/>
      <c r="G452" s="500"/>
      <c r="H452" s="500"/>
      <c r="I452" s="500"/>
      <c r="J452" s="500"/>
      <c r="K452" s="500"/>
      <c r="L452" s="500"/>
      <c r="M452" s="500"/>
      <c r="N452" s="500"/>
      <c r="O452" s="500"/>
      <c r="P452" s="500"/>
      <c r="Q452" s="500"/>
      <c r="R452" s="500"/>
      <c r="S452" s="500"/>
      <c r="T452" s="500"/>
      <c r="U452" s="500"/>
      <c r="V452" s="500"/>
      <c r="W452" s="500"/>
      <c r="X452" s="500"/>
      <c r="Y452" s="500"/>
      <c r="Z452" s="500"/>
    </row>
    <row r="453" spans="1:26" x14ac:dyDescent="0.3">
      <c r="A453" s="500"/>
      <c r="B453" s="500"/>
      <c r="C453" s="500"/>
      <c r="D453" s="500"/>
      <c r="E453" s="500"/>
      <c r="F453" s="500"/>
      <c r="G453" s="500"/>
      <c r="H453" s="500"/>
      <c r="I453" s="500"/>
      <c r="J453" s="500"/>
      <c r="K453" s="500"/>
      <c r="L453" s="500"/>
      <c r="M453" s="500"/>
      <c r="N453" s="500"/>
      <c r="O453" s="500"/>
      <c r="P453" s="500"/>
      <c r="Q453" s="500"/>
      <c r="R453" s="500"/>
      <c r="S453" s="500"/>
      <c r="T453" s="500"/>
      <c r="U453" s="500"/>
      <c r="V453" s="500"/>
      <c r="W453" s="500"/>
      <c r="X453" s="500"/>
      <c r="Y453" s="500"/>
      <c r="Z453" s="500"/>
    </row>
    <row r="454" spans="1:26" x14ac:dyDescent="0.3">
      <c r="A454" s="500"/>
      <c r="B454" s="500"/>
      <c r="C454" s="500"/>
      <c r="D454" s="500"/>
      <c r="E454" s="500"/>
      <c r="F454" s="500"/>
      <c r="G454" s="500"/>
      <c r="H454" s="500"/>
      <c r="I454" s="500"/>
      <c r="J454" s="500"/>
      <c r="K454" s="500"/>
      <c r="L454" s="500"/>
      <c r="M454" s="500"/>
      <c r="N454" s="500"/>
      <c r="O454" s="500"/>
      <c r="P454" s="500"/>
      <c r="Q454" s="500"/>
      <c r="R454" s="500"/>
      <c r="S454" s="500"/>
      <c r="T454" s="500"/>
      <c r="U454" s="500"/>
      <c r="V454" s="500"/>
      <c r="W454" s="500"/>
      <c r="X454" s="500"/>
      <c r="Y454" s="500"/>
      <c r="Z454" s="500"/>
    </row>
    <row r="455" spans="1:26" x14ac:dyDescent="0.3">
      <c r="A455" s="500"/>
      <c r="B455" s="500"/>
      <c r="C455" s="500"/>
      <c r="D455" s="500"/>
      <c r="E455" s="500"/>
      <c r="F455" s="500"/>
      <c r="G455" s="500"/>
      <c r="H455" s="500"/>
      <c r="I455" s="500"/>
      <c r="J455" s="500"/>
      <c r="K455" s="500"/>
      <c r="L455" s="500"/>
      <c r="M455" s="500"/>
      <c r="N455" s="500"/>
      <c r="O455" s="500"/>
      <c r="P455" s="500"/>
      <c r="Q455" s="500"/>
      <c r="R455" s="500"/>
      <c r="S455" s="500"/>
      <c r="T455" s="500"/>
      <c r="U455" s="500"/>
      <c r="V455" s="500"/>
      <c r="W455" s="500"/>
      <c r="X455" s="500"/>
      <c r="Y455" s="500"/>
      <c r="Z455" s="500"/>
    </row>
    <row r="456" spans="1:26" x14ac:dyDescent="0.3">
      <c r="A456" s="500"/>
      <c r="B456" s="500"/>
      <c r="C456" s="500"/>
      <c r="D456" s="500"/>
      <c r="E456" s="500"/>
      <c r="F456" s="500"/>
      <c r="G456" s="500"/>
      <c r="H456" s="500"/>
      <c r="I456" s="500"/>
      <c r="J456" s="500"/>
      <c r="K456" s="500"/>
      <c r="L456" s="500"/>
      <c r="M456" s="500"/>
      <c r="N456" s="500"/>
      <c r="O456" s="500"/>
      <c r="P456" s="500"/>
      <c r="Q456" s="500"/>
      <c r="R456" s="500"/>
      <c r="S456" s="500"/>
      <c r="T456" s="500"/>
      <c r="U456" s="500"/>
      <c r="V456" s="500"/>
      <c r="W456" s="500"/>
      <c r="X456" s="500"/>
      <c r="Y456" s="500"/>
      <c r="Z456" s="500"/>
    </row>
    <row r="457" spans="1:26" x14ac:dyDescent="0.3">
      <c r="A457" s="500"/>
      <c r="B457" s="500"/>
      <c r="C457" s="500"/>
      <c r="D457" s="500"/>
      <c r="E457" s="500"/>
      <c r="F457" s="500"/>
      <c r="G457" s="500"/>
      <c r="H457" s="500"/>
      <c r="I457" s="500"/>
      <c r="J457" s="500"/>
      <c r="K457" s="500"/>
      <c r="L457" s="500"/>
      <c r="M457" s="500"/>
      <c r="N457" s="500"/>
      <c r="O457" s="500"/>
      <c r="P457" s="500"/>
      <c r="Q457" s="500"/>
      <c r="R457" s="500"/>
      <c r="S457" s="500"/>
      <c r="T457" s="500"/>
      <c r="U457" s="500"/>
      <c r="V457" s="500"/>
      <c r="W457" s="500"/>
      <c r="X457" s="500"/>
      <c r="Y457" s="500"/>
      <c r="Z457" s="500"/>
    </row>
    <row r="458" spans="1:26" x14ac:dyDescent="0.3">
      <c r="A458" s="500"/>
      <c r="B458" s="500"/>
      <c r="C458" s="500"/>
      <c r="D458" s="500"/>
      <c r="E458" s="500"/>
      <c r="F458" s="500"/>
      <c r="G458" s="500"/>
      <c r="H458" s="500"/>
      <c r="I458" s="500"/>
      <c r="J458" s="500"/>
      <c r="K458" s="500"/>
      <c r="L458" s="500"/>
      <c r="M458" s="500"/>
      <c r="N458" s="500"/>
      <c r="O458" s="500"/>
      <c r="P458" s="500"/>
      <c r="Q458" s="500"/>
      <c r="R458" s="500"/>
      <c r="S458" s="500"/>
      <c r="T458" s="500"/>
      <c r="U458" s="500"/>
      <c r="V458" s="500"/>
      <c r="W458" s="500"/>
      <c r="X458" s="500"/>
      <c r="Y458" s="500"/>
      <c r="Z458" s="500"/>
    </row>
    <row r="459" spans="1:26" x14ac:dyDescent="0.3">
      <c r="A459" s="500"/>
      <c r="B459" s="500"/>
      <c r="C459" s="500"/>
      <c r="D459" s="500"/>
      <c r="E459" s="500"/>
      <c r="F459" s="500"/>
      <c r="G459" s="500"/>
      <c r="H459" s="500"/>
      <c r="I459" s="500"/>
      <c r="J459" s="500"/>
      <c r="K459" s="500"/>
      <c r="L459" s="500"/>
      <c r="M459" s="500"/>
      <c r="N459" s="500"/>
      <c r="O459" s="500"/>
      <c r="P459" s="500"/>
      <c r="Q459" s="500"/>
      <c r="R459" s="500"/>
      <c r="S459" s="500"/>
      <c r="T459" s="500"/>
      <c r="U459" s="500"/>
      <c r="V459" s="500"/>
      <c r="W459" s="500"/>
      <c r="X459" s="500"/>
      <c r="Y459" s="500"/>
      <c r="Z459" s="500"/>
    </row>
    <row r="460" spans="1:26" x14ac:dyDescent="0.3">
      <c r="A460" s="500"/>
      <c r="B460" s="500"/>
      <c r="C460" s="500"/>
      <c r="D460" s="500"/>
      <c r="E460" s="500"/>
      <c r="F460" s="500"/>
      <c r="G460" s="500"/>
      <c r="H460" s="500"/>
      <c r="I460" s="500"/>
      <c r="J460" s="500"/>
      <c r="K460" s="500"/>
      <c r="L460" s="500"/>
      <c r="M460" s="500"/>
      <c r="N460" s="500"/>
      <c r="O460" s="500"/>
      <c r="P460" s="500"/>
      <c r="Q460" s="500"/>
      <c r="R460" s="500"/>
      <c r="S460" s="500"/>
      <c r="T460" s="500"/>
      <c r="U460" s="500"/>
      <c r="V460" s="500"/>
      <c r="W460" s="500"/>
      <c r="X460" s="500"/>
      <c r="Y460" s="500"/>
      <c r="Z460" s="500"/>
    </row>
    <row r="461" spans="1:26" x14ac:dyDescent="0.3">
      <c r="A461" s="500"/>
      <c r="B461" s="500"/>
      <c r="C461" s="500"/>
      <c r="D461" s="500"/>
      <c r="E461" s="500"/>
      <c r="F461" s="500"/>
      <c r="G461" s="500"/>
      <c r="H461" s="500"/>
      <c r="I461" s="500"/>
      <c r="J461" s="500"/>
      <c r="K461" s="500"/>
      <c r="L461" s="500"/>
      <c r="M461" s="500"/>
      <c r="N461" s="500"/>
      <c r="O461" s="500"/>
      <c r="P461" s="500"/>
      <c r="Q461" s="500"/>
      <c r="R461" s="500"/>
      <c r="S461" s="500"/>
      <c r="T461" s="500"/>
      <c r="U461" s="500"/>
      <c r="V461" s="500"/>
      <c r="W461" s="500"/>
      <c r="X461" s="500"/>
      <c r="Y461" s="500"/>
      <c r="Z461" s="500"/>
    </row>
    <row r="462" spans="1:26" x14ac:dyDescent="0.3">
      <c r="A462" s="500"/>
      <c r="B462" s="500"/>
      <c r="C462" s="500"/>
      <c r="D462" s="500"/>
      <c r="E462" s="500"/>
      <c r="F462" s="500"/>
      <c r="G462" s="500"/>
      <c r="H462" s="500"/>
      <c r="I462" s="500"/>
      <c r="J462" s="500"/>
      <c r="K462" s="500"/>
      <c r="L462" s="500"/>
      <c r="M462" s="500"/>
      <c r="N462" s="500"/>
      <c r="O462" s="500"/>
      <c r="P462" s="500"/>
      <c r="Q462" s="500"/>
      <c r="R462" s="500"/>
      <c r="S462" s="500"/>
      <c r="T462" s="500"/>
      <c r="U462" s="500"/>
      <c r="V462" s="500"/>
      <c r="W462" s="500"/>
      <c r="X462" s="500"/>
      <c r="Y462" s="500"/>
      <c r="Z462" s="500"/>
    </row>
    <row r="463" spans="1:26" x14ac:dyDescent="0.3">
      <c r="A463" s="500"/>
      <c r="B463" s="500"/>
      <c r="C463" s="500"/>
      <c r="D463" s="500"/>
      <c r="E463" s="500"/>
      <c r="F463" s="500"/>
      <c r="G463" s="500"/>
      <c r="H463" s="500"/>
      <c r="I463" s="500"/>
      <c r="J463" s="500"/>
      <c r="K463" s="500"/>
      <c r="L463" s="500"/>
      <c r="M463" s="500"/>
      <c r="N463" s="500"/>
      <c r="O463" s="500"/>
      <c r="P463" s="500"/>
      <c r="Q463" s="500"/>
      <c r="R463" s="500"/>
      <c r="S463" s="500"/>
      <c r="T463" s="500"/>
      <c r="U463" s="500"/>
      <c r="V463" s="500"/>
      <c r="W463" s="500"/>
      <c r="X463" s="500"/>
      <c r="Y463" s="500"/>
      <c r="Z463" s="500"/>
    </row>
    <row r="464" spans="1:26" x14ac:dyDescent="0.3">
      <c r="A464" s="500"/>
      <c r="B464" s="500"/>
      <c r="C464" s="500"/>
      <c r="D464" s="500"/>
      <c r="E464" s="500"/>
      <c r="F464" s="500"/>
      <c r="G464" s="500"/>
      <c r="H464" s="500"/>
      <c r="I464" s="500"/>
      <c r="J464" s="500"/>
      <c r="K464" s="500"/>
      <c r="L464" s="500"/>
      <c r="M464" s="500"/>
      <c r="N464" s="500"/>
      <c r="O464" s="500"/>
      <c r="P464" s="500"/>
      <c r="Q464" s="500"/>
      <c r="R464" s="500"/>
      <c r="S464" s="500"/>
      <c r="T464" s="500"/>
      <c r="U464" s="500"/>
      <c r="V464" s="500"/>
      <c r="W464" s="500"/>
      <c r="X464" s="500"/>
      <c r="Y464" s="500"/>
      <c r="Z464" s="500"/>
    </row>
    <row r="465" spans="1:26" x14ac:dyDescent="0.3">
      <c r="A465" s="500"/>
      <c r="B465" s="500"/>
      <c r="C465" s="500"/>
      <c r="D465" s="500"/>
      <c r="E465" s="500"/>
      <c r="F465" s="500"/>
      <c r="G465" s="500"/>
      <c r="H465" s="500"/>
      <c r="I465" s="500"/>
      <c r="J465" s="500"/>
      <c r="K465" s="500"/>
      <c r="L465" s="500"/>
      <c r="M465" s="500"/>
      <c r="N465" s="500"/>
      <c r="O465" s="500"/>
      <c r="P465" s="500"/>
      <c r="Q465" s="500"/>
      <c r="R465" s="500"/>
      <c r="S465" s="500"/>
      <c r="T465" s="500"/>
      <c r="U465" s="500"/>
      <c r="V465" s="500"/>
      <c r="W465" s="500"/>
      <c r="X465" s="500"/>
      <c r="Y465" s="500"/>
      <c r="Z465" s="500"/>
    </row>
    <row r="466" spans="1:26" x14ac:dyDescent="0.3">
      <c r="A466" s="500"/>
      <c r="B466" s="500"/>
      <c r="C466" s="500"/>
      <c r="D466" s="500"/>
      <c r="E466" s="500"/>
      <c r="F466" s="500"/>
      <c r="G466" s="500"/>
      <c r="H466" s="500"/>
      <c r="I466" s="500"/>
      <c r="J466" s="500"/>
      <c r="K466" s="500"/>
      <c r="L466" s="500"/>
      <c r="M466" s="500"/>
      <c r="N466" s="500"/>
      <c r="O466" s="500"/>
      <c r="P466" s="500"/>
      <c r="Q466" s="500"/>
      <c r="R466" s="500"/>
      <c r="S466" s="500"/>
      <c r="T466" s="500"/>
      <c r="U466" s="500"/>
      <c r="V466" s="500"/>
      <c r="W466" s="500"/>
      <c r="X466" s="500"/>
      <c r="Y466" s="500"/>
      <c r="Z466" s="500"/>
    </row>
    <row r="467" spans="1:26" x14ac:dyDescent="0.3">
      <c r="A467" s="500"/>
      <c r="B467" s="500"/>
      <c r="C467" s="500"/>
      <c r="D467" s="500"/>
      <c r="E467" s="500"/>
      <c r="F467" s="500"/>
      <c r="G467" s="500"/>
      <c r="H467" s="500"/>
      <c r="I467" s="500"/>
      <c r="J467" s="500"/>
      <c r="K467" s="500"/>
      <c r="L467" s="500"/>
      <c r="M467" s="500"/>
      <c r="N467" s="500"/>
      <c r="O467" s="500"/>
      <c r="P467" s="500"/>
      <c r="Q467" s="500"/>
      <c r="R467" s="500"/>
      <c r="S467" s="500"/>
      <c r="T467" s="500"/>
      <c r="U467" s="500"/>
      <c r="V467" s="500"/>
      <c r="W467" s="500"/>
      <c r="X467" s="500"/>
      <c r="Y467" s="500"/>
      <c r="Z467" s="500"/>
    </row>
    <row r="468" spans="1:26" x14ac:dyDescent="0.3">
      <c r="A468" s="500"/>
      <c r="B468" s="500"/>
      <c r="C468" s="500"/>
      <c r="D468" s="500"/>
      <c r="E468" s="500"/>
      <c r="F468" s="500"/>
      <c r="G468" s="500"/>
      <c r="H468" s="500"/>
      <c r="I468" s="500"/>
      <c r="J468" s="500"/>
      <c r="K468" s="500"/>
      <c r="L468" s="500"/>
      <c r="M468" s="500"/>
      <c r="N468" s="500"/>
      <c r="O468" s="500"/>
      <c r="P468" s="500"/>
      <c r="Q468" s="500"/>
      <c r="R468" s="500"/>
      <c r="S468" s="500"/>
      <c r="T468" s="500"/>
      <c r="U468" s="500"/>
      <c r="V468" s="500"/>
      <c r="W468" s="500"/>
      <c r="X468" s="500"/>
      <c r="Y468" s="500"/>
      <c r="Z468" s="500"/>
    </row>
    <row r="469" spans="1:26" x14ac:dyDescent="0.3">
      <c r="A469" s="500"/>
      <c r="B469" s="500"/>
      <c r="C469" s="500"/>
      <c r="D469" s="500"/>
      <c r="E469" s="500"/>
      <c r="F469" s="500"/>
      <c r="G469" s="500"/>
      <c r="H469" s="500"/>
      <c r="I469" s="500"/>
      <c r="J469" s="500"/>
      <c r="K469" s="500"/>
      <c r="L469" s="500"/>
      <c r="M469" s="500"/>
      <c r="N469" s="500"/>
      <c r="O469" s="500"/>
      <c r="P469" s="500"/>
      <c r="Q469" s="500"/>
      <c r="R469" s="500"/>
      <c r="S469" s="500"/>
      <c r="T469" s="500"/>
      <c r="U469" s="500"/>
      <c r="V469" s="500"/>
      <c r="W469" s="500"/>
      <c r="X469" s="500"/>
      <c r="Y469" s="500"/>
      <c r="Z469" s="500"/>
    </row>
    <row r="470" spans="1:26" x14ac:dyDescent="0.3">
      <c r="A470" s="500"/>
      <c r="B470" s="500"/>
      <c r="C470" s="500"/>
      <c r="D470" s="500"/>
      <c r="E470" s="500"/>
      <c r="F470" s="500"/>
      <c r="G470" s="500"/>
      <c r="H470" s="500"/>
      <c r="I470" s="500"/>
      <c r="J470" s="500"/>
      <c r="K470" s="500"/>
      <c r="L470" s="500"/>
      <c r="M470" s="500"/>
      <c r="N470" s="500"/>
      <c r="O470" s="500"/>
      <c r="P470" s="500"/>
      <c r="Q470" s="500"/>
      <c r="R470" s="500"/>
      <c r="S470" s="500"/>
      <c r="T470" s="500"/>
      <c r="U470" s="500"/>
      <c r="V470" s="500"/>
      <c r="W470" s="500"/>
      <c r="X470" s="500"/>
      <c r="Y470" s="500"/>
      <c r="Z470" s="500"/>
    </row>
    <row r="471" spans="1:26" x14ac:dyDescent="0.3">
      <c r="A471" s="500"/>
      <c r="B471" s="500"/>
      <c r="C471" s="500"/>
      <c r="D471" s="500"/>
      <c r="E471" s="500"/>
      <c r="F471" s="500"/>
      <c r="G471" s="500"/>
      <c r="H471" s="500"/>
      <c r="I471" s="500"/>
      <c r="J471" s="500"/>
      <c r="K471" s="500"/>
      <c r="L471" s="500"/>
      <c r="M471" s="500"/>
      <c r="N471" s="500"/>
      <c r="O471" s="500"/>
      <c r="P471" s="500"/>
      <c r="Q471" s="500"/>
      <c r="R471" s="500"/>
      <c r="S471" s="500"/>
      <c r="T471" s="500"/>
      <c r="U471" s="500"/>
      <c r="V471" s="500"/>
      <c r="W471" s="500"/>
      <c r="X471" s="500"/>
      <c r="Y471" s="500"/>
      <c r="Z471" s="500"/>
    </row>
    <row r="472" spans="1:26" x14ac:dyDescent="0.3">
      <c r="A472" s="500"/>
      <c r="B472" s="500"/>
      <c r="C472" s="500"/>
      <c r="D472" s="500"/>
      <c r="E472" s="500"/>
      <c r="F472" s="500"/>
      <c r="G472" s="500"/>
      <c r="H472" s="500"/>
      <c r="I472" s="500"/>
      <c r="J472" s="500"/>
      <c r="K472" s="500"/>
      <c r="L472" s="500"/>
      <c r="M472" s="500"/>
      <c r="N472" s="500"/>
      <c r="O472" s="500"/>
      <c r="P472" s="500"/>
      <c r="Q472" s="500"/>
      <c r="R472" s="500"/>
      <c r="S472" s="500"/>
      <c r="T472" s="500"/>
      <c r="U472" s="500"/>
      <c r="V472" s="500"/>
      <c r="W472" s="500"/>
      <c r="X472" s="500"/>
      <c r="Y472" s="500"/>
      <c r="Z472" s="500"/>
    </row>
    <row r="473" spans="1:26" x14ac:dyDescent="0.3">
      <c r="A473" s="500"/>
      <c r="B473" s="500"/>
      <c r="C473" s="500"/>
      <c r="D473" s="500"/>
      <c r="E473" s="500"/>
      <c r="F473" s="500"/>
      <c r="G473" s="500"/>
      <c r="H473" s="500"/>
      <c r="I473" s="500"/>
      <c r="J473" s="500"/>
      <c r="K473" s="500"/>
      <c r="L473" s="500"/>
      <c r="M473" s="500"/>
      <c r="N473" s="500"/>
      <c r="O473" s="500"/>
      <c r="P473" s="500"/>
      <c r="Q473" s="500"/>
      <c r="R473" s="500"/>
      <c r="S473" s="500"/>
      <c r="T473" s="500"/>
      <c r="U473" s="500"/>
      <c r="V473" s="500"/>
      <c r="W473" s="500"/>
      <c r="X473" s="500"/>
      <c r="Y473" s="500"/>
      <c r="Z473" s="500"/>
    </row>
    <row r="474" spans="1:26" x14ac:dyDescent="0.3">
      <c r="A474" s="500"/>
      <c r="B474" s="500"/>
      <c r="C474" s="500"/>
      <c r="D474" s="500"/>
      <c r="E474" s="500"/>
      <c r="F474" s="500"/>
      <c r="G474" s="500"/>
      <c r="H474" s="500"/>
      <c r="I474" s="500"/>
      <c r="J474" s="500"/>
      <c r="K474" s="500"/>
      <c r="L474" s="500"/>
      <c r="M474" s="500"/>
      <c r="N474" s="500"/>
      <c r="O474" s="500"/>
      <c r="P474" s="500"/>
      <c r="Q474" s="500"/>
      <c r="R474" s="500"/>
      <c r="S474" s="500"/>
      <c r="T474" s="500"/>
      <c r="U474" s="500"/>
      <c r="V474" s="500"/>
      <c r="W474" s="500"/>
      <c r="X474" s="500"/>
      <c r="Y474" s="500"/>
      <c r="Z474" s="500"/>
    </row>
    <row r="475" spans="1:26" x14ac:dyDescent="0.3">
      <c r="A475" s="500"/>
      <c r="B475" s="500"/>
      <c r="C475" s="500"/>
      <c r="D475" s="500"/>
      <c r="E475" s="500"/>
      <c r="F475" s="500"/>
      <c r="G475" s="500"/>
      <c r="H475" s="500"/>
      <c r="I475" s="500"/>
      <c r="J475" s="500"/>
      <c r="K475" s="500"/>
      <c r="L475" s="500"/>
      <c r="M475" s="500"/>
      <c r="N475" s="500"/>
      <c r="O475" s="500"/>
      <c r="P475" s="500"/>
      <c r="Q475" s="500"/>
      <c r="R475" s="500"/>
      <c r="S475" s="500"/>
      <c r="T475" s="500"/>
      <c r="U475" s="500"/>
      <c r="V475" s="500"/>
      <c r="W475" s="500"/>
      <c r="X475" s="500"/>
      <c r="Y475" s="500"/>
      <c r="Z475" s="500"/>
    </row>
    <row r="476" spans="1:26" x14ac:dyDescent="0.3">
      <c r="A476" s="500"/>
      <c r="B476" s="500"/>
      <c r="C476" s="500"/>
      <c r="D476" s="500"/>
      <c r="E476" s="500"/>
      <c r="F476" s="500"/>
      <c r="G476" s="500"/>
      <c r="H476" s="500"/>
      <c r="I476" s="500"/>
      <c r="J476" s="500"/>
      <c r="K476" s="500"/>
      <c r="L476" s="500"/>
      <c r="M476" s="500"/>
      <c r="N476" s="500"/>
      <c r="O476" s="500"/>
      <c r="P476" s="500"/>
      <c r="Q476" s="500"/>
      <c r="R476" s="500"/>
      <c r="S476" s="500"/>
      <c r="T476" s="500"/>
      <c r="U476" s="500"/>
      <c r="V476" s="500"/>
      <c r="W476" s="500"/>
      <c r="X476" s="500"/>
      <c r="Y476" s="500"/>
      <c r="Z476" s="500"/>
    </row>
    <row r="477" spans="1:26" x14ac:dyDescent="0.3">
      <c r="A477" s="500"/>
      <c r="B477" s="500"/>
      <c r="C477" s="500"/>
      <c r="D477" s="500"/>
      <c r="E477" s="500"/>
      <c r="F477" s="500"/>
      <c r="G477" s="500"/>
      <c r="H477" s="500"/>
      <c r="I477" s="500"/>
      <c r="J477" s="500"/>
      <c r="K477" s="500"/>
      <c r="L477" s="500"/>
      <c r="M477" s="500"/>
      <c r="N477" s="500"/>
      <c r="O477" s="500"/>
      <c r="P477" s="500"/>
      <c r="Q477" s="500"/>
      <c r="R477" s="500"/>
      <c r="S477" s="500"/>
      <c r="T477" s="500"/>
      <c r="U477" s="500"/>
      <c r="V477" s="500"/>
      <c r="W477" s="500"/>
      <c r="X477" s="500"/>
      <c r="Y477" s="500"/>
      <c r="Z477" s="500"/>
    </row>
    <row r="478" spans="1:26" x14ac:dyDescent="0.3">
      <c r="A478" s="500"/>
      <c r="B478" s="500"/>
      <c r="C478" s="500"/>
      <c r="D478" s="500"/>
      <c r="E478" s="500"/>
      <c r="F478" s="500"/>
      <c r="G478" s="500"/>
      <c r="H478" s="500"/>
      <c r="I478" s="500"/>
      <c r="J478" s="500"/>
      <c r="K478" s="500"/>
      <c r="L478" s="500"/>
      <c r="M478" s="500"/>
      <c r="N478" s="500"/>
      <c r="O478" s="500"/>
      <c r="P478" s="500"/>
      <c r="Q478" s="500"/>
      <c r="R478" s="500"/>
      <c r="S478" s="500"/>
      <c r="T478" s="500"/>
      <c r="U478" s="500"/>
      <c r="V478" s="500"/>
      <c r="W478" s="500"/>
      <c r="X478" s="500"/>
      <c r="Y478" s="500"/>
      <c r="Z478" s="500"/>
    </row>
    <row r="479" spans="1:26" x14ac:dyDescent="0.3">
      <c r="A479" s="500"/>
      <c r="B479" s="500"/>
      <c r="C479" s="500"/>
      <c r="D479" s="500"/>
      <c r="E479" s="500"/>
      <c r="F479" s="500"/>
      <c r="G479" s="500"/>
      <c r="H479" s="500"/>
      <c r="I479" s="500"/>
      <c r="J479" s="500"/>
      <c r="K479" s="500"/>
      <c r="L479" s="500"/>
      <c r="M479" s="500"/>
      <c r="N479" s="500"/>
      <c r="O479" s="500"/>
      <c r="P479" s="500"/>
      <c r="Q479" s="500"/>
      <c r="R479" s="500"/>
      <c r="S479" s="500"/>
      <c r="T479" s="500"/>
      <c r="U479" s="500"/>
      <c r="V479" s="500"/>
      <c r="W479" s="500"/>
      <c r="X479" s="500"/>
      <c r="Y479" s="500"/>
      <c r="Z479" s="500"/>
    </row>
    <row r="480" spans="1:26" x14ac:dyDescent="0.3">
      <c r="A480" s="500"/>
      <c r="B480" s="500"/>
      <c r="C480" s="500"/>
      <c r="D480" s="500"/>
      <c r="E480" s="500"/>
      <c r="F480" s="500"/>
      <c r="G480" s="500"/>
      <c r="H480" s="500"/>
      <c r="I480" s="500"/>
      <c r="J480" s="500"/>
      <c r="K480" s="500"/>
      <c r="L480" s="500"/>
      <c r="M480" s="500"/>
      <c r="N480" s="500"/>
      <c r="O480" s="500"/>
      <c r="P480" s="500"/>
      <c r="Q480" s="500"/>
      <c r="R480" s="500"/>
      <c r="S480" s="500"/>
      <c r="T480" s="500"/>
      <c r="U480" s="500"/>
      <c r="V480" s="500"/>
      <c r="W480" s="500"/>
      <c r="X480" s="500"/>
      <c r="Y480" s="500"/>
      <c r="Z480" s="500"/>
    </row>
    <row r="481" spans="1:26" x14ac:dyDescent="0.3">
      <c r="A481" s="500"/>
      <c r="B481" s="500"/>
      <c r="C481" s="500"/>
      <c r="D481" s="500"/>
      <c r="E481" s="500"/>
      <c r="F481" s="500"/>
      <c r="G481" s="500"/>
      <c r="H481" s="500"/>
      <c r="I481" s="500"/>
      <c r="J481" s="500"/>
      <c r="K481" s="500"/>
      <c r="L481" s="500"/>
      <c r="M481" s="500"/>
      <c r="N481" s="500"/>
      <c r="O481" s="500"/>
      <c r="P481" s="500"/>
      <c r="Q481" s="500"/>
      <c r="R481" s="500"/>
      <c r="S481" s="500"/>
      <c r="T481" s="500"/>
      <c r="U481" s="500"/>
      <c r="V481" s="500"/>
      <c r="W481" s="500"/>
      <c r="X481" s="500"/>
      <c r="Y481" s="500"/>
      <c r="Z481" s="500"/>
    </row>
    <row r="482" spans="1:26" x14ac:dyDescent="0.3">
      <c r="A482" s="500"/>
      <c r="B482" s="500"/>
      <c r="C482" s="500"/>
      <c r="D482" s="500"/>
      <c r="E482" s="500"/>
      <c r="F482" s="500"/>
      <c r="G482" s="500"/>
      <c r="H482" s="500"/>
      <c r="I482" s="500"/>
      <c r="J482" s="500"/>
      <c r="K482" s="500"/>
      <c r="L482" s="500"/>
      <c r="M482" s="500"/>
      <c r="N482" s="500"/>
      <c r="O482" s="500"/>
      <c r="P482" s="500"/>
      <c r="Q482" s="500"/>
      <c r="R482" s="500"/>
      <c r="S482" s="500"/>
      <c r="T482" s="500"/>
      <c r="U482" s="500"/>
      <c r="V482" s="500"/>
      <c r="W482" s="500"/>
      <c r="X482" s="500"/>
      <c r="Y482" s="500"/>
      <c r="Z482" s="500"/>
    </row>
    <row r="483" spans="1:26" x14ac:dyDescent="0.3">
      <c r="A483" s="500"/>
      <c r="B483" s="500"/>
      <c r="C483" s="500"/>
      <c r="D483" s="500"/>
      <c r="E483" s="500"/>
      <c r="F483" s="500"/>
      <c r="G483" s="500"/>
      <c r="H483" s="500"/>
      <c r="I483" s="500"/>
      <c r="J483" s="500"/>
      <c r="K483" s="500"/>
      <c r="L483" s="500"/>
      <c r="M483" s="500"/>
      <c r="N483" s="500"/>
      <c r="O483" s="500"/>
      <c r="P483" s="500"/>
      <c r="Q483" s="500"/>
      <c r="R483" s="500"/>
      <c r="S483" s="500"/>
      <c r="T483" s="500"/>
      <c r="U483" s="500"/>
      <c r="V483" s="500"/>
      <c r="W483" s="500"/>
      <c r="X483" s="500"/>
      <c r="Y483" s="500"/>
      <c r="Z483" s="500"/>
    </row>
    <row r="484" spans="1:26" x14ac:dyDescent="0.3">
      <c r="A484" s="500"/>
      <c r="B484" s="500"/>
      <c r="C484" s="500"/>
      <c r="D484" s="500"/>
      <c r="E484" s="500"/>
      <c r="F484" s="500"/>
      <c r="G484" s="500"/>
      <c r="H484" s="500"/>
      <c r="I484" s="500"/>
      <c r="J484" s="500"/>
      <c r="K484" s="500"/>
      <c r="L484" s="500"/>
      <c r="M484" s="500"/>
      <c r="N484" s="500"/>
      <c r="O484" s="500"/>
      <c r="P484" s="500"/>
      <c r="Q484" s="500"/>
      <c r="R484" s="500"/>
      <c r="S484" s="500"/>
      <c r="T484" s="500"/>
      <c r="U484" s="500"/>
      <c r="V484" s="500"/>
      <c r="W484" s="500"/>
      <c r="X484" s="500"/>
      <c r="Y484" s="500"/>
      <c r="Z484" s="500"/>
    </row>
    <row r="485" spans="1:26" x14ac:dyDescent="0.3">
      <c r="A485" s="500"/>
      <c r="B485" s="500"/>
      <c r="C485" s="500"/>
      <c r="D485" s="500"/>
      <c r="E485" s="500"/>
      <c r="F485" s="500"/>
      <c r="G485" s="500"/>
      <c r="H485" s="500"/>
      <c r="I485" s="500"/>
      <c r="J485" s="500"/>
      <c r="K485" s="500"/>
      <c r="L485" s="500"/>
      <c r="M485" s="500"/>
      <c r="N485" s="500"/>
      <c r="O485" s="500"/>
      <c r="P485" s="500"/>
      <c r="Q485" s="500"/>
      <c r="R485" s="500"/>
      <c r="S485" s="500"/>
      <c r="T485" s="500"/>
      <c r="U485" s="500"/>
      <c r="V485" s="500"/>
      <c r="W485" s="500"/>
      <c r="X485" s="500"/>
      <c r="Y485" s="500"/>
      <c r="Z485" s="500"/>
    </row>
    <row r="486" spans="1:26" x14ac:dyDescent="0.3">
      <c r="A486" s="500"/>
      <c r="B486" s="500"/>
      <c r="C486" s="500"/>
      <c r="D486" s="500"/>
      <c r="E486" s="500"/>
      <c r="F486" s="500"/>
      <c r="G486" s="500"/>
      <c r="H486" s="500"/>
      <c r="I486" s="500"/>
      <c r="J486" s="500"/>
      <c r="K486" s="500"/>
      <c r="L486" s="500"/>
      <c r="M486" s="500"/>
      <c r="N486" s="500"/>
      <c r="O486" s="500"/>
      <c r="P486" s="500"/>
      <c r="Q486" s="500"/>
      <c r="R486" s="500"/>
      <c r="S486" s="500"/>
      <c r="T486" s="500"/>
      <c r="U486" s="500"/>
      <c r="V486" s="500"/>
      <c r="W486" s="500"/>
      <c r="X486" s="500"/>
      <c r="Y486" s="500"/>
      <c r="Z486" s="500"/>
    </row>
    <row r="487" spans="1:26" x14ac:dyDescent="0.3">
      <c r="A487" s="500"/>
      <c r="B487" s="500"/>
      <c r="C487" s="500"/>
      <c r="D487" s="500"/>
      <c r="E487" s="500"/>
      <c r="F487" s="500"/>
      <c r="G487" s="500"/>
      <c r="H487" s="500"/>
      <c r="I487" s="500"/>
      <c r="J487" s="500"/>
      <c r="K487" s="500"/>
      <c r="L487" s="500"/>
      <c r="M487" s="500"/>
      <c r="N487" s="500"/>
      <c r="O487" s="500"/>
      <c r="P487" s="500"/>
      <c r="Q487" s="500"/>
      <c r="R487" s="500"/>
      <c r="S487" s="500"/>
      <c r="T487" s="500"/>
      <c r="U487" s="500"/>
      <c r="V487" s="500"/>
      <c r="W487" s="500"/>
      <c r="X487" s="500"/>
      <c r="Y487" s="500"/>
      <c r="Z487" s="500"/>
    </row>
    <row r="488" spans="1:26" x14ac:dyDescent="0.3">
      <c r="A488" s="500"/>
      <c r="B488" s="500"/>
      <c r="C488" s="500"/>
      <c r="D488" s="500"/>
      <c r="E488" s="500"/>
      <c r="F488" s="500"/>
      <c r="G488" s="500"/>
      <c r="H488" s="500"/>
      <c r="I488" s="500"/>
      <c r="J488" s="500"/>
      <c r="K488" s="500"/>
      <c r="L488" s="500"/>
      <c r="M488" s="500"/>
      <c r="N488" s="500"/>
      <c r="O488" s="500"/>
      <c r="P488" s="500"/>
      <c r="Q488" s="500"/>
      <c r="R488" s="500"/>
      <c r="S488" s="500"/>
      <c r="T488" s="500"/>
      <c r="U488" s="500"/>
      <c r="V488" s="500"/>
      <c r="W488" s="500"/>
      <c r="X488" s="500"/>
      <c r="Y488" s="500"/>
      <c r="Z488" s="500"/>
    </row>
    <row r="489" spans="1:26" x14ac:dyDescent="0.3">
      <c r="A489" s="500"/>
      <c r="B489" s="500"/>
      <c r="C489" s="500"/>
      <c r="D489" s="500"/>
      <c r="E489" s="500"/>
      <c r="F489" s="500"/>
      <c r="G489" s="500"/>
      <c r="H489" s="500"/>
      <c r="I489" s="500"/>
      <c r="J489" s="500"/>
      <c r="K489" s="500"/>
      <c r="L489" s="500"/>
      <c r="M489" s="500"/>
      <c r="N489" s="500"/>
      <c r="O489" s="500"/>
      <c r="P489" s="500"/>
      <c r="Q489" s="500"/>
      <c r="R489" s="500"/>
      <c r="S489" s="500"/>
      <c r="T489" s="500"/>
      <c r="U489" s="500"/>
      <c r="V489" s="500"/>
      <c r="W489" s="500"/>
      <c r="X489" s="500"/>
      <c r="Y489" s="500"/>
      <c r="Z489" s="500"/>
    </row>
    <row r="490" spans="1:26" x14ac:dyDescent="0.3">
      <c r="A490" s="500"/>
      <c r="B490" s="500"/>
      <c r="C490" s="500"/>
      <c r="D490" s="500"/>
      <c r="E490" s="500"/>
      <c r="F490" s="500"/>
      <c r="G490" s="500"/>
      <c r="H490" s="500"/>
      <c r="I490" s="500"/>
      <c r="J490" s="500"/>
      <c r="K490" s="500"/>
      <c r="L490" s="500"/>
      <c r="M490" s="500"/>
      <c r="N490" s="500"/>
      <c r="O490" s="500"/>
      <c r="P490" s="500"/>
      <c r="Q490" s="500"/>
      <c r="R490" s="500"/>
      <c r="S490" s="500"/>
      <c r="T490" s="500"/>
      <c r="U490" s="500"/>
      <c r="V490" s="500"/>
      <c r="W490" s="500"/>
      <c r="X490" s="500"/>
      <c r="Y490" s="500"/>
      <c r="Z490" s="500"/>
    </row>
    <row r="491" spans="1:26" x14ac:dyDescent="0.3">
      <c r="A491" s="500"/>
      <c r="B491" s="500"/>
      <c r="C491" s="500"/>
      <c r="D491" s="500"/>
      <c r="E491" s="500"/>
      <c r="F491" s="500"/>
      <c r="G491" s="500"/>
      <c r="H491" s="500"/>
      <c r="I491" s="500"/>
      <c r="J491" s="500"/>
      <c r="K491" s="500"/>
      <c r="L491" s="500"/>
      <c r="M491" s="500"/>
      <c r="N491" s="500"/>
      <c r="O491" s="500"/>
      <c r="P491" s="500"/>
      <c r="Q491" s="500"/>
      <c r="R491" s="500"/>
      <c r="S491" s="500"/>
      <c r="T491" s="500"/>
      <c r="U491" s="500"/>
      <c r="V491" s="500"/>
      <c r="W491" s="500"/>
      <c r="X491" s="500"/>
      <c r="Y491" s="500"/>
      <c r="Z491" s="500"/>
    </row>
    <row r="492" spans="1:26" x14ac:dyDescent="0.3">
      <c r="A492" s="500"/>
      <c r="B492" s="500"/>
      <c r="C492" s="500"/>
      <c r="D492" s="500"/>
      <c r="E492" s="500"/>
      <c r="F492" s="500"/>
      <c r="G492" s="500"/>
      <c r="H492" s="500"/>
      <c r="I492" s="500"/>
      <c r="J492" s="500"/>
      <c r="K492" s="500"/>
      <c r="L492" s="500"/>
      <c r="M492" s="500"/>
      <c r="N492" s="500"/>
      <c r="O492" s="500"/>
      <c r="P492" s="500"/>
      <c r="Q492" s="500"/>
      <c r="R492" s="500"/>
      <c r="S492" s="500"/>
      <c r="T492" s="500"/>
      <c r="U492" s="500"/>
      <c r="V492" s="500"/>
      <c r="W492" s="500"/>
      <c r="X492" s="500"/>
      <c r="Y492" s="500"/>
      <c r="Z492" s="500"/>
    </row>
    <row r="493" spans="1:26" x14ac:dyDescent="0.3">
      <c r="A493" s="500"/>
      <c r="B493" s="500"/>
      <c r="C493" s="500"/>
      <c r="D493" s="500"/>
      <c r="E493" s="500"/>
      <c r="F493" s="500"/>
      <c r="G493" s="500"/>
      <c r="H493" s="500"/>
      <c r="I493" s="500"/>
      <c r="J493" s="500"/>
      <c r="K493" s="500"/>
      <c r="L493" s="500"/>
      <c r="M493" s="500"/>
      <c r="N493" s="500"/>
      <c r="O493" s="500"/>
      <c r="P493" s="500"/>
      <c r="Q493" s="500"/>
      <c r="R493" s="500"/>
      <c r="S493" s="500"/>
      <c r="T493" s="500"/>
      <c r="U493" s="500"/>
      <c r="V493" s="500"/>
      <c r="W493" s="500"/>
      <c r="X493" s="500"/>
      <c r="Y493" s="500"/>
      <c r="Z493" s="500"/>
    </row>
    <row r="494" spans="1:26" x14ac:dyDescent="0.3">
      <c r="A494" s="500"/>
      <c r="B494" s="500"/>
      <c r="C494" s="500"/>
      <c r="D494" s="500"/>
      <c r="E494" s="500"/>
      <c r="F494" s="500"/>
      <c r="G494" s="500"/>
      <c r="H494" s="500"/>
      <c r="I494" s="500"/>
      <c r="J494" s="500"/>
      <c r="K494" s="500"/>
      <c r="L494" s="500"/>
      <c r="M494" s="500"/>
      <c r="N494" s="500"/>
      <c r="O494" s="500"/>
      <c r="P494" s="500"/>
      <c r="Q494" s="500"/>
      <c r="R494" s="500"/>
      <c r="S494" s="500"/>
      <c r="T494" s="500"/>
      <c r="U494" s="500"/>
      <c r="V494" s="500"/>
      <c r="W494" s="500"/>
      <c r="X494" s="500"/>
      <c r="Y494" s="500"/>
      <c r="Z494" s="500"/>
    </row>
    <row r="495" spans="1:26" x14ac:dyDescent="0.3">
      <c r="A495" s="500"/>
      <c r="B495" s="500"/>
      <c r="C495" s="500"/>
      <c r="D495" s="500"/>
      <c r="E495" s="500"/>
      <c r="F495" s="500"/>
      <c r="G495" s="500"/>
      <c r="H495" s="500"/>
      <c r="I495" s="500"/>
      <c r="J495" s="500"/>
      <c r="K495" s="500"/>
      <c r="L495" s="500"/>
      <c r="M495" s="500"/>
      <c r="N495" s="500"/>
      <c r="O495" s="500"/>
      <c r="P495" s="500"/>
      <c r="Q495" s="500"/>
      <c r="R495" s="500"/>
      <c r="S495" s="500"/>
      <c r="T495" s="500"/>
      <c r="U495" s="500"/>
      <c r="V495" s="500"/>
      <c r="W495" s="500"/>
      <c r="X495" s="500"/>
      <c r="Y495" s="500"/>
      <c r="Z495" s="500"/>
    </row>
    <row r="496" spans="1:26" x14ac:dyDescent="0.3">
      <c r="A496" s="500"/>
      <c r="B496" s="500"/>
      <c r="C496" s="500"/>
      <c r="D496" s="500"/>
      <c r="E496" s="500"/>
      <c r="F496" s="500"/>
      <c r="G496" s="500"/>
      <c r="H496" s="500"/>
      <c r="I496" s="500"/>
      <c r="J496" s="500"/>
      <c r="K496" s="500"/>
      <c r="L496" s="500"/>
      <c r="M496" s="500"/>
      <c r="N496" s="500"/>
      <c r="O496" s="500"/>
      <c r="P496" s="500"/>
      <c r="Q496" s="500"/>
      <c r="R496" s="500"/>
      <c r="S496" s="500"/>
      <c r="T496" s="500"/>
      <c r="U496" s="500"/>
      <c r="V496" s="500"/>
      <c r="W496" s="500"/>
      <c r="X496" s="500"/>
      <c r="Y496" s="500"/>
      <c r="Z496" s="500"/>
    </row>
    <row r="497" spans="1:26" x14ac:dyDescent="0.3">
      <c r="A497" s="500"/>
      <c r="B497" s="500"/>
      <c r="C497" s="500"/>
      <c r="D497" s="500"/>
      <c r="E497" s="500"/>
      <c r="F497" s="500"/>
      <c r="G497" s="500"/>
      <c r="H497" s="500"/>
      <c r="I497" s="500"/>
      <c r="J497" s="500"/>
      <c r="K497" s="500"/>
      <c r="L497" s="500"/>
      <c r="M497" s="500"/>
      <c r="N497" s="500"/>
      <c r="O497" s="500"/>
      <c r="P497" s="500"/>
      <c r="Q497" s="500"/>
      <c r="R497" s="500"/>
      <c r="S497" s="500"/>
      <c r="T497" s="500"/>
      <c r="U497" s="500"/>
      <c r="V497" s="500"/>
      <c r="W497" s="500"/>
      <c r="X497" s="500"/>
      <c r="Y497" s="500"/>
      <c r="Z497" s="500"/>
    </row>
    <row r="498" spans="1:26" x14ac:dyDescent="0.3">
      <c r="A498" s="500"/>
      <c r="B498" s="500"/>
      <c r="C498" s="500"/>
      <c r="D498" s="500"/>
      <c r="E498" s="500"/>
      <c r="F498" s="500"/>
      <c r="G498" s="500"/>
      <c r="H498" s="500"/>
      <c r="I498" s="500"/>
      <c r="J498" s="500"/>
      <c r="K498" s="500"/>
      <c r="L498" s="500"/>
      <c r="M498" s="500"/>
      <c r="N498" s="500"/>
      <c r="O498" s="500"/>
      <c r="P498" s="500"/>
      <c r="Q498" s="500"/>
      <c r="R498" s="500"/>
      <c r="S498" s="500"/>
      <c r="T498" s="500"/>
      <c r="U498" s="500"/>
      <c r="V498" s="500"/>
      <c r="W498" s="500"/>
      <c r="X498" s="500"/>
      <c r="Y498" s="500"/>
      <c r="Z498" s="500"/>
    </row>
    <row r="499" spans="1:26" x14ac:dyDescent="0.3">
      <c r="A499" s="500"/>
      <c r="B499" s="500"/>
      <c r="C499" s="500"/>
      <c r="D499" s="500"/>
      <c r="E499" s="500"/>
      <c r="F499" s="500"/>
      <c r="G499" s="500"/>
      <c r="H499" s="500"/>
      <c r="I499" s="500"/>
      <c r="J499" s="500"/>
      <c r="K499" s="500"/>
      <c r="L499" s="500"/>
      <c r="M499" s="500"/>
      <c r="N499" s="500"/>
      <c r="O499" s="500"/>
      <c r="P499" s="500"/>
      <c r="Q499" s="500"/>
      <c r="R499" s="500"/>
      <c r="S499" s="500"/>
      <c r="T499" s="500"/>
      <c r="U499" s="500"/>
      <c r="V499" s="500"/>
      <c r="W499" s="500"/>
      <c r="X499" s="500"/>
      <c r="Y499" s="500"/>
      <c r="Z499" s="500"/>
    </row>
    <row r="500" spans="1:26" x14ac:dyDescent="0.3">
      <c r="A500" s="500"/>
      <c r="B500" s="500"/>
      <c r="C500" s="500"/>
      <c r="D500" s="500"/>
      <c r="E500" s="500"/>
      <c r="F500" s="500"/>
      <c r="G500" s="500"/>
      <c r="H500" s="500"/>
      <c r="I500" s="500"/>
      <c r="J500" s="500"/>
      <c r="K500" s="500"/>
      <c r="L500" s="500"/>
      <c r="M500" s="500"/>
      <c r="N500" s="500"/>
      <c r="O500" s="500"/>
      <c r="P500" s="500"/>
      <c r="Q500" s="500"/>
      <c r="R500" s="500"/>
      <c r="S500" s="500"/>
      <c r="T500" s="500"/>
      <c r="U500" s="500"/>
      <c r="V500" s="500"/>
      <c r="W500" s="500"/>
      <c r="X500" s="500"/>
      <c r="Y500" s="500"/>
      <c r="Z500" s="500"/>
    </row>
    <row r="501" spans="1:26" x14ac:dyDescent="0.3">
      <c r="A501" s="500"/>
      <c r="B501" s="500"/>
      <c r="C501" s="500"/>
      <c r="D501" s="500"/>
      <c r="E501" s="500"/>
      <c r="F501" s="500"/>
      <c r="G501" s="500"/>
      <c r="H501" s="500"/>
      <c r="I501" s="500"/>
      <c r="J501" s="500"/>
      <c r="K501" s="500"/>
      <c r="L501" s="500"/>
      <c r="M501" s="500"/>
      <c r="N501" s="500"/>
      <c r="O501" s="500"/>
      <c r="P501" s="500"/>
      <c r="Q501" s="500"/>
      <c r="R501" s="500"/>
      <c r="S501" s="500"/>
      <c r="T501" s="500"/>
      <c r="U501" s="500"/>
      <c r="V501" s="500"/>
      <c r="W501" s="500"/>
      <c r="X501" s="500"/>
      <c r="Y501" s="500"/>
      <c r="Z501" s="500"/>
    </row>
    <row r="502" spans="1:26" x14ac:dyDescent="0.3">
      <c r="A502" s="500"/>
      <c r="B502" s="500"/>
      <c r="C502" s="500"/>
      <c r="D502" s="500"/>
      <c r="E502" s="500"/>
      <c r="F502" s="500"/>
      <c r="G502" s="500"/>
      <c r="H502" s="500"/>
      <c r="I502" s="500"/>
      <c r="J502" s="500"/>
      <c r="K502" s="500"/>
      <c r="L502" s="500"/>
      <c r="M502" s="500"/>
      <c r="N502" s="500"/>
      <c r="O502" s="500"/>
      <c r="P502" s="500"/>
      <c r="Q502" s="500"/>
      <c r="R502" s="500"/>
      <c r="S502" s="500"/>
      <c r="T502" s="500"/>
      <c r="U502" s="500"/>
      <c r="V502" s="500"/>
      <c r="W502" s="500"/>
      <c r="X502" s="500"/>
      <c r="Y502" s="500"/>
      <c r="Z502" s="500"/>
    </row>
    <row r="503" spans="1:26" x14ac:dyDescent="0.3">
      <c r="A503" s="500"/>
      <c r="B503" s="500"/>
      <c r="C503" s="500"/>
      <c r="D503" s="500"/>
      <c r="E503" s="500"/>
      <c r="F503" s="500"/>
      <c r="G503" s="500"/>
      <c r="H503" s="500"/>
      <c r="I503" s="500"/>
      <c r="J503" s="500"/>
      <c r="K503" s="500"/>
      <c r="L503" s="500"/>
      <c r="M503" s="500"/>
      <c r="N503" s="500"/>
      <c r="O503" s="500"/>
      <c r="P503" s="500"/>
      <c r="Q503" s="500"/>
      <c r="R503" s="500"/>
      <c r="S503" s="500"/>
      <c r="T503" s="500"/>
      <c r="U503" s="500"/>
      <c r="V503" s="500"/>
      <c r="W503" s="500"/>
      <c r="X503" s="500"/>
      <c r="Y503" s="500"/>
      <c r="Z503" s="500"/>
    </row>
    <row r="504" spans="1:26" x14ac:dyDescent="0.3">
      <c r="A504" s="500"/>
      <c r="B504" s="500"/>
      <c r="C504" s="500"/>
      <c r="D504" s="500"/>
      <c r="E504" s="500"/>
      <c r="F504" s="500"/>
      <c r="G504" s="500"/>
      <c r="H504" s="500"/>
      <c r="I504" s="500"/>
      <c r="J504" s="500"/>
      <c r="K504" s="500"/>
      <c r="L504" s="500"/>
      <c r="M504" s="500"/>
      <c r="N504" s="500"/>
      <c r="O504" s="500"/>
      <c r="P504" s="500"/>
      <c r="Q504" s="500"/>
      <c r="R504" s="500"/>
      <c r="S504" s="500"/>
      <c r="T504" s="500"/>
      <c r="U504" s="500"/>
      <c r="V504" s="500"/>
      <c r="W504" s="500"/>
      <c r="X504" s="500"/>
      <c r="Y504" s="500"/>
      <c r="Z504" s="500"/>
    </row>
    <row r="505" spans="1:26" x14ac:dyDescent="0.3">
      <c r="A505" s="500"/>
      <c r="B505" s="500"/>
      <c r="C505" s="500"/>
      <c r="D505" s="500"/>
      <c r="E505" s="500"/>
      <c r="F505" s="500"/>
      <c r="G505" s="500"/>
      <c r="H505" s="500"/>
      <c r="I505" s="500"/>
      <c r="J505" s="500"/>
      <c r="K505" s="500"/>
      <c r="L505" s="500"/>
      <c r="M505" s="500"/>
      <c r="N505" s="500"/>
      <c r="O505" s="500"/>
      <c r="P505" s="500"/>
      <c r="Q505" s="500"/>
      <c r="R505" s="500"/>
      <c r="S505" s="500"/>
      <c r="T505" s="500"/>
      <c r="U505" s="500"/>
      <c r="V505" s="500"/>
      <c r="W505" s="500"/>
      <c r="X505" s="500"/>
      <c r="Y505" s="500"/>
      <c r="Z505" s="500"/>
    </row>
    <row r="506" spans="1:26" x14ac:dyDescent="0.3">
      <c r="A506" s="500"/>
      <c r="B506" s="500"/>
      <c r="C506" s="500"/>
      <c r="D506" s="500"/>
      <c r="E506" s="500"/>
      <c r="F506" s="500"/>
      <c r="G506" s="500"/>
      <c r="H506" s="500"/>
      <c r="I506" s="500"/>
      <c r="J506" s="500"/>
      <c r="K506" s="500"/>
      <c r="L506" s="500"/>
      <c r="M506" s="500"/>
      <c r="N506" s="500"/>
      <c r="O506" s="500"/>
      <c r="P506" s="500"/>
      <c r="Q506" s="500"/>
      <c r="R506" s="500"/>
      <c r="S506" s="500"/>
      <c r="T506" s="500"/>
      <c r="U506" s="500"/>
      <c r="V506" s="500"/>
      <c r="W506" s="500"/>
      <c r="X506" s="500"/>
      <c r="Y506" s="500"/>
      <c r="Z506" s="500"/>
    </row>
    <row r="507" spans="1:26" x14ac:dyDescent="0.3">
      <c r="A507" s="500"/>
      <c r="B507" s="500"/>
      <c r="C507" s="500"/>
      <c r="D507" s="500"/>
      <c r="E507" s="500"/>
      <c r="F507" s="500"/>
      <c r="G507" s="500"/>
      <c r="H507" s="500"/>
      <c r="I507" s="500"/>
      <c r="J507" s="500"/>
      <c r="K507" s="500"/>
      <c r="L507" s="500"/>
      <c r="M507" s="500"/>
      <c r="N507" s="500"/>
      <c r="O507" s="500"/>
      <c r="P507" s="500"/>
      <c r="Q507" s="500"/>
      <c r="R507" s="500"/>
      <c r="S507" s="500"/>
      <c r="T507" s="500"/>
      <c r="U507" s="500"/>
      <c r="V507" s="500"/>
      <c r="W507" s="500"/>
      <c r="X507" s="500"/>
      <c r="Y507" s="500"/>
      <c r="Z507" s="500"/>
    </row>
    <row r="508" spans="1:26" x14ac:dyDescent="0.3">
      <c r="A508" s="500"/>
      <c r="B508" s="500"/>
      <c r="C508" s="500"/>
      <c r="D508" s="500"/>
      <c r="E508" s="500"/>
      <c r="F508" s="500"/>
      <c r="G508" s="500"/>
      <c r="H508" s="500"/>
      <c r="I508" s="500"/>
      <c r="J508" s="500"/>
      <c r="K508" s="500"/>
      <c r="L508" s="500"/>
      <c r="M508" s="500"/>
      <c r="N508" s="500"/>
      <c r="O508" s="500"/>
      <c r="P508" s="500"/>
      <c r="Q508" s="500"/>
      <c r="R508" s="500"/>
      <c r="S508" s="500"/>
      <c r="T508" s="500"/>
      <c r="U508" s="500"/>
      <c r="V508" s="500"/>
      <c r="W508" s="500"/>
      <c r="X508" s="500"/>
      <c r="Y508" s="500"/>
      <c r="Z508" s="500"/>
    </row>
    <row r="509" spans="1:26" x14ac:dyDescent="0.3">
      <c r="A509" s="500"/>
      <c r="B509" s="500"/>
      <c r="C509" s="500"/>
      <c r="D509" s="500"/>
      <c r="E509" s="500"/>
      <c r="F509" s="500"/>
      <c r="G509" s="500"/>
      <c r="H509" s="500"/>
      <c r="I509" s="500"/>
      <c r="J509" s="500"/>
      <c r="K509" s="500"/>
      <c r="L509" s="500"/>
      <c r="M509" s="500"/>
      <c r="N509" s="500"/>
      <c r="O509" s="500"/>
      <c r="P509" s="500"/>
      <c r="Q509" s="500"/>
      <c r="R509" s="500"/>
      <c r="S509" s="500"/>
      <c r="T509" s="500"/>
      <c r="U509" s="500"/>
      <c r="V509" s="500"/>
      <c r="W509" s="500"/>
      <c r="X509" s="500"/>
      <c r="Y509" s="500"/>
      <c r="Z509" s="500"/>
    </row>
    <row r="510" spans="1:26" x14ac:dyDescent="0.3">
      <c r="A510" s="500"/>
      <c r="B510" s="500"/>
      <c r="C510" s="500"/>
      <c r="D510" s="500"/>
      <c r="E510" s="500"/>
      <c r="F510" s="500"/>
      <c r="G510" s="500"/>
      <c r="H510" s="500"/>
      <c r="I510" s="500"/>
      <c r="J510" s="500"/>
      <c r="K510" s="500"/>
      <c r="L510" s="500"/>
      <c r="M510" s="500"/>
      <c r="N510" s="500"/>
      <c r="O510" s="500"/>
      <c r="P510" s="500"/>
      <c r="Q510" s="500"/>
      <c r="R510" s="500"/>
      <c r="S510" s="500"/>
      <c r="T510" s="500"/>
      <c r="U510" s="500"/>
      <c r="V510" s="500"/>
      <c r="W510" s="500"/>
      <c r="X510" s="500"/>
      <c r="Y510" s="500"/>
      <c r="Z510" s="500"/>
    </row>
    <row r="511" spans="1:26" x14ac:dyDescent="0.3">
      <c r="A511" s="500"/>
      <c r="B511" s="500"/>
      <c r="C511" s="500"/>
      <c r="D511" s="500"/>
      <c r="E511" s="500"/>
      <c r="F511" s="500"/>
      <c r="G511" s="500"/>
      <c r="H511" s="500"/>
      <c r="I511" s="500"/>
      <c r="J511" s="500"/>
      <c r="K511" s="500"/>
      <c r="L511" s="500"/>
      <c r="M511" s="500"/>
      <c r="N511" s="500"/>
      <c r="O511" s="500"/>
      <c r="P511" s="500"/>
      <c r="Q511" s="500"/>
      <c r="R511" s="500"/>
      <c r="S511" s="500"/>
      <c r="T511" s="500"/>
      <c r="U511" s="500"/>
      <c r="V511" s="500"/>
      <c r="W511" s="500"/>
      <c r="X511" s="500"/>
      <c r="Y511" s="500"/>
      <c r="Z511" s="500"/>
    </row>
    <row r="512" spans="1:26" x14ac:dyDescent="0.3">
      <c r="A512" s="500"/>
      <c r="B512" s="500"/>
      <c r="C512" s="500"/>
      <c r="D512" s="500"/>
      <c r="E512" s="500"/>
      <c r="F512" s="500"/>
      <c r="G512" s="500"/>
      <c r="H512" s="500"/>
      <c r="I512" s="500"/>
      <c r="J512" s="500"/>
      <c r="K512" s="500"/>
      <c r="L512" s="500"/>
      <c r="M512" s="500"/>
      <c r="N512" s="500"/>
      <c r="O512" s="500"/>
      <c r="P512" s="500"/>
      <c r="Q512" s="500"/>
      <c r="R512" s="500"/>
      <c r="S512" s="500"/>
      <c r="T512" s="500"/>
      <c r="U512" s="500"/>
      <c r="V512" s="500"/>
      <c r="W512" s="500"/>
      <c r="X512" s="500"/>
      <c r="Y512" s="500"/>
      <c r="Z512" s="500"/>
    </row>
    <row r="513" spans="1:26" x14ac:dyDescent="0.3">
      <c r="A513" s="500"/>
      <c r="B513" s="500"/>
      <c r="C513" s="500"/>
      <c r="D513" s="500"/>
      <c r="E513" s="500"/>
      <c r="F513" s="500"/>
      <c r="G513" s="500"/>
      <c r="H513" s="500"/>
      <c r="I513" s="500"/>
      <c r="J513" s="500"/>
      <c r="K513" s="500"/>
      <c r="L513" s="500"/>
      <c r="M513" s="500"/>
      <c r="N513" s="500"/>
      <c r="O513" s="500"/>
      <c r="P513" s="500"/>
      <c r="Q513" s="500"/>
      <c r="R513" s="500"/>
      <c r="S513" s="500"/>
      <c r="T513" s="500"/>
      <c r="U513" s="500"/>
      <c r="V513" s="500"/>
      <c r="W513" s="500"/>
      <c r="X513" s="500"/>
      <c r="Y513" s="500"/>
      <c r="Z513" s="500"/>
    </row>
    <row r="514" spans="1:26" x14ac:dyDescent="0.3">
      <c r="A514" s="500"/>
      <c r="B514" s="500"/>
      <c r="C514" s="500"/>
      <c r="D514" s="500"/>
      <c r="E514" s="500"/>
      <c r="F514" s="500"/>
      <c r="G514" s="500"/>
      <c r="H514" s="500"/>
      <c r="I514" s="500"/>
      <c r="J514" s="500"/>
      <c r="K514" s="500"/>
      <c r="L514" s="500"/>
      <c r="M514" s="500"/>
      <c r="N514" s="500"/>
      <c r="O514" s="500"/>
      <c r="P514" s="500"/>
      <c r="Q514" s="500"/>
      <c r="R514" s="500"/>
      <c r="S514" s="500"/>
      <c r="T514" s="500"/>
      <c r="U514" s="500"/>
      <c r="V514" s="500"/>
      <c r="W514" s="500"/>
      <c r="X514" s="500"/>
      <c r="Y514" s="500"/>
      <c r="Z514" s="500"/>
    </row>
    <row r="515" spans="1:26" x14ac:dyDescent="0.3">
      <c r="A515" s="500"/>
      <c r="B515" s="500"/>
      <c r="C515" s="500"/>
      <c r="D515" s="500"/>
      <c r="E515" s="500"/>
      <c r="F515" s="500"/>
      <c r="G515" s="500"/>
      <c r="H515" s="500"/>
      <c r="I515" s="500"/>
      <c r="J515" s="500"/>
      <c r="K515" s="500"/>
      <c r="L515" s="500"/>
      <c r="M515" s="500"/>
      <c r="N515" s="500"/>
      <c r="O515" s="500"/>
      <c r="P515" s="500"/>
      <c r="Q515" s="500"/>
      <c r="R515" s="500"/>
      <c r="S515" s="500"/>
      <c r="T515" s="500"/>
      <c r="U515" s="500"/>
      <c r="V515" s="500"/>
      <c r="W515" s="500"/>
      <c r="X515" s="500"/>
      <c r="Y515" s="500"/>
      <c r="Z515" s="500"/>
    </row>
    <row r="516" spans="1:26" x14ac:dyDescent="0.3">
      <c r="A516" s="500"/>
      <c r="B516" s="500"/>
      <c r="C516" s="500"/>
      <c r="D516" s="500"/>
      <c r="E516" s="500"/>
      <c r="F516" s="500"/>
      <c r="G516" s="500"/>
      <c r="H516" s="500"/>
      <c r="I516" s="500"/>
      <c r="J516" s="500"/>
      <c r="K516" s="500"/>
      <c r="L516" s="500"/>
      <c r="M516" s="500"/>
      <c r="N516" s="500"/>
      <c r="O516" s="500"/>
      <c r="P516" s="500"/>
      <c r="Q516" s="500"/>
      <c r="R516" s="500"/>
      <c r="S516" s="500"/>
      <c r="T516" s="500"/>
      <c r="U516" s="500"/>
      <c r="V516" s="500"/>
      <c r="W516" s="500"/>
      <c r="X516" s="500"/>
      <c r="Y516" s="500"/>
      <c r="Z516" s="500"/>
    </row>
    <row r="517" spans="1:26" x14ac:dyDescent="0.3">
      <c r="A517" s="500"/>
      <c r="B517" s="500"/>
      <c r="C517" s="500"/>
      <c r="D517" s="500"/>
      <c r="E517" s="500"/>
      <c r="F517" s="500"/>
      <c r="G517" s="500"/>
      <c r="H517" s="500"/>
      <c r="I517" s="500"/>
      <c r="J517" s="500"/>
      <c r="K517" s="500"/>
      <c r="L517" s="500"/>
      <c r="M517" s="500"/>
      <c r="N517" s="500"/>
      <c r="O517" s="500"/>
      <c r="P517" s="500"/>
      <c r="Q517" s="500"/>
      <c r="R517" s="500"/>
      <c r="S517" s="500"/>
      <c r="T517" s="500"/>
      <c r="U517" s="500"/>
      <c r="V517" s="500"/>
      <c r="W517" s="500"/>
      <c r="X517" s="500"/>
      <c r="Y517" s="500"/>
      <c r="Z517" s="500"/>
    </row>
    <row r="518" spans="1:26" x14ac:dyDescent="0.3">
      <c r="A518" s="500"/>
      <c r="B518" s="500"/>
      <c r="C518" s="500"/>
      <c r="D518" s="500"/>
      <c r="E518" s="500"/>
      <c r="F518" s="500"/>
      <c r="G518" s="500"/>
      <c r="H518" s="500"/>
      <c r="I518" s="500"/>
      <c r="J518" s="500"/>
      <c r="K518" s="500"/>
      <c r="L518" s="500"/>
      <c r="M518" s="500"/>
      <c r="N518" s="500"/>
      <c r="O518" s="500"/>
      <c r="P518" s="500"/>
      <c r="Q518" s="500"/>
      <c r="R518" s="500"/>
      <c r="S518" s="500"/>
      <c r="T518" s="500"/>
      <c r="U518" s="500"/>
      <c r="V518" s="500"/>
      <c r="W518" s="500"/>
      <c r="X518" s="500"/>
      <c r="Y518" s="500"/>
      <c r="Z518" s="500"/>
    </row>
    <row r="519" spans="1:26" x14ac:dyDescent="0.3">
      <c r="A519" s="500"/>
      <c r="B519" s="500"/>
      <c r="C519" s="500"/>
      <c r="D519" s="500"/>
      <c r="E519" s="500"/>
      <c r="F519" s="500"/>
      <c r="G519" s="500"/>
      <c r="H519" s="500"/>
      <c r="I519" s="500"/>
      <c r="J519" s="500"/>
      <c r="K519" s="500"/>
      <c r="L519" s="500"/>
      <c r="M519" s="500"/>
      <c r="N519" s="500"/>
      <c r="O519" s="500"/>
      <c r="P519" s="500"/>
      <c r="Q519" s="500"/>
      <c r="R519" s="500"/>
      <c r="S519" s="500"/>
      <c r="T519" s="500"/>
      <c r="U519" s="500"/>
      <c r="V519" s="500"/>
      <c r="W519" s="500"/>
      <c r="X519" s="500"/>
      <c r="Y519" s="500"/>
      <c r="Z519" s="500"/>
    </row>
    <row r="520" spans="1:26" x14ac:dyDescent="0.3">
      <c r="A520" s="500"/>
      <c r="B520" s="500"/>
      <c r="C520" s="500"/>
      <c r="D520" s="500"/>
      <c r="E520" s="500"/>
      <c r="F520" s="500"/>
      <c r="G520" s="500"/>
      <c r="H520" s="500"/>
      <c r="I520" s="500"/>
      <c r="J520" s="500"/>
      <c r="K520" s="500"/>
      <c r="L520" s="500"/>
      <c r="M520" s="500"/>
      <c r="N520" s="500"/>
      <c r="O520" s="500"/>
      <c r="P520" s="500"/>
      <c r="Q520" s="500"/>
      <c r="R520" s="500"/>
      <c r="S520" s="500"/>
      <c r="T520" s="500"/>
      <c r="U520" s="500"/>
      <c r="V520" s="500"/>
      <c r="W520" s="500"/>
      <c r="X520" s="500"/>
      <c r="Y520" s="500"/>
      <c r="Z520" s="500"/>
    </row>
    <row r="521" spans="1:26" x14ac:dyDescent="0.3">
      <c r="A521" s="500"/>
      <c r="B521" s="500"/>
      <c r="C521" s="500"/>
      <c r="D521" s="500"/>
      <c r="E521" s="500"/>
      <c r="F521" s="500"/>
      <c r="G521" s="500"/>
      <c r="H521" s="500"/>
      <c r="I521" s="500"/>
      <c r="J521" s="500"/>
      <c r="K521" s="500"/>
      <c r="L521" s="500"/>
      <c r="M521" s="500"/>
      <c r="N521" s="500"/>
      <c r="O521" s="500"/>
      <c r="P521" s="500"/>
      <c r="Q521" s="500"/>
      <c r="R521" s="500"/>
      <c r="S521" s="500"/>
      <c r="T521" s="500"/>
      <c r="U521" s="500"/>
      <c r="V521" s="500"/>
      <c r="W521" s="500"/>
      <c r="X521" s="500"/>
      <c r="Y521" s="500"/>
      <c r="Z521" s="500"/>
    </row>
    <row r="522" spans="1:26" x14ac:dyDescent="0.3">
      <c r="A522" s="500"/>
      <c r="B522" s="500"/>
      <c r="C522" s="500"/>
      <c r="D522" s="500"/>
      <c r="E522" s="500"/>
      <c r="F522" s="500"/>
      <c r="G522" s="500"/>
      <c r="H522" s="500"/>
      <c r="I522" s="500"/>
      <c r="J522" s="500"/>
      <c r="K522" s="500"/>
      <c r="L522" s="500"/>
      <c r="M522" s="500"/>
      <c r="N522" s="500"/>
      <c r="O522" s="500"/>
      <c r="P522" s="500"/>
      <c r="Q522" s="500"/>
      <c r="R522" s="500"/>
      <c r="S522" s="500"/>
      <c r="T522" s="500"/>
      <c r="U522" s="500"/>
      <c r="V522" s="500"/>
      <c r="W522" s="500"/>
      <c r="X522" s="500"/>
      <c r="Y522" s="500"/>
      <c r="Z522" s="500"/>
    </row>
    <row r="523" spans="1:26" x14ac:dyDescent="0.3">
      <c r="A523" s="500"/>
      <c r="B523" s="500"/>
      <c r="C523" s="500"/>
      <c r="D523" s="500"/>
      <c r="E523" s="500"/>
      <c r="F523" s="500"/>
      <c r="G523" s="500"/>
      <c r="H523" s="500"/>
      <c r="I523" s="500"/>
      <c r="J523" s="500"/>
      <c r="K523" s="500"/>
      <c r="L523" s="500"/>
      <c r="M523" s="500"/>
      <c r="N523" s="500"/>
      <c r="O523" s="500"/>
      <c r="P523" s="500"/>
      <c r="Q523" s="500"/>
      <c r="R523" s="500"/>
      <c r="S523" s="500"/>
      <c r="T523" s="500"/>
      <c r="U523" s="500"/>
      <c r="V523" s="500"/>
      <c r="W523" s="500"/>
      <c r="X523" s="500"/>
      <c r="Y523" s="500"/>
      <c r="Z523" s="500"/>
    </row>
    <row r="524" spans="1:26" x14ac:dyDescent="0.3">
      <c r="A524" s="500"/>
      <c r="B524" s="500"/>
      <c r="C524" s="500"/>
      <c r="D524" s="500"/>
      <c r="E524" s="500"/>
      <c r="F524" s="500"/>
      <c r="G524" s="500"/>
      <c r="H524" s="500"/>
      <c r="I524" s="500"/>
      <c r="J524" s="500"/>
      <c r="K524" s="500"/>
      <c r="L524" s="500"/>
      <c r="M524" s="500"/>
      <c r="N524" s="500"/>
      <c r="O524" s="500"/>
      <c r="P524" s="500"/>
      <c r="Q524" s="500"/>
      <c r="R524" s="500"/>
      <c r="S524" s="500"/>
      <c r="T524" s="500"/>
      <c r="U524" s="500"/>
      <c r="V524" s="500"/>
      <c r="W524" s="500"/>
      <c r="X524" s="500"/>
      <c r="Y524" s="500"/>
      <c r="Z524" s="500"/>
    </row>
    <row r="525" spans="1:26" x14ac:dyDescent="0.3">
      <c r="A525" s="500"/>
      <c r="B525" s="500"/>
      <c r="C525" s="500"/>
      <c r="D525" s="500"/>
      <c r="E525" s="500"/>
      <c r="F525" s="500"/>
      <c r="G525" s="500"/>
      <c r="H525" s="500"/>
      <c r="I525" s="500"/>
      <c r="J525" s="500"/>
      <c r="K525" s="500"/>
      <c r="L525" s="500"/>
      <c r="M525" s="500"/>
      <c r="N525" s="500"/>
      <c r="O525" s="500"/>
      <c r="P525" s="500"/>
      <c r="Q525" s="500"/>
      <c r="R525" s="500"/>
      <c r="S525" s="500"/>
      <c r="T525" s="500"/>
      <c r="U525" s="500"/>
      <c r="V525" s="500"/>
      <c r="W525" s="500"/>
      <c r="X525" s="500"/>
      <c r="Y525" s="500"/>
      <c r="Z525" s="500"/>
    </row>
    <row r="526" spans="1:26" x14ac:dyDescent="0.3">
      <c r="A526" s="500"/>
      <c r="B526" s="500"/>
      <c r="C526" s="500"/>
      <c r="D526" s="500"/>
      <c r="E526" s="500"/>
      <c r="F526" s="500"/>
      <c r="G526" s="500"/>
      <c r="H526" s="500"/>
      <c r="I526" s="500"/>
      <c r="J526" s="500"/>
      <c r="K526" s="500"/>
      <c r="L526" s="500"/>
      <c r="M526" s="500"/>
      <c r="N526" s="500"/>
      <c r="O526" s="500"/>
      <c r="P526" s="500"/>
      <c r="Q526" s="500"/>
      <c r="R526" s="500"/>
      <c r="S526" s="500"/>
      <c r="T526" s="500"/>
      <c r="U526" s="500"/>
      <c r="V526" s="500"/>
      <c r="W526" s="500"/>
      <c r="X526" s="500"/>
      <c r="Y526" s="500"/>
      <c r="Z526" s="500"/>
    </row>
    <row r="527" spans="1:26" x14ac:dyDescent="0.3">
      <c r="A527" s="500"/>
      <c r="B527" s="500"/>
      <c r="C527" s="500"/>
      <c r="D527" s="500"/>
      <c r="E527" s="500"/>
      <c r="F527" s="500"/>
      <c r="G527" s="500"/>
      <c r="H527" s="500"/>
      <c r="I527" s="500"/>
      <c r="J527" s="500"/>
      <c r="K527" s="500"/>
      <c r="L527" s="500"/>
      <c r="M527" s="500"/>
      <c r="N527" s="500"/>
      <c r="O527" s="500"/>
      <c r="P527" s="500"/>
      <c r="Q527" s="500"/>
      <c r="R527" s="500"/>
      <c r="S527" s="500"/>
      <c r="T527" s="500"/>
      <c r="U527" s="500"/>
      <c r="V527" s="500"/>
      <c r="W527" s="500"/>
      <c r="X527" s="500"/>
      <c r="Y527" s="500"/>
      <c r="Z527" s="500"/>
    </row>
    <row r="528" spans="1:26" x14ac:dyDescent="0.3">
      <c r="A528" s="500"/>
      <c r="B528" s="500"/>
      <c r="C528" s="500"/>
      <c r="D528" s="500"/>
      <c r="E528" s="500"/>
      <c r="F528" s="500"/>
      <c r="G528" s="500"/>
      <c r="H528" s="500"/>
      <c r="I528" s="500"/>
      <c r="J528" s="500"/>
      <c r="K528" s="500"/>
      <c r="L528" s="500"/>
      <c r="M528" s="500"/>
      <c r="N528" s="500"/>
      <c r="O528" s="500"/>
      <c r="P528" s="500"/>
      <c r="Q528" s="500"/>
      <c r="R528" s="500"/>
      <c r="S528" s="500"/>
      <c r="T528" s="500"/>
      <c r="U528" s="500"/>
      <c r="V528" s="500"/>
      <c r="W528" s="500"/>
      <c r="X528" s="500"/>
      <c r="Y528" s="500"/>
      <c r="Z528" s="500"/>
    </row>
    <row r="529" spans="1:26" x14ac:dyDescent="0.3">
      <c r="A529" s="500"/>
      <c r="B529" s="500"/>
      <c r="C529" s="500"/>
      <c r="D529" s="500"/>
      <c r="E529" s="500"/>
      <c r="F529" s="500"/>
      <c r="G529" s="500"/>
      <c r="H529" s="500"/>
      <c r="I529" s="500"/>
      <c r="J529" s="500"/>
      <c r="K529" s="500"/>
      <c r="L529" s="500"/>
      <c r="M529" s="500"/>
      <c r="N529" s="500"/>
      <c r="O529" s="500"/>
      <c r="P529" s="500"/>
      <c r="Q529" s="500"/>
      <c r="R529" s="500"/>
      <c r="S529" s="500"/>
      <c r="T529" s="500"/>
      <c r="U529" s="500"/>
      <c r="V529" s="500"/>
      <c r="W529" s="500"/>
      <c r="X529" s="500"/>
      <c r="Y529" s="500"/>
      <c r="Z529" s="500"/>
    </row>
    <row r="530" spans="1:26" x14ac:dyDescent="0.3">
      <c r="A530" s="500"/>
      <c r="B530" s="500"/>
      <c r="C530" s="500"/>
      <c r="D530" s="500"/>
      <c r="E530" s="500"/>
      <c r="F530" s="500"/>
      <c r="G530" s="500"/>
      <c r="H530" s="500"/>
      <c r="I530" s="500"/>
      <c r="J530" s="500"/>
      <c r="K530" s="500"/>
      <c r="L530" s="500"/>
      <c r="M530" s="500"/>
      <c r="N530" s="500"/>
      <c r="O530" s="500"/>
      <c r="P530" s="500"/>
      <c r="Q530" s="500"/>
      <c r="R530" s="500"/>
      <c r="S530" s="500"/>
      <c r="T530" s="500"/>
      <c r="U530" s="500"/>
      <c r="V530" s="500"/>
      <c r="W530" s="500"/>
      <c r="X530" s="500"/>
      <c r="Y530" s="500"/>
      <c r="Z530" s="500"/>
    </row>
    <row r="531" spans="1:26" x14ac:dyDescent="0.3">
      <c r="A531" s="500"/>
      <c r="B531" s="500"/>
      <c r="C531" s="500"/>
      <c r="D531" s="500"/>
      <c r="E531" s="500"/>
      <c r="F531" s="500"/>
      <c r="G531" s="500"/>
      <c r="H531" s="500"/>
      <c r="I531" s="500"/>
      <c r="J531" s="500"/>
      <c r="K531" s="500"/>
      <c r="L531" s="500"/>
      <c r="M531" s="500"/>
      <c r="N531" s="500"/>
      <c r="O531" s="500"/>
      <c r="P531" s="500"/>
      <c r="Q531" s="500"/>
      <c r="R531" s="500"/>
      <c r="S531" s="500"/>
      <c r="T531" s="500"/>
      <c r="U531" s="500"/>
      <c r="V531" s="500"/>
      <c r="W531" s="500"/>
      <c r="X531" s="500"/>
      <c r="Y531" s="500"/>
      <c r="Z531" s="500"/>
    </row>
    <row r="532" spans="1:26" x14ac:dyDescent="0.3">
      <c r="A532" s="500"/>
      <c r="B532" s="500"/>
      <c r="C532" s="500"/>
      <c r="D532" s="500"/>
      <c r="E532" s="500"/>
      <c r="F532" s="500"/>
      <c r="G532" s="500"/>
      <c r="H532" s="500"/>
      <c r="I532" s="500"/>
      <c r="J532" s="500"/>
      <c r="K532" s="500"/>
      <c r="L532" s="500"/>
      <c r="M532" s="500"/>
      <c r="N532" s="500"/>
      <c r="O532" s="500"/>
      <c r="P532" s="500"/>
      <c r="Q532" s="500"/>
      <c r="R532" s="500"/>
      <c r="S532" s="500"/>
      <c r="T532" s="500"/>
      <c r="U532" s="500"/>
      <c r="V532" s="500"/>
      <c r="W532" s="500"/>
      <c r="X532" s="500"/>
      <c r="Y532" s="500"/>
      <c r="Z532" s="500"/>
    </row>
    <row r="533" spans="1:26" x14ac:dyDescent="0.3">
      <c r="A533" s="500"/>
      <c r="B533" s="500"/>
      <c r="C533" s="500"/>
      <c r="D533" s="500"/>
      <c r="E533" s="500"/>
      <c r="F533" s="500"/>
      <c r="G533" s="500"/>
      <c r="H533" s="500"/>
      <c r="I533" s="500"/>
      <c r="J533" s="500"/>
      <c r="K533" s="500"/>
      <c r="L533" s="500"/>
      <c r="M533" s="500"/>
      <c r="N533" s="500"/>
      <c r="O533" s="500"/>
      <c r="P533" s="500"/>
      <c r="Q533" s="500"/>
      <c r="R533" s="500"/>
      <c r="S533" s="500"/>
      <c r="T533" s="500"/>
      <c r="U533" s="500"/>
      <c r="V533" s="500"/>
      <c r="W533" s="500"/>
      <c r="X533" s="500"/>
      <c r="Y533" s="500"/>
      <c r="Z533" s="500"/>
    </row>
    <row r="534" spans="1:26" x14ac:dyDescent="0.3">
      <c r="A534" s="500"/>
      <c r="B534" s="500"/>
      <c r="C534" s="500"/>
      <c r="D534" s="500"/>
      <c r="E534" s="500"/>
      <c r="F534" s="500"/>
      <c r="G534" s="500"/>
      <c r="H534" s="500"/>
      <c r="I534" s="500"/>
      <c r="J534" s="500"/>
      <c r="K534" s="500"/>
      <c r="L534" s="500"/>
      <c r="M534" s="500"/>
      <c r="N534" s="500"/>
      <c r="O534" s="500"/>
      <c r="P534" s="500"/>
      <c r="Q534" s="500"/>
      <c r="R534" s="500"/>
      <c r="S534" s="500"/>
      <c r="T534" s="500"/>
      <c r="U534" s="500"/>
      <c r="V534" s="500"/>
      <c r="W534" s="500"/>
      <c r="X534" s="500"/>
      <c r="Y534" s="500"/>
      <c r="Z534" s="500"/>
    </row>
    <row r="535" spans="1:26" x14ac:dyDescent="0.3">
      <c r="A535" s="500"/>
      <c r="B535" s="500"/>
      <c r="C535" s="500"/>
      <c r="D535" s="500"/>
      <c r="E535" s="500"/>
      <c r="F535" s="500"/>
      <c r="G535" s="500"/>
      <c r="H535" s="500"/>
      <c r="I535" s="500"/>
      <c r="J535" s="500"/>
      <c r="K535" s="500"/>
      <c r="L535" s="500"/>
      <c r="M535" s="500"/>
      <c r="N535" s="500"/>
      <c r="O535" s="500"/>
      <c r="P535" s="500"/>
      <c r="Q535" s="500"/>
      <c r="R535" s="500"/>
      <c r="S535" s="500"/>
      <c r="T535" s="500"/>
      <c r="U535" s="500"/>
      <c r="V535" s="500"/>
      <c r="W535" s="500"/>
      <c r="X535" s="500"/>
      <c r="Y535" s="500"/>
      <c r="Z535" s="500"/>
    </row>
    <row r="536" spans="1:26" x14ac:dyDescent="0.3">
      <c r="A536" s="500"/>
      <c r="B536" s="500"/>
      <c r="C536" s="500"/>
      <c r="D536" s="500"/>
      <c r="E536" s="500"/>
      <c r="F536" s="500"/>
      <c r="G536" s="500"/>
      <c r="H536" s="500"/>
      <c r="I536" s="500"/>
      <c r="J536" s="500"/>
      <c r="K536" s="500"/>
      <c r="L536" s="500"/>
      <c r="M536" s="500"/>
      <c r="N536" s="500"/>
      <c r="O536" s="500"/>
      <c r="P536" s="500"/>
      <c r="Q536" s="500"/>
      <c r="R536" s="500"/>
      <c r="S536" s="500"/>
      <c r="T536" s="500"/>
      <c r="U536" s="500"/>
      <c r="V536" s="500"/>
      <c r="W536" s="500"/>
      <c r="X536" s="500"/>
      <c r="Y536" s="500"/>
      <c r="Z536" s="500"/>
    </row>
    <row r="537" spans="1:26" x14ac:dyDescent="0.3">
      <c r="A537" s="500"/>
      <c r="B537" s="500"/>
      <c r="C537" s="500"/>
      <c r="D537" s="500"/>
      <c r="E537" s="500"/>
      <c r="F537" s="500"/>
      <c r="G537" s="500"/>
      <c r="H537" s="500"/>
      <c r="I537" s="500"/>
      <c r="J537" s="500"/>
      <c r="K537" s="500"/>
      <c r="L537" s="500"/>
      <c r="M537" s="500"/>
      <c r="N537" s="500"/>
      <c r="O537" s="500"/>
      <c r="P537" s="500"/>
      <c r="Q537" s="500"/>
      <c r="R537" s="500"/>
      <c r="S537" s="500"/>
      <c r="T537" s="500"/>
      <c r="U537" s="500"/>
      <c r="V537" s="500"/>
      <c r="W537" s="500"/>
      <c r="X537" s="500"/>
      <c r="Y537" s="500"/>
      <c r="Z537" s="500"/>
    </row>
    <row r="538" spans="1:26" x14ac:dyDescent="0.3">
      <c r="A538" s="500"/>
      <c r="B538" s="500"/>
      <c r="C538" s="500"/>
      <c r="D538" s="500"/>
      <c r="E538" s="500"/>
      <c r="F538" s="500"/>
      <c r="G538" s="500"/>
      <c r="H538" s="500"/>
      <c r="I538" s="500"/>
      <c r="J538" s="500"/>
      <c r="K538" s="500"/>
      <c r="L538" s="500"/>
      <c r="M538" s="500"/>
      <c r="N538" s="500"/>
      <c r="O538" s="500"/>
      <c r="P538" s="500"/>
      <c r="Q538" s="500"/>
      <c r="R538" s="500"/>
      <c r="S538" s="500"/>
      <c r="T538" s="500"/>
      <c r="U538" s="500"/>
      <c r="V538" s="500"/>
      <c r="W538" s="500"/>
      <c r="X538" s="500"/>
      <c r="Y538" s="500"/>
      <c r="Z538" s="500"/>
    </row>
    <row r="539" spans="1:26" x14ac:dyDescent="0.3">
      <c r="A539" s="500"/>
      <c r="B539" s="500"/>
      <c r="C539" s="500"/>
      <c r="D539" s="500"/>
      <c r="E539" s="500"/>
      <c r="F539" s="500"/>
      <c r="G539" s="500"/>
      <c r="H539" s="500"/>
      <c r="I539" s="500"/>
      <c r="J539" s="500"/>
      <c r="K539" s="500"/>
      <c r="L539" s="500"/>
      <c r="M539" s="500"/>
      <c r="N539" s="500"/>
      <c r="O539" s="500"/>
      <c r="P539" s="500"/>
      <c r="Q539" s="500"/>
      <c r="R539" s="500"/>
      <c r="S539" s="500"/>
      <c r="T539" s="500"/>
      <c r="U539" s="500"/>
      <c r="V539" s="500"/>
      <c r="W539" s="500"/>
      <c r="X539" s="500"/>
      <c r="Y539" s="500"/>
      <c r="Z539" s="500"/>
    </row>
    <row r="540" spans="1:26" x14ac:dyDescent="0.3">
      <c r="A540" s="500"/>
      <c r="B540" s="500"/>
      <c r="C540" s="500"/>
      <c r="D540" s="500"/>
      <c r="E540" s="500"/>
      <c r="F540" s="500"/>
      <c r="G540" s="500"/>
      <c r="H540" s="500"/>
      <c r="I540" s="500"/>
      <c r="J540" s="500"/>
      <c r="K540" s="500"/>
      <c r="L540" s="500"/>
      <c r="M540" s="500"/>
      <c r="N540" s="500"/>
      <c r="O540" s="500"/>
      <c r="P540" s="500"/>
      <c r="Q540" s="500"/>
      <c r="R540" s="500"/>
      <c r="S540" s="500"/>
      <c r="T540" s="500"/>
      <c r="U540" s="500"/>
      <c r="V540" s="500"/>
      <c r="W540" s="500"/>
      <c r="X540" s="500"/>
      <c r="Y540" s="500"/>
      <c r="Z540" s="500"/>
    </row>
    <row r="541" spans="1:26" x14ac:dyDescent="0.3">
      <c r="A541" s="500"/>
      <c r="B541" s="500"/>
      <c r="C541" s="500"/>
      <c r="D541" s="500"/>
      <c r="E541" s="500"/>
      <c r="F541" s="500"/>
      <c r="G541" s="500"/>
      <c r="H541" s="500"/>
      <c r="I541" s="500"/>
      <c r="J541" s="500"/>
      <c r="K541" s="500"/>
      <c r="L541" s="500"/>
      <c r="M541" s="500"/>
      <c r="N541" s="500"/>
      <c r="O541" s="500"/>
      <c r="P541" s="500"/>
      <c r="Q541" s="500"/>
      <c r="R541" s="500"/>
      <c r="S541" s="500"/>
      <c r="T541" s="500"/>
      <c r="U541" s="500"/>
      <c r="V541" s="500"/>
      <c r="W541" s="500"/>
      <c r="X541" s="500"/>
      <c r="Y541" s="500"/>
      <c r="Z541" s="500"/>
    </row>
    <row r="542" spans="1:26" x14ac:dyDescent="0.3">
      <c r="A542" s="500"/>
      <c r="B542" s="500"/>
      <c r="C542" s="500"/>
      <c r="D542" s="500"/>
      <c r="E542" s="500"/>
      <c r="F542" s="500"/>
      <c r="G542" s="500"/>
      <c r="H542" s="500"/>
      <c r="I542" s="500"/>
      <c r="J542" s="500"/>
      <c r="K542" s="500"/>
      <c r="L542" s="500"/>
      <c r="M542" s="500"/>
      <c r="N542" s="500"/>
      <c r="O542" s="500"/>
      <c r="P542" s="500"/>
      <c r="Q542" s="500"/>
      <c r="R542" s="500"/>
      <c r="S542" s="500"/>
      <c r="T542" s="500"/>
      <c r="U542" s="500"/>
      <c r="V542" s="500"/>
      <c r="W542" s="500"/>
      <c r="X542" s="500"/>
      <c r="Y542" s="500"/>
      <c r="Z542" s="500"/>
    </row>
    <row r="543" spans="1:26" x14ac:dyDescent="0.3">
      <c r="A543" s="500"/>
      <c r="B543" s="500"/>
      <c r="C543" s="500"/>
      <c r="D543" s="500"/>
      <c r="E543" s="500"/>
      <c r="F543" s="500"/>
      <c r="G543" s="500"/>
      <c r="H543" s="500"/>
      <c r="I543" s="500"/>
      <c r="J543" s="500"/>
      <c r="K543" s="500"/>
      <c r="L543" s="500"/>
      <c r="M543" s="500"/>
      <c r="N543" s="500"/>
      <c r="O543" s="500"/>
      <c r="P543" s="500"/>
      <c r="Q543" s="500"/>
      <c r="R543" s="500"/>
      <c r="S543" s="500"/>
      <c r="T543" s="500"/>
      <c r="U543" s="500"/>
      <c r="V543" s="500"/>
      <c r="W543" s="500"/>
      <c r="X543" s="500"/>
      <c r="Y543" s="500"/>
      <c r="Z543" s="500"/>
    </row>
    <row r="544" spans="1:26" x14ac:dyDescent="0.3">
      <c r="A544" s="500"/>
      <c r="B544" s="500"/>
      <c r="C544" s="500"/>
      <c r="D544" s="500"/>
      <c r="E544" s="500"/>
      <c r="F544" s="500"/>
      <c r="G544" s="500"/>
      <c r="H544" s="500"/>
      <c r="I544" s="500"/>
      <c r="J544" s="500"/>
      <c r="K544" s="500"/>
      <c r="L544" s="500"/>
      <c r="M544" s="500"/>
      <c r="N544" s="500"/>
      <c r="O544" s="500"/>
      <c r="P544" s="500"/>
      <c r="Q544" s="500"/>
      <c r="R544" s="500"/>
      <c r="S544" s="500"/>
      <c r="T544" s="500"/>
      <c r="U544" s="500"/>
      <c r="V544" s="500"/>
      <c r="W544" s="500"/>
      <c r="X544" s="500"/>
      <c r="Y544" s="500"/>
      <c r="Z544" s="500"/>
    </row>
    <row r="545" spans="1:26" x14ac:dyDescent="0.3">
      <c r="A545" s="500"/>
      <c r="B545" s="500"/>
      <c r="C545" s="500"/>
      <c r="D545" s="500"/>
      <c r="E545" s="500"/>
      <c r="F545" s="500"/>
      <c r="G545" s="500"/>
      <c r="H545" s="500"/>
      <c r="I545" s="500"/>
      <c r="J545" s="500"/>
      <c r="K545" s="500"/>
      <c r="L545" s="500"/>
      <c r="M545" s="500"/>
      <c r="N545" s="500"/>
      <c r="O545" s="500"/>
      <c r="P545" s="500"/>
      <c r="Q545" s="500"/>
      <c r="R545" s="500"/>
      <c r="S545" s="500"/>
      <c r="T545" s="500"/>
      <c r="U545" s="500"/>
      <c r="V545" s="500"/>
      <c r="W545" s="500"/>
      <c r="X545" s="500"/>
      <c r="Y545" s="500"/>
      <c r="Z545" s="500"/>
    </row>
    <row r="546" spans="1:26" x14ac:dyDescent="0.3">
      <c r="A546" s="500"/>
      <c r="B546" s="500"/>
      <c r="C546" s="500"/>
      <c r="D546" s="500"/>
      <c r="E546" s="500"/>
      <c r="F546" s="500"/>
      <c r="G546" s="500"/>
      <c r="H546" s="500"/>
      <c r="I546" s="500"/>
      <c r="J546" s="500"/>
      <c r="K546" s="500"/>
      <c r="L546" s="500"/>
      <c r="M546" s="500"/>
      <c r="N546" s="500"/>
      <c r="O546" s="500"/>
      <c r="P546" s="500"/>
      <c r="Q546" s="500"/>
      <c r="R546" s="500"/>
      <c r="S546" s="500"/>
      <c r="T546" s="500"/>
      <c r="U546" s="500"/>
      <c r="V546" s="500"/>
      <c r="W546" s="500"/>
      <c r="X546" s="500"/>
      <c r="Y546" s="500"/>
      <c r="Z546" s="500"/>
    </row>
    <row r="547" spans="1:26" x14ac:dyDescent="0.3">
      <c r="A547" s="500"/>
      <c r="B547" s="500"/>
      <c r="C547" s="500"/>
      <c r="D547" s="500"/>
      <c r="E547" s="500"/>
      <c r="F547" s="500"/>
      <c r="G547" s="500"/>
      <c r="H547" s="500"/>
      <c r="I547" s="500"/>
      <c r="J547" s="500"/>
      <c r="K547" s="500"/>
      <c r="L547" s="500"/>
      <c r="M547" s="500"/>
      <c r="N547" s="500"/>
      <c r="O547" s="500"/>
      <c r="P547" s="500"/>
      <c r="Q547" s="500"/>
      <c r="R547" s="500"/>
      <c r="S547" s="500"/>
      <c r="T547" s="500"/>
      <c r="U547" s="500"/>
      <c r="V547" s="500"/>
      <c r="W547" s="500"/>
      <c r="X547" s="500"/>
      <c r="Y547" s="500"/>
      <c r="Z547" s="500"/>
    </row>
    <row r="548" spans="1:26" x14ac:dyDescent="0.3">
      <c r="A548" s="500"/>
      <c r="B548" s="500"/>
      <c r="C548" s="500"/>
      <c r="D548" s="500"/>
      <c r="E548" s="500"/>
      <c r="F548" s="500"/>
      <c r="G548" s="500"/>
      <c r="H548" s="500"/>
      <c r="I548" s="500"/>
      <c r="J548" s="500"/>
      <c r="K548" s="500"/>
      <c r="L548" s="500"/>
      <c r="M548" s="500"/>
      <c r="N548" s="500"/>
      <c r="O548" s="500"/>
      <c r="P548" s="500"/>
      <c r="Q548" s="500"/>
      <c r="R548" s="500"/>
      <c r="S548" s="500"/>
      <c r="T548" s="500"/>
      <c r="U548" s="500"/>
      <c r="V548" s="500"/>
      <c r="W548" s="500"/>
      <c r="X548" s="500"/>
      <c r="Y548" s="500"/>
      <c r="Z548" s="500"/>
    </row>
    <row r="549" spans="1:26" x14ac:dyDescent="0.3">
      <c r="A549" s="500"/>
      <c r="B549" s="500"/>
      <c r="C549" s="500"/>
      <c r="D549" s="500"/>
      <c r="E549" s="500"/>
      <c r="F549" s="500"/>
      <c r="G549" s="500"/>
      <c r="H549" s="500"/>
      <c r="I549" s="500"/>
      <c r="J549" s="500"/>
      <c r="K549" s="500"/>
      <c r="L549" s="500"/>
      <c r="M549" s="500"/>
      <c r="N549" s="500"/>
      <c r="O549" s="500"/>
      <c r="P549" s="500"/>
      <c r="Q549" s="500"/>
      <c r="R549" s="500"/>
      <c r="S549" s="500"/>
      <c r="T549" s="500"/>
      <c r="U549" s="500"/>
      <c r="V549" s="500"/>
      <c r="W549" s="500"/>
      <c r="X549" s="500"/>
      <c r="Y549" s="500"/>
      <c r="Z549" s="500"/>
    </row>
    <row r="550" spans="1:26" x14ac:dyDescent="0.3">
      <c r="A550" s="500"/>
      <c r="B550" s="500"/>
      <c r="C550" s="500"/>
      <c r="D550" s="500"/>
      <c r="E550" s="500"/>
      <c r="F550" s="500"/>
      <c r="G550" s="500"/>
      <c r="H550" s="500"/>
      <c r="I550" s="500"/>
      <c r="J550" s="500"/>
      <c r="K550" s="500"/>
      <c r="L550" s="500"/>
      <c r="M550" s="500"/>
      <c r="N550" s="500"/>
      <c r="O550" s="500"/>
      <c r="P550" s="500"/>
      <c r="Q550" s="500"/>
      <c r="R550" s="500"/>
      <c r="S550" s="500"/>
      <c r="T550" s="500"/>
      <c r="U550" s="500"/>
      <c r="V550" s="500"/>
      <c r="W550" s="500"/>
      <c r="X550" s="500"/>
      <c r="Y550" s="500"/>
      <c r="Z550" s="500"/>
    </row>
    <row r="551" spans="1:26" x14ac:dyDescent="0.3">
      <c r="A551" s="500"/>
      <c r="B551" s="500"/>
      <c r="C551" s="500"/>
      <c r="D551" s="500"/>
      <c r="E551" s="500"/>
      <c r="F551" s="500"/>
      <c r="G551" s="500"/>
      <c r="H551" s="500"/>
      <c r="I551" s="500"/>
      <c r="J551" s="500"/>
      <c r="K551" s="500"/>
      <c r="L551" s="500"/>
      <c r="M551" s="500"/>
      <c r="N551" s="500"/>
      <c r="O551" s="500"/>
      <c r="P551" s="500"/>
      <c r="Q551" s="500"/>
      <c r="R551" s="500"/>
      <c r="S551" s="500"/>
      <c r="T551" s="500"/>
      <c r="U551" s="500"/>
      <c r="V551" s="500"/>
      <c r="W551" s="500"/>
      <c r="X551" s="500"/>
      <c r="Y551" s="500"/>
      <c r="Z551" s="500"/>
    </row>
    <row r="552" spans="1:26" x14ac:dyDescent="0.3">
      <c r="A552" s="500"/>
      <c r="B552" s="500"/>
      <c r="C552" s="500"/>
      <c r="D552" s="500"/>
      <c r="E552" s="500"/>
      <c r="F552" s="500"/>
      <c r="G552" s="500"/>
      <c r="H552" s="500"/>
      <c r="I552" s="500"/>
      <c r="J552" s="500"/>
      <c r="K552" s="500"/>
      <c r="L552" s="500"/>
      <c r="M552" s="500"/>
      <c r="N552" s="500"/>
      <c r="O552" s="500"/>
      <c r="P552" s="500"/>
      <c r="Q552" s="500"/>
      <c r="R552" s="500"/>
      <c r="S552" s="500"/>
      <c r="T552" s="500"/>
      <c r="U552" s="500"/>
      <c r="V552" s="500"/>
      <c r="W552" s="500"/>
      <c r="X552" s="500"/>
      <c r="Y552" s="500"/>
      <c r="Z552" s="500"/>
    </row>
    <row r="553" spans="1:26" x14ac:dyDescent="0.3">
      <c r="A553" s="500"/>
      <c r="B553" s="500"/>
      <c r="C553" s="500"/>
      <c r="D553" s="500"/>
      <c r="E553" s="500"/>
      <c r="F553" s="500"/>
      <c r="G553" s="500"/>
      <c r="H553" s="500"/>
      <c r="I553" s="500"/>
      <c r="J553" s="500"/>
      <c r="K553" s="500"/>
      <c r="L553" s="500"/>
      <c r="M553" s="500"/>
      <c r="N553" s="500"/>
      <c r="O553" s="500"/>
      <c r="P553" s="500"/>
      <c r="Q553" s="500"/>
      <c r="R553" s="500"/>
      <c r="S553" s="500"/>
      <c r="T553" s="500"/>
      <c r="U553" s="500"/>
      <c r="V553" s="500"/>
      <c r="W553" s="500"/>
      <c r="X553" s="500"/>
      <c r="Y553" s="500"/>
      <c r="Z553" s="500"/>
    </row>
    <row r="554" spans="1:26" x14ac:dyDescent="0.3">
      <c r="A554" s="500"/>
      <c r="B554" s="500"/>
      <c r="C554" s="500"/>
      <c r="D554" s="500"/>
      <c r="E554" s="500"/>
      <c r="F554" s="500"/>
      <c r="G554" s="500"/>
      <c r="H554" s="500"/>
      <c r="I554" s="500"/>
      <c r="J554" s="500"/>
      <c r="K554" s="500"/>
      <c r="L554" s="500"/>
      <c r="M554" s="500"/>
      <c r="N554" s="500"/>
      <c r="O554" s="500"/>
      <c r="P554" s="500"/>
      <c r="Q554" s="500"/>
      <c r="R554" s="500"/>
      <c r="S554" s="500"/>
      <c r="T554" s="500"/>
      <c r="U554" s="500"/>
      <c r="V554" s="500"/>
      <c r="W554" s="500"/>
      <c r="X554" s="500"/>
      <c r="Y554" s="500"/>
      <c r="Z554" s="500"/>
    </row>
    <row r="555" spans="1:26" x14ac:dyDescent="0.3">
      <c r="A555" s="500"/>
      <c r="B555" s="500"/>
      <c r="C555" s="500"/>
      <c r="D555" s="500"/>
      <c r="E555" s="500"/>
      <c r="F555" s="500"/>
      <c r="G555" s="500"/>
      <c r="H555" s="500"/>
      <c r="I555" s="500"/>
      <c r="J555" s="500"/>
      <c r="K555" s="500"/>
      <c r="L555" s="500"/>
      <c r="M555" s="500"/>
      <c r="N555" s="500"/>
      <c r="O555" s="500"/>
      <c r="P555" s="500"/>
      <c r="Q555" s="500"/>
      <c r="R555" s="500"/>
      <c r="S555" s="500"/>
      <c r="T555" s="500"/>
      <c r="U555" s="500"/>
      <c r="V555" s="500"/>
      <c r="W555" s="500"/>
      <c r="X555" s="500"/>
      <c r="Y555" s="500"/>
      <c r="Z555" s="500"/>
    </row>
    <row r="556" spans="1:26" x14ac:dyDescent="0.3">
      <c r="A556" s="500"/>
      <c r="B556" s="500"/>
      <c r="C556" s="500"/>
      <c r="D556" s="500"/>
      <c r="E556" s="500"/>
      <c r="F556" s="500"/>
      <c r="G556" s="500"/>
      <c r="H556" s="500"/>
      <c r="I556" s="500"/>
      <c r="J556" s="500"/>
      <c r="K556" s="500"/>
      <c r="L556" s="500"/>
      <c r="M556" s="500"/>
      <c r="N556" s="500"/>
      <c r="O556" s="500"/>
      <c r="P556" s="500"/>
      <c r="Q556" s="500"/>
      <c r="R556" s="500"/>
      <c r="S556" s="500"/>
      <c r="T556" s="500"/>
      <c r="U556" s="500"/>
      <c r="V556" s="500"/>
      <c r="W556" s="500"/>
      <c r="X556" s="500"/>
      <c r="Y556" s="500"/>
      <c r="Z556" s="500"/>
    </row>
    <row r="557" spans="1:26" x14ac:dyDescent="0.3">
      <c r="A557" s="500"/>
      <c r="B557" s="500"/>
      <c r="C557" s="500"/>
      <c r="D557" s="500"/>
      <c r="E557" s="500"/>
      <c r="F557" s="500"/>
      <c r="G557" s="500"/>
      <c r="H557" s="500"/>
      <c r="I557" s="500"/>
      <c r="J557" s="500"/>
      <c r="K557" s="500"/>
      <c r="L557" s="500"/>
      <c r="M557" s="500"/>
      <c r="N557" s="500"/>
      <c r="O557" s="500"/>
      <c r="P557" s="500"/>
      <c r="Q557" s="500"/>
      <c r="R557" s="500"/>
      <c r="S557" s="500"/>
      <c r="T557" s="500"/>
      <c r="U557" s="500"/>
      <c r="V557" s="500"/>
      <c r="W557" s="500"/>
      <c r="X557" s="500"/>
      <c r="Y557" s="500"/>
      <c r="Z557" s="500"/>
    </row>
    <row r="558" spans="1:26" x14ac:dyDescent="0.3">
      <c r="A558" s="500"/>
      <c r="B558" s="500"/>
      <c r="C558" s="500"/>
      <c r="D558" s="500"/>
      <c r="E558" s="500"/>
      <c r="F558" s="500"/>
      <c r="G558" s="500"/>
      <c r="H558" s="500"/>
      <c r="I558" s="500"/>
      <c r="J558" s="500"/>
      <c r="K558" s="500"/>
      <c r="L558" s="500"/>
      <c r="M558" s="500"/>
      <c r="N558" s="500"/>
      <c r="O558" s="500"/>
      <c r="P558" s="500"/>
      <c r="Q558" s="500"/>
      <c r="R558" s="500"/>
      <c r="S558" s="500"/>
      <c r="T558" s="500"/>
      <c r="U558" s="500"/>
      <c r="V558" s="500"/>
      <c r="W558" s="500"/>
      <c r="X558" s="500"/>
      <c r="Y558" s="500"/>
      <c r="Z558" s="500"/>
    </row>
    <row r="559" spans="1:26" x14ac:dyDescent="0.3">
      <c r="A559" s="500"/>
      <c r="B559" s="500"/>
      <c r="C559" s="500"/>
      <c r="D559" s="500"/>
      <c r="E559" s="500"/>
      <c r="F559" s="500"/>
      <c r="G559" s="500"/>
      <c r="H559" s="500"/>
      <c r="I559" s="500"/>
      <c r="J559" s="500"/>
      <c r="K559" s="500"/>
      <c r="L559" s="500"/>
      <c r="M559" s="500"/>
      <c r="N559" s="500"/>
      <c r="O559" s="500"/>
      <c r="P559" s="500"/>
      <c r="Q559" s="500"/>
      <c r="R559" s="500"/>
      <c r="S559" s="500"/>
      <c r="T559" s="500"/>
      <c r="U559" s="500"/>
      <c r="V559" s="500"/>
      <c r="W559" s="500"/>
      <c r="X559" s="500"/>
      <c r="Y559" s="500"/>
      <c r="Z559" s="500"/>
    </row>
    <row r="560" spans="1:26" x14ac:dyDescent="0.3">
      <c r="A560" s="500"/>
      <c r="B560" s="500"/>
      <c r="C560" s="500"/>
      <c r="D560" s="500"/>
      <c r="E560" s="500"/>
      <c r="F560" s="500"/>
      <c r="G560" s="500"/>
      <c r="H560" s="500"/>
      <c r="I560" s="500"/>
      <c r="J560" s="500"/>
      <c r="K560" s="500"/>
      <c r="L560" s="500"/>
      <c r="M560" s="500"/>
      <c r="N560" s="500"/>
      <c r="O560" s="500"/>
      <c r="P560" s="500"/>
      <c r="Q560" s="500"/>
      <c r="R560" s="500"/>
      <c r="S560" s="500"/>
      <c r="T560" s="500"/>
      <c r="U560" s="500"/>
      <c r="V560" s="500"/>
      <c r="W560" s="500"/>
      <c r="X560" s="500"/>
      <c r="Y560" s="500"/>
      <c r="Z560" s="500"/>
    </row>
    <row r="561" spans="1:26" x14ac:dyDescent="0.3">
      <c r="A561" s="500"/>
      <c r="B561" s="500"/>
      <c r="C561" s="500"/>
      <c r="D561" s="500"/>
      <c r="E561" s="500"/>
      <c r="F561" s="500"/>
      <c r="G561" s="500"/>
      <c r="H561" s="500"/>
      <c r="I561" s="500"/>
      <c r="J561" s="500"/>
      <c r="K561" s="500"/>
      <c r="L561" s="500"/>
      <c r="M561" s="500"/>
      <c r="N561" s="500"/>
      <c r="O561" s="500"/>
      <c r="P561" s="500"/>
      <c r="Q561" s="500"/>
      <c r="R561" s="500"/>
      <c r="S561" s="500"/>
      <c r="T561" s="500"/>
      <c r="U561" s="500"/>
      <c r="V561" s="500"/>
      <c r="W561" s="500"/>
      <c r="X561" s="500"/>
      <c r="Y561" s="500"/>
      <c r="Z561" s="500"/>
    </row>
    <row r="562" spans="1:26" x14ac:dyDescent="0.3">
      <c r="A562" s="500"/>
      <c r="B562" s="500"/>
      <c r="C562" s="500"/>
      <c r="D562" s="500"/>
      <c r="E562" s="500"/>
      <c r="F562" s="500"/>
      <c r="G562" s="500"/>
      <c r="H562" s="500"/>
      <c r="I562" s="500"/>
      <c r="J562" s="500"/>
      <c r="K562" s="500"/>
      <c r="L562" s="500"/>
      <c r="M562" s="500"/>
      <c r="N562" s="500"/>
      <c r="O562" s="500"/>
      <c r="P562" s="500"/>
      <c r="Q562" s="500"/>
      <c r="R562" s="500"/>
      <c r="S562" s="500"/>
      <c r="T562" s="500"/>
      <c r="U562" s="500"/>
      <c r="V562" s="500"/>
      <c r="W562" s="500"/>
      <c r="X562" s="500"/>
      <c r="Y562" s="500"/>
      <c r="Z562" s="500"/>
    </row>
    <row r="563" spans="1:26" x14ac:dyDescent="0.3">
      <c r="A563" s="500"/>
      <c r="B563" s="500"/>
      <c r="C563" s="500"/>
      <c r="D563" s="500"/>
      <c r="E563" s="500"/>
      <c r="F563" s="500"/>
      <c r="G563" s="500"/>
      <c r="H563" s="500"/>
      <c r="I563" s="500"/>
      <c r="J563" s="500"/>
      <c r="K563" s="500"/>
      <c r="L563" s="500"/>
      <c r="M563" s="500"/>
      <c r="N563" s="500"/>
      <c r="O563" s="500"/>
      <c r="P563" s="500"/>
      <c r="Q563" s="500"/>
      <c r="R563" s="500"/>
      <c r="S563" s="500"/>
      <c r="T563" s="500"/>
      <c r="U563" s="500"/>
      <c r="V563" s="500"/>
      <c r="W563" s="500"/>
      <c r="X563" s="500"/>
      <c r="Y563" s="500"/>
      <c r="Z563" s="500"/>
    </row>
    <row r="564" spans="1:26" x14ac:dyDescent="0.3">
      <c r="A564" s="500"/>
      <c r="B564" s="500"/>
      <c r="C564" s="500"/>
      <c r="D564" s="500"/>
      <c r="E564" s="500"/>
      <c r="F564" s="500"/>
      <c r="G564" s="500"/>
      <c r="H564" s="500"/>
      <c r="I564" s="500"/>
      <c r="J564" s="500"/>
      <c r="K564" s="500"/>
      <c r="L564" s="500"/>
      <c r="M564" s="500"/>
      <c r="N564" s="500"/>
      <c r="O564" s="500"/>
      <c r="P564" s="500"/>
      <c r="Q564" s="500"/>
      <c r="R564" s="500"/>
      <c r="S564" s="500"/>
      <c r="T564" s="500"/>
      <c r="U564" s="500"/>
      <c r="V564" s="500"/>
      <c r="W564" s="500"/>
      <c r="X564" s="500"/>
      <c r="Y564" s="500"/>
      <c r="Z564" s="500"/>
    </row>
    <row r="565" spans="1:26" x14ac:dyDescent="0.3">
      <c r="A565" s="500"/>
      <c r="B565" s="500"/>
      <c r="C565" s="500"/>
      <c r="D565" s="500"/>
      <c r="E565" s="500"/>
      <c r="F565" s="500"/>
      <c r="G565" s="500"/>
      <c r="H565" s="500"/>
      <c r="I565" s="500"/>
      <c r="J565" s="500"/>
      <c r="K565" s="500"/>
      <c r="L565" s="500"/>
      <c r="M565" s="500"/>
      <c r="N565" s="500"/>
      <c r="O565" s="500"/>
      <c r="P565" s="500"/>
      <c r="Q565" s="500"/>
      <c r="R565" s="500"/>
      <c r="S565" s="500"/>
      <c r="T565" s="500"/>
      <c r="U565" s="500"/>
      <c r="V565" s="500"/>
      <c r="W565" s="500"/>
      <c r="X565" s="500"/>
      <c r="Y565" s="500"/>
      <c r="Z565" s="500"/>
    </row>
    <row r="566" spans="1:26" x14ac:dyDescent="0.3">
      <c r="A566" s="500"/>
      <c r="B566" s="500"/>
      <c r="C566" s="500"/>
      <c r="D566" s="500"/>
      <c r="E566" s="500"/>
      <c r="F566" s="500"/>
      <c r="G566" s="500"/>
      <c r="H566" s="500"/>
      <c r="I566" s="500"/>
      <c r="J566" s="500"/>
      <c r="K566" s="500"/>
      <c r="L566" s="500"/>
      <c r="M566" s="500"/>
      <c r="N566" s="500"/>
      <c r="O566" s="500"/>
      <c r="P566" s="500"/>
      <c r="Q566" s="500"/>
      <c r="R566" s="500"/>
      <c r="S566" s="500"/>
      <c r="T566" s="500"/>
      <c r="U566" s="500"/>
      <c r="V566" s="500"/>
      <c r="W566" s="500"/>
      <c r="X566" s="500"/>
      <c r="Y566" s="500"/>
      <c r="Z566" s="500"/>
    </row>
    <row r="567" spans="1:26" x14ac:dyDescent="0.3">
      <c r="A567" s="500"/>
      <c r="B567" s="500"/>
      <c r="C567" s="500"/>
      <c r="D567" s="500"/>
      <c r="E567" s="500"/>
      <c r="F567" s="500"/>
      <c r="G567" s="500"/>
      <c r="H567" s="500"/>
      <c r="I567" s="500"/>
      <c r="J567" s="500"/>
      <c r="K567" s="500"/>
      <c r="L567" s="500"/>
      <c r="M567" s="500"/>
      <c r="N567" s="500"/>
      <c r="O567" s="500"/>
      <c r="P567" s="500"/>
      <c r="Q567" s="500"/>
      <c r="R567" s="500"/>
      <c r="S567" s="500"/>
      <c r="T567" s="500"/>
      <c r="U567" s="500"/>
      <c r="V567" s="500"/>
      <c r="W567" s="500"/>
      <c r="X567" s="500"/>
      <c r="Y567" s="500"/>
      <c r="Z567" s="500"/>
    </row>
    <row r="568" spans="1:26" x14ac:dyDescent="0.3">
      <c r="A568" s="500"/>
      <c r="B568" s="500"/>
      <c r="C568" s="500"/>
      <c r="D568" s="500"/>
      <c r="E568" s="500"/>
      <c r="F568" s="500"/>
      <c r="G568" s="500"/>
      <c r="H568" s="500"/>
      <c r="I568" s="500"/>
      <c r="J568" s="500"/>
      <c r="K568" s="500"/>
      <c r="L568" s="500"/>
      <c r="M568" s="500"/>
      <c r="N568" s="500"/>
      <c r="O568" s="500"/>
      <c r="P568" s="500"/>
      <c r="Q568" s="500"/>
      <c r="R568" s="500"/>
      <c r="S568" s="500"/>
      <c r="T568" s="500"/>
      <c r="U568" s="500"/>
      <c r="V568" s="500"/>
      <c r="W568" s="500"/>
      <c r="X568" s="500"/>
      <c r="Y568" s="500"/>
      <c r="Z568" s="500"/>
    </row>
    <row r="569" spans="1:26" x14ac:dyDescent="0.3">
      <c r="A569" s="500"/>
      <c r="B569" s="500"/>
      <c r="C569" s="500"/>
      <c r="D569" s="500"/>
      <c r="E569" s="500"/>
      <c r="F569" s="500"/>
      <c r="G569" s="500"/>
      <c r="H569" s="500"/>
      <c r="I569" s="500"/>
      <c r="J569" s="500"/>
      <c r="K569" s="500"/>
      <c r="L569" s="500"/>
      <c r="M569" s="500"/>
      <c r="N569" s="500"/>
      <c r="O569" s="500"/>
      <c r="P569" s="500"/>
      <c r="Q569" s="500"/>
      <c r="R569" s="500"/>
      <c r="S569" s="500"/>
      <c r="T569" s="500"/>
      <c r="U569" s="500"/>
      <c r="V569" s="500"/>
      <c r="W569" s="500"/>
      <c r="X569" s="500"/>
      <c r="Y569" s="500"/>
      <c r="Z569" s="500"/>
    </row>
    <row r="570" spans="1:26" x14ac:dyDescent="0.3">
      <c r="A570" s="500"/>
      <c r="B570" s="500"/>
      <c r="C570" s="500"/>
      <c r="D570" s="500"/>
      <c r="E570" s="500"/>
      <c r="F570" s="500"/>
      <c r="G570" s="500"/>
      <c r="H570" s="500"/>
      <c r="I570" s="500"/>
      <c r="J570" s="500"/>
      <c r="K570" s="500"/>
      <c r="L570" s="500"/>
      <c r="M570" s="500"/>
      <c r="N570" s="500"/>
      <c r="O570" s="500"/>
      <c r="P570" s="500"/>
      <c r="Q570" s="500"/>
      <c r="R570" s="500"/>
      <c r="S570" s="500"/>
      <c r="T570" s="500"/>
      <c r="U570" s="500"/>
      <c r="V570" s="500"/>
      <c r="W570" s="500"/>
      <c r="X570" s="500"/>
      <c r="Y570" s="500"/>
      <c r="Z570" s="500"/>
    </row>
    <row r="571" spans="1:26" x14ac:dyDescent="0.3">
      <c r="A571" s="500"/>
      <c r="B571" s="500"/>
      <c r="C571" s="500"/>
      <c r="D571" s="500"/>
      <c r="E571" s="500"/>
      <c r="F571" s="500"/>
      <c r="G571" s="500"/>
      <c r="H571" s="500"/>
      <c r="I571" s="500"/>
      <c r="J571" s="500"/>
      <c r="K571" s="500"/>
      <c r="L571" s="500"/>
      <c r="M571" s="500"/>
      <c r="N571" s="500"/>
      <c r="O571" s="500"/>
      <c r="P571" s="500"/>
      <c r="Q571" s="500"/>
      <c r="R571" s="500"/>
      <c r="S571" s="500"/>
      <c r="T571" s="500"/>
      <c r="U571" s="500"/>
      <c r="V571" s="500"/>
      <c r="W571" s="500"/>
      <c r="X571" s="500"/>
      <c r="Y571" s="500"/>
      <c r="Z571" s="500"/>
    </row>
    <row r="572" spans="1:26" x14ac:dyDescent="0.3">
      <c r="A572" s="500"/>
      <c r="B572" s="500"/>
      <c r="C572" s="500"/>
      <c r="D572" s="500"/>
      <c r="E572" s="500"/>
      <c r="F572" s="500"/>
      <c r="G572" s="500"/>
      <c r="H572" s="500"/>
      <c r="I572" s="500"/>
      <c r="J572" s="500"/>
      <c r="K572" s="500"/>
      <c r="L572" s="500"/>
      <c r="M572" s="500"/>
      <c r="N572" s="500"/>
      <c r="O572" s="500"/>
      <c r="P572" s="500"/>
      <c r="Q572" s="500"/>
      <c r="R572" s="500"/>
      <c r="S572" s="500"/>
      <c r="T572" s="500"/>
      <c r="U572" s="500"/>
      <c r="V572" s="500"/>
      <c r="W572" s="500"/>
      <c r="X572" s="500"/>
      <c r="Y572" s="500"/>
      <c r="Z572" s="500"/>
    </row>
    <row r="573" spans="1:26" x14ac:dyDescent="0.3">
      <c r="A573" s="500"/>
      <c r="B573" s="500"/>
      <c r="C573" s="500"/>
      <c r="D573" s="500"/>
      <c r="E573" s="500"/>
      <c r="F573" s="500"/>
      <c r="G573" s="500"/>
      <c r="H573" s="500"/>
      <c r="I573" s="500"/>
      <c r="J573" s="500"/>
      <c r="K573" s="500"/>
      <c r="L573" s="500"/>
      <c r="M573" s="500"/>
      <c r="N573" s="500"/>
      <c r="O573" s="500"/>
      <c r="P573" s="500"/>
      <c r="Q573" s="500"/>
      <c r="R573" s="500"/>
      <c r="S573" s="500"/>
      <c r="T573" s="500"/>
      <c r="U573" s="500"/>
      <c r="V573" s="500"/>
      <c r="W573" s="500"/>
      <c r="X573" s="500"/>
      <c r="Y573" s="500"/>
      <c r="Z573" s="500"/>
    </row>
    <row r="574" spans="1:26" x14ac:dyDescent="0.3">
      <c r="A574" s="500"/>
      <c r="B574" s="500"/>
      <c r="C574" s="500"/>
      <c r="D574" s="500"/>
      <c r="E574" s="500"/>
      <c r="F574" s="500"/>
      <c r="G574" s="500"/>
      <c r="H574" s="500"/>
      <c r="I574" s="500"/>
      <c r="J574" s="500"/>
      <c r="K574" s="500"/>
      <c r="L574" s="500"/>
      <c r="M574" s="500"/>
      <c r="N574" s="500"/>
      <c r="O574" s="500"/>
      <c r="P574" s="500"/>
      <c r="Q574" s="500"/>
      <c r="R574" s="500"/>
      <c r="S574" s="500"/>
      <c r="T574" s="500"/>
      <c r="U574" s="500"/>
      <c r="V574" s="500"/>
      <c r="W574" s="500"/>
      <c r="X574" s="500"/>
      <c r="Y574" s="500"/>
      <c r="Z574" s="500"/>
    </row>
    <row r="575" spans="1:26" x14ac:dyDescent="0.3">
      <c r="A575" s="500"/>
      <c r="B575" s="500"/>
      <c r="C575" s="500"/>
      <c r="D575" s="500"/>
      <c r="E575" s="500"/>
      <c r="F575" s="500"/>
      <c r="G575" s="500"/>
      <c r="H575" s="500"/>
      <c r="I575" s="500"/>
      <c r="J575" s="500"/>
      <c r="K575" s="500"/>
      <c r="L575" s="500"/>
      <c r="M575" s="500"/>
      <c r="N575" s="500"/>
      <c r="O575" s="500"/>
      <c r="P575" s="500"/>
      <c r="Q575" s="500"/>
      <c r="R575" s="500"/>
      <c r="S575" s="500"/>
      <c r="T575" s="500"/>
      <c r="U575" s="500"/>
      <c r="V575" s="500"/>
      <c r="W575" s="500"/>
      <c r="X575" s="500"/>
      <c r="Y575" s="500"/>
      <c r="Z575" s="500"/>
    </row>
    <row r="576" spans="1:26" x14ac:dyDescent="0.3">
      <c r="A576" s="500"/>
      <c r="B576" s="500"/>
      <c r="C576" s="500"/>
      <c r="D576" s="500"/>
      <c r="E576" s="500"/>
      <c r="F576" s="500"/>
      <c r="G576" s="500"/>
      <c r="H576" s="500"/>
      <c r="I576" s="500"/>
      <c r="J576" s="500"/>
      <c r="K576" s="500"/>
      <c r="L576" s="500"/>
      <c r="M576" s="500"/>
      <c r="N576" s="500"/>
      <c r="O576" s="500"/>
      <c r="P576" s="500"/>
      <c r="Q576" s="500"/>
      <c r="R576" s="500"/>
      <c r="S576" s="500"/>
      <c r="T576" s="500"/>
      <c r="U576" s="500"/>
      <c r="V576" s="500"/>
      <c r="W576" s="500"/>
      <c r="X576" s="500"/>
      <c r="Y576" s="500"/>
      <c r="Z576" s="500"/>
    </row>
    <row r="577" spans="1:26" x14ac:dyDescent="0.3">
      <c r="A577" s="500"/>
      <c r="B577" s="500"/>
      <c r="C577" s="500"/>
      <c r="D577" s="500"/>
      <c r="E577" s="500"/>
      <c r="F577" s="500"/>
      <c r="G577" s="500"/>
      <c r="H577" s="500"/>
      <c r="I577" s="500"/>
      <c r="J577" s="500"/>
      <c r="K577" s="500"/>
      <c r="L577" s="500"/>
      <c r="M577" s="500"/>
      <c r="N577" s="500"/>
      <c r="O577" s="500"/>
      <c r="P577" s="500"/>
      <c r="Q577" s="500"/>
      <c r="R577" s="500"/>
      <c r="S577" s="500"/>
      <c r="T577" s="500"/>
      <c r="U577" s="500"/>
      <c r="V577" s="500"/>
      <c r="W577" s="500"/>
      <c r="X577" s="500"/>
      <c r="Y577" s="500"/>
      <c r="Z577" s="500"/>
    </row>
    <row r="578" spans="1:26" x14ac:dyDescent="0.3">
      <c r="A578" s="500"/>
      <c r="B578" s="500"/>
      <c r="C578" s="500"/>
      <c r="D578" s="500"/>
      <c r="E578" s="500"/>
      <c r="F578" s="500"/>
      <c r="G578" s="500"/>
      <c r="H578" s="500"/>
      <c r="I578" s="500"/>
      <c r="J578" s="500"/>
      <c r="K578" s="500"/>
      <c r="L578" s="500"/>
      <c r="M578" s="500"/>
      <c r="N578" s="500"/>
      <c r="O578" s="500"/>
      <c r="P578" s="500"/>
      <c r="Q578" s="500"/>
      <c r="R578" s="500"/>
      <c r="S578" s="500"/>
      <c r="T578" s="500"/>
      <c r="U578" s="500"/>
      <c r="V578" s="500"/>
      <c r="W578" s="500"/>
      <c r="X578" s="500"/>
      <c r="Y578" s="500"/>
      <c r="Z578" s="500"/>
    </row>
    <row r="579" spans="1:26" x14ac:dyDescent="0.3">
      <c r="A579" s="500"/>
      <c r="B579" s="500"/>
      <c r="C579" s="500"/>
      <c r="D579" s="500"/>
      <c r="E579" s="500"/>
      <c r="F579" s="500"/>
      <c r="G579" s="500"/>
      <c r="H579" s="500"/>
      <c r="I579" s="500"/>
      <c r="J579" s="500"/>
      <c r="K579" s="500"/>
      <c r="L579" s="500"/>
      <c r="M579" s="500"/>
      <c r="N579" s="500"/>
      <c r="O579" s="500"/>
      <c r="P579" s="500"/>
      <c r="Q579" s="500"/>
      <c r="R579" s="500"/>
      <c r="S579" s="500"/>
      <c r="T579" s="500"/>
      <c r="U579" s="500"/>
      <c r="V579" s="500"/>
      <c r="W579" s="500"/>
      <c r="X579" s="500"/>
      <c r="Y579" s="500"/>
      <c r="Z579" s="500"/>
    </row>
    <row r="580" spans="1:26" x14ac:dyDescent="0.3">
      <c r="A580" s="500"/>
      <c r="B580" s="500"/>
      <c r="C580" s="500"/>
      <c r="D580" s="500"/>
      <c r="E580" s="500"/>
      <c r="F580" s="500"/>
      <c r="G580" s="500"/>
      <c r="H580" s="500"/>
      <c r="I580" s="500"/>
      <c r="J580" s="500"/>
      <c r="K580" s="500"/>
      <c r="L580" s="500"/>
      <c r="M580" s="500"/>
      <c r="N580" s="500"/>
      <c r="O580" s="500"/>
      <c r="P580" s="500"/>
      <c r="Q580" s="500"/>
      <c r="R580" s="500"/>
      <c r="S580" s="500"/>
      <c r="T580" s="500"/>
      <c r="U580" s="500"/>
      <c r="V580" s="500"/>
      <c r="W580" s="500"/>
      <c r="X580" s="500"/>
      <c r="Y580" s="500"/>
      <c r="Z580" s="500"/>
    </row>
    <row r="581" spans="1:26" x14ac:dyDescent="0.3">
      <c r="A581" s="500"/>
      <c r="B581" s="500"/>
      <c r="C581" s="500"/>
      <c r="D581" s="500"/>
      <c r="E581" s="500"/>
      <c r="F581" s="500"/>
      <c r="G581" s="500"/>
      <c r="H581" s="500"/>
      <c r="I581" s="500"/>
      <c r="J581" s="500"/>
      <c r="K581" s="500"/>
      <c r="L581" s="500"/>
      <c r="M581" s="500"/>
      <c r="N581" s="500"/>
      <c r="O581" s="500"/>
      <c r="P581" s="500"/>
      <c r="Q581" s="500"/>
      <c r="R581" s="500"/>
      <c r="S581" s="500"/>
      <c r="T581" s="500"/>
      <c r="U581" s="500"/>
      <c r="V581" s="500"/>
      <c r="W581" s="500"/>
      <c r="X581" s="500"/>
      <c r="Y581" s="500"/>
      <c r="Z581" s="500"/>
    </row>
    <row r="582" spans="1:26" x14ac:dyDescent="0.3">
      <c r="A582" s="500"/>
      <c r="B582" s="500"/>
      <c r="C582" s="500"/>
      <c r="D582" s="500"/>
      <c r="E582" s="500"/>
      <c r="F582" s="500"/>
      <c r="G582" s="500"/>
      <c r="H582" s="500"/>
      <c r="I582" s="500"/>
      <c r="J582" s="500"/>
      <c r="K582" s="500"/>
      <c r="L582" s="500"/>
      <c r="M582" s="500"/>
      <c r="N582" s="500"/>
      <c r="O582" s="500"/>
      <c r="P582" s="500"/>
      <c r="Q582" s="500"/>
      <c r="R582" s="500"/>
      <c r="S582" s="500"/>
      <c r="T582" s="500"/>
      <c r="U582" s="500"/>
      <c r="V582" s="500"/>
      <c r="W582" s="500"/>
      <c r="X582" s="500"/>
      <c r="Y582" s="500"/>
      <c r="Z582" s="500"/>
    </row>
    <row r="583" spans="1:26" x14ac:dyDescent="0.3">
      <c r="A583" s="500"/>
      <c r="B583" s="500"/>
      <c r="C583" s="500"/>
      <c r="D583" s="500"/>
      <c r="E583" s="500"/>
      <c r="F583" s="500"/>
      <c r="G583" s="500"/>
      <c r="H583" s="500"/>
      <c r="I583" s="500"/>
      <c r="J583" s="500"/>
      <c r="K583" s="500"/>
      <c r="L583" s="500"/>
      <c r="M583" s="500"/>
      <c r="N583" s="500"/>
      <c r="O583" s="500"/>
      <c r="P583" s="500"/>
      <c r="Q583" s="500"/>
      <c r="R583" s="500"/>
      <c r="S583" s="500"/>
      <c r="T583" s="500"/>
      <c r="U583" s="500"/>
      <c r="V583" s="500"/>
      <c r="W583" s="500"/>
      <c r="X583" s="500"/>
      <c r="Y583" s="500"/>
      <c r="Z583" s="500"/>
    </row>
    <row r="584" spans="1:26" x14ac:dyDescent="0.3">
      <c r="A584" s="500"/>
      <c r="B584" s="500"/>
      <c r="C584" s="500"/>
      <c r="D584" s="500"/>
      <c r="E584" s="500"/>
      <c r="F584" s="500"/>
      <c r="G584" s="500"/>
      <c r="H584" s="500"/>
      <c r="I584" s="500"/>
      <c r="J584" s="500"/>
      <c r="K584" s="500"/>
      <c r="L584" s="500"/>
      <c r="M584" s="500"/>
      <c r="N584" s="500"/>
      <c r="O584" s="500"/>
      <c r="P584" s="500"/>
      <c r="Q584" s="500"/>
      <c r="R584" s="500"/>
      <c r="S584" s="500"/>
      <c r="T584" s="500"/>
      <c r="U584" s="500"/>
      <c r="V584" s="500"/>
      <c r="W584" s="500"/>
      <c r="X584" s="500"/>
      <c r="Y584" s="500"/>
      <c r="Z584" s="500"/>
    </row>
    <row r="585" spans="1:26" x14ac:dyDescent="0.3">
      <c r="A585" s="500"/>
      <c r="B585" s="500"/>
      <c r="C585" s="500"/>
      <c r="D585" s="500"/>
      <c r="E585" s="500"/>
      <c r="F585" s="500"/>
      <c r="G585" s="500"/>
      <c r="H585" s="500"/>
      <c r="I585" s="500"/>
      <c r="J585" s="500"/>
      <c r="K585" s="500"/>
      <c r="L585" s="500"/>
      <c r="M585" s="500"/>
      <c r="N585" s="500"/>
      <c r="O585" s="500"/>
      <c r="P585" s="500"/>
      <c r="Q585" s="500"/>
      <c r="R585" s="500"/>
      <c r="S585" s="500"/>
      <c r="T585" s="500"/>
      <c r="U585" s="500"/>
      <c r="V585" s="500"/>
      <c r="W585" s="500"/>
      <c r="X585" s="500"/>
      <c r="Y585" s="500"/>
      <c r="Z585" s="500"/>
    </row>
    <row r="586" spans="1:26" x14ac:dyDescent="0.3">
      <c r="A586" s="500"/>
      <c r="B586" s="500"/>
      <c r="C586" s="500"/>
      <c r="D586" s="500"/>
      <c r="E586" s="500"/>
      <c r="F586" s="500"/>
      <c r="G586" s="500"/>
      <c r="H586" s="500"/>
      <c r="I586" s="500"/>
      <c r="J586" s="500"/>
      <c r="K586" s="500"/>
      <c r="L586" s="500"/>
      <c r="M586" s="500"/>
      <c r="N586" s="500"/>
      <c r="O586" s="500"/>
      <c r="P586" s="500"/>
      <c r="Q586" s="500"/>
      <c r="R586" s="500"/>
      <c r="S586" s="500"/>
      <c r="T586" s="500"/>
      <c r="U586" s="500"/>
      <c r="V586" s="500"/>
      <c r="W586" s="500"/>
      <c r="X586" s="500"/>
      <c r="Y586" s="500"/>
      <c r="Z586" s="500"/>
    </row>
    <row r="587" spans="1:26" x14ac:dyDescent="0.3">
      <c r="A587" s="500"/>
      <c r="B587" s="500"/>
      <c r="C587" s="500"/>
      <c r="D587" s="500"/>
      <c r="E587" s="500"/>
      <c r="F587" s="500"/>
      <c r="G587" s="500"/>
      <c r="H587" s="500"/>
      <c r="I587" s="500"/>
      <c r="J587" s="500"/>
      <c r="K587" s="500"/>
      <c r="L587" s="500"/>
      <c r="M587" s="500"/>
      <c r="N587" s="500"/>
      <c r="O587" s="500"/>
      <c r="P587" s="500"/>
      <c r="Q587" s="500"/>
      <c r="R587" s="500"/>
      <c r="S587" s="500"/>
      <c r="T587" s="500"/>
      <c r="U587" s="500"/>
      <c r="V587" s="500"/>
      <c r="W587" s="500"/>
      <c r="X587" s="500"/>
      <c r="Y587" s="500"/>
      <c r="Z587" s="500"/>
    </row>
    <row r="588" spans="1:26" x14ac:dyDescent="0.3">
      <c r="A588" s="500"/>
      <c r="B588" s="500"/>
      <c r="C588" s="500"/>
      <c r="D588" s="500"/>
      <c r="E588" s="500"/>
      <c r="F588" s="500"/>
      <c r="G588" s="500"/>
      <c r="H588" s="500"/>
      <c r="I588" s="500"/>
      <c r="J588" s="500"/>
      <c r="K588" s="500"/>
      <c r="L588" s="500"/>
      <c r="M588" s="500"/>
      <c r="N588" s="500"/>
      <c r="O588" s="500"/>
      <c r="P588" s="500"/>
      <c r="Q588" s="500"/>
      <c r="R588" s="500"/>
      <c r="S588" s="500"/>
      <c r="T588" s="500"/>
      <c r="U588" s="500"/>
      <c r="V588" s="500"/>
      <c r="W588" s="500"/>
      <c r="X588" s="500"/>
      <c r="Y588" s="500"/>
      <c r="Z588" s="500"/>
    </row>
    <row r="589" spans="1:26" x14ac:dyDescent="0.3">
      <c r="A589" s="500"/>
      <c r="B589" s="500"/>
      <c r="C589" s="500"/>
      <c r="D589" s="500"/>
      <c r="E589" s="500"/>
      <c r="F589" s="500"/>
      <c r="G589" s="500"/>
      <c r="H589" s="500"/>
      <c r="I589" s="500"/>
      <c r="J589" s="500"/>
      <c r="K589" s="500"/>
      <c r="L589" s="500"/>
      <c r="M589" s="500"/>
      <c r="N589" s="500"/>
      <c r="O589" s="500"/>
      <c r="P589" s="500"/>
      <c r="Q589" s="500"/>
      <c r="R589" s="500"/>
      <c r="S589" s="500"/>
      <c r="T589" s="500"/>
      <c r="U589" s="500"/>
      <c r="V589" s="500"/>
      <c r="W589" s="500"/>
      <c r="X589" s="500"/>
      <c r="Y589" s="500"/>
      <c r="Z589" s="500"/>
    </row>
    <row r="590" spans="1:26" x14ac:dyDescent="0.3">
      <c r="A590" s="500"/>
      <c r="B590" s="500"/>
      <c r="C590" s="500"/>
      <c r="D590" s="500"/>
      <c r="E590" s="500"/>
      <c r="F590" s="500"/>
      <c r="G590" s="500"/>
      <c r="H590" s="500"/>
      <c r="I590" s="500"/>
      <c r="J590" s="500"/>
      <c r="K590" s="500"/>
      <c r="L590" s="500"/>
      <c r="M590" s="500"/>
      <c r="N590" s="500"/>
      <c r="O590" s="500"/>
      <c r="P590" s="500"/>
      <c r="Q590" s="500"/>
      <c r="R590" s="500"/>
      <c r="S590" s="500"/>
      <c r="T590" s="500"/>
      <c r="U590" s="500"/>
      <c r="V590" s="500"/>
      <c r="W590" s="500"/>
      <c r="X590" s="500"/>
      <c r="Y590" s="500"/>
      <c r="Z590" s="500"/>
    </row>
    <row r="591" spans="1:26" x14ac:dyDescent="0.3">
      <c r="A591" s="500"/>
      <c r="B591" s="500"/>
      <c r="C591" s="500"/>
      <c r="D591" s="500"/>
      <c r="E591" s="500"/>
      <c r="F591" s="500"/>
      <c r="G591" s="500"/>
      <c r="H591" s="500"/>
      <c r="I591" s="500"/>
      <c r="J591" s="500"/>
      <c r="K591" s="500"/>
      <c r="L591" s="500"/>
      <c r="M591" s="500"/>
      <c r="N591" s="500"/>
      <c r="O591" s="500"/>
      <c r="P591" s="500"/>
      <c r="Q591" s="500"/>
      <c r="R591" s="500"/>
      <c r="S591" s="500"/>
      <c r="T591" s="500"/>
      <c r="U591" s="500"/>
      <c r="V591" s="500"/>
      <c r="W591" s="500"/>
      <c r="X591" s="500"/>
      <c r="Y591" s="500"/>
      <c r="Z591" s="500"/>
    </row>
    <row r="592" spans="1:26" x14ac:dyDescent="0.3">
      <c r="A592" s="500"/>
      <c r="B592" s="500"/>
      <c r="C592" s="500"/>
      <c r="D592" s="500"/>
      <c r="E592" s="500"/>
      <c r="F592" s="500"/>
      <c r="G592" s="500"/>
      <c r="H592" s="500"/>
      <c r="I592" s="500"/>
      <c r="J592" s="500"/>
      <c r="K592" s="500"/>
      <c r="L592" s="500"/>
      <c r="M592" s="500"/>
      <c r="N592" s="500"/>
      <c r="O592" s="500"/>
      <c r="P592" s="500"/>
      <c r="Q592" s="500"/>
      <c r="R592" s="500"/>
      <c r="S592" s="500"/>
      <c r="T592" s="500"/>
      <c r="U592" s="500"/>
      <c r="V592" s="500"/>
      <c r="W592" s="500"/>
      <c r="X592" s="500"/>
      <c r="Y592" s="500"/>
      <c r="Z592" s="500"/>
    </row>
    <row r="593" spans="1:26" x14ac:dyDescent="0.3">
      <c r="A593" s="500"/>
      <c r="B593" s="500"/>
      <c r="C593" s="500"/>
      <c r="D593" s="500"/>
      <c r="E593" s="500"/>
      <c r="F593" s="500"/>
      <c r="G593" s="500"/>
      <c r="H593" s="500"/>
      <c r="I593" s="500"/>
      <c r="J593" s="500"/>
      <c r="K593" s="500"/>
      <c r="L593" s="500"/>
      <c r="M593" s="500"/>
      <c r="N593" s="500"/>
      <c r="O593" s="500"/>
      <c r="P593" s="500"/>
      <c r="Q593" s="500"/>
      <c r="R593" s="500"/>
      <c r="S593" s="500"/>
      <c r="T593" s="500"/>
      <c r="U593" s="500"/>
      <c r="V593" s="500"/>
      <c r="W593" s="500"/>
      <c r="X593" s="500"/>
      <c r="Y593" s="500"/>
      <c r="Z593" s="500"/>
    </row>
    <row r="594" spans="1:26" x14ac:dyDescent="0.3">
      <c r="A594" s="500"/>
      <c r="B594" s="500"/>
      <c r="C594" s="500"/>
      <c r="D594" s="500"/>
      <c r="E594" s="500"/>
      <c r="F594" s="500"/>
      <c r="G594" s="500"/>
      <c r="H594" s="500"/>
      <c r="I594" s="500"/>
      <c r="J594" s="500"/>
      <c r="K594" s="500"/>
      <c r="L594" s="500"/>
      <c r="M594" s="500"/>
      <c r="N594" s="500"/>
      <c r="O594" s="500"/>
      <c r="P594" s="500"/>
      <c r="Q594" s="500"/>
      <c r="R594" s="500"/>
      <c r="S594" s="500"/>
      <c r="T594" s="500"/>
      <c r="U594" s="500"/>
      <c r="V594" s="500"/>
      <c r="W594" s="500"/>
      <c r="X594" s="500"/>
      <c r="Y594" s="500"/>
      <c r="Z594" s="500"/>
    </row>
    <row r="595" spans="1:26" x14ac:dyDescent="0.3">
      <c r="A595" s="500"/>
      <c r="B595" s="500"/>
      <c r="C595" s="500"/>
      <c r="D595" s="500"/>
      <c r="E595" s="500"/>
      <c r="F595" s="500"/>
      <c r="G595" s="500"/>
      <c r="H595" s="500"/>
      <c r="I595" s="500"/>
      <c r="J595" s="500"/>
      <c r="K595" s="500"/>
      <c r="L595" s="500"/>
      <c r="M595" s="500"/>
      <c r="N595" s="500"/>
      <c r="O595" s="500"/>
      <c r="P595" s="500"/>
      <c r="Q595" s="500"/>
      <c r="R595" s="500"/>
      <c r="S595" s="500"/>
      <c r="T595" s="500"/>
      <c r="U595" s="500"/>
      <c r="V595" s="500"/>
      <c r="W595" s="500"/>
      <c r="X595" s="500"/>
      <c r="Y595" s="500"/>
      <c r="Z595" s="500"/>
    </row>
    <row r="596" spans="1:26" x14ac:dyDescent="0.3">
      <c r="A596" s="500"/>
      <c r="B596" s="500"/>
      <c r="C596" s="500"/>
      <c r="D596" s="500"/>
      <c r="E596" s="500"/>
      <c r="F596" s="500"/>
      <c r="G596" s="500"/>
      <c r="H596" s="500"/>
      <c r="I596" s="500"/>
      <c r="J596" s="500"/>
      <c r="K596" s="500"/>
      <c r="L596" s="500"/>
      <c r="M596" s="500"/>
      <c r="N596" s="500"/>
      <c r="O596" s="500"/>
      <c r="P596" s="500"/>
      <c r="Q596" s="500"/>
      <c r="R596" s="500"/>
      <c r="S596" s="500"/>
      <c r="T596" s="500"/>
      <c r="U596" s="500"/>
      <c r="V596" s="500"/>
      <c r="W596" s="500"/>
      <c r="X596" s="500"/>
      <c r="Y596" s="500"/>
      <c r="Z596" s="500"/>
    </row>
    <row r="597" spans="1:26" x14ac:dyDescent="0.3">
      <c r="A597" s="500"/>
      <c r="B597" s="500"/>
      <c r="C597" s="500"/>
      <c r="D597" s="500"/>
      <c r="E597" s="500"/>
      <c r="F597" s="500"/>
      <c r="G597" s="500"/>
      <c r="H597" s="500"/>
      <c r="I597" s="500"/>
      <c r="J597" s="500"/>
      <c r="K597" s="500"/>
      <c r="L597" s="500"/>
      <c r="M597" s="500"/>
      <c r="N597" s="500"/>
      <c r="O597" s="500"/>
      <c r="P597" s="500"/>
      <c r="Q597" s="500"/>
      <c r="R597" s="500"/>
      <c r="S597" s="500"/>
      <c r="T597" s="500"/>
      <c r="U597" s="500"/>
      <c r="V597" s="500"/>
      <c r="W597" s="500"/>
      <c r="X597" s="500"/>
      <c r="Y597" s="500"/>
      <c r="Z597" s="500"/>
    </row>
    <row r="598" spans="1:26" x14ac:dyDescent="0.3">
      <c r="A598" s="500"/>
      <c r="B598" s="500"/>
      <c r="C598" s="500"/>
      <c r="D598" s="500"/>
      <c r="E598" s="500"/>
      <c r="F598" s="500"/>
      <c r="G598" s="500"/>
      <c r="H598" s="500"/>
      <c r="I598" s="500"/>
      <c r="J598" s="500"/>
      <c r="K598" s="500"/>
      <c r="L598" s="500"/>
      <c r="M598" s="500"/>
      <c r="N598" s="500"/>
      <c r="O598" s="500"/>
      <c r="P598" s="500"/>
      <c r="Q598" s="500"/>
      <c r="R598" s="500"/>
      <c r="S598" s="500"/>
      <c r="T598" s="500"/>
      <c r="U598" s="500"/>
      <c r="V598" s="500"/>
      <c r="W598" s="500"/>
      <c r="X598" s="500"/>
      <c r="Y598" s="500"/>
      <c r="Z598" s="500"/>
    </row>
    <row r="599" spans="1:26" x14ac:dyDescent="0.3">
      <c r="A599" s="500"/>
      <c r="B599" s="500"/>
      <c r="C599" s="500"/>
      <c r="D599" s="500"/>
      <c r="E599" s="500"/>
      <c r="F599" s="500"/>
      <c r="G599" s="500"/>
      <c r="H599" s="500"/>
      <c r="I599" s="500"/>
      <c r="J599" s="500"/>
      <c r="K599" s="500"/>
      <c r="L599" s="500"/>
      <c r="M599" s="500"/>
      <c r="N599" s="500"/>
      <c r="O599" s="500"/>
      <c r="P599" s="500"/>
      <c r="Q599" s="500"/>
      <c r="R599" s="500"/>
      <c r="S599" s="500"/>
      <c r="T599" s="500"/>
      <c r="U599" s="500"/>
      <c r="V599" s="500"/>
      <c r="W599" s="500"/>
      <c r="X599" s="500"/>
      <c r="Y599" s="500"/>
      <c r="Z599" s="500"/>
    </row>
    <row r="600" spans="1:26" x14ac:dyDescent="0.3">
      <c r="A600" s="500"/>
      <c r="B600" s="500"/>
      <c r="C600" s="500"/>
      <c r="D600" s="500"/>
      <c r="E600" s="500"/>
      <c r="F600" s="500"/>
      <c r="G600" s="500"/>
      <c r="H600" s="500"/>
      <c r="I600" s="500"/>
      <c r="J600" s="500"/>
      <c r="K600" s="500"/>
      <c r="L600" s="500"/>
      <c r="M600" s="500"/>
      <c r="N600" s="500"/>
      <c r="O600" s="500"/>
      <c r="P600" s="500"/>
      <c r="Q600" s="500"/>
      <c r="R600" s="500"/>
      <c r="S600" s="500"/>
      <c r="T600" s="500"/>
      <c r="U600" s="500"/>
      <c r="V600" s="500"/>
      <c r="W600" s="500"/>
      <c r="X600" s="500"/>
      <c r="Y600" s="500"/>
      <c r="Z600" s="500"/>
    </row>
    <row r="601" spans="1:26" x14ac:dyDescent="0.3">
      <c r="A601" s="500"/>
      <c r="B601" s="500"/>
      <c r="C601" s="500"/>
      <c r="D601" s="500"/>
      <c r="E601" s="500"/>
      <c r="F601" s="500"/>
      <c r="G601" s="500"/>
      <c r="H601" s="500"/>
      <c r="I601" s="500"/>
      <c r="J601" s="500"/>
      <c r="K601" s="500"/>
      <c r="L601" s="500"/>
      <c r="M601" s="500"/>
      <c r="N601" s="500"/>
      <c r="O601" s="500"/>
      <c r="P601" s="500"/>
      <c r="Q601" s="500"/>
      <c r="R601" s="500"/>
      <c r="S601" s="500"/>
      <c r="T601" s="500"/>
      <c r="U601" s="500"/>
      <c r="V601" s="500"/>
      <c r="W601" s="500"/>
      <c r="X601" s="500"/>
      <c r="Y601" s="500"/>
      <c r="Z601" s="500"/>
    </row>
    <row r="602" spans="1:26" x14ac:dyDescent="0.3">
      <c r="A602" s="500"/>
      <c r="B602" s="500"/>
      <c r="C602" s="500"/>
      <c r="D602" s="500"/>
      <c r="E602" s="500"/>
      <c r="F602" s="500"/>
      <c r="G602" s="500"/>
      <c r="H602" s="500"/>
      <c r="I602" s="500"/>
      <c r="J602" s="500"/>
      <c r="K602" s="500"/>
      <c r="L602" s="500"/>
      <c r="M602" s="500"/>
      <c r="N602" s="500"/>
      <c r="O602" s="500"/>
      <c r="P602" s="500"/>
      <c r="Q602" s="500"/>
      <c r="R602" s="500"/>
      <c r="S602" s="500"/>
      <c r="T602" s="500"/>
      <c r="U602" s="500"/>
      <c r="V602" s="500"/>
      <c r="W602" s="500"/>
      <c r="X602" s="500"/>
      <c r="Y602" s="500"/>
      <c r="Z602" s="500"/>
    </row>
    <row r="603" spans="1:26" x14ac:dyDescent="0.3">
      <c r="A603" s="500"/>
      <c r="B603" s="500"/>
      <c r="C603" s="500"/>
      <c r="D603" s="500"/>
      <c r="E603" s="500"/>
      <c r="F603" s="500"/>
      <c r="G603" s="500"/>
      <c r="H603" s="500"/>
      <c r="I603" s="500"/>
      <c r="J603" s="500"/>
      <c r="K603" s="500"/>
      <c r="L603" s="500"/>
      <c r="M603" s="500"/>
      <c r="N603" s="500"/>
      <c r="O603" s="500"/>
      <c r="P603" s="500"/>
      <c r="Q603" s="500"/>
      <c r="R603" s="500"/>
      <c r="S603" s="500"/>
      <c r="T603" s="500"/>
      <c r="U603" s="500"/>
      <c r="V603" s="500"/>
      <c r="W603" s="500"/>
      <c r="X603" s="500"/>
      <c r="Y603" s="500"/>
      <c r="Z603" s="500"/>
    </row>
    <row r="604" spans="1:26" x14ac:dyDescent="0.3">
      <c r="A604" s="500"/>
      <c r="B604" s="500"/>
      <c r="C604" s="500"/>
      <c r="D604" s="500"/>
      <c r="E604" s="500"/>
      <c r="F604" s="500"/>
      <c r="G604" s="500"/>
      <c r="H604" s="500"/>
      <c r="I604" s="500"/>
      <c r="J604" s="500"/>
      <c r="K604" s="500"/>
      <c r="L604" s="500"/>
      <c r="M604" s="500"/>
      <c r="N604" s="500"/>
      <c r="O604" s="500"/>
      <c r="P604" s="500"/>
      <c r="Q604" s="500"/>
      <c r="R604" s="500"/>
      <c r="S604" s="500"/>
      <c r="T604" s="500"/>
      <c r="U604" s="500"/>
      <c r="V604" s="500"/>
      <c r="W604" s="500"/>
      <c r="X604" s="500"/>
      <c r="Y604" s="500"/>
      <c r="Z604" s="500"/>
    </row>
    <row r="605" spans="1:26" x14ac:dyDescent="0.3">
      <c r="A605" s="500"/>
      <c r="B605" s="500"/>
      <c r="C605" s="500"/>
      <c r="D605" s="500"/>
      <c r="E605" s="500"/>
      <c r="F605" s="500"/>
      <c r="G605" s="500"/>
      <c r="H605" s="500"/>
      <c r="I605" s="500"/>
      <c r="J605" s="500"/>
      <c r="K605" s="500"/>
      <c r="L605" s="500"/>
      <c r="M605" s="500"/>
      <c r="N605" s="500"/>
      <c r="O605" s="500"/>
      <c r="P605" s="500"/>
      <c r="Q605" s="500"/>
      <c r="R605" s="500"/>
      <c r="S605" s="500"/>
      <c r="T605" s="500"/>
      <c r="U605" s="500"/>
      <c r="V605" s="500"/>
      <c r="W605" s="500"/>
      <c r="X605" s="500"/>
      <c r="Y605" s="500"/>
      <c r="Z605" s="500"/>
    </row>
    <row r="606" spans="1:26" x14ac:dyDescent="0.3">
      <c r="A606" s="500"/>
      <c r="B606" s="500"/>
      <c r="C606" s="500"/>
      <c r="D606" s="500"/>
      <c r="E606" s="500"/>
      <c r="F606" s="500"/>
      <c r="G606" s="500"/>
      <c r="H606" s="500"/>
      <c r="I606" s="500"/>
      <c r="J606" s="500"/>
      <c r="K606" s="500"/>
      <c r="L606" s="500"/>
      <c r="M606" s="500"/>
      <c r="N606" s="500"/>
      <c r="O606" s="500"/>
      <c r="P606" s="500"/>
      <c r="Q606" s="500"/>
      <c r="R606" s="500"/>
      <c r="S606" s="500"/>
      <c r="T606" s="500"/>
      <c r="U606" s="500"/>
      <c r="V606" s="500"/>
      <c r="W606" s="500"/>
      <c r="X606" s="500"/>
      <c r="Y606" s="500"/>
      <c r="Z606" s="500"/>
    </row>
    <row r="607" spans="1:26" x14ac:dyDescent="0.3">
      <c r="A607" s="500"/>
      <c r="B607" s="500"/>
      <c r="C607" s="500"/>
      <c r="D607" s="500"/>
      <c r="E607" s="500"/>
      <c r="F607" s="500"/>
      <c r="G607" s="500"/>
      <c r="H607" s="500"/>
      <c r="I607" s="500"/>
      <c r="J607" s="500"/>
      <c r="K607" s="500"/>
      <c r="L607" s="500"/>
      <c r="M607" s="500"/>
      <c r="N607" s="500"/>
      <c r="O607" s="500"/>
      <c r="P607" s="500"/>
      <c r="Q607" s="500"/>
      <c r="R607" s="500"/>
      <c r="S607" s="500"/>
      <c r="T607" s="500"/>
      <c r="U607" s="500"/>
      <c r="V607" s="500"/>
      <c r="W607" s="500"/>
      <c r="X607" s="500"/>
      <c r="Y607" s="500"/>
      <c r="Z607" s="500"/>
    </row>
    <row r="608" spans="1:26" x14ac:dyDescent="0.3">
      <c r="A608" s="500"/>
      <c r="B608" s="500"/>
      <c r="C608" s="500"/>
      <c r="D608" s="500"/>
      <c r="E608" s="500"/>
      <c r="F608" s="500"/>
      <c r="G608" s="500"/>
      <c r="H608" s="500"/>
      <c r="I608" s="500"/>
      <c r="J608" s="500"/>
      <c r="K608" s="500"/>
      <c r="L608" s="500"/>
      <c r="M608" s="500"/>
      <c r="N608" s="500"/>
      <c r="O608" s="500"/>
      <c r="P608" s="500"/>
      <c r="Q608" s="500"/>
      <c r="R608" s="500"/>
      <c r="S608" s="500"/>
      <c r="T608" s="500"/>
      <c r="U608" s="500"/>
      <c r="V608" s="500"/>
      <c r="W608" s="500"/>
      <c r="X608" s="500"/>
      <c r="Y608" s="500"/>
      <c r="Z608" s="500"/>
    </row>
    <row r="609" spans="1:26" x14ac:dyDescent="0.3">
      <c r="A609" s="500"/>
      <c r="B609" s="500"/>
      <c r="C609" s="500"/>
      <c r="D609" s="500"/>
      <c r="E609" s="500"/>
      <c r="F609" s="500"/>
      <c r="G609" s="500"/>
      <c r="H609" s="500"/>
      <c r="I609" s="500"/>
      <c r="J609" s="500"/>
      <c r="K609" s="500"/>
      <c r="L609" s="500"/>
      <c r="M609" s="500"/>
      <c r="N609" s="500"/>
      <c r="O609" s="500"/>
      <c r="P609" s="500"/>
      <c r="Q609" s="500"/>
      <c r="R609" s="500"/>
      <c r="S609" s="500"/>
      <c r="T609" s="500"/>
      <c r="U609" s="500"/>
      <c r="V609" s="500"/>
      <c r="W609" s="500"/>
      <c r="X609" s="500"/>
      <c r="Y609" s="500"/>
      <c r="Z609" s="500"/>
    </row>
    <row r="610" spans="1:26" x14ac:dyDescent="0.3">
      <c r="A610" s="500"/>
      <c r="B610" s="500"/>
      <c r="C610" s="500"/>
      <c r="D610" s="500"/>
      <c r="E610" s="500"/>
      <c r="F610" s="500"/>
      <c r="G610" s="500"/>
      <c r="H610" s="500"/>
      <c r="I610" s="500"/>
      <c r="J610" s="500"/>
      <c r="K610" s="500"/>
      <c r="L610" s="500"/>
      <c r="M610" s="500"/>
      <c r="N610" s="500"/>
      <c r="O610" s="500"/>
      <c r="P610" s="500"/>
      <c r="Q610" s="500"/>
      <c r="R610" s="500"/>
      <c r="S610" s="500"/>
      <c r="T610" s="500"/>
      <c r="U610" s="500"/>
      <c r="V610" s="500"/>
      <c r="W610" s="500"/>
      <c r="X610" s="500"/>
      <c r="Y610" s="500"/>
      <c r="Z610" s="500"/>
    </row>
    <row r="611" spans="1:26" x14ac:dyDescent="0.3">
      <c r="A611" s="500"/>
      <c r="B611" s="500"/>
      <c r="C611" s="500"/>
      <c r="D611" s="500"/>
      <c r="E611" s="500"/>
      <c r="F611" s="500"/>
      <c r="G611" s="500"/>
      <c r="H611" s="500"/>
      <c r="I611" s="500"/>
      <c r="J611" s="500"/>
      <c r="K611" s="500"/>
      <c r="L611" s="500"/>
      <c r="M611" s="500"/>
      <c r="N611" s="500"/>
      <c r="O611" s="500"/>
      <c r="P611" s="500"/>
      <c r="Q611" s="500"/>
      <c r="R611" s="500"/>
      <c r="S611" s="500"/>
      <c r="T611" s="500"/>
      <c r="U611" s="500"/>
      <c r="V611" s="500"/>
      <c r="W611" s="500"/>
      <c r="X611" s="500"/>
      <c r="Y611" s="500"/>
      <c r="Z611" s="500"/>
    </row>
    <row r="612" spans="1:26" x14ac:dyDescent="0.3">
      <c r="A612" s="500"/>
      <c r="B612" s="500"/>
      <c r="C612" s="500"/>
      <c r="D612" s="500"/>
      <c r="E612" s="500"/>
      <c r="F612" s="500"/>
      <c r="G612" s="500"/>
      <c r="H612" s="500"/>
      <c r="I612" s="500"/>
      <c r="J612" s="500"/>
      <c r="K612" s="500"/>
      <c r="L612" s="500"/>
      <c r="M612" s="500"/>
      <c r="N612" s="500"/>
      <c r="O612" s="500"/>
      <c r="P612" s="500"/>
      <c r="Q612" s="500"/>
      <c r="R612" s="500"/>
      <c r="S612" s="500"/>
      <c r="T612" s="500"/>
      <c r="U612" s="500"/>
      <c r="V612" s="500"/>
      <c r="W612" s="500"/>
      <c r="X612" s="500"/>
      <c r="Y612" s="500"/>
      <c r="Z612" s="500"/>
    </row>
    <row r="613" spans="1:26" x14ac:dyDescent="0.3">
      <c r="A613" s="500"/>
      <c r="B613" s="500"/>
      <c r="C613" s="500"/>
      <c r="D613" s="500"/>
      <c r="E613" s="500"/>
      <c r="F613" s="500"/>
      <c r="G613" s="500"/>
      <c r="H613" s="500"/>
      <c r="I613" s="500"/>
      <c r="J613" s="500"/>
      <c r="K613" s="500"/>
      <c r="L613" s="500"/>
      <c r="M613" s="500"/>
      <c r="N613" s="500"/>
      <c r="O613" s="500"/>
      <c r="P613" s="500"/>
      <c r="Q613" s="500"/>
      <c r="R613" s="500"/>
      <c r="S613" s="500"/>
      <c r="T613" s="500"/>
      <c r="U613" s="500"/>
      <c r="V613" s="500"/>
      <c r="W613" s="500"/>
      <c r="X613" s="500"/>
      <c r="Y613" s="500"/>
      <c r="Z613" s="500"/>
    </row>
    <row r="614" spans="1:26" x14ac:dyDescent="0.3">
      <c r="A614" s="500"/>
      <c r="B614" s="500"/>
      <c r="C614" s="500"/>
      <c r="D614" s="500"/>
      <c r="E614" s="500"/>
      <c r="F614" s="500"/>
      <c r="G614" s="500"/>
      <c r="H614" s="500"/>
      <c r="I614" s="500"/>
      <c r="J614" s="500"/>
      <c r="K614" s="500"/>
      <c r="L614" s="500"/>
      <c r="M614" s="500"/>
      <c r="N614" s="500"/>
      <c r="O614" s="500"/>
      <c r="P614" s="500"/>
      <c r="Q614" s="500"/>
      <c r="R614" s="500"/>
      <c r="S614" s="500"/>
      <c r="T614" s="500"/>
      <c r="U614" s="500"/>
      <c r="V614" s="500"/>
      <c r="W614" s="500"/>
      <c r="X614" s="500"/>
      <c r="Y614" s="500"/>
      <c r="Z614" s="500"/>
    </row>
    <row r="615" spans="1:26" x14ac:dyDescent="0.3">
      <c r="A615" s="500"/>
      <c r="B615" s="500"/>
      <c r="C615" s="500"/>
      <c r="D615" s="500"/>
      <c r="E615" s="500"/>
      <c r="F615" s="500"/>
      <c r="G615" s="500"/>
      <c r="H615" s="500"/>
      <c r="I615" s="500"/>
      <c r="J615" s="500"/>
      <c r="K615" s="500"/>
      <c r="L615" s="500"/>
      <c r="M615" s="500"/>
      <c r="N615" s="500"/>
      <c r="O615" s="500"/>
      <c r="P615" s="500"/>
      <c r="Q615" s="500"/>
      <c r="R615" s="500"/>
      <c r="S615" s="500"/>
      <c r="T615" s="500"/>
      <c r="U615" s="500"/>
      <c r="V615" s="500"/>
      <c r="W615" s="500"/>
      <c r="X615" s="500"/>
      <c r="Y615" s="500"/>
      <c r="Z615" s="500"/>
    </row>
    <row r="616" spans="1:26" x14ac:dyDescent="0.3">
      <c r="A616" s="500"/>
      <c r="B616" s="500"/>
      <c r="C616" s="500"/>
      <c r="D616" s="500"/>
      <c r="E616" s="500"/>
      <c r="F616" s="500"/>
      <c r="G616" s="500"/>
      <c r="H616" s="500"/>
      <c r="I616" s="500"/>
      <c r="J616" s="500"/>
      <c r="K616" s="500"/>
      <c r="L616" s="500"/>
      <c r="M616" s="500"/>
      <c r="N616" s="500"/>
      <c r="O616" s="500"/>
      <c r="P616" s="500"/>
      <c r="Q616" s="500"/>
      <c r="R616" s="500"/>
      <c r="S616" s="500"/>
      <c r="T616" s="500"/>
      <c r="U616" s="500"/>
      <c r="V616" s="500"/>
      <c r="W616" s="500"/>
      <c r="X616" s="500"/>
      <c r="Y616" s="500"/>
      <c r="Z616" s="500"/>
    </row>
    <row r="617" spans="1:26" x14ac:dyDescent="0.3">
      <c r="A617" s="500"/>
      <c r="B617" s="500"/>
      <c r="C617" s="500"/>
      <c r="D617" s="500"/>
      <c r="E617" s="500"/>
      <c r="F617" s="500"/>
      <c r="G617" s="500"/>
      <c r="H617" s="500"/>
      <c r="I617" s="500"/>
      <c r="J617" s="500"/>
      <c r="K617" s="500"/>
      <c r="L617" s="500"/>
      <c r="M617" s="500"/>
      <c r="N617" s="500"/>
      <c r="O617" s="500"/>
      <c r="P617" s="500"/>
      <c r="Q617" s="500"/>
      <c r="R617" s="500"/>
      <c r="S617" s="500"/>
      <c r="T617" s="500"/>
      <c r="U617" s="500"/>
      <c r="V617" s="500"/>
      <c r="W617" s="500"/>
      <c r="X617" s="500"/>
      <c r="Y617" s="500"/>
      <c r="Z617" s="500"/>
    </row>
    <row r="618" spans="1:26" x14ac:dyDescent="0.3">
      <c r="A618" s="500"/>
      <c r="B618" s="500"/>
      <c r="C618" s="500"/>
      <c r="D618" s="500"/>
      <c r="E618" s="500"/>
      <c r="F618" s="500"/>
      <c r="G618" s="500"/>
      <c r="H618" s="500"/>
      <c r="I618" s="500"/>
      <c r="J618" s="500"/>
      <c r="K618" s="500"/>
      <c r="L618" s="500"/>
      <c r="M618" s="500"/>
      <c r="N618" s="500"/>
      <c r="O618" s="500"/>
      <c r="P618" s="500"/>
      <c r="Q618" s="500"/>
      <c r="R618" s="500"/>
      <c r="S618" s="500"/>
      <c r="T618" s="500"/>
      <c r="U618" s="500"/>
      <c r="V618" s="500"/>
      <c r="W618" s="500"/>
      <c r="X618" s="500"/>
      <c r="Y618" s="500"/>
      <c r="Z618" s="500"/>
    </row>
    <row r="619" spans="1:26" x14ac:dyDescent="0.3">
      <c r="A619" s="500"/>
      <c r="B619" s="500"/>
      <c r="C619" s="500"/>
      <c r="D619" s="500"/>
      <c r="E619" s="500"/>
      <c r="F619" s="500"/>
      <c r="G619" s="500"/>
      <c r="H619" s="500"/>
      <c r="I619" s="500"/>
      <c r="J619" s="500"/>
      <c r="K619" s="500"/>
      <c r="L619" s="500"/>
      <c r="M619" s="500"/>
      <c r="N619" s="500"/>
      <c r="O619" s="500"/>
      <c r="P619" s="500"/>
      <c r="Q619" s="500"/>
      <c r="R619" s="500"/>
      <c r="S619" s="500"/>
      <c r="T619" s="500"/>
      <c r="U619" s="500"/>
      <c r="V619" s="500"/>
      <c r="W619" s="500"/>
      <c r="X619" s="500"/>
      <c r="Y619" s="500"/>
      <c r="Z619" s="500"/>
    </row>
    <row r="620" spans="1:26" x14ac:dyDescent="0.3">
      <c r="A620" s="500"/>
      <c r="B620" s="500"/>
      <c r="C620" s="500"/>
      <c r="D620" s="500"/>
      <c r="E620" s="500"/>
      <c r="F620" s="500"/>
      <c r="G620" s="500"/>
      <c r="H620" s="500"/>
      <c r="I620" s="500"/>
      <c r="J620" s="500"/>
      <c r="K620" s="500"/>
      <c r="L620" s="500"/>
      <c r="M620" s="500"/>
      <c r="N620" s="500"/>
      <c r="O620" s="500"/>
      <c r="P620" s="500"/>
      <c r="Q620" s="500"/>
      <c r="R620" s="500"/>
      <c r="S620" s="500"/>
      <c r="T620" s="500"/>
      <c r="U620" s="500"/>
      <c r="V620" s="500"/>
      <c r="W620" s="500"/>
      <c r="X620" s="500"/>
      <c r="Y620" s="500"/>
      <c r="Z620" s="500"/>
    </row>
    <row r="621" spans="1:26" x14ac:dyDescent="0.3">
      <c r="A621" s="500"/>
      <c r="B621" s="500"/>
      <c r="C621" s="500"/>
      <c r="D621" s="500"/>
      <c r="E621" s="500"/>
      <c r="F621" s="500"/>
      <c r="G621" s="500"/>
      <c r="H621" s="500"/>
      <c r="I621" s="500"/>
      <c r="J621" s="500"/>
      <c r="K621" s="500"/>
      <c r="L621" s="500"/>
      <c r="M621" s="500"/>
      <c r="N621" s="500"/>
      <c r="O621" s="500"/>
      <c r="P621" s="500"/>
      <c r="Q621" s="500"/>
      <c r="R621" s="500"/>
      <c r="S621" s="500"/>
      <c r="T621" s="500"/>
      <c r="U621" s="500"/>
      <c r="V621" s="500"/>
      <c r="W621" s="500"/>
      <c r="X621" s="500"/>
      <c r="Y621" s="500"/>
      <c r="Z621" s="500"/>
    </row>
    <row r="622" spans="1:26" x14ac:dyDescent="0.3">
      <c r="A622" s="500"/>
      <c r="B622" s="500"/>
      <c r="C622" s="500"/>
      <c r="D622" s="500"/>
      <c r="E622" s="500"/>
      <c r="F622" s="500"/>
      <c r="G622" s="500"/>
      <c r="H622" s="500"/>
      <c r="I622" s="500"/>
      <c r="J622" s="500"/>
      <c r="K622" s="500"/>
      <c r="L622" s="500"/>
      <c r="M622" s="500"/>
      <c r="N622" s="500"/>
      <c r="O622" s="500"/>
      <c r="P622" s="500"/>
      <c r="Q622" s="500"/>
      <c r="R622" s="500"/>
      <c r="S622" s="500"/>
      <c r="T622" s="500"/>
      <c r="U622" s="500"/>
      <c r="V622" s="500"/>
      <c r="W622" s="500"/>
      <c r="X622" s="500"/>
      <c r="Y622" s="500"/>
      <c r="Z622" s="500"/>
    </row>
    <row r="623" spans="1:26" x14ac:dyDescent="0.3">
      <c r="A623" s="500"/>
      <c r="B623" s="500"/>
      <c r="C623" s="500"/>
      <c r="D623" s="500"/>
      <c r="E623" s="500"/>
      <c r="F623" s="500"/>
      <c r="G623" s="500"/>
      <c r="H623" s="500"/>
      <c r="I623" s="500"/>
      <c r="J623" s="500"/>
      <c r="K623" s="500"/>
      <c r="L623" s="500"/>
      <c r="M623" s="500"/>
      <c r="N623" s="500"/>
      <c r="O623" s="500"/>
      <c r="P623" s="500"/>
      <c r="Q623" s="500"/>
      <c r="R623" s="500"/>
      <c r="S623" s="500"/>
      <c r="T623" s="500"/>
      <c r="U623" s="500"/>
      <c r="V623" s="500"/>
      <c r="W623" s="500"/>
      <c r="X623" s="500"/>
      <c r="Y623" s="500"/>
      <c r="Z623" s="500"/>
    </row>
    <row r="624" spans="1:26" x14ac:dyDescent="0.3">
      <c r="A624" s="500"/>
      <c r="B624" s="500"/>
      <c r="C624" s="500"/>
      <c r="D624" s="500"/>
      <c r="E624" s="500"/>
      <c r="F624" s="500"/>
      <c r="G624" s="500"/>
      <c r="H624" s="500"/>
      <c r="I624" s="500"/>
      <c r="J624" s="500"/>
      <c r="K624" s="500"/>
      <c r="L624" s="500"/>
      <c r="M624" s="500"/>
      <c r="N624" s="500"/>
      <c r="O624" s="500"/>
      <c r="P624" s="500"/>
      <c r="Q624" s="500"/>
      <c r="R624" s="500"/>
      <c r="S624" s="500"/>
      <c r="T624" s="500"/>
      <c r="U624" s="500"/>
      <c r="V624" s="500"/>
      <c r="W624" s="500"/>
      <c r="X624" s="500"/>
      <c r="Y624" s="500"/>
      <c r="Z624" s="500"/>
    </row>
    <row r="625" spans="1:26" x14ac:dyDescent="0.3">
      <c r="A625" s="500"/>
      <c r="B625" s="500"/>
      <c r="C625" s="500"/>
      <c r="D625" s="500"/>
      <c r="E625" s="500"/>
      <c r="F625" s="500"/>
      <c r="G625" s="500"/>
      <c r="H625" s="500"/>
      <c r="I625" s="500"/>
      <c r="J625" s="500"/>
      <c r="K625" s="500"/>
      <c r="L625" s="500"/>
      <c r="M625" s="500"/>
      <c r="N625" s="500"/>
      <c r="O625" s="500"/>
      <c r="P625" s="500"/>
      <c r="Q625" s="500"/>
      <c r="R625" s="500"/>
      <c r="S625" s="500"/>
      <c r="T625" s="500"/>
      <c r="U625" s="500"/>
      <c r="V625" s="500"/>
      <c r="W625" s="500"/>
      <c r="X625" s="500"/>
      <c r="Y625" s="500"/>
      <c r="Z625" s="500"/>
    </row>
    <row r="626" spans="1:26" x14ac:dyDescent="0.3">
      <c r="A626" s="500"/>
      <c r="B626" s="500"/>
      <c r="C626" s="500"/>
      <c r="D626" s="500"/>
      <c r="E626" s="500"/>
      <c r="F626" s="500"/>
      <c r="G626" s="500"/>
      <c r="H626" s="500"/>
      <c r="I626" s="500"/>
      <c r="J626" s="500"/>
      <c r="K626" s="500"/>
      <c r="L626" s="500"/>
      <c r="M626" s="500"/>
      <c r="N626" s="500"/>
      <c r="O626" s="500"/>
      <c r="P626" s="500"/>
      <c r="Q626" s="500"/>
      <c r="R626" s="500"/>
      <c r="S626" s="500"/>
      <c r="T626" s="500"/>
      <c r="U626" s="500"/>
      <c r="V626" s="500"/>
      <c r="W626" s="500"/>
      <c r="X626" s="500"/>
      <c r="Y626" s="500"/>
      <c r="Z626" s="500"/>
    </row>
    <row r="627" spans="1:26" x14ac:dyDescent="0.3">
      <c r="A627" s="500"/>
      <c r="B627" s="500"/>
      <c r="C627" s="500"/>
      <c r="D627" s="500"/>
      <c r="E627" s="500"/>
      <c r="F627" s="500"/>
      <c r="G627" s="500"/>
      <c r="H627" s="500"/>
      <c r="I627" s="500"/>
      <c r="J627" s="500"/>
      <c r="K627" s="500"/>
      <c r="L627" s="500"/>
      <c r="M627" s="500"/>
      <c r="N627" s="500"/>
      <c r="O627" s="500"/>
      <c r="P627" s="500"/>
      <c r="Q627" s="500"/>
      <c r="R627" s="500"/>
      <c r="S627" s="500"/>
      <c r="T627" s="500"/>
      <c r="U627" s="500"/>
      <c r="V627" s="500"/>
      <c r="W627" s="500"/>
      <c r="X627" s="500"/>
      <c r="Y627" s="500"/>
      <c r="Z627" s="500"/>
    </row>
    <row r="628" spans="1:26" x14ac:dyDescent="0.3">
      <c r="A628" s="500"/>
      <c r="B628" s="500"/>
      <c r="C628" s="500"/>
      <c r="D628" s="500"/>
      <c r="E628" s="500"/>
      <c r="F628" s="500"/>
      <c r="G628" s="500"/>
      <c r="H628" s="500"/>
      <c r="I628" s="500"/>
      <c r="J628" s="500"/>
      <c r="K628" s="500"/>
      <c r="L628" s="500"/>
      <c r="M628" s="500"/>
      <c r="N628" s="500"/>
      <c r="O628" s="500"/>
      <c r="P628" s="500"/>
      <c r="Q628" s="500"/>
      <c r="R628" s="500"/>
      <c r="S628" s="500"/>
      <c r="T628" s="500"/>
      <c r="U628" s="500"/>
      <c r="V628" s="500"/>
      <c r="W628" s="500"/>
      <c r="X628" s="500"/>
      <c r="Y628" s="500"/>
      <c r="Z628" s="500"/>
    </row>
    <row r="629" spans="1:26" x14ac:dyDescent="0.3">
      <c r="A629" s="500"/>
      <c r="B629" s="500"/>
      <c r="C629" s="500"/>
      <c r="D629" s="500"/>
      <c r="E629" s="500"/>
      <c r="F629" s="500"/>
      <c r="G629" s="500"/>
      <c r="H629" s="500"/>
      <c r="I629" s="500"/>
      <c r="J629" s="500"/>
      <c r="K629" s="500"/>
      <c r="L629" s="500"/>
      <c r="M629" s="500"/>
      <c r="N629" s="500"/>
      <c r="O629" s="500"/>
      <c r="P629" s="500"/>
      <c r="Q629" s="500"/>
      <c r="R629" s="500"/>
      <c r="S629" s="500"/>
      <c r="T629" s="500"/>
      <c r="U629" s="500"/>
      <c r="V629" s="500"/>
      <c r="W629" s="500"/>
      <c r="X629" s="500"/>
      <c r="Y629" s="500"/>
      <c r="Z629" s="500"/>
    </row>
    <row r="630" spans="1:26" x14ac:dyDescent="0.3">
      <c r="A630" s="500"/>
      <c r="B630" s="500"/>
      <c r="C630" s="500"/>
      <c r="D630" s="500"/>
      <c r="E630" s="500"/>
      <c r="F630" s="500"/>
      <c r="G630" s="500"/>
      <c r="H630" s="500"/>
      <c r="I630" s="500"/>
      <c r="J630" s="500"/>
      <c r="K630" s="500"/>
      <c r="L630" s="500"/>
      <c r="M630" s="500"/>
      <c r="N630" s="500"/>
      <c r="O630" s="500"/>
      <c r="P630" s="500"/>
      <c r="Q630" s="500"/>
      <c r="R630" s="500"/>
      <c r="S630" s="500"/>
      <c r="T630" s="500"/>
      <c r="U630" s="500"/>
      <c r="V630" s="500"/>
      <c r="W630" s="500"/>
      <c r="X630" s="500"/>
      <c r="Y630" s="500"/>
      <c r="Z630" s="500"/>
    </row>
    <row r="631" spans="1:26" x14ac:dyDescent="0.3">
      <c r="A631" s="500"/>
      <c r="B631" s="500"/>
      <c r="C631" s="500"/>
      <c r="D631" s="500"/>
      <c r="E631" s="500"/>
      <c r="F631" s="500"/>
      <c r="G631" s="500"/>
      <c r="H631" s="500"/>
      <c r="I631" s="500"/>
      <c r="J631" s="500"/>
      <c r="K631" s="500"/>
      <c r="L631" s="500"/>
      <c r="M631" s="500"/>
      <c r="N631" s="500"/>
      <c r="O631" s="500"/>
      <c r="P631" s="500"/>
      <c r="Q631" s="500"/>
      <c r="R631" s="500"/>
      <c r="S631" s="500"/>
      <c r="T631" s="500"/>
      <c r="U631" s="500"/>
      <c r="V631" s="500"/>
      <c r="W631" s="500"/>
      <c r="X631" s="500"/>
      <c r="Y631" s="500"/>
      <c r="Z631" s="500"/>
    </row>
    <row r="632" spans="1:26" x14ac:dyDescent="0.3">
      <c r="A632" s="500"/>
      <c r="B632" s="500"/>
      <c r="C632" s="500"/>
      <c r="D632" s="500"/>
      <c r="E632" s="500"/>
      <c r="F632" s="500"/>
      <c r="G632" s="500"/>
      <c r="H632" s="500"/>
      <c r="I632" s="500"/>
      <c r="J632" s="500"/>
      <c r="K632" s="500"/>
      <c r="L632" s="500"/>
      <c r="M632" s="500"/>
      <c r="N632" s="500"/>
      <c r="O632" s="500"/>
      <c r="P632" s="500"/>
      <c r="Q632" s="500"/>
      <c r="R632" s="500"/>
      <c r="S632" s="500"/>
      <c r="T632" s="500"/>
      <c r="U632" s="500"/>
      <c r="V632" s="500"/>
      <c r="W632" s="500"/>
      <c r="X632" s="500"/>
      <c r="Y632" s="500"/>
      <c r="Z632" s="500"/>
    </row>
    <row r="633" spans="1:26" x14ac:dyDescent="0.3">
      <c r="A633" s="500"/>
      <c r="B633" s="500"/>
      <c r="C633" s="500"/>
      <c r="D633" s="500"/>
      <c r="E633" s="500"/>
      <c r="F633" s="500"/>
      <c r="G633" s="500"/>
      <c r="H633" s="500"/>
      <c r="I633" s="500"/>
      <c r="J633" s="500"/>
      <c r="K633" s="500"/>
      <c r="L633" s="500"/>
      <c r="M633" s="500"/>
      <c r="N633" s="500"/>
      <c r="O633" s="500"/>
      <c r="P633" s="500"/>
      <c r="Q633" s="500"/>
      <c r="R633" s="500"/>
      <c r="S633" s="500"/>
      <c r="T633" s="500"/>
      <c r="U633" s="500"/>
      <c r="V633" s="500"/>
      <c r="W633" s="500"/>
      <c r="X633" s="500"/>
      <c r="Y633" s="500"/>
      <c r="Z633" s="500"/>
    </row>
    <row r="634" spans="1:26" x14ac:dyDescent="0.3">
      <c r="A634" s="500"/>
      <c r="B634" s="500"/>
      <c r="C634" s="500"/>
      <c r="D634" s="500"/>
      <c r="E634" s="500"/>
      <c r="F634" s="500"/>
      <c r="G634" s="500"/>
      <c r="H634" s="500"/>
      <c r="I634" s="500"/>
      <c r="J634" s="500"/>
      <c r="K634" s="500"/>
      <c r="L634" s="500"/>
      <c r="M634" s="500"/>
      <c r="N634" s="500"/>
      <c r="O634" s="500"/>
      <c r="P634" s="500"/>
      <c r="Q634" s="500"/>
      <c r="R634" s="500"/>
      <c r="S634" s="500"/>
      <c r="T634" s="500"/>
      <c r="U634" s="500"/>
      <c r="V634" s="500"/>
      <c r="W634" s="500"/>
      <c r="X634" s="500"/>
      <c r="Y634" s="500"/>
      <c r="Z634" s="500"/>
    </row>
    <row r="635" spans="1:26" x14ac:dyDescent="0.3">
      <c r="A635" s="500"/>
      <c r="B635" s="500"/>
      <c r="C635" s="500"/>
      <c r="D635" s="500"/>
      <c r="E635" s="500"/>
      <c r="F635" s="500"/>
      <c r="G635" s="500"/>
      <c r="H635" s="500"/>
      <c r="I635" s="500"/>
      <c r="J635" s="500"/>
      <c r="K635" s="500"/>
      <c r="L635" s="500"/>
      <c r="M635" s="500"/>
      <c r="N635" s="500"/>
      <c r="O635" s="500"/>
      <c r="P635" s="500"/>
      <c r="Q635" s="500"/>
      <c r="R635" s="500"/>
      <c r="S635" s="500"/>
      <c r="T635" s="500"/>
      <c r="U635" s="500"/>
      <c r="V635" s="500"/>
      <c r="W635" s="500"/>
      <c r="X635" s="500"/>
      <c r="Y635" s="500"/>
      <c r="Z635" s="500"/>
    </row>
    <row r="636" spans="1:26" x14ac:dyDescent="0.3">
      <c r="A636" s="500"/>
      <c r="B636" s="500"/>
      <c r="C636" s="500"/>
      <c r="D636" s="500"/>
      <c r="E636" s="500"/>
      <c r="F636" s="500"/>
      <c r="G636" s="500"/>
      <c r="H636" s="500"/>
      <c r="I636" s="500"/>
      <c r="J636" s="500"/>
      <c r="K636" s="500"/>
      <c r="L636" s="500"/>
      <c r="M636" s="500"/>
      <c r="N636" s="500"/>
      <c r="O636" s="500"/>
      <c r="P636" s="500"/>
      <c r="Q636" s="500"/>
      <c r="R636" s="500"/>
      <c r="S636" s="500"/>
      <c r="T636" s="500"/>
      <c r="U636" s="500"/>
      <c r="V636" s="500"/>
      <c r="W636" s="500"/>
      <c r="X636" s="500"/>
      <c r="Y636" s="500"/>
      <c r="Z636" s="500"/>
    </row>
    <row r="637" spans="1:26" x14ac:dyDescent="0.3">
      <c r="A637" s="500"/>
      <c r="B637" s="500"/>
      <c r="C637" s="500"/>
      <c r="D637" s="500"/>
      <c r="E637" s="500"/>
      <c r="F637" s="500"/>
      <c r="G637" s="500"/>
      <c r="H637" s="500"/>
      <c r="I637" s="500"/>
      <c r="J637" s="500"/>
      <c r="K637" s="500"/>
      <c r="L637" s="500"/>
      <c r="M637" s="500"/>
      <c r="N637" s="500"/>
      <c r="O637" s="500"/>
      <c r="P637" s="500"/>
      <c r="Q637" s="500"/>
      <c r="R637" s="500"/>
      <c r="S637" s="500"/>
      <c r="T637" s="500"/>
      <c r="U637" s="500"/>
      <c r="V637" s="500"/>
      <c r="W637" s="500"/>
      <c r="X637" s="500"/>
      <c r="Y637" s="500"/>
      <c r="Z637" s="500"/>
    </row>
    <row r="638" spans="1:26" x14ac:dyDescent="0.3">
      <c r="A638" s="500"/>
      <c r="B638" s="500"/>
      <c r="C638" s="500"/>
      <c r="D638" s="500"/>
      <c r="E638" s="500"/>
      <c r="F638" s="500"/>
      <c r="G638" s="500"/>
      <c r="H638" s="500"/>
      <c r="I638" s="500"/>
      <c r="J638" s="500"/>
      <c r="K638" s="500"/>
      <c r="L638" s="500"/>
      <c r="M638" s="500"/>
      <c r="N638" s="500"/>
      <c r="O638" s="500"/>
      <c r="P638" s="500"/>
      <c r="Q638" s="500"/>
      <c r="R638" s="500"/>
      <c r="S638" s="500"/>
      <c r="T638" s="500"/>
      <c r="U638" s="500"/>
      <c r="V638" s="500"/>
      <c r="W638" s="500"/>
      <c r="X638" s="500"/>
      <c r="Y638" s="500"/>
      <c r="Z638" s="500"/>
    </row>
    <row r="639" spans="1:26" x14ac:dyDescent="0.3">
      <c r="A639" s="500"/>
      <c r="B639" s="500"/>
      <c r="C639" s="500"/>
      <c r="D639" s="500"/>
      <c r="E639" s="500"/>
      <c r="F639" s="500"/>
      <c r="G639" s="500"/>
      <c r="H639" s="500"/>
      <c r="I639" s="500"/>
      <c r="J639" s="500"/>
      <c r="K639" s="500"/>
      <c r="L639" s="500"/>
      <c r="M639" s="500"/>
      <c r="N639" s="500"/>
      <c r="O639" s="500"/>
      <c r="P639" s="500"/>
      <c r="Q639" s="500"/>
      <c r="R639" s="500"/>
      <c r="S639" s="500"/>
      <c r="T639" s="500"/>
      <c r="U639" s="500"/>
      <c r="V639" s="500"/>
      <c r="W639" s="500"/>
      <c r="X639" s="500"/>
      <c r="Y639" s="500"/>
      <c r="Z639" s="500"/>
    </row>
    <row r="640" spans="1:26" x14ac:dyDescent="0.3">
      <c r="A640" s="500"/>
      <c r="B640" s="500"/>
      <c r="C640" s="500"/>
      <c r="D640" s="500"/>
      <c r="E640" s="500"/>
      <c r="F640" s="500"/>
      <c r="G640" s="500"/>
      <c r="H640" s="500"/>
      <c r="I640" s="500"/>
      <c r="J640" s="500"/>
      <c r="K640" s="500"/>
      <c r="L640" s="500"/>
      <c r="M640" s="500"/>
      <c r="N640" s="500"/>
      <c r="O640" s="500"/>
      <c r="P640" s="500"/>
      <c r="Q640" s="500"/>
      <c r="R640" s="500"/>
      <c r="S640" s="500"/>
      <c r="T640" s="500"/>
      <c r="U640" s="500"/>
      <c r="V640" s="500"/>
      <c r="W640" s="500"/>
      <c r="X640" s="500"/>
      <c r="Y640" s="500"/>
      <c r="Z640" s="500"/>
    </row>
    <row r="641" spans="1:26" x14ac:dyDescent="0.3">
      <c r="A641" s="500"/>
      <c r="B641" s="500"/>
      <c r="C641" s="500"/>
      <c r="D641" s="500"/>
      <c r="E641" s="500"/>
      <c r="F641" s="500"/>
      <c r="G641" s="500"/>
      <c r="H641" s="500"/>
      <c r="I641" s="500"/>
      <c r="J641" s="500"/>
      <c r="K641" s="500"/>
      <c r="L641" s="500"/>
      <c r="M641" s="500"/>
      <c r="N641" s="500"/>
      <c r="O641" s="500"/>
      <c r="P641" s="500"/>
      <c r="Q641" s="500"/>
      <c r="R641" s="500"/>
      <c r="S641" s="500"/>
      <c r="T641" s="500"/>
      <c r="U641" s="500"/>
      <c r="V641" s="500"/>
      <c r="W641" s="500"/>
      <c r="X641" s="500"/>
      <c r="Y641" s="500"/>
      <c r="Z641" s="500"/>
    </row>
    <row r="642" spans="1:26" x14ac:dyDescent="0.3">
      <c r="A642" s="500"/>
      <c r="B642" s="500"/>
      <c r="C642" s="500"/>
      <c r="D642" s="500"/>
      <c r="E642" s="500"/>
      <c r="F642" s="500"/>
      <c r="G642" s="500"/>
      <c r="H642" s="500"/>
      <c r="I642" s="500"/>
      <c r="J642" s="500"/>
      <c r="K642" s="500"/>
      <c r="L642" s="500"/>
      <c r="M642" s="500"/>
      <c r="N642" s="500"/>
      <c r="O642" s="500"/>
      <c r="P642" s="500"/>
      <c r="Q642" s="500"/>
      <c r="R642" s="500"/>
      <c r="S642" s="500"/>
      <c r="T642" s="500"/>
      <c r="U642" s="500"/>
      <c r="V642" s="500"/>
      <c r="W642" s="500"/>
      <c r="X642" s="500"/>
      <c r="Y642" s="500"/>
      <c r="Z642" s="500"/>
    </row>
    <row r="643" spans="1:26" x14ac:dyDescent="0.3">
      <c r="A643" s="500"/>
      <c r="B643" s="500"/>
      <c r="C643" s="500"/>
      <c r="D643" s="500"/>
      <c r="E643" s="500"/>
      <c r="F643" s="500"/>
      <c r="G643" s="500"/>
      <c r="H643" s="500"/>
      <c r="I643" s="500"/>
      <c r="J643" s="500"/>
      <c r="K643" s="500"/>
      <c r="L643" s="500"/>
      <c r="M643" s="500"/>
      <c r="N643" s="500"/>
      <c r="O643" s="500"/>
      <c r="P643" s="500"/>
      <c r="Q643" s="500"/>
      <c r="R643" s="500"/>
      <c r="S643" s="500"/>
      <c r="T643" s="500"/>
      <c r="U643" s="500"/>
      <c r="V643" s="500"/>
      <c r="W643" s="500"/>
      <c r="X643" s="500"/>
      <c r="Y643" s="500"/>
      <c r="Z643" s="500"/>
    </row>
    <row r="644" spans="1:26" x14ac:dyDescent="0.3">
      <c r="A644" s="500"/>
      <c r="B644" s="500"/>
      <c r="C644" s="500"/>
      <c r="D644" s="500"/>
      <c r="E644" s="500"/>
      <c r="F644" s="500"/>
      <c r="G644" s="500"/>
      <c r="H644" s="500"/>
      <c r="I644" s="500"/>
      <c r="J644" s="500"/>
      <c r="K644" s="500"/>
      <c r="L644" s="500"/>
      <c r="M644" s="500"/>
      <c r="N644" s="500"/>
      <c r="O644" s="500"/>
      <c r="P644" s="500"/>
      <c r="Q644" s="500"/>
      <c r="R644" s="500"/>
      <c r="S644" s="500"/>
      <c r="T644" s="500"/>
      <c r="U644" s="500"/>
      <c r="V644" s="500"/>
      <c r="W644" s="500"/>
      <c r="X644" s="500"/>
      <c r="Y644" s="500"/>
      <c r="Z644" s="500"/>
    </row>
    <row r="645" spans="1:26" x14ac:dyDescent="0.3">
      <c r="A645" s="500"/>
      <c r="B645" s="500"/>
      <c r="C645" s="500"/>
      <c r="D645" s="500"/>
      <c r="E645" s="500"/>
      <c r="F645" s="500"/>
      <c r="G645" s="500"/>
      <c r="H645" s="500"/>
      <c r="I645" s="500"/>
      <c r="J645" s="500"/>
      <c r="K645" s="500"/>
      <c r="L645" s="500"/>
      <c r="M645" s="500"/>
      <c r="N645" s="500"/>
      <c r="O645" s="500"/>
      <c r="P645" s="500"/>
      <c r="Q645" s="500"/>
      <c r="R645" s="500"/>
      <c r="S645" s="500"/>
      <c r="T645" s="500"/>
      <c r="U645" s="500"/>
      <c r="V645" s="500"/>
      <c r="W645" s="500"/>
      <c r="X645" s="500"/>
      <c r="Y645" s="500"/>
      <c r="Z645" s="500"/>
    </row>
    <row r="646" spans="1:26" x14ac:dyDescent="0.3">
      <c r="A646" s="500"/>
      <c r="B646" s="500"/>
      <c r="C646" s="500"/>
      <c r="D646" s="500"/>
      <c r="E646" s="500"/>
      <c r="F646" s="500"/>
      <c r="G646" s="500"/>
      <c r="H646" s="500"/>
      <c r="I646" s="500"/>
      <c r="J646" s="500"/>
      <c r="K646" s="500"/>
      <c r="L646" s="500"/>
      <c r="M646" s="500"/>
      <c r="N646" s="500"/>
      <c r="O646" s="500"/>
      <c r="P646" s="500"/>
      <c r="Q646" s="500"/>
      <c r="R646" s="500"/>
      <c r="S646" s="500"/>
      <c r="T646" s="500"/>
      <c r="U646" s="500"/>
      <c r="V646" s="500"/>
      <c r="W646" s="500"/>
      <c r="X646" s="500"/>
      <c r="Y646" s="500"/>
      <c r="Z646" s="500"/>
    </row>
    <row r="647" spans="1:26" x14ac:dyDescent="0.3">
      <c r="A647" s="500"/>
      <c r="B647" s="500"/>
      <c r="C647" s="500"/>
      <c r="D647" s="500"/>
      <c r="E647" s="500"/>
      <c r="F647" s="500"/>
      <c r="G647" s="500"/>
      <c r="H647" s="500"/>
      <c r="I647" s="500"/>
      <c r="J647" s="500"/>
      <c r="K647" s="500"/>
      <c r="L647" s="500"/>
      <c r="M647" s="500"/>
      <c r="N647" s="500"/>
      <c r="O647" s="500"/>
      <c r="P647" s="500"/>
      <c r="Q647" s="500"/>
      <c r="R647" s="500"/>
      <c r="S647" s="500"/>
      <c r="T647" s="500"/>
      <c r="U647" s="500"/>
      <c r="V647" s="500"/>
      <c r="W647" s="500"/>
      <c r="X647" s="500"/>
      <c r="Y647" s="500"/>
      <c r="Z647" s="500"/>
    </row>
    <row r="648" spans="1:26" x14ac:dyDescent="0.3">
      <c r="A648" s="500"/>
      <c r="B648" s="500"/>
      <c r="C648" s="500"/>
      <c r="D648" s="500"/>
      <c r="E648" s="500"/>
      <c r="F648" s="500"/>
      <c r="G648" s="500"/>
      <c r="H648" s="500"/>
      <c r="I648" s="500"/>
      <c r="J648" s="500"/>
      <c r="K648" s="500"/>
      <c r="L648" s="500"/>
      <c r="M648" s="500"/>
      <c r="N648" s="500"/>
      <c r="O648" s="500"/>
      <c r="P648" s="500"/>
      <c r="Q648" s="500"/>
      <c r="R648" s="500"/>
      <c r="S648" s="500"/>
      <c r="T648" s="500"/>
      <c r="U648" s="500"/>
      <c r="V648" s="500"/>
      <c r="W648" s="500"/>
      <c r="X648" s="500"/>
      <c r="Y648" s="500"/>
      <c r="Z648" s="500"/>
    </row>
    <row r="649" spans="1:26" x14ac:dyDescent="0.3">
      <c r="A649" s="500"/>
      <c r="B649" s="500"/>
      <c r="C649" s="500"/>
      <c r="D649" s="500"/>
      <c r="E649" s="500"/>
      <c r="F649" s="500"/>
      <c r="G649" s="500"/>
      <c r="H649" s="500"/>
      <c r="I649" s="500"/>
      <c r="J649" s="500"/>
      <c r="K649" s="500"/>
      <c r="L649" s="500"/>
      <c r="M649" s="500"/>
      <c r="N649" s="500"/>
      <c r="O649" s="500"/>
      <c r="P649" s="500"/>
      <c r="Q649" s="500"/>
      <c r="R649" s="500"/>
      <c r="S649" s="500"/>
      <c r="T649" s="500"/>
      <c r="U649" s="500"/>
      <c r="V649" s="500"/>
      <c r="W649" s="500"/>
      <c r="X649" s="500"/>
      <c r="Y649" s="500"/>
      <c r="Z649" s="500"/>
    </row>
    <row r="650" spans="1:26" x14ac:dyDescent="0.3">
      <c r="A650" s="500"/>
      <c r="B650" s="500"/>
      <c r="C650" s="500"/>
      <c r="D650" s="500"/>
      <c r="E650" s="500"/>
      <c r="F650" s="500"/>
      <c r="G650" s="500"/>
      <c r="H650" s="500"/>
      <c r="I650" s="500"/>
      <c r="J650" s="500"/>
      <c r="K650" s="500"/>
      <c r="L650" s="500"/>
      <c r="M650" s="500"/>
      <c r="N650" s="500"/>
      <c r="O650" s="500"/>
      <c r="P650" s="500"/>
      <c r="Q650" s="500"/>
      <c r="R650" s="500"/>
      <c r="S650" s="500"/>
      <c r="T650" s="500"/>
      <c r="U650" s="500"/>
      <c r="V650" s="500"/>
      <c r="W650" s="500"/>
      <c r="X650" s="500"/>
      <c r="Y650" s="500"/>
      <c r="Z650" s="500"/>
    </row>
    <row r="651" spans="1:26" x14ac:dyDescent="0.3">
      <c r="A651" s="500"/>
      <c r="B651" s="500"/>
      <c r="C651" s="500"/>
      <c r="D651" s="500"/>
      <c r="E651" s="500"/>
      <c r="F651" s="500"/>
      <c r="G651" s="500"/>
      <c r="H651" s="500"/>
      <c r="I651" s="500"/>
      <c r="J651" s="500"/>
      <c r="K651" s="500"/>
      <c r="L651" s="500"/>
      <c r="M651" s="500"/>
      <c r="N651" s="500"/>
      <c r="O651" s="500"/>
      <c r="P651" s="500"/>
      <c r="Q651" s="500"/>
      <c r="R651" s="500"/>
      <c r="S651" s="500"/>
      <c r="T651" s="500"/>
      <c r="U651" s="500"/>
      <c r="V651" s="500"/>
      <c r="W651" s="500"/>
      <c r="X651" s="500"/>
      <c r="Y651" s="500"/>
      <c r="Z651" s="500"/>
    </row>
    <row r="652" spans="1:26" x14ac:dyDescent="0.3">
      <c r="A652" s="500"/>
      <c r="B652" s="500"/>
      <c r="C652" s="500"/>
      <c r="D652" s="500"/>
      <c r="E652" s="500"/>
      <c r="F652" s="500"/>
      <c r="G652" s="500"/>
      <c r="H652" s="500"/>
      <c r="I652" s="500"/>
      <c r="J652" s="500"/>
      <c r="K652" s="500"/>
      <c r="L652" s="500"/>
      <c r="M652" s="500"/>
      <c r="N652" s="500"/>
      <c r="O652" s="500"/>
      <c r="P652" s="500"/>
      <c r="Q652" s="500"/>
      <c r="R652" s="500"/>
      <c r="S652" s="500"/>
      <c r="T652" s="500"/>
      <c r="U652" s="500"/>
      <c r="V652" s="500"/>
      <c r="W652" s="500"/>
      <c r="X652" s="500"/>
      <c r="Y652" s="500"/>
      <c r="Z652" s="500"/>
    </row>
    <row r="653" spans="1:26" x14ac:dyDescent="0.3">
      <c r="A653" s="500"/>
      <c r="B653" s="500"/>
      <c r="C653" s="500"/>
      <c r="D653" s="500"/>
      <c r="E653" s="500"/>
      <c r="F653" s="500"/>
      <c r="G653" s="500"/>
      <c r="H653" s="500"/>
      <c r="I653" s="500"/>
      <c r="J653" s="500"/>
      <c r="K653" s="500"/>
      <c r="L653" s="500"/>
      <c r="M653" s="500"/>
      <c r="N653" s="500"/>
      <c r="O653" s="500"/>
      <c r="P653" s="500"/>
      <c r="Q653" s="500"/>
      <c r="R653" s="500"/>
      <c r="S653" s="500"/>
      <c r="T653" s="500"/>
      <c r="U653" s="500"/>
      <c r="V653" s="500"/>
      <c r="W653" s="500"/>
      <c r="X653" s="500"/>
      <c r="Y653" s="500"/>
      <c r="Z653" s="500"/>
    </row>
    <row r="654" spans="1:26" x14ac:dyDescent="0.3">
      <c r="A654" s="500"/>
      <c r="B654" s="500"/>
      <c r="C654" s="500"/>
      <c r="D654" s="500"/>
      <c r="E654" s="500"/>
      <c r="F654" s="500"/>
      <c r="G654" s="500"/>
      <c r="H654" s="500"/>
      <c r="I654" s="500"/>
      <c r="J654" s="500"/>
      <c r="K654" s="500"/>
      <c r="L654" s="500"/>
      <c r="M654" s="500"/>
      <c r="N654" s="500"/>
      <c r="O654" s="500"/>
      <c r="P654" s="500"/>
      <c r="Q654" s="500"/>
      <c r="R654" s="500"/>
      <c r="S654" s="500"/>
      <c r="T654" s="500"/>
      <c r="U654" s="500"/>
      <c r="V654" s="500"/>
      <c r="W654" s="500"/>
      <c r="X654" s="500"/>
      <c r="Y654" s="500"/>
      <c r="Z654" s="500"/>
    </row>
    <row r="655" spans="1:26" x14ac:dyDescent="0.3">
      <c r="A655" s="500"/>
      <c r="B655" s="500"/>
      <c r="C655" s="500"/>
      <c r="D655" s="500"/>
      <c r="E655" s="500"/>
      <c r="F655" s="500"/>
      <c r="G655" s="500"/>
      <c r="H655" s="500"/>
      <c r="I655" s="500"/>
      <c r="J655" s="500"/>
      <c r="K655" s="500"/>
      <c r="L655" s="500"/>
      <c r="M655" s="500"/>
      <c r="N655" s="500"/>
      <c r="O655" s="500"/>
      <c r="P655" s="500"/>
      <c r="Q655" s="500"/>
      <c r="R655" s="500"/>
      <c r="S655" s="500"/>
      <c r="T655" s="500"/>
      <c r="U655" s="500"/>
      <c r="V655" s="500"/>
      <c r="W655" s="500"/>
      <c r="X655" s="500"/>
      <c r="Y655" s="500"/>
      <c r="Z655" s="500"/>
    </row>
    <row r="656" spans="1:26" x14ac:dyDescent="0.3">
      <c r="A656" s="500"/>
      <c r="B656" s="500"/>
      <c r="C656" s="500"/>
      <c r="D656" s="500"/>
      <c r="E656" s="500"/>
      <c r="F656" s="500"/>
      <c r="G656" s="500"/>
      <c r="H656" s="500"/>
      <c r="I656" s="500"/>
      <c r="J656" s="500"/>
      <c r="K656" s="500"/>
      <c r="L656" s="500"/>
      <c r="M656" s="500"/>
      <c r="N656" s="500"/>
      <c r="O656" s="500"/>
      <c r="P656" s="500"/>
      <c r="Q656" s="500"/>
      <c r="R656" s="500"/>
      <c r="S656" s="500"/>
      <c r="T656" s="500"/>
      <c r="U656" s="500"/>
      <c r="V656" s="500"/>
      <c r="W656" s="500"/>
      <c r="X656" s="500"/>
      <c r="Y656" s="500"/>
      <c r="Z656" s="500"/>
    </row>
    <row r="657" spans="1:26" x14ac:dyDescent="0.3">
      <c r="A657" s="500"/>
      <c r="B657" s="500"/>
      <c r="C657" s="500"/>
      <c r="D657" s="500"/>
      <c r="E657" s="500"/>
      <c r="F657" s="500"/>
      <c r="G657" s="500"/>
      <c r="H657" s="500"/>
      <c r="I657" s="500"/>
      <c r="J657" s="500"/>
      <c r="K657" s="500"/>
      <c r="L657" s="500"/>
      <c r="M657" s="500"/>
      <c r="N657" s="500"/>
      <c r="O657" s="500"/>
      <c r="P657" s="500"/>
      <c r="Q657" s="500"/>
      <c r="R657" s="500"/>
      <c r="S657" s="500"/>
      <c r="T657" s="500"/>
      <c r="U657" s="500"/>
      <c r="V657" s="500"/>
      <c r="W657" s="500"/>
      <c r="X657" s="500"/>
      <c r="Y657" s="500"/>
      <c r="Z657" s="500"/>
    </row>
    <row r="658" spans="1:26" x14ac:dyDescent="0.3">
      <c r="A658" s="500"/>
      <c r="B658" s="500"/>
      <c r="C658" s="500"/>
      <c r="D658" s="500"/>
      <c r="E658" s="500"/>
      <c r="F658" s="500"/>
      <c r="G658" s="500"/>
      <c r="H658" s="500"/>
      <c r="I658" s="500"/>
      <c r="J658" s="500"/>
      <c r="K658" s="500"/>
      <c r="L658" s="500"/>
      <c r="M658" s="500"/>
      <c r="N658" s="500"/>
      <c r="O658" s="500"/>
      <c r="P658" s="500"/>
      <c r="Q658" s="500"/>
      <c r="R658" s="500"/>
      <c r="S658" s="500"/>
      <c r="T658" s="500"/>
      <c r="U658" s="500"/>
      <c r="V658" s="500"/>
      <c r="W658" s="500"/>
      <c r="X658" s="500"/>
      <c r="Y658" s="500"/>
      <c r="Z658" s="500"/>
    </row>
    <row r="659" spans="1:26" x14ac:dyDescent="0.3">
      <c r="A659" s="500"/>
      <c r="B659" s="500"/>
      <c r="C659" s="500"/>
      <c r="D659" s="500"/>
      <c r="E659" s="500"/>
      <c r="F659" s="500"/>
      <c r="G659" s="500"/>
      <c r="H659" s="500"/>
      <c r="I659" s="500"/>
      <c r="J659" s="500"/>
      <c r="K659" s="500"/>
      <c r="L659" s="500"/>
      <c r="M659" s="500"/>
      <c r="N659" s="500"/>
      <c r="O659" s="500"/>
      <c r="P659" s="500"/>
      <c r="Q659" s="500"/>
      <c r="R659" s="500"/>
      <c r="S659" s="500"/>
      <c r="T659" s="500"/>
      <c r="U659" s="500"/>
      <c r="V659" s="500"/>
      <c r="W659" s="500"/>
      <c r="X659" s="500"/>
      <c r="Y659" s="500"/>
      <c r="Z659" s="500"/>
    </row>
    <row r="660" spans="1:26" x14ac:dyDescent="0.3">
      <c r="A660" s="500"/>
      <c r="B660" s="500"/>
      <c r="C660" s="500"/>
      <c r="D660" s="500"/>
      <c r="E660" s="500"/>
      <c r="F660" s="500"/>
      <c r="G660" s="500"/>
      <c r="H660" s="500"/>
      <c r="I660" s="500"/>
      <c r="J660" s="500"/>
      <c r="K660" s="500"/>
      <c r="L660" s="500"/>
      <c r="M660" s="500"/>
      <c r="N660" s="500"/>
      <c r="O660" s="500"/>
      <c r="P660" s="500"/>
      <c r="Q660" s="500"/>
      <c r="R660" s="500"/>
      <c r="S660" s="500"/>
      <c r="T660" s="500"/>
      <c r="U660" s="500"/>
      <c r="V660" s="500"/>
      <c r="W660" s="500"/>
      <c r="X660" s="500"/>
      <c r="Y660" s="500"/>
      <c r="Z660" s="500"/>
    </row>
    <row r="661" spans="1:26" x14ac:dyDescent="0.3">
      <c r="A661" s="500"/>
      <c r="B661" s="500"/>
      <c r="C661" s="500"/>
      <c r="D661" s="500"/>
      <c r="E661" s="500"/>
      <c r="F661" s="500"/>
      <c r="G661" s="500"/>
      <c r="H661" s="500"/>
      <c r="I661" s="500"/>
      <c r="J661" s="500"/>
      <c r="K661" s="500"/>
      <c r="L661" s="500"/>
      <c r="M661" s="500"/>
      <c r="N661" s="500"/>
      <c r="O661" s="500"/>
      <c r="P661" s="500"/>
      <c r="Q661" s="500"/>
      <c r="R661" s="500"/>
      <c r="S661" s="500"/>
      <c r="T661" s="500"/>
      <c r="U661" s="500"/>
      <c r="V661" s="500"/>
      <c r="W661" s="500"/>
      <c r="X661" s="500"/>
      <c r="Y661" s="500"/>
      <c r="Z661" s="500"/>
    </row>
    <row r="662" spans="1:26" x14ac:dyDescent="0.3">
      <c r="A662" s="500"/>
      <c r="B662" s="500"/>
      <c r="C662" s="500"/>
      <c r="D662" s="500"/>
      <c r="E662" s="500"/>
      <c r="F662" s="500"/>
      <c r="G662" s="500"/>
      <c r="H662" s="500"/>
      <c r="I662" s="500"/>
      <c r="J662" s="500"/>
      <c r="K662" s="500"/>
      <c r="L662" s="500"/>
      <c r="M662" s="500"/>
      <c r="N662" s="500"/>
      <c r="O662" s="500"/>
      <c r="P662" s="500"/>
      <c r="Q662" s="500"/>
      <c r="R662" s="500"/>
      <c r="S662" s="500"/>
      <c r="T662" s="500"/>
      <c r="U662" s="500"/>
      <c r="V662" s="500"/>
      <c r="W662" s="500"/>
      <c r="X662" s="500"/>
      <c r="Y662" s="500"/>
      <c r="Z662" s="500"/>
    </row>
    <row r="663" spans="1:26" x14ac:dyDescent="0.3">
      <c r="A663" s="500"/>
      <c r="B663" s="500"/>
      <c r="C663" s="500"/>
      <c r="D663" s="500"/>
      <c r="E663" s="500"/>
      <c r="F663" s="500"/>
      <c r="G663" s="500"/>
      <c r="H663" s="500"/>
      <c r="I663" s="500"/>
      <c r="J663" s="500"/>
      <c r="K663" s="500"/>
      <c r="L663" s="500"/>
      <c r="M663" s="500"/>
      <c r="N663" s="500"/>
      <c r="O663" s="500"/>
      <c r="P663" s="500"/>
      <c r="Q663" s="500"/>
      <c r="R663" s="500"/>
      <c r="S663" s="500"/>
      <c r="T663" s="500"/>
      <c r="U663" s="500"/>
      <c r="V663" s="500"/>
      <c r="W663" s="500"/>
      <c r="X663" s="500"/>
      <c r="Y663" s="500"/>
      <c r="Z663" s="500"/>
    </row>
    <row r="664" spans="1:26" x14ac:dyDescent="0.3">
      <c r="A664" s="500"/>
      <c r="B664" s="500"/>
      <c r="C664" s="500"/>
      <c r="D664" s="500"/>
      <c r="E664" s="500"/>
      <c r="F664" s="500"/>
      <c r="G664" s="500"/>
      <c r="H664" s="500"/>
      <c r="I664" s="500"/>
      <c r="J664" s="500"/>
      <c r="K664" s="500"/>
      <c r="L664" s="500"/>
      <c r="M664" s="500"/>
      <c r="N664" s="500"/>
      <c r="O664" s="500"/>
      <c r="P664" s="500"/>
      <c r="Q664" s="500"/>
      <c r="R664" s="500"/>
      <c r="S664" s="500"/>
      <c r="T664" s="500"/>
      <c r="U664" s="500"/>
      <c r="V664" s="500"/>
      <c r="W664" s="500"/>
      <c r="X664" s="500"/>
      <c r="Y664" s="500"/>
      <c r="Z664" s="500"/>
    </row>
    <row r="665" spans="1:26" x14ac:dyDescent="0.3">
      <c r="A665" s="500"/>
      <c r="B665" s="500"/>
      <c r="C665" s="500"/>
      <c r="D665" s="500"/>
      <c r="E665" s="500"/>
      <c r="F665" s="500"/>
      <c r="G665" s="500"/>
      <c r="H665" s="500"/>
      <c r="I665" s="500"/>
      <c r="J665" s="500"/>
      <c r="K665" s="500"/>
      <c r="L665" s="500"/>
      <c r="M665" s="500"/>
      <c r="N665" s="500"/>
      <c r="O665" s="500"/>
      <c r="P665" s="500"/>
      <c r="Q665" s="500"/>
      <c r="R665" s="500"/>
      <c r="S665" s="500"/>
      <c r="T665" s="500"/>
      <c r="U665" s="500"/>
      <c r="V665" s="500"/>
      <c r="W665" s="500"/>
      <c r="X665" s="500"/>
      <c r="Y665" s="500"/>
      <c r="Z665" s="500"/>
    </row>
    <row r="666" spans="1:26" x14ac:dyDescent="0.3">
      <c r="A666" s="500"/>
      <c r="B666" s="500"/>
      <c r="C666" s="500"/>
      <c r="D666" s="500"/>
      <c r="E666" s="500"/>
      <c r="F666" s="500"/>
      <c r="G666" s="500"/>
      <c r="H666" s="500"/>
      <c r="I666" s="500"/>
      <c r="J666" s="500"/>
      <c r="K666" s="500"/>
      <c r="L666" s="500"/>
      <c r="M666" s="500"/>
      <c r="N666" s="500"/>
      <c r="O666" s="500"/>
      <c r="P666" s="500"/>
      <c r="Q666" s="500"/>
      <c r="R666" s="500"/>
      <c r="S666" s="500"/>
      <c r="T666" s="500"/>
      <c r="U666" s="500"/>
      <c r="V666" s="500"/>
      <c r="W666" s="500"/>
      <c r="X666" s="500"/>
      <c r="Y666" s="500"/>
      <c r="Z666" s="500"/>
    </row>
    <row r="667" spans="1:26" x14ac:dyDescent="0.3">
      <c r="A667" s="500"/>
      <c r="B667" s="500"/>
      <c r="C667" s="500"/>
      <c r="D667" s="500"/>
      <c r="E667" s="500"/>
      <c r="F667" s="500"/>
      <c r="G667" s="500"/>
      <c r="H667" s="500"/>
      <c r="I667" s="500"/>
      <c r="J667" s="500"/>
      <c r="K667" s="500"/>
      <c r="L667" s="500"/>
      <c r="M667" s="500"/>
      <c r="N667" s="500"/>
      <c r="O667" s="500"/>
      <c r="P667" s="500"/>
      <c r="Q667" s="500"/>
      <c r="R667" s="500"/>
      <c r="S667" s="500"/>
      <c r="T667" s="500"/>
      <c r="U667" s="500"/>
      <c r="V667" s="500"/>
      <c r="W667" s="500"/>
      <c r="X667" s="500"/>
      <c r="Y667" s="500"/>
      <c r="Z667" s="500"/>
    </row>
    <row r="668" spans="1:26" x14ac:dyDescent="0.3">
      <c r="A668" s="500"/>
      <c r="B668" s="500"/>
      <c r="C668" s="500"/>
      <c r="D668" s="500"/>
      <c r="E668" s="500"/>
      <c r="F668" s="500"/>
      <c r="G668" s="500"/>
      <c r="H668" s="500"/>
      <c r="I668" s="500"/>
      <c r="J668" s="500"/>
      <c r="K668" s="500"/>
      <c r="L668" s="500"/>
      <c r="M668" s="500"/>
      <c r="N668" s="500"/>
      <c r="O668" s="500"/>
      <c r="P668" s="500"/>
      <c r="Q668" s="500"/>
      <c r="R668" s="500"/>
      <c r="S668" s="500"/>
      <c r="T668" s="500"/>
      <c r="U668" s="500"/>
      <c r="V668" s="500"/>
      <c r="W668" s="500"/>
      <c r="X668" s="500"/>
      <c r="Y668" s="500"/>
      <c r="Z668" s="500"/>
    </row>
    <row r="669" spans="1:26" x14ac:dyDescent="0.3">
      <c r="A669" s="500"/>
      <c r="B669" s="500"/>
      <c r="C669" s="500"/>
      <c r="D669" s="500"/>
      <c r="E669" s="500"/>
      <c r="F669" s="500"/>
      <c r="G669" s="500"/>
      <c r="H669" s="500"/>
      <c r="I669" s="500"/>
      <c r="J669" s="500"/>
      <c r="K669" s="500"/>
      <c r="L669" s="500"/>
      <c r="M669" s="500"/>
      <c r="N669" s="500"/>
      <c r="O669" s="500"/>
      <c r="P669" s="500"/>
      <c r="Q669" s="500"/>
      <c r="R669" s="500"/>
      <c r="S669" s="500"/>
      <c r="T669" s="500"/>
      <c r="U669" s="500"/>
      <c r="V669" s="500"/>
      <c r="W669" s="500"/>
      <c r="X669" s="500"/>
      <c r="Y669" s="500"/>
      <c r="Z669" s="500"/>
    </row>
    <row r="670" spans="1:26" x14ac:dyDescent="0.3">
      <c r="A670" s="500"/>
      <c r="B670" s="500"/>
      <c r="C670" s="500"/>
      <c r="D670" s="500"/>
      <c r="E670" s="500"/>
      <c r="F670" s="500"/>
      <c r="G670" s="500"/>
      <c r="H670" s="500"/>
      <c r="I670" s="500"/>
      <c r="J670" s="500"/>
      <c r="K670" s="500"/>
      <c r="L670" s="500"/>
      <c r="M670" s="500"/>
      <c r="N670" s="500"/>
      <c r="O670" s="500"/>
      <c r="P670" s="500"/>
      <c r="Q670" s="500"/>
      <c r="R670" s="500"/>
      <c r="S670" s="500"/>
      <c r="T670" s="500"/>
      <c r="U670" s="500"/>
      <c r="V670" s="500"/>
      <c r="W670" s="500"/>
      <c r="X670" s="500"/>
      <c r="Y670" s="500"/>
      <c r="Z670" s="500"/>
    </row>
    <row r="671" spans="1:26" x14ac:dyDescent="0.3">
      <c r="A671" s="500"/>
      <c r="B671" s="500"/>
      <c r="C671" s="500"/>
      <c r="D671" s="500"/>
      <c r="E671" s="500"/>
      <c r="F671" s="500"/>
      <c r="G671" s="500"/>
      <c r="H671" s="500"/>
      <c r="I671" s="500"/>
      <c r="J671" s="500"/>
      <c r="K671" s="500"/>
      <c r="L671" s="500"/>
      <c r="M671" s="500"/>
      <c r="N671" s="500"/>
      <c r="O671" s="500"/>
      <c r="P671" s="500"/>
      <c r="Q671" s="500"/>
      <c r="R671" s="500"/>
      <c r="S671" s="500"/>
      <c r="T671" s="500"/>
      <c r="U671" s="500"/>
      <c r="V671" s="500"/>
      <c r="W671" s="500"/>
      <c r="X671" s="500"/>
      <c r="Y671" s="500"/>
      <c r="Z671" s="500"/>
    </row>
    <row r="672" spans="1:26" x14ac:dyDescent="0.3">
      <c r="A672" s="500"/>
      <c r="B672" s="500"/>
      <c r="C672" s="500"/>
      <c r="D672" s="500"/>
      <c r="E672" s="500"/>
      <c r="F672" s="500"/>
      <c r="G672" s="500"/>
      <c r="H672" s="500"/>
      <c r="I672" s="500"/>
      <c r="J672" s="500"/>
      <c r="K672" s="500"/>
      <c r="L672" s="500"/>
      <c r="M672" s="500"/>
      <c r="N672" s="500"/>
      <c r="O672" s="500"/>
      <c r="P672" s="500"/>
      <c r="Q672" s="500"/>
      <c r="R672" s="500"/>
      <c r="S672" s="500"/>
      <c r="T672" s="500"/>
      <c r="U672" s="500"/>
      <c r="V672" s="500"/>
      <c r="W672" s="500"/>
      <c r="X672" s="500"/>
      <c r="Y672" s="500"/>
      <c r="Z672" s="500"/>
    </row>
    <row r="673" spans="1:26" x14ac:dyDescent="0.3">
      <c r="A673" s="500"/>
      <c r="B673" s="500"/>
      <c r="C673" s="500"/>
      <c r="D673" s="500"/>
      <c r="E673" s="500"/>
      <c r="F673" s="500"/>
      <c r="G673" s="500"/>
      <c r="H673" s="500"/>
      <c r="I673" s="500"/>
      <c r="J673" s="500"/>
      <c r="K673" s="500"/>
      <c r="L673" s="500"/>
      <c r="M673" s="500"/>
      <c r="N673" s="500"/>
      <c r="O673" s="500"/>
      <c r="P673" s="500"/>
      <c r="Q673" s="500"/>
      <c r="R673" s="500"/>
      <c r="S673" s="500"/>
      <c r="T673" s="500"/>
      <c r="U673" s="500"/>
      <c r="V673" s="500"/>
      <c r="W673" s="500"/>
      <c r="X673" s="500"/>
      <c r="Y673" s="500"/>
      <c r="Z673" s="500"/>
    </row>
    <row r="674" spans="1:26" x14ac:dyDescent="0.3">
      <c r="A674" s="500"/>
      <c r="B674" s="500"/>
      <c r="C674" s="500"/>
      <c r="D674" s="500"/>
      <c r="E674" s="500"/>
      <c r="F674" s="500"/>
      <c r="G674" s="500"/>
      <c r="H674" s="500"/>
      <c r="I674" s="500"/>
      <c r="J674" s="500"/>
      <c r="K674" s="500"/>
      <c r="L674" s="500"/>
      <c r="M674" s="500"/>
      <c r="N674" s="500"/>
      <c r="O674" s="500"/>
      <c r="P674" s="500"/>
      <c r="Q674" s="500"/>
      <c r="R674" s="500"/>
      <c r="S674" s="500"/>
      <c r="T674" s="500"/>
      <c r="U674" s="500"/>
      <c r="V674" s="500"/>
      <c r="W674" s="500"/>
      <c r="X674" s="500"/>
      <c r="Y674" s="500"/>
      <c r="Z674" s="500"/>
    </row>
    <row r="675" spans="1:26" x14ac:dyDescent="0.3">
      <c r="A675" s="500"/>
      <c r="B675" s="500"/>
      <c r="C675" s="500"/>
      <c r="D675" s="500"/>
      <c r="E675" s="500"/>
      <c r="F675" s="500"/>
      <c r="G675" s="500"/>
      <c r="H675" s="500"/>
      <c r="I675" s="500"/>
      <c r="J675" s="500"/>
      <c r="K675" s="500"/>
      <c r="L675" s="500"/>
      <c r="M675" s="500"/>
      <c r="N675" s="500"/>
      <c r="O675" s="500"/>
      <c r="P675" s="500"/>
      <c r="Q675" s="500"/>
      <c r="R675" s="500"/>
      <c r="S675" s="500"/>
      <c r="T675" s="500"/>
      <c r="U675" s="500"/>
      <c r="V675" s="500"/>
      <c r="W675" s="500"/>
      <c r="X675" s="500"/>
      <c r="Y675" s="500"/>
      <c r="Z675" s="500"/>
    </row>
    <row r="676" spans="1:26" x14ac:dyDescent="0.3">
      <c r="A676" s="500"/>
      <c r="B676" s="500"/>
      <c r="C676" s="500"/>
      <c r="D676" s="500"/>
      <c r="E676" s="500"/>
      <c r="F676" s="500"/>
      <c r="G676" s="500"/>
      <c r="H676" s="500"/>
      <c r="I676" s="500"/>
      <c r="J676" s="500"/>
      <c r="K676" s="500"/>
      <c r="L676" s="500"/>
      <c r="M676" s="500"/>
      <c r="N676" s="500"/>
      <c r="O676" s="500"/>
      <c r="P676" s="500"/>
      <c r="Q676" s="500"/>
      <c r="R676" s="500"/>
      <c r="S676" s="500"/>
      <c r="T676" s="500"/>
      <c r="U676" s="500"/>
      <c r="V676" s="500"/>
      <c r="W676" s="500"/>
      <c r="X676" s="500"/>
      <c r="Y676" s="500"/>
      <c r="Z676" s="500"/>
    </row>
    <row r="677" spans="1:26" x14ac:dyDescent="0.3">
      <c r="A677" s="500"/>
      <c r="B677" s="500"/>
      <c r="C677" s="500"/>
      <c r="D677" s="500"/>
      <c r="E677" s="500"/>
      <c r="F677" s="500"/>
      <c r="G677" s="500"/>
      <c r="H677" s="500"/>
      <c r="I677" s="500"/>
      <c r="J677" s="500"/>
      <c r="K677" s="500"/>
      <c r="L677" s="500"/>
      <c r="M677" s="500"/>
      <c r="N677" s="500"/>
      <c r="O677" s="500"/>
      <c r="P677" s="500"/>
      <c r="Q677" s="500"/>
      <c r="R677" s="500"/>
      <c r="S677" s="500"/>
      <c r="T677" s="500"/>
      <c r="U677" s="500"/>
      <c r="V677" s="500"/>
      <c r="W677" s="500"/>
      <c r="X677" s="500"/>
      <c r="Y677" s="500"/>
      <c r="Z677" s="500"/>
    </row>
    <row r="678" spans="1:26" x14ac:dyDescent="0.3">
      <c r="A678" s="500"/>
      <c r="B678" s="500"/>
      <c r="C678" s="500"/>
      <c r="D678" s="500"/>
      <c r="E678" s="500"/>
      <c r="F678" s="500"/>
      <c r="G678" s="500"/>
      <c r="H678" s="500"/>
      <c r="I678" s="500"/>
      <c r="J678" s="500"/>
      <c r="K678" s="500"/>
      <c r="L678" s="500"/>
      <c r="M678" s="500"/>
      <c r="N678" s="500"/>
      <c r="O678" s="500"/>
      <c r="P678" s="500"/>
      <c r="Q678" s="500"/>
      <c r="R678" s="500"/>
      <c r="S678" s="500"/>
      <c r="T678" s="500"/>
      <c r="U678" s="500"/>
      <c r="V678" s="500"/>
      <c r="W678" s="500"/>
      <c r="X678" s="500"/>
      <c r="Y678" s="500"/>
      <c r="Z678" s="500"/>
    </row>
    <row r="679" spans="1:26" x14ac:dyDescent="0.3">
      <c r="A679" s="500"/>
      <c r="B679" s="500"/>
      <c r="C679" s="500"/>
      <c r="D679" s="500"/>
      <c r="E679" s="500"/>
      <c r="F679" s="500"/>
      <c r="G679" s="500"/>
      <c r="H679" s="500"/>
      <c r="I679" s="500"/>
      <c r="J679" s="500"/>
      <c r="K679" s="500"/>
      <c r="L679" s="500"/>
      <c r="M679" s="500"/>
      <c r="N679" s="500"/>
      <c r="O679" s="500"/>
      <c r="P679" s="500"/>
      <c r="Q679" s="500"/>
      <c r="R679" s="500"/>
      <c r="S679" s="500"/>
      <c r="T679" s="500"/>
      <c r="U679" s="500"/>
      <c r="V679" s="500"/>
      <c r="W679" s="500"/>
      <c r="X679" s="500"/>
      <c r="Y679" s="500"/>
      <c r="Z679" s="500"/>
    </row>
    <row r="680" spans="1:26" x14ac:dyDescent="0.3">
      <c r="A680" s="500"/>
      <c r="B680" s="500"/>
      <c r="C680" s="500"/>
      <c r="D680" s="500"/>
      <c r="E680" s="500"/>
      <c r="F680" s="500"/>
      <c r="G680" s="500"/>
      <c r="H680" s="500"/>
      <c r="I680" s="500"/>
      <c r="J680" s="500"/>
      <c r="K680" s="500"/>
      <c r="L680" s="500"/>
      <c r="M680" s="500"/>
      <c r="N680" s="500"/>
      <c r="O680" s="500"/>
      <c r="P680" s="500"/>
      <c r="Q680" s="500"/>
      <c r="R680" s="500"/>
      <c r="S680" s="500"/>
      <c r="T680" s="500"/>
      <c r="U680" s="500"/>
      <c r="V680" s="500"/>
      <c r="W680" s="500"/>
      <c r="X680" s="500"/>
      <c r="Y680" s="500"/>
      <c r="Z680" s="500"/>
    </row>
    <row r="681" spans="1:26" x14ac:dyDescent="0.3">
      <c r="A681" s="500"/>
      <c r="B681" s="500"/>
      <c r="C681" s="500"/>
      <c r="D681" s="500"/>
      <c r="E681" s="500"/>
      <c r="F681" s="500"/>
      <c r="G681" s="500"/>
      <c r="H681" s="500"/>
      <c r="I681" s="500"/>
      <c r="J681" s="500"/>
      <c r="K681" s="500"/>
      <c r="L681" s="500"/>
      <c r="M681" s="500"/>
      <c r="N681" s="500"/>
      <c r="O681" s="500"/>
      <c r="P681" s="500"/>
      <c r="Q681" s="500"/>
      <c r="R681" s="500"/>
      <c r="S681" s="500"/>
      <c r="T681" s="500"/>
      <c r="U681" s="500"/>
      <c r="V681" s="500"/>
      <c r="W681" s="500"/>
      <c r="X681" s="500"/>
      <c r="Y681" s="500"/>
      <c r="Z681" s="500"/>
    </row>
    <row r="682" spans="1:26" x14ac:dyDescent="0.3">
      <c r="A682" s="500"/>
      <c r="B682" s="500"/>
      <c r="C682" s="500"/>
      <c r="D682" s="500"/>
      <c r="E682" s="500"/>
      <c r="F682" s="500"/>
      <c r="G682" s="500"/>
      <c r="H682" s="500"/>
      <c r="I682" s="500"/>
      <c r="J682" s="500"/>
      <c r="K682" s="500"/>
      <c r="L682" s="500"/>
      <c r="M682" s="500"/>
      <c r="N682" s="500"/>
      <c r="O682" s="500"/>
      <c r="P682" s="500"/>
      <c r="Q682" s="500"/>
      <c r="R682" s="500"/>
      <c r="S682" s="500"/>
      <c r="T682" s="500"/>
      <c r="U682" s="500"/>
      <c r="V682" s="500"/>
      <c r="W682" s="500"/>
      <c r="X682" s="500"/>
      <c r="Y682" s="500"/>
      <c r="Z682" s="500"/>
    </row>
    <row r="683" spans="1:26" x14ac:dyDescent="0.3">
      <c r="A683" s="500"/>
      <c r="B683" s="500"/>
      <c r="C683" s="500"/>
      <c r="D683" s="500"/>
      <c r="E683" s="500"/>
      <c r="F683" s="500"/>
      <c r="G683" s="500"/>
      <c r="H683" s="500"/>
      <c r="I683" s="500"/>
      <c r="J683" s="500"/>
      <c r="K683" s="500"/>
      <c r="L683" s="500"/>
      <c r="M683" s="500"/>
      <c r="N683" s="500"/>
      <c r="O683" s="500"/>
      <c r="P683" s="500"/>
      <c r="Q683" s="500"/>
      <c r="R683" s="500"/>
      <c r="S683" s="500"/>
      <c r="T683" s="500"/>
      <c r="U683" s="500"/>
      <c r="V683" s="500"/>
      <c r="W683" s="500"/>
      <c r="X683" s="500"/>
      <c r="Y683" s="500"/>
      <c r="Z683" s="500"/>
    </row>
    <row r="684" spans="1:26" x14ac:dyDescent="0.3">
      <c r="A684" s="500"/>
      <c r="B684" s="500"/>
      <c r="C684" s="500"/>
      <c r="D684" s="500"/>
      <c r="E684" s="500"/>
      <c r="F684" s="500"/>
      <c r="G684" s="500"/>
      <c r="H684" s="500"/>
      <c r="I684" s="500"/>
      <c r="J684" s="500"/>
      <c r="K684" s="500"/>
      <c r="L684" s="500"/>
      <c r="M684" s="500"/>
      <c r="N684" s="500"/>
      <c r="O684" s="500"/>
      <c r="P684" s="500"/>
      <c r="Q684" s="500"/>
      <c r="R684" s="500"/>
      <c r="S684" s="500"/>
      <c r="T684" s="500"/>
      <c r="U684" s="500"/>
      <c r="V684" s="500"/>
      <c r="W684" s="500"/>
      <c r="X684" s="500"/>
      <c r="Y684" s="500"/>
      <c r="Z684" s="500"/>
    </row>
    <row r="685" spans="1:26" x14ac:dyDescent="0.3">
      <c r="A685" s="500"/>
      <c r="B685" s="500"/>
      <c r="C685" s="500"/>
      <c r="D685" s="500"/>
      <c r="E685" s="500"/>
      <c r="F685" s="500"/>
      <c r="G685" s="500"/>
      <c r="H685" s="500"/>
      <c r="I685" s="500"/>
      <c r="J685" s="500"/>
      <c r="K685" s="500"/>
      <c r="L685" s="500"/>
      <c r="M685" s="500"/>
      <c r="N685" s="500"/>
      <c r="O685" s="500"/>
      <c r="P685" s="500"/>
      <c r="Q685" s="500"/>
      <c r="R685" s="500"/>
      <c r="S685" s="500"/>
      <c r="T685" s="500"/>
      <c r="U685" s="500"/>
      <c r="V685" s="500"/>
      <c r="W685" s="500"/>
      <c r="X685" s="500"/>
      <c r="Y685" s="500"/>
      <c r="Z685" s="500"/>
    </row>
    <row r="686" spans="1:26" x14ac:dyDescent="0.3">
      <c r="A686" s="500"/>
      <c r="B686" s="500"/>
      <c r="C686" s="500"/>
      <c r="D686" s="500"/>
      <c r="E686" s="500"/>
      <c r="F686" s="500"/>
      <c r="G686" s="500"/>
      <c r="H686" s="500"/>
      <c r="I686" s="500"/>
      <c r="J686" s="500"/>
      <c r="K686" s="500"/>
      <c r="L686" s="500"/>
      <c r="M686" s="500"/>
      <c r="N686" s="500"/>
      <c r="O686" s="500"/>
      <c r="P686" s="500"/>
      <c r="Q686" s="500"/>
      <c r="R686" s="500"/>
      <c r="S686" s="500"/>
      <c r="T686" s="500"/>
      <c r="U686" s="500"/>
      <c r="V686" s="500"/>
      <c r="W686" s="500"/>
      <c r="X686" s="500"/>
      <c r="Y686" s="500"/>
      <c r="Z686" s="500"/>
    </row>
    <row r="687" spans="1:26" x14ac:dyDescent="0.3">
      <c r="A687" s="500"/>
      <c r="B687" s="500"/>
      <c r="C687" s="500"/>
      <c r="D687" s="500"/>
      <c r="E687" s="500"/>
      <c r="F687" s="500"/>
      <c r="G687" s="500"/>
      <c r="H687" s="500"/>
      <c r="I687" s="500"/>
      <c r="J687" s="500"/>
      <c r="K687" s="500"/>
      <c r="L687" s="500"/>
      <c r="M687" s="500"/>
      <c r="N687" s="500"/>
      <c r="O687" s="500"/>
      <c r="P687" s="500"/>
      <c r="Q687" s="500"/>
      <c r="R687" s="500"/>
      <c r="S687" s="500"/>
      <c r="T687" s="500"/>
      <c r="U687" s="500"/>
      <c r="V687" s="500"/>
      <c r="W687" s="500"/>
      <c r="X687" s="500"/>
      <c r="Y687" s="500"/>
      <c r="Z687" s="500"/>
    </row>
    <row r="688" spans="1:26" x14ac:dyDescent="0.3">
      <c r="A688" s="500"/>
      <c r="B688" s="500"/>
      <c r="C688" s="500"/>
      <c r="D688" s="500"/>
      <c r="E688" s="500"/>
      <c r="F688" s="500"/>
      <c r="G688" s="500"/>
      <c r="H688" s="500"/>
      <c r="I688" s="500"/>
      <c r="J688" s="500"/>
      <c r="K688" s="500"/>
      <c r="L688" s="500"/>
      <c r="M688" s="500"/>
      <c r="N688" s="500"/>
      <c r="O688" s="500"/>
      <c r="P688" s="500"/>
      <c r="Q688" s="500"/>
      <c r="R688" s="500"/>
      <c r="S688" s="500"/>
      <c r="T688" s="500"/>
      <c r="U688" s="500"/>
      <c r="V688" s="500"/>
      <c r="W688" s="500"/>
      <c r="X688" s="500"/>
      <c r="Y688" s="500"/>
      <c r="Z688" s="500"/>
    </row>
    <row r="689" spans="1:26" x14ac:dyDescent="0.3">
      <c r="A689" s="500"/>
      <c r="B689" s="500"/>
      <c r="C689" s="500"/>
      <c r="D689" s="500"/>
      <c r="E689" s="500"/>
      <c r="F689" s="500"/>
      <c r="G689" s="500"/>
      <c r="H689" s="500"/>
      <c r="I689" s="500"/>
      <c r="J689" s="500"/>
      <c r="K689" s="500"/>
      <c r="L689" s="500"/>
      <c r="M689" s="500"/>
      <c r="N689" s="500"/>
      <c r="O689" s="500"/>
      <c r="P689" s="500"/>
      <c r="Q689" s="500"/>
      <c r="R689" s="500"/>
      <c r="S689" s="500"/>
      <c r="T689" s="500"/>
      <c r="U689" s="500"/>
      <c r="V689" s="500"/>
      <c r="W689" s="500"/>
      <c r="X689" s="500"/>
      <c r="Y689" s="500"/>
      <c r="Z689" s="500"/>
    </row>
    <row r="690" spans="1:26" x14ac:dyDescent="0.3">
      <c r="A690" s="500"/>
      <c r="B690" s="500"/>
      <c r="C690" s="500"/>
      <c r="D690" s="500"/>
      <c r="E690" s="500"/>
      <c r="F690" s="500"/>
      <c r="G690" s="500"/>
      <c r="H690" s="500"/>
      <c r="I690" s="500"/>
      <c r="J690" s="500"/>
      <c r="K690" s="500"/>
      <c r="L690" s="500"/>
      <c r="M690" s="500"/>
      <c r="N690" s="500"/>
      <c r="O690" s="500"/>
      <c r="P690" s="500"/>
      <c r="Q690" s="500"/>
      <c r="R690" s="500"/>
      <c r="S690" s="500"/>
      <c r="T690" s="500"/>
      <c r="U690" s="500"/>
      <c r="V690" s="500"/>
      <c r="W690" s="500"/>
      <c r="X690" s="500"/>
      <c r="Y690" s="500"/>
      <c r="Z690" s="500"/>
    </row>
    <row r="691" spans="1:26" x14ac:dyDescent="0.3">
      <c r="A691" s="500"/>
      <c r="B691" s="500"/>
      <c r="C691" s="500"/>
      <c r="D691" s="500"/>
      <c r="E691" s="500"/>
      <c r="F691" s="500"/>
      <c r="G691" s="500"/>
      <c r="H691" s="500"/>
      <c r="I691" s="500"/>
      <c r="J691" s="500"/>
      <c r="K691" s="500"/>
      <c r="L691" s="500"/>
      <c r="M691" s="500"/>
      <c r="N691" s="500"/>
      <c r="O691" s="500"/>
      <c r="P691" s="500"/>
      <c r="Q691" s="500"/>
      <c r="R691" s="500"/>
      <c r="S691" s="500"/>
      <c r="T691" s="500"/>
      <c r="U691" s="500"/>
      <c r="V691" s="500"/>
      <c r="W691" s="500"/>
      <c r="X691" s="500"/>
      <c r="Y691" s="500"/>
      <c r="Z691" s="500"/>
    </row>
    <row r="692" spans="1:26" x14ac:dyDescent="0.3">
      <c r="A692" s="500"/>
      <c r="B692" s="500"/>
      <c r="C692" s="500"/>
      <c r="D692" s="500"/>
      <c r="E692" s="500"/>
      <c r="F692" s="500"/>
      <c r="G692" s="500"/>
      <c r="H692" s="500"/>
      <c r="I692" s="500"/>
      <c r="J692" s="500"/>
      <c r="K692" s="500"/>
      <c r="L692" s="500"/>
      <c r="M692" s="500"/>
      <c r="N692" s="500"/>
      <c r="O692" s="500"/>
      <c r="P692" s="500"/>
      <c r="Q692" s="500"/>
      <c r="R692" s="500"/>
      <c r="S692" s="500"/>
      <c r="T692" s="500"/>
      <c r="U692" s="500"/>
      <c r="V692" s="500"/>
      <c r="W692" s="500"/>
      <c r="X692" s="500"/>
      <c r="Y692" s="500"/>
      <c r="Z692" s="500"/>
    </row>
    <row r="693" spans="1:26" x14ac:dyDescent="0.3">
      <c r="A693" s="500"/>
      <c r="B693" s="500"/>
      <c r="C693" s="500"/>
      <c r="D693" s="500"/>
      <c r="E693" s="500"/>
      <c r="F693" s="500"/>
      <c r="G693" s="500"/>
      <c r="H693" s="500"/>
      <c r="I693" s="500"/>
      <c r="J693" s="500"/>
      <c r="K693" s="500"/>
      <c r="L693" s="500"/>
      <c r="M693" s="500"/>
      <c r="N693" s="500"/>
      <c r="O693" s="500"/>
      <c r="P693" s="500"/>
      <c r="Q693" s="500"/>
      <c r="R693" s="500"/>
      <c r="S693" s="500"/>
      <c r="T693" s="500"/>
      <c r="U693" s="500"/>
      <c r="V693" s="500"/>
      <c r="W693" s="500"/>
      <c r="X693" s="500"/>
      <c r="Y693" s="500"/>
      <c r="Z693" s="500"/>
    </row>
    <row r="694" spans="1:26" x14ac:dyDescent="0.3">
      <c r="A694" s="500"/>
      <c r="B694" s="500"/>
      <c r="C694" s="500"/>
      <c r="D694" s="500"/>
      <c r="E694" s="500"/>
      <c r="F694" s="500"/>
      <c r="G694" s="500"/>
      <c r="H694" s="500"/>
      <c r="I694" s="500"/>
      <c r="J694" s="500"/>
      <c r="K694" s="500"/>
      <c r="L694" s="500"/>
      <c r="M694" s="500"/>
      <c r="N694" s="500"/>
      <c r="O694" s="500"/>
      <c r="P694" s="500"/>
      <c r="Q694" s="500"/>
      <c r="R694" s="500"/>
      <c r="S694" s="500"/>
      <c r="T694" s="500"/>
      <c r="U694" s="500"/>
      <c r="V694" s="500"/>
      <c r="W694" s="500"/>
      <c r="X694" s="500"/>
      <c r="Y694" s="500"/>
      <c r="Z694" s="500"/>
    </row>
    <row r="695" spans="1:26" x14ac:dyDescent="0.3">
      <c r="A695" s="500"/>
      <c r="B695" s="500"/>
      <c r="C695" s="500"/>
      <c r="D695" s="500"/>
      <c r="E695" s="500"/>
      <c r="F695" s="500"/>
      <c r="G695" s="500"/>
      <c r="H695" s="500"/>
      <c r="I695" s="500"/>
      <c r="J695" s="500"/>
      <c r="K695" s="500"/>
      <c r="L695" s="500"/>
      <c r="M695" s="500"/>
      <c r="N695" s="500"/>
      <c r="O695" s="500"/>
      <c r="P695" s="500"/>
      <c r="Q695" s="500"/>
      <c r="R695" s="500"/>
      <c r="S695" s="500"/>
      <c r="T695" s="500"/>
      <c r="U695" s="500"/>
      <c r="V695" s="500"/>
      <c r="W695" s="500"/>
      <c r="X695" s="500"/>
      <c r="Y695" s="500"/>
      <c r="Z695" s="500"/>
    </row>
    <row r="696" spans="1:26" x14ac:dyDescent="0.3">
      <c r="A696" s="500"/>
      <c r="B696" s="500"/>
      <c r="C696" s="500"/>
      <c r="D696" s="500"/>
      <c r="E696" s="500"/>
      <c r="F696" s="500"/>
      <c r="G696" s="500"/>
      <c r="H696" s="500"/>
      <c r="I696" s="500"/>
      <c r="J696" s="500"/>
      <c r="K696" s="500"/>
      <c r="L696" s="500"/>
      <c r="M696" s="500"/>
      <c r="N696" s="500"/>
      <c r="O696" s="500"/>
      <c r="P696" s="500"/>
      <c r="Q696" s="500"/>
      <c r="R696" s="500"/>
      <c r="S696" s="500"/>
      <c r="T696" s="500"/>
      <c r="U696" s="500"/>
      <c r="V696" s="500"/>
      <c r="W696" s="500"/>
      <c r="X696" s="500"/>
      <c r="Y696" s="500"/>
      <c r="Z696" s="500"/>
    </row>
    <row r="697" spans="1:26" x14ac:dyDescent="0.3">
      <c r="A697" s="500"/>
      <c r="B697" s="500"/>
      <c r="C697" s="500"/>
      <c r="D697" s="500"/>
      <c r="E697" s="500"/>
      <c r="F697" s="500"/>
      <c r="G697" s="500"/>
      <c r="H697" s="500"/>
      <c r="I697" s="500"/>
      <c r="J697" s="500"/>
      <c r="K697" s="500"/>
      <c r="L697" s="500"/>
      <c r="M697" s="500"/>
      <c r="N697" s="500"/>
      <c r="O697" s="500"/>
      <c r="P697" s="500"/>
      <c r="Q697" s="500"/>
      <c r="R697" s="500"/>
      <c r="S697" s="500"/>
      <c r="T697" s="500"/>
      <c r="U697" s="500"/>
      <c r="V697" s="500"/>
      <c r="W697" s="500"/>
      <c r="X697" s="500"/>
      <c r="Y697" s="500"/>
      <c r="Z697" s="500"/>
    </row>
    <row r="698" spans="1:26" x14ac:dyDescent="0.3">
      <c r="A698" s="500"/>
      <c r="B698" s="500"/>
      <c r="C698" s="500"/>
      <c r="D698" s="500"/>
      <c r="E698" s="500"/>
      <c r="F698" s="500"/>
      <c r="G698" s="500"/>
      <c r="H698" s="500"/>
      <c r="I698" s="500"/>
      <c r="J698" s="500"/>
      <c r="K698" s="500"/>
      <c r="L698" s="500"/>
      <c r="M698" s="500"/>
      <c r="N698" s="500"/>
      <c r="O698" s="500"/>
      <c r="P698" s="500"/>
      <c r="Q698" s="500"/>
      <c r="R698" s="500"/>
      <c r="S698" s="500"/>
      <c r="T698" s="500"/>
      <c r="U698" s="500"/>
      <c r="V698" s="500"/>
      <c r="W698" s="500"/>
      <c r="X698" s="500"/>
      <c r="Y698" s="500"/>
      <c r="Z698" s="500"/>
    </row>
    <row r="699" spans="1:26" x14ac:dyDescent="0.3">
      <c r="A699" s="500"/>
      <c r="B699" s="500"/>
      <c r="C699" s="500"/>
      <c r="D699" s="500"/>
      <c r="E699" s="500"/>
      <c r="F699" s="500"/>
      <c r="G699" s="500"/>
      <c r="H699" s="500"/>
      <c r="I699" s="500"/>
      <c r="J699" s="500"/>
      <c r="K699" s="500"/>
      <c r="L699" s="500"/>
      <c r="M699" s="500"/>
      <c r="N699" s="500"/>
      <c r="O699" s="500"/>
      <c r="P699" s="500"/>
      <c r="Q699" s="500"/>
      <c r="R699" s="500"/>
      <c r="S699" s="500"/>
      <c r="T699" s="500"/>
      <c r="U699" s="500"/>
      <c r="V699" s="500"/>
      <c r="W699" s="500"/>
      <c r="X699" s="500"/>
      <c r="Y699" s="500"/>
      <c r="Z699" s="500"/>
    </row>
    <row r="700" spans="1:26" x14ac:dyDescent="0.3">
      <c r="A700" s="500"/>
      <c r="B700" s="500"/>
      <c r="C700" s="500"/>
      <c r="D700" s="500"/>
      <c r="E700" s="500"/>
      <c r="F700" s="500"/>
      <c r="G700" s="500"/>
      <c r="H700" s="500"/>
      <c r="I700" s="500"/>
      <c r="J700" s="500"/>
      <c r="K700" s="500"/>
      <c r="L700" s="500"/>
      <c r="M700" s="500"/>
      <c r="N700" s="500"/>
      <c r="O700" s="500"/>
      <c r="P700" s="500"/>
      <c r="Q700" s="500"/>
      <c r="R700" s="500"/>
      <c r="S700" s="500"/>
      <c r="T700" s="500"/>
      <c r="U700" s="500"/>
      <c r="V700" s="500"/>
      <c r="W700" s="500"/>
      <c r="X700" s="500"/>
      <c r="Y700" s="500"/>
      <c r="Z700" s="500"/>
    </row>
    <row r="701" spans="1:26" x14ac:dyDescent="0.3">
      <c r="A701" s="500"/>
      <c r="B701" s="500"/>
      <c r="C701" s="500"/>
      <c r="D701" s="500"/>
      <c r="E701" s="500"/>
      <c r="F701" s="500"/>
      <c r="G701" s="500"/>
      <c r="H701" s="500"/>
      <c r="I701" s="500"/>
      <c r="J701" s="500"/>
      <c r="K701" s="500"/>
      <c r="L701" s="500"/>
      <c r="M701" s="500"/>
      <c r="N701" s="500"/>
      <c r="O701" s="500"/>
      <c r="P701" s="500"/>
      <c r="Q701" s="500"/>
      <c r="R701" s="500"/>
      <c r="S701" s="500"/>
      <c r="T701" s="500"/>
      <c r="U701" s="500"/>
      <c r="V701" s="500"/>
      <c r="W701" s="500"/>
      <c r="X701" s="500"/>
      <c r="Y701" s="500"/>
      <c r="Z701" s="500"/>
    </row>
    <row r="702" spans="1:26" x14ac:dyDescent="0.3">
      <c r="A702" s="500"/>
      <c r="B702" s="500"/>
      <c r="C702" s="500"/>
      <c r="D702" s="500"/>
      <c r="E702" s="500"/>
      <c r="F702" s="500"/>
      <c r="G702" s="500"/>
      <c r="H702" s="500"/>
      <c r="I702" s="500"/>
      <c r="J702" s="500"/>
      <c r="K702" s="500"/>
      <c r="L702" s="500"/>
      <c r="M702" s="500"/>
      <c r="N702" s="500"/>
      <c r="O702" s="500"/>
      <c r="P702" s="500"/>
      <c r="Q702" s="500"/>
      <c r="R702" s="500"/>
      <c r="S702" s="500"/>
      <c r="T702" s="500"/>
      <c r="U702" s="500"/>
      <c r="V702" s="500"/>
      <c r="W702" s="500"/>
      <c r="X702" s="500"/>
      <c r="Y702" s="500"/>
      <c r="Z702" s="500"/>
    </row>
    <row r="703" spans="1:26" x14ac:dyDescent="0.3">
      <c r="A703" s="500"/>
      <c r="B703" s="500"/>
      <c r="C703" s="500"/>
      <c r="D703" s="500"/>
      <c r="E703" s="500"/>
      <c r="F703" s="500"/>
      <c r="G703" s="500"/>
      <c r="H703" s="500"/>
      <c r="I703" s="500"/>
      <c r="J703" s="500"/>
      <c r="K703" s="500"/>
      <c r="L703" s="500"/>
      <c r="M703" s="500"/>
      <c r="N703" s="500"/>
      <c r="O703" s="500"/>
      <c r="P703" s="500"/>
      <c r="Q703" s="500"/>
      <c r="R703" s="500"/>
      <c r="S703" s="500"/>
      <c r="T703" s="500"/>
      <c r="U703" s="500"/>
      <c r="V703" s="500"/>
      <c r="W703" s="500"/>
      <c r="X703" s="500"/>
      <c r="Y703" s="500"/>
      <c r="Z703" s="500"/>
    </row>
    <row r="704" spans="1:26" x14ac:dyDescent="0.3">
      <c r="A704" s="500"/>
      <c r="B704" s="500"/>
      <c r="C704" s="500"/>
      <c r="D704" s="500"/>
      <c r="E704" s="500"/>
      <c r="F704" s="500"/>
      <c r="G704" s="500"/>
      <c r="H704" s="500"/>
      <c r="I704" s="500"/>
      <c r="J704" s="500"/>
      <c r="K704" s="500"/>
      <c r="L704" s="500"/>
      <c r="M704" s="500"/>
      <c r="N704" s="500"/>
      <c r="O704" s="500"/>
      <c r="P704" s="500"/>
      <c r="Q704" s="500"/>
      <c r="R704" s="500"/>
      <c r="S704" s="500"/>
      <c r="T704" s="500"/>
      <c r="U704" s="500"/>
      <c r="V704" s="500"/>
      <c r="W704" s="500"/>
      <c r="X704" s="500"/>
      <c r="Y704" s="500"/>
      <c r="Z704" s="500"/>
    </row>
    <row r="705" spans="1:26" x14ac:dyDescent="0.3">
      <c r="A705" s="500"/>
      <c r="B705" s="500"/>
      <c r="C705" s="500"/>
      <c r="D705" s="500"/>
      <c r="E705" s="500"/>
      <c r="F705" s="500"/>
      <c r="G705" s="500"/>
      <c r="H705" s="500"/>
      <c r="I705" s="500"/>
      <c r="J705" s="500"/>
      <c r="K705" s="500"/>
      <c r="L705" s="500"/>
      <c r="M705" s="500"/>
      <c r="N705" s="500"/>
      <c r="O705" s="500"/>
      <c r="P705" s="500"/>
      <c r="Q705" s="500"/>
      <c r="R705" s="500"/>
      <c r="S705" s="500"/>
      <c r="T705" s="500"/>
      <c r="U705" s="500"/>
      <c r="V705" s="500"/>
      <c r="W705" s="500"/>
      <c r="X705" s="500"/>
      <c r="Y705" s="500"/>
      <c r="Z705" s="500"/>
    </row>
    <row r="706" spans="1:26" x14ac:dyDescent="0.3">
      <c r="A706" s="500"/>
      <c r="B706" s="500"/>
      <c r="C706" s="500"/>
      <c r="D706" s="500"/>
      <c r="E706" s="500"/>
      <c r="F706" s="500"/>
      <c r="G706" s="500"/>
      <c r="H706" s="500"/>
      <c r="I706" s="500"/>
      <c r="J706" s="500"/>
      <c r="K706" s="500"/>
      <c r="L706" s="500"/>
      <c r="M706" s="500"/>
      <c r="N706" s="500"/>
      <c r="O706" s="500"/>
      <c r="P706" s="500"/>
      <c r="Q706" s="500"/>
      <c r="R706" s="500"/>
      <c r="S706" s="500"/>
      <c r="T706" s="500"/>
      <c r="U706" s="500"/>
      <c r="V706" s="500"/>
      <c r="W706" s="500"/>
      <c r="X706" s="500"/>
      <c r="Y706" s="500"/>
      <c r="Z706" s="500"/>
    </row>
    <row r="707" spans="1:26" x14ac:dyDescent="0.3">
      <c r="A707" s="500"/>
      <c r="B707" s="500"/>
      <c r="C707" s="500"/>
      <c r="D707" s="500"/>
      <c r="E707" s="500"/>
      <c r="F707" s="500"/>
      <c r="G707" s="500"/>
      <c r="H707" s="500"/>
      <c r="I707" s="500"/>
      <c r="J707" s="500"/>
      <c r="K707" s="500"/>
      <c r="L707" s="500"/>
      <c r="M707" s="500"/>
      <c r="N707" s="500"/>
      <c r="O707" s="500"/>
      <c r="P707" s="500"/>
      <c r="Q707" s="500"/>
      <c r="R707" s="500"/>
      <c r="S707" s="500"/>
      <c r="T707" s="500"/>
      <c r="U707" s="500"/>
      <c r="V707" s="500"/>
      <c r="W707" s="500"/>
      <c r="X707" s="500"/>
      <c r="Y707" s="500"/>
      <c r="Z707" s="500"/>
    </row>
    <row r="708" spans="1:26" x14ac:dyDescent="0.3">
      <c r="A708" s="500"/>
      <c r="B708" s="500"/>
      <c r="C708" s="500"/>
      <c r="D708" s="500"/>
      <c r="E708" s="500"/>
      <c r="F708" s="500"/>
      <c r="G708" s="500"/>
      <c r="H708" s="500"/>
      <c r="I708" s="500"/>
      <c r="J708" s="500"/>
      <c r="K708" s="500"/>
      <c r="L708" s="500"/>
      <c r="M708" s="500"/>
      <c r="N708" s="500"/>
      <c r="O708" s="500"/>
      <c r="P708" s="500"/>
      <c r="Q708" s="500"/>
      <c r="R708" s="500"/>
      <c r="S708" s="500"/>
      <c r="T708" s="500"/>
      <c r="U708" s="500"/>
      <c r="V708" s="500"/>
      <c r="W708" s="500"/>
      <c r="X708" s="500"/>
      <c r="Y708" s="500"/>
      <c r="Z708" s="500"/>
    </row>
    <row r="709" spans="1:26" x14ac:dyDescent="0.3">
      <c r="A709" s="500"/>
      <c r="B709" s="500"/>
      <c r="C709" s="500"/>
      <c r="D709" s="500"/>
      <c r="E709" s="500"/>
      <c r="F709" s="500"/>
      <c r="G709" s="500"/>
      <c r="H709" s="500"/>
      <c r="I709" s="500"/>
      <c r="J709" s="500"/>
      <c r="K709" s="500"/>
      <c r="L709" s="500"/>
      <c r="M709" s="500"/>
      <c r="N709" s="500"/>
      <c r="O709" s="500"/>
      <c r="P709" s="500"/>
      <c r="Q709" s="500"/>
      <c r="R709" s="500"/>
      <c r="S709" s="500"/>
      <c r="T709" s="500"/>
      <c r="U709" s="500"/>
      <c r="V709" s="500"/>
      <c r="W709" s="500"/>
      <c r="X709" s="500"/>
      <c r="Y709" s="500"/>
      <c r="Z709" s="500"/>
    </row>
    <row r="710" spans="1:26" x14ac:dyDescent="0.3">
      <c r="A710" s="500"/>
      <c r="B710" s="500"/>
      <c r="C710" s="500"/>
      <c r="D710" s="500"/>
      <c r="E710" s="500"/>
      <c r="F710" s="500"/>
      <c r="G710" s="500"/>
      <c r="H710" s="500"/>
      <c r="I710" s="500"/>
      <c r="J710" s="500"/>
      <c r="K710" s="500"/>
      <c r="L710" s="500"/>
      <c r="M710" s="500"/>
      <c r="N710" s="500"/>
      <c r="O710" s="500"/>
      <c r="P710" s="500"/>
      <c r="Q710" s="500"/>
      <c r="R710" s="500"/>
      <c r="S710" s="500"/>
      <c r="T710" s="500"/>
      <c r="U710" s="500"/>
      <c r="V710" s="500"/>
      <c r="W710" s="500"/>
      <c r="X710" s="500"/>
      <c r="Y710" s="500"/>
      <c r="Z710" s="500"/>
    </row>
    <row r="711" spans="1:26" x14ac:dyDescent="0.3">
      <c r="A711" s="500"/>
      <c r="B711" s="500"/>
      <c r="C711" s="500"/>
      <c r="D711" s="500"/>
      <c r="E711" s="500"/>
      <c r="F711" s="500"/>
      <c r="G711" s="500"/>
      <c r="H711" s="500"/>
      <c r="I711" s="500"/>
      <c r="J711" s="500"/>
      <c r="K711" s="500"/>
      <c r="L711" s="500"/>
      <c r="M711" s="500"/>
      <c r="N711" s="500"/>
      <c r="O711" s="500"/>
      <c r="P711" s="500"/>
      <c r="Q711" s="500"/>
      <c r="R711" s="500"/>
      <c r="S711" s="500"/>
      <c r="T711" s="500"/>
      <c r="U711" s="500"/>
      <c r="V711" s="500"/>
      <c r="W711" s="500"/>
      <c r="X711" s="500"/>
      <c r="Y711" s="500"/>
      <c r="Z711" s="500"/>
    </row>
    <row r="712" spans="1:26" x14ac:dyDescent="0.3">
      <c r="A712" s="500"/>
      <c r="B712" s="500"/>
      <c r="C712" s="500"/>
      <c r="D712" s="500"/>
      <c r="E712" s="500"/>
      <c r="F712" s="500"/>
      <c r="G712" s="500"/>
      <c r="H712" s="500"/>
      <c r="I712" s="500"/>
      <c r="J712" s="500"/>
      <c r="K712" s="500"/>
      <c r="L712" s="500"/>
      <c r="M712" s="500"/>
      <c r="N712" s="500"/>
      <c r="O712" s="500"/>
      <c r="P712" s="500"/>
      <c r="Q712" s="500"/>
      <c r="R712" s="500"/>
      <c r="S712" s="500"/>
      <c r="T712" s="500"/>
      <c r="U712" s="500"/>
      <c r="V712" s="500"/>
      <c r="W712" s="500"/>
      <c r="X712" s="500"/>
      <c r="Y712" s="500"/>
      <c r="Z712" s="500"/>
    </row>
    <row r="713" spans="1:26" x14ac:dyDescent="0.3">
      <c r="A713" s="500"/>
      <c r="B713" s="500"/>
      <c r="C713" s="500"/>
      <c r="D713" s="500"/>
      <c r="E713" s="500"/>
      <c r="F713" s="500"/>
      <c r="G713" s="500"/>
      <c r="H713" s="500"/>
      <c r="I713" s="500"/>
      <c r="J713" s="500"/>
      <c r="K713" s="500"/>
      <c r="L713" s="500"/>
      <c r="M713" s="500"/>
      <c r="N713" s="500"/>
      <c r="O713" s="500"/>
      <c r="P713" s="500"/>
      <c r="Q713" s="500"/>
      <c r="R713" s="500"/>
      <c r="S713" s="500"/>
      <c r="T713" s="500"/>
      <c r="U713" s="500"/>
      <c r="V713" s="500"/>
      <c r="W713" s="500"/>
      <c r="X713" s="500"/>
      <c r="Y713" s="500"/>
      <c r="Z713" s="500"/>
    </row>
    <row r="714" spans="1:26" x14ac:dyDescent="0.3">
      <c r="A714" s="500"/>
      <c r="B714" s="500"/>
      <c r="C714" s="500"/>
      <c r="D714" s="500"/>
      <c r="E714" s="500"/>
      <c r="F714" s="500"/>
      <c r="G714" s="500"/>
      <c r="H714" s="500"/>
      <c r="I714" s="500"/>
      <c r="J714" s="500"/>
      <c r="K714" s="500"/>
      <c r="L714" s="500"/>
      <c r="M714" s="500"/>
      <c r="N714" s="500"/>
      <c r="O714" s="500"/>
      <c r="P714" s="500"/>
      <c r="Q714" s="500"/>
      <c r="R714" s="500"/>
      <c r="S714" s="500"/>
      <c r="T714" s="500"/>
      <c r="U714" s="500"/>
      <c r="V714" s="500"/>
      <c r="W714" s="500"/>
      <c r="X714" s="500"/>
      <c r="Y714" s="500"/>
      <c r="Z714" s="500"/>
    </row>
    <row r="715" spans="1:26" x14ac:dyDescent="0.3">
      <c r="A715" s="500"/>
      <c r="B715" s="500"/>
      <c r="C715" s="500"/>
      <c r="D715" s="500"/>
      <c r="E715" s="500"/>
      <c r="F715" s="500"/>
      <c r="G715" s="500"/>
      <c r="H715" s="500"/>
      <c r="I715" s="500"/>
      <c r="J715" s="500"/>
      <c r="K715" s="500"/>
      <c r="L715" s="500"/>
      <c r="M715" s="500"/>
      <c r="N715" s="500"/>
      <c r="O715" s="500"/>
      <c r="P715" s="500"/>
      <c r="Q715" s="500"/>
      <c r="R715" s="500"/>
      <c r="S715" s="500"/>
      <c r="T715" s="500"/>
      <c r="U715" s="500"/>
      <c r="V715" s="500"/>
      <c r="W715" s="500"/>
      <c r="X715" s="500"/>
      <c r="Y715" s="500"/>
      <c r="Z715" s="500"/>
    </row>
    <row r="716" spans="1:26" x14ac:dyDescent="0.3">
      <c r="A716" s="500"/>
      <c r="B716" s="500"/>
      <c r="C716" s="500"/>
      <c r="D716" s="500"/>
      <c r="E716" s="500"/>
      <c r="F716" s="500"/>
      <c r="G716" s="500"/>
      <c r="H716" s="500"/>
      <c r="I716" s="500"/>
      <c r="J716" s="500"/>
      <c r="K716" s="500"/>
      <c r="L716" s="500"/>
      <c r="M716" s="500"/>
      <c r="N716" s="500"/>
      <c r="O716" s="500"/>
      <c r="P716" s="500"/>
      <c r="Q716" s="500"/>
      <c r="R716" s="500"/>
      <c r="S716" s="500"/>
      <c r="T716" s="500"/>
      <c r="U716" s="500"/>
      <c r="V716" s="500"/>
      <c r="W716" s="500"/>
      <c r="X716" s="500"/>
      <c r="Y716" s="500"/>
      <c r="Z716" s="500"/>
    </row>
    <row r="717" spans="1:26" x14ac:dyDescent="0.3">
      <c r="A717" s="500"/>
      <c r="B717" s="500"/>
      <c r="C717" s="500"/>
      <c r="D717" s="500"/>
      <c r="E717" s="500"/>
      <c r="F717" s="500"/>
      <c r="G717" s="500"/>
      <c r="H717" s="500"/>
      <c r="I717" s="500"/>
      <c r="J717" s="500"/>
      <c r="K717" s="500"/>
      <c r="L717" s="500"/>
      <c r="M717" s="500"/>
      <c r="N717" s="500"/>
      <c r="O717" s="500"/>
      <c r="P717" s="500"/>
      <c r="Q717" s="500"/>
      <c r="R717" s="500"/>
      <c r="S717" s="500"/>
      <c r="T717" s="500"/>
      <c r="U717" s="500"/>
      <c r="V717" s="500"/>
      <c r="W717" s="500"/>
      <c r="X717" s="500"/>
      <c r="Y717" s="500"/>
      <c r="Z717" s="500"/>
    </row>
    <row r="718" spans="1:26" x14ac:dyDescent="0.3">
      <c r="A718" s="500"/>
      <c r="B718" s="500"/>
      <c r="C718" s="500"/>
      <c r="D718" s="500"/>
      <c r="E718" s="500"/>
      <c r="F718" s="500"/>
      <c r="G718" s="500"/>
      <c r="H718" s="500"/>
      <c r="I718" s="500"/>
      <c r="J718" s="500"/>
      <c r="K718" s="500"/>
      <c r="L718" s="500"/>
      <c r="M718" s="500"/>
      <c r="N718" s="500"/>
      <c r="O718" s="500"/>
      <c r="P718" s="500"/>
      <c r="Q718" s="500"/>
      <c r="R718" s="500"/>
      <c r="S718" s="500"/>
      <c r="T718" s="500"/>
      <c r="U718" s="500"/>
      <c r="V718" s="500"/>
      <c r="W718" s="500"/>
      <c r="X718" s="500"/>
      <c r="Y718" s="500"/>
      <c r="Z718" s="500"/>
    </row>
    <row r="719" spans="1:26" x14ac:dyDescent="0.3">
      <c r="A719" s="500"/>
      <c r="B719" s="500"/>
      <c r="C719" s="500"/>
      <c r="D719" s="500"/>
      <c r="E719" s="500"/>
      <c r="F719" s="500"/>
      <c r="G719" s="500"/>
      <c r="H719" s="500"/>
      <c r="I719" s="500"/>
      <c r="J719" s="500"/>
      <c r="K719" s="500"/>
      <c r="L719" s="500"/>
      <c r="M719" s="500"/>
      <c r="N719" s="500"/>
      <c r="O719" s="500"/>
      <c r="P719" s="500"/>
      <c r="Q719" s="500"/>
      <c r="R719" s="500"/>
      <c r="S719" s="500"/>
      <c r="T719" s="500"/>
      <c r="U719" s="500"/>
      <c r="V719" s="500"/>
      <c r="W719" s="500"/>
      <c r="X719" s="500"/>
      <c r="Y719" s="500"/>
      <c r="Z719" s="500"/>
    </row>
    <row r="720" spans="1:26" x14ac:dyDescent="0.3">
      <c r="A720" s="500"/>
      <c r="B720" s="500"/>
      <c r="C720" s="500"/>
      <c r="D720" s="500"/>
      <c r="E720" s="500"/>
      <c r="F720" s="500"/>
      <c r="G720" s="500"/>
      <c r="H720" s="500"/>
      <c r="I720" s="500"/>
      <c r="J720" s="500"/>
      <c r="K720" s="500"/>
      <c r="L720" s="500"/>
      <c r="M720" s="500"/>
      <c r="N720" s="500"/>
      <c r="O720" s="500"/>
      <c r="P720" s="500"/>
      <c r="Q720" s="500"/>
      <c r="R720" s="500"/>
      <c r="S720" s="500"/>
      <c r="T720" s="500"/>
      <c r="U720" s="500"/>
      <c r="V720" s="500"/>
      <c r="W720" s="500"/>
      <c r="X720" s="500"/>
      <c r="Y720" s="500"/>
      <c r="Z720" s="500"/>
    </row>
    <row r="721" spans="1:26" x14ac:dyDescent="0.3">
      <c r="A721" s="500"/>
      <c r="B721" s="500"/>
      <c r="C721" s="500"/>
      <c r="D721" s="500"/>
      <c r="E721" s="500"/>
      <c r="F721" s="500"/>
      <c r="G721" s="500"/>
      <c r="H721" s="500"/>
      <c r="I721" s="500"/>
      <c r="J721" s="500"/>
      <c r="K721" s="500"/>
      <c r="L721" s="500"/>
      <c r="M721" s="500"/>
      <c r="N721" s="500"/>
      <c r="O721" s="500"/>
      <c r="P721" s="500"/>
      <c r="Q721" s="500"/>
      <c r="R721" s="500"/>
      <c r="S721" s="500"/>
      <c r="T721" s="500"/>
      <c r="U721" s="500"/>
      <c r="V721" s="500"/>
      <c r="W721" s="500"/>
      <c r="X721" s="500"/>
      <c r="Y721" s="500"/>
      <c r="Z721" s="500"/>
    </row>
    <row r="722" spans="1:26" x14ac:dyDescent="0.3">
      <c r="A722" s="500"/>
      <c r="B722" s="500"/>
      <c r="C722" s="500"/>
      <c r="D722" s="500"/>
      <c r="E722" s="500"/>
      <c r="F722" s="500"/>
      <c r="G722" s="500"/>
      <c r="H722" s="500"/>
      <c r="I722" s="500"/>
      <c r="J722" s="500"/>
      <c r="K722" s="500"/>
      <c r="L722" s="500"/>
      <c r="M722" s="500"/>
      <c r="N722" s="500"/>
      <c r="O722" s="500"/>
      <c r="P722" s="500"/>
      <c r="Q722" s="500"/>
      <c r="R722" s="500"/>
      <c r="S722" s="500"/>
      <c r="T722" s="500"/>
      <c r="U722" s="500"/>
      <c r="V722" s="500"/>
      <c r="W722" s="500"/>
      <c r="X722" s="500"/>
      <c r="Y722" s="500"/>
      <c r="Z722" s="500"/>
    </row>
    <row r="723" spans="1:26" x14ac:dyDescent="0.3">
      <c r="A723" s="500"/>
      <c r="B723" s="500"/>
      <c r="C723" s="500"/>
      <c r="D723" s="500"/>
      <c r="E723" s="500"/>
      <c r="F723" s="500"/>
      <c r="G723" s="500"/>
      <c r="H723" s="500"/>
      <c r="I723" s="500"/>
      <c r="J723" s="500"/>
      <c r="K723" s="500"/>
      <c r="L723" s="500"/>
      <c r="M723" s="500"/>
      <c r="N723" s="500"/>
      <c r="O723" s="500"/>
      <c r="P723" s="500"/>
      <c r="Q723" s="500"/>
      <c r="R723" s="500"/>
      <c r="S723" s="500"/>
      <c r="T723" s="500"/>
      <c r="U723" s="500"/>
      <c r="V723" s="500"/>
      <c r="W723" s="500"/>
      <c r="X723" s="500"/>
      <c r="Y723" s="500"/>
      <c r="Z723" s="500"/>
    </row>
    <row r="724" spans="1:26" x14ac:dyDescent="0.3">
      <c r="A724" s="500"/>
      <c r="B724" s="500"/>
      <c r="C724" s="500"/>
      <c r="D724" s="500"/>
      <c r="E724" s="500"/>
      <c r="F724" s="500"/>
      <c r="G724" s="500"/>
      <c r="H724" s="500"/>
      <c r="I724" s="500"/>
      <c r="J724" s="500"/>
      <c r="K724" s="500"/>
      <c r="L724" s="500"/>
      <c r="M724" s="500"/>
      <c r="N724" s="500"/>
      <c r="O724" s="500"/>
      <c r="P724" s="500"/>
      <c r="Q724" s="500"/>
      <c r="R724" s="500"/>
      <c r="S724" s="500"/>
      <c r="T724" s="500"/>
      <c r="U724" s="500"/>
      <c r="V724" s="500"/>
      <c r="W724" s="500"/>
      <c r="X724" s="500"/>
      <c r="Y724" s="500"/>
      <c r="Z724" s="500"/>
    </row>
    <row r="725" spans="1:26" x14ac:dyDescent="0.3">
      <c r="A725" s="500"/>
      <c r="B725" s="500"/>
      <c r="C725" s="500"/>
      <c r="D725" s="500"/>
      <c r="E725" s="500"/>
      <c r="F725" s="500"/>
      <c r="G725" s="500"/>
      <c r="H725" s="500"/>
      <c r="I725" s="500"/>
      <c r="J725" s="500"/>
      <c r="K725" s="500"/>
      <c r="L725" s="500"/>
      <c r="M725" s="500"/>
      <c r="N725" s="500"/>
      <c r="O725" s="500"/>
      <c r="P725" s="500"/>
      <c r="Q725" s="500"/>
      <c r="R725" s="500"/>
      <c r="S725" s="500"/>
      <c r="T725" s="500"/>
      <c r="U725" s="500"/>
      <c r="V725" s="500"/>
      <c r="W725" s="500"/>
      <c r="X725" s="500"/>
      <c r="Y725" s="500"/>
      <c r="Z725" s="500"/>
    </row>
    <row r="726" spans="1:26" x14ac:dyDescent="0.3">
      <c r="A726" s="500"/>
      <c r="B726" s="500"/>
      <c r="C726" s="500"/>
      <c r="D726" s="500"/>
      <c r="E726" s="500"/>
      <c r="F726" s="500"/>
      <c r="G726" s="500"/>
      <c r="H726" s="500"/>
      <c r="I726" s="500"/>
      <c r="J726" s="500"/>
      <c r="K726" s="500"/>
      <c r="L726" s="500"/>
      <c r="M726" s="500"/>
      <c r="N726" s="500"/>
      <c r="O726" s="500"/>
      <c r="P726" s="500"/>
      <c r="Q726" s="500"/>
      <c r="R726" s="500"/>
      <c r="S726" s="500"/>
      <c r="T726" s="500"/>
      <c r="U726" s="500"/>
      <c r="V726" s="500"/>
      <c r="W726" s="500"/>
      <c r="X726" s="500"/>
      <c r="Y726" s="500"/>
      <c r="Z726" s="500"/>
    </row>
    <row r="727" spans="1:26" x14ac:dyDescent="0.3">
      <c r="A727" s="500"/>
      <c r="B727" s="500"/>
      <c r="C727" s="500"/>
      <c r="D727" s="500"/>
      <c r="E727" s="500"/>
      <c r="F727" s="500"/>
      <c r="G727" s="500"/>
      <c r="H727" s="500"/>
      <c r="I727" s="500"/>
      <c r="J727" s="500"/>
      <c r="K727" s="500"/>
      <c r="L727" s="500"/>
      <c r="M727" s="500"/>
      <c r="N727" s="500"/>
      <c r="O727" s="500"/>
      <c r="P727" s="500"/>
      <c r="Q727" s="500"/>
      <c r="R727" s="500"/>
      <c r="S727" s="500"/>
      <c r="T727" s="500"/>
      <c r="U727" s="500"/>
      <c r="V727" s="500"/>
      <c r="W727" s="500"/>
      <c r="X727" s="500"/>
      <c r="Y727" s="500"/>
      <c r="Z727" s="500"/>
    </row>
    <row r="728" spans="1:26" x14ac:dyDescent="0.3">
      <c r="A728" s="500"/>
      <c r="B728" s="500"/>
      <c r="C728" s="500"/>
      <c r="D728" s="500"/>
      <c r="E728" s="500"/>
      <c r="F728" s="500"/>
      <c r="G728" s="500"/>
      <c r="H728" s="500"/>
      <c r="I728" s="500"/>
      <c r="J728" s="500"/>
      <c r="K728" s="500"/>
      <c r="L728" s="500"/>
      <c r="M728" s="500"/>
      <c r="N728" s="500"/>
      <c r="O728" s="500"/>
      <c r="P728" s="500"/>
      <c r="Q728" s="500"/>
      <c r="R728" s="500"/>
      <c r="S728" s="500"/>
      <c r="T728" s="500"/>
      <c r="U728" s="500"/>
      <c r="V728" s="500"/>
      <c r="W728" s="500"/>
      <c r="X728" s="500"/>
      <c r="Y728" s="500"/>
      <c r="Z728" s="500"/>
    </row>
    <row r="729" spans="1:26" x14ac:dyDescent="0.3">
      <c r="A729" s="500"/>
      <c r="B729" s="500"/>
      <c r="C729" s="500"/>
      <c r="D729" s="500"/>
      <c r="E729" s="500"/>
      <c r="F729" s="500"/>
      <c r="G729" s="500"/>
      <c r="H729" s="500"/>
      <c r="I729" s="500"/>
      <c r="J729" s="500"/>
      <c r="K729" s="500"/>
      <c r="L729" s="500"/>
      <c r="M729" s="500"/>
      <c r="N729" s="500"/>
      <c r="O729" s="500"/>
      <c r="P729" s="500"/>
      <c r="Q729" s="500"/>
      <c r="R729" s="500"/>
      <c r="S729" s="500"/>
      <c r="T729" s="500"/>
      <c r="U729" s="500"/>
      <c r="V729" s="500"/>
      <c r="W729" s="500"/>
      <c r="X729" s="500"/>
      <c r="Y729" s="500"/>
      <c r="Z729" s="500"/>
    </row>
    <row r="730" spans="1:26" x14ac:dyDescent="0.3">
      <c r="A730" s="500"/>
      <c r="B730" s="500"/>
      <c r="C730" s="500"/>
      <c r="D730" s="500"/>
      <c r="E730" s="500"/>
      <c r="F730" s="500"/>
      <c r="G730" s="500"/>
      <c r="H730" s="500"/>
      <c r="I730" s="500"/>
      <c r="J730" s="500"/>
      <c r="K730" s="500"/>
      <c r="L730" s="500"/>
      <c r="M730" s="500"/>
      <c r="N730" s="500"/>
      <c r="O730" s="500"/>
      <c r="P730" s="500"/>
      <c r="Q730" s="500"/>
      <c r="R730" s="500"/>
      <c r="S730" s="500"/>
      <c r="T730" s="500"/>
      <c r="U730" s="500"/>
      <c r="V730" s="500"/>
      <c r="W730" s="500"/>
      <c r="X730" s="500"/>
      <c r="Y730" s="500"/>
      <c r="Z730" s="500"/>
    </row>
    <row r="731" spans="1:26" x14ac:dyDescent="0.3">
      <c r="A731" s="500"/>
      <c r="B731" s="500"/>
      <c r="C731" s="500"/>
      <c r="D731" s="500"/>
      <c r="E731" s="500"/>
      <c r="F731" s="500"/>
      <c r="G731" s="500"/>
      <c r="H731" s="500"/>
      <c r="I731" s="500"/>
      <c r="J731" s="500"/>
      <c r="K731" s="500"/>
      <c r="L731" s="500"/>
      <c r="M731" s="500"/>
      <c r="N731" s="500"/>
      <c r="O731" s="500"/>
      <c r="P731" s="500"/>
      <c r="Q731" s="500"/>
      <c r="R731" s="500"/>
      <c r="S731" s="500"/>
      <c r="T731" s="500"/>
      <c r="U731" s="500"/>
      <c r="V731" s="500"/>
      <c r="W731" s="500"/>
      <c r="X731" s="500"/>
      <c r="Y731" s="500"/>
      <c r="Z731" s="500"/>
    </row>
    <row r="732" spans="1:26" x14ac:dyDescent="0.3">
      <c r="A732" s="500"/>
      <c r="B732" s="500"/>
      <c r="C732" s="500"/>
      <c r="D732" s="500"/>
      <c r="E732" s="500"/>
      <c r="F732" s="500"/>
      <c r="G732" s="500"/>
      <c r="H732" s="500"/>
      <c r="I732" s="500"/>
      <c r="J732" s="500"/>
      <c r="K732" s="500"/>
      <c r="L732" s="500"/>
      <c r="M732" s="500"/>
      <c r="N732" s="500"/>
      <c r="O732" s="500"/>
      <c r="P732" s="500"/>
      <c r="Q732" s="500"/>
      <c r="R732" s="500"/>
      <c r="S732" s="500"/>
      <c r="T732" s="500"/>
      <c r="U732" s="500"/>
      <c r="V732" s="500"/>
      <c r="W732" s="500"/>
      <c r="X732" s="500"/>
      <c r="Y732" s="500"/>
      <c r="Z732" s="500"/>
    </row>
    <row r="733" spans="1:26" x14ac:dyDescent="0.3">
      <c r="A733" s="500"/>
      <c r="B733" s="500"/>
      <c r="C733" s="500"/>
      <c r="D733" s="500"/>
      <c r="E733" s="500"/>
      <c r="F733" s="500"/>
      <c r="G733" s="500"/>
      <c r="H733" s="500"/>
      <c r="I733" s="500"/>
      <c r="J733" s="500"/>
      <c r="K733" s="500"/>
      <c r="L733" s="500"/>
      <c r="M733" s="500"/>
      <c r="N733" s="500"/>
      <c r="O733" s="500"/>
      <c r="P733" s="500"/>
      <c r="Q733" s="500"/>
      <c r="R733" s="500"/>
      <c r="S733" s="500"/>
      <c r="T733" s="500"/>
      <c r="U733" s="500"/>
      <c r="V733" s="500"/>
      <c r="W733" s="500"/>
      <c r="X733" s="500"/>
      <c r="Y733" s="500"/>
      <c r="Z733" s="500"/>
    </row>
    <row r="734" spans="1:26" x14ac:dyDescent="0.3">
      <c r="A734" s="500"/>
      <c r="B734" s="500"/>
      <c r="C734" s="500"/>
      <c r="D734" s="500"/>
      <c r="E734" s="500"/>
      <c r="F734" s="500"/>
      <c r="G734" s="500"/>
      <c r="H734" s="500"/>
      <c r="I734" s="500"/>
      <c r="J734" s="500"/>
      <c r="K734" s="500"/>
      <c r="L734" s="500"/>
      <c r="M734" s="500"/>
      <c r="N734" s="500"/>
      <c r="O734" s="500"/>
      <c r="P734" s="500"/>
      <c r="Q734" s="500"/>
      <c r="R734" s="500"/>
      <c r="S734" s="500"/>
      <c r="T734" s="500"/>
      <c r="U734" s="500"/>
      <c r="V734" s="500"/>
      <c r="W734" s="500"/>
      <c r="X734" s="500"/>
      <c r="Y734" s="500"/>
      <c r="Z734" s="500"/>
    </row>
    <row r="735" spans="1:26" x14ac:dyDescent="0.3">
      <c r="A735" s="500"/>
      <c r="B735" s="500"/>
      <c r="C735" s="500"/>
      <c r="D735" s="500"/>
      <c r="E735" s="500"/>
      <c r="F735" s="500"/>
      <c r="G735" s="500"/>
      <c r="H735" s="500"/>
      <c r="I735" s="500"/>
      <c r="J735" s="500"/>
      <c r="K735" s="500"/>
      <c r="L735" s="500"/>
      <c r="M735" s="500"/>
      <c r="N735" s="500"/>
      <c r="O735" s="500"/>
      <c r="P735" s="500"/>
      <c r="Q735" s="500"/>
      <c r="R735" s="500"/>
      <c r="S735" s="500"/>
      <c r="T735" s="500"/>
      <c r="U735" s="500"/>
      <c r="V735" s="500"/>
      <c r="W735" s="500"/>
      <c r="X735" s="500"/>
      <c r="Y735" s="500"/>
      <c r="Z735" s="500"/>
    </row>
    <row r="736" spans="1:26" x14ac:dyDescent="0.3">
      <c r="A736" s="500"/>
      <c r="B736" s="500"/>
      <c r="C736" s="500"/>
      <c r="D736" s="500"/>
      <c r="E736" s="500"/>
      <c r="F736" s="500"/>
      <c r="G736" s="500"/>
      <c r="H736" s="500"/>
      <c r="I736" s="500"/>
      <c r="J736" s="500"/>
      <c r="K736" s="500"/>
      <c r="L736" s="500"/>
      <c r="M736" s="500"/>
      <c r="N736" s="500"/>
      <c r="O736" s="500"/>
      <c r="P736" s="500"/>
      <c r="Q736" s="500"/>
      <c r="R736" s="500"/>
      <c r="S736" s="500"/>
      <c r="T736" s="500"/>
      <c r="U736" s="500"/>
      <c r="V736" s="500"/>
      <c r="W736" s="500"/>
      <c r="X736" s="500"/>
      <c r="Y736" s="500"/>
      <c r="Z736" s="500"/>
    </row>
    <row r="737" spans="1:26" x14ac:dyDescent="0.3">
      <c r="A737" s="500"/>
      <c r="B737" s="500"/>
      <c r="C737" s="500"/>
      <c r="D737" s="500"/>
      <c r="E737" s="500"/>
      <c r="F737" s="500"/>
      <c r="G737" s="500"/>
      <c r="H737" s="500"/>
      <c r="I737" s="500"/>
      <c r="J737" s="500"/>
      <c r="K737" s="500"/>
      <c r="L737" s="500"/>
      <c r="M737" s="500"/>
      <c r="N737" s="500"/>
      <c r="O737" s="500"/>
      <c r="P737" s="500"/>
      <c r="Q737" s="500"/>
      <c r="R737" s="500"/>
      <c r="S737" s="500"/>
      <c r="T737" s="500"/>
      <c r="U737" s="500"/>
      <c r="V737" s="500"/>
      <c r="W737" s="500"/>
      <c r="X737" s="500"/>
      <c r="Y737" s="500"/>
      <c r="Z737" s="500"/>
    </row>
    <row r="738" spans="1:26" x14ac:dyDescent="0.3">
      <c r="A738" s="500"/>
      <c r="B738" s="500"/>
      <c r="C738" s="500"/>
      <c r="D738" s="500"/>
      <c r="E738" s="500"/>
      <c r="F738" s="500"/>
      <c r="G738" s="500"/>
      <c r="H738" s="500"/>
      <c r="I738" s="500"/>
      <c r="J738" s="500"/>
      <c r="K738" s="500"/>
      <c r="L738" s="500"/>
      <c r="M738" s="500"/>
      <c r="N738" s="500"/>
      <c r="O738" s="500"/>
      <c r="P738" s="500"/>
      <c r="Q738" s="500"/>
      <c r="R738" s="500"/>
      <c r="S738" s="500"/>
      <c r="T738" s="500"/>
      <c r="U738" s="500"/>
      <c r="V738" s="500"/>
      <c r="W738" s="500"/>
      <c r="X738" s="500"/>
      <c r="Y738" s="500"/>
      <c r="Z738" s="500"/>
    </row>
    <row r="739" spans="1:26" x14ac:dyDescent="0.3">
      <c r="A739" s="500"/>
      <c r="B739" s="500"/>
      <c r="C739" s="500"/>
      <c r="D739" s="500"/>
      <c r="E739" s="500"/>
      <c r="F739" s="500"/>
      <c r="G739" s="500"/>
      <c r="H739" s="500"/>
      <c r="I739" s="500"/>
      <c r="J739" s="500"/>
      <c r="K739" s="500"/>
      <c r="L739" s="500"/>
      <c r="M739" s="500"/>
      <c r="N739" s="500"/>
      <c r="O739" s="500"/>
      <c r="P739" s="500"/>
      <c r="Q739" s="500"/>
      <c r="R739" s="500"/>
      <c r="S739" s="500"/>
      <c r="T739" s="500"/>
      <c r="U739" s="500"/>
      <c r="V739" s="500"/>
      <c r="W739" s="500"/>
      <c r="X739" s="500"/>
      <c r="Y739" s="500"/>
      <c r="Z739" s="500"/>
    </row>
    <row r="740" spans="1:26" x14ac:dyDescent="0.3">
      <c r="A740" s="500"/>
      <c r="B740" s="500"/>
      <c r="C740" s="500"/>
      <c r="D740" s="500"/>
      <c r="E740" s="500"/>
      <c r="F740" s="500"/>
      <c r="G740" s="500"/>
      <c r="H740" s="500"/>
      <c r="I740" s="500"/>
      <c r="J740" s="500"/>
      <c r="K740" s="500"/>
      <c r="L740" s="500"/>
      <c r="M740" s="500"/>
      <c r="N740" s="500"/>
      <c r="O740" s="500"/>
      <c r="P740" s="500"/>
      <c r="Q740" s="500"/>
      <c r="R740" s="500"/>
      <c r="S740" s="500"/>
      <c r="T740" s="500"/>
      <c r="U740" s="500"/>
      <c r="V740" s="500"/>
      <c r="W740" s="500"/>
      <c r="X740" s="500"/>
      <c r="Y740" s="500"/>
      <c r="Z740" s="500"/>
    </row>
    <row r="741" spans="1:26" x14ac:dyDescent="0.3">
      <c r="A741" s="500"/>
      <c r="B741" s="500"/>
      <c r="C741" s="500"/>
      <c r="D741" s="500"/>
      <c r="E741" s="500"/>
      <c r="F741" s="500"/>
      <c r="G741" s="500"/>
      <c r="H741" s="500"/>
      <c r="I741" s="500"/>
      <c r="J741" s="500"/>
      <c r="K741" s="500"/>
      <c r="L741" s="500"/>
      <c r="M741" s="500"/>
      <c r="N741" s="500"/>
      <c r="O741" s="500"/>
      <c r="P741" s="500"/>
      <c r="Q741" s="500"/>
      <c r="R741" s="500"/>
      <c r="S741" s="500"/>
      <c r="T741" s="500"/>
      <c r="U741" s="500"/>
      <c r="V741" s="500"/>
      <c r="W741" s="500"/>
      <c r="X741" s="500"/>
      <c r="Y741" s="500"/>
      <c r="Z741" s="500"/>
    </row>
    <row r="742" spans="1:26" x14ac:dyDescent="0.3">
      <c r="A742" s="500"/>
      <c r="B742" s="500"/>
      <c r="C742" s="500"/>
      <c r="D742" s="500"/>
      <c r="E742" s="500"/>
      <c r="F742" s="500"/>
      <c r="G742" s="500"/>
      <c r="H742" s="500"/>
      <c r="I742" s="500"/>
      <c r="J742" s="500"/>
      <c r="K742" s="500"/>
      <c r="L742" s="500"/>
      <c r="M742" s="500"/>
      <c r="N742" s="500"/>
      <c r="O742" s="500"/>
      <c r="P742" s="500"/>
      <c r="Q742" s="500"/>
      <c r="R742" s="500"/>
      <c r="S742" s="500"/>
      <c r="T742" s="500"/>
      <c r="U742" s="500"/>
      <c r="V742" s="500"/>
      <c r="W742" s="500"/>
      <c r="X742" s="500"/>
      <c r="Y742" s="500"/>
      <c r="Z742" s="500"/>
    </row>
    <row r="743" spans="1:26" x14ac:dyDescent="0.3">
      <c r="A743" s="500"/>
      <c r="B743" s="500"/>
      <c r="C743" s="500"/>
      <c r="D743" s="500"/>
      <c r="E743" s="500"/>
      <c r="F743" s="500"/>
      <c r="G743" s="500"/>
      <c r="H743" s="500"/>
      <c r="I743" s="500"/>
      <c r="J743" s="500"/>
      <c r="K743" s="500"/>
      <c r="L743" s="500"/>
      <c r="M743" s="500"/>
      <c r="N743" s="500"/>
      <c r="O743" s="500"/>
      <c r="P743" s="500"/>
      <c r="Q743" s="500"/>
      <c r="R743" s="500"/>
      <c r="S743" s="500"/>
      <c r="T743" s="500"/>
      <c r="U743" s="500"/>
      <c r="V743" s="500"/>
      <c r="W743" s="500"/>
      <c r="X743" s="500"/>
      <c r="Y743" s="500"/>
      <c r="Z743" s="500"/>
    </row>
    <row r="744" spans="1:26" x14ac:dyDescent="0.3">
      <c r="A744" s="500"/>
      <c r="B744" s="500"/>
      <c r="C744" s="500"/>
      <c r="D744" s="500"/>
      <c r="E744" s="500"/>
      <c r="F744" s="500"/>
      <c r="G744" s="500"/>
      <c r="H744" s="500"/>
      <c r="I744" s="500"/>
      <c r="J744" s="500"/>
      <c r="K744" s="500"/>
      <c r="L744" s="500"/>
      <c r="M744" s="500"/>
      <c r="N744" s="500"/>
      <c r="O744" s="500"/>
      <c r="P744" s="500"/>
      <c r="Q744" s="500"/>
      <c r="R744" s="500"/>
      <c r="S744" s="500"/>
      <c r="T744" s="500"/>
      <c r="U744" s="500"/>
      <c r="V744" s="500"/>
      <c r="W744" s="500"/>
      <c r="X744" s="500"/>
      <c r="Y744" s="500"/>
      <c r="Z744" s="500"/>
    </row>
    <row r="745" spans="1:26" x14ac:dyDescent="0.3">
      <c r="A745" s="500"/>
      <c r="B745" s="500"/>
      <c r="C745" s="500"/>
      <c r="D745" s="500"/>
      <c r="E745" s="500"/>
      <c r="F745" s="500"/>
      <c r="G745" s="500"/>
      <c r="H745" s="500"/>
      <c r="I745" s="500"/>
      <c r="J745" s="500"/>
      <c r="K745" s="500"/>
      <c r="L745" s="500"/>
      <c r="M745" s="500"/>
      <c r="N745" s="500"/>
      <c r="O745" s="500"/>
      <c r="P745" s="500"/>
      <c r="Q745" s="500"/>
      <c r="R745" s="500"/>
      <c r="S745" s="500"/>
      <c r="T745" s="500"/>
      <c r="U745" s="500"/>
      <c r="V745" s="500"/>
      <c r="W745" s="500"/>
      <c r="X745" s="500"/>
      <c r="Y745" s="500"/>
      <c r="Z745" s="500"/>
    </row>
    <row r="746" spans="1:26" x14ac:dyDescent="0.3">
      <c r="A746" s="500"/>
      <c r="B746" s="500"/>
      <c r="C746" s="500"/>
      <c r="D746" s="500"/>
      <c r="E746" s="500"/>
      <c r="F746" s="500"/>
      <c r="G746" s="500"/>
      <c r="H746" s="500"/>
      <c r="I746" s="500"/>
      <c r="J746" s="500"/>
      <c r="K746" s="500"/>
      <c r="L746" s="500"/>
      <c r="M746" s="500"/>
      <c r="N746" s="500"/>
      <c r="O746" s="500"/>
      <c r="P746" s="500"/>
      <c r="Q746" s="500"/>
      <c r="R746" s="500"/>
      <c r="S746" s="500"/>
      <c r="T746" s="500"/>
      <c r="U746" s="500"/>
      <c r="V746" s="500"/>
      <c r="W746" s="500"/>
      <c r="X746" s="500"/>
      <c r="Y746" s="500"/>
      <c r="Z746" s="500"/>
    </row>
    <row r="747" spans="1:26" x14ac:dyDescent="0.3">
      <c r="A747" s="500"/>
      <c r="B747" s="500"/>
      <c r="C747" s="500"/>
      <c r="D747" s="500"/>
      <c r="E747" s="500"/>
      <c r="F747" s="500"/>
      <c r="G747" s="500"/>
      <c r="H747" s="500"/>
      <c r="I747" s="500"/>
      <c r="J747" s="500"/>
      <c r="K747" s="500"/>
      <c r="L747" s="500"/>
      <c r="M747" s="500"/>
      <c r="N747" s="500"/>
      <c r="O747" s="500"/>
      <c r="P747" s="500"/>
      <c r="Q747" s="500"/>
      <c r="R747" s="500"/>
      <c r="S747" s="500"/>
      <c r="T747" s="500"/>
      <c r="U747" s="500"/>
      <c r="V747" s="500"/>
      <c r="W747" s="500"/>
      <c r="X747" s="500"/>
      <c r="Y747" s="500"/>
      <c r="Z747" s="500"/>
    </row>
    <row r="748" spans="1:26" x14ac:dyDescent="0.3">
      <c r="A748" s="500"/>
      <c r="B748" s="500"/>
      <c r="C748" s="500"/>
      <c r="D748" s="500"/>
      <c r="E748" s="500"/>
      <c r="F748" s="500"/>
      <c r="G748" s="500"/>
      <c r="H748" s="500"/>
      <c r="I748" s="500"/>
      <c r="J748" s="500"/>
      <c r="K748" s="500"/>
      <c r="L748" s="500"/>
      <c r="M748" s="500"/>
      <c r="N748" s="500"/>
      <c r="O748" s="500"/>
      <c r="P748" s="500"/>
      <c r="Q748" s="500"/>
      <c r="R748" s="500"/>
      <c r="S748" s="500"/>
      <c r="T748" s="500"/>
      <c r="U748" s="500"/>
      <c r="V748" s="500"/>
      <c r="W748" s="500"/>
      <c r="X748" s="500"/>
      <c r="Y748" s="500"/>
      <c r="Z748" s="500"/>
    </row>
    <row r="749" spans="1:26" x14ac:dyDescent="0.3">
      <c r="A749" s="500"/>
      <c r="B749" s="500"/>
      <c r="C749" s="500"/>
      <c r="D749" s="500"/>
      <c r="E749" s="500"/>
      <c r="F749" s="500"/>
      <c r="G749" s="500"/>
      <c r="H749" s="500"/>
      <c r="I749" s="500"/>
      <c r="J749" s="500"/>
      <c r="K749" s="500"/>
      <c r="L749" s="500"/>
      <c r="M749" s="500"/>
      <c r="N749" s="500"/>
      <c r="O749" s="500"/>
      <c r="P749" s="500"/>
      <c r="Q749" s="500"/>
      <c r="R749" s="500"/>
      <c r="S749" s="500"/>
      <c r="T749" s="500"/>
      <c r="U749" s="500"/>
      <c r="V749" s="500"/>
      <c r="W749" s="500"/>
      <c r="X749" s="500"/>
      <c r="Y749" s="500"/>
      <c r="Z749" s="500"/>
    </row>
    <row r="750" spans="1:26" x14ac:dyDescent="0.3">
      <c r="A750" s="500"/>
      <c r="B750" s="500"/>
      <c r="C750" s="500"/>
      <c r="D750" s="500"/>
      <c r="E750" s="500"/>
      <c r="F750" s="500"/>
      <c r="G750" s="500"/>
      <c r="H750" s="500"/>
      <c r="I750" s="500"/>
      <c r="J750" s="500"/>
      <c r="K750" s="500"/>
      <c r="L750" s="500"/>
      <c r="M750" s="500"/>
      <c r="N750" s="500"/>
      <c r="O750" s="500"/>
      <c r="P750" s="500"/>
      <c r="Q750" s="500"/>
      <c r="R750" s="500"/>
      <c r="S750" s="500"/>
      <c r="T750" s="500"/>
      <c r="U750" s="500"/>
      <c r="V750" s="500"/>
      <c r="W750" s="500"/>
      <c r="X750" s="500"/>
      <c r="Y750" s="500"/>
      <c r="Z750" s="500"/>
    </row>
    <row r="751" spans="1:26" x14ac:dyDescent="0.3">
      <c r="A751" s="500"/>
      <c r="B751" s="500"/>
      <c r="C751" s="500"/>
      <c r="D751" s="500"/>
      <c r="E751" s="500"/>
      <c r="F751" s="500"/>
      <c r="G751" s="500"/>
      <c r="H751" s="500"/>
      <c r="I751" s="500"/>
      <c r="J751" s="500"/>
      <c r="K751" s="500"/>
      <c r="L751" s="500"/>
      <c r="M751" s="500"/>
      <c r="N751" s="500"/>
      <c r="O751" s="500"/>
      <c r="P751" s="500"/>
      <c r="Q751" s="500"/>
      <c r="R751" s="500"/>
      <c r="S751" s="500"/>
      <c r="T751" s="500"/>
      <c r="U751" s="500"/>
      <c r="V751" s="500"/>
      <c r="W751" s="500"/>
      <c r="X751" s="500"/>
      <c r="Y751" s="500"/>
      <c r="Z751" s="500"/>
    </row>
    <row r="752" spans="1:26" x14ac:dyDescent="0.3">
      <c r="A752" s="500"/>
      <c r="B752" s="500"/>
      <c r="C752" s="500"/>
      <c r="D752" s="500"/>
      <c r="E752" s="500"/>
      <c r="F752" s="500"/>
      <c r="G752" s="500"/>
      <c r="H752" s="500"/>
      <c r="I752" s="500"/>
      <c r="J752" s="500"/>
      <c r="K752" s="500"/>
      <c r="L752" s="500"/>
      <c r="M752" s="500"/>
      <c r="N752" s="500"/>
      <c r="O752" s="500"/>
      <c r="P752" s="500"/>
      <c r="Q752" s="500"/>
      <c r="R752" s="500"/>
      <c r="S752" s="500"/>
      <c r="T752" s="500"/>
      <c r="U752" s="500"/>
      <c r="V752" s="500"/>
      <c r="W752" s="500"/>
      <c r="X752" s="500"/>
      <c r="Y752" s="500"/>
      <c r="Z752" s="500"/>
    </row>
    <row r="753" spans="1:26" x14ac:dyDescent="0.3">
      <c r="A753" s="500"/>
      <c r="B753" s="500"/>
      <c r="C753" s="500"/>
      <c r="D753" s="500"/>
      <c r="E753" s="500"/>
      <c r="F753" s="500"/>
      <c r="G753" s="500"/>
      <c r="H753" s="500"/>
      <c r="I753" s="500"/>
      <c r="J753" s="500"/>
      <c r="K753" s="500"/>
      <c r="L753" s="500"/>
      <c r="M753" s="500"/>
      <c r="N753" s="500"/>
      <c r="O753" s="500"/>
      <c r="P753" s="500"/>
      <c r="Q753" s="500"/>
      <c r="R753" s="500"/>
      <c r="S753" s="500"/>
      <c r="T753" s="500"/>
      <c r="U753" s="500"/>
      <c r="V753" s="500"/>
      <c r="W753" s="500"/>
      <c r="X753" s="500"/>
      <c r="Y753" s="500"/>
      <c r="Z753" s="500"/>
    </row>
    <row r="754" spans="1:26" x14ac:dyDescent="0.3">
      <c r="A754" s="500"/>
      <c r="B754" s="500"/>
      <c r="C754" s="500"/>
      <c r="D754" s="500"/>
      <c r="E754" s="500"/>
      <c r="F754" s="500"/>
      <c r="G754" s="500"/>
      <c r="H754" s="500"/>
      <c r="I754" s="500"/>
      <c r="J754" s="500"/>
      <c r="K754" s="500"/>
      <c r="L754" s="500"/>
      <c r="M754" s="500"/>
      <c r="N754" s="500"/>
      <c r="O754" s="500"/>
      <c r="P754" s="500"/>
      <c r="Q754" s="500"/>
      <c r="R754" s="500"/>
      <c r="S754" s="500"/>
      <c r="T754" s="500"/>
      <c r="U754" s="500"/>
      <c r="V754" s="500"/>
      <c r="W754" s="500"/>
      <c r="X754" s="500"/>
      <c r="Y754" s="500"/>
      <c r="Z754" s="500"/>
    </row>
    <row r="755" spans="1:26" x14ac:dyDescent="0.3">
      <c r="A755" s="500"/>
      <c r="B755" s="500"/>
      <c r="C755" s="500"/>
      <c r="D755" s="500"/>
      <c r="E755" s="500"/>
      <c r="F755" s="500"/>
      <c r="G755" s="500"/>
      <c r="H755" s="500"/>
      <c r="I755" s="500"/>
      <c r="J755" s="500"/>
      <c r="K755" s="500"/>
      <c r="L755" s="500"/>
      <c r="M755" s="500"/>
      <c r="N755" s="500"/>
      <c r="O755" s="500"/>
      <c r="P755" s="500"/>
      <c r="Q755" s="500"/>
      <c r="R755" s="500"/>
      <c r="S755" s="500"/>
      <c r="T755" s="500"/>
      <c r="U755" s="500"/>
      <c r="V755" s="500"/>
      <c r="W755" s="500"/>
      <c r="X755" s="500"/>
      <c r="Y755" s="500"/>
      <c r="Z755" s="500"/>
    </row>
    <row r="756" spans="1:26" x14ac:dyDescent="0.3">
      <c r="A756" s="500"/>
      <c r="B756" s="500"/>
      <c r="C756" s="500"/>
      <c r="D756" s="500"/>
      <c r="E756" s="500"/>
      <c r="F756" s="500"/>
      <c r="G756" s="500"/>
      <c r="H756" s="500"/>
      <c r="I756" s="500"/>
      <c r="J756" s="500"/>
      <c r="K756" s="500"/>
      <c r="L756" s="500"/>
      <c r="M756" s="500"/>
      <c r="N756" s="500"/>
      <c r="O756" s="500"/>
      <c r="P756" s="500"/>
      <c r="Q756" s="500"/>
      <c r="R756" s="500"/>
      <c r="S756" s="500"/>
      <c r="T756" s="500"/>
      <c r="U756" s="500"/>
      <c r="V756" s="500"/>
      <c r="W756" s="500"/>
      <c r="X756" s="500"/>
      <c r="Y756" s="500"/>
      <c r="Z756" s="500"/>
    </row>
    <row r="757" spans="1:26" x14ac:dyDescent="0.3">
      <c r="A757" s="500"/>
      <c r="B757" s="500"/>
      <c r="C757" s="500"/>
      <c r="D757" s="500"/>
      <c r="E757" s="500"/>
      <c r="F757" s="500"/>
      <c r="G757" s="500"/>
      <c r="H757" s="500"/>
      <c r="I757" s="500"/>
      <c r="J757" s="500"/>
      <c r="K757" s="500"/>
      <c r="L757" s="500"/>
      <c r="M757" s="500"/>
      <c r="N757" s="500"/>
      <c r="O757" s="500"/>
      <c r="P757" s="500"/>
      <c r="Q757" s="500"/>
      <c r="R757" s="500"/>
      <c r="S757" s="500"/>
      <c r="T757" s="500"/>
      <c r="U757" s="500"/>
      <c r="V757" s="500"/>
      <c r="W757" s="500"/>
      <c r="X757" s="500"/>
      <c r="Y757" s="500"/>
      <c r="Z757" s="500"/>
    </row>
    <row r="758" spans="1:26" x14ac:dyDescent="0.3">
      <c r="A758" s="500"/>
      <c r="B758" s="500"/>
      <c r="C758" s="500"/>
      <c r="D758" s="500"/>
      <c r="E758" s="500"/>
      <c r="F758" s="500"/>
      <c r="G758" s="500"/>
      <c r="H758" s="500"/>
      <c r="I758" s="500"/>
      <c r="J758" s="500"/>
      <c r="K758" s="500"/>
      <c r="L758" s="500"/>
      <c r="M758" s="500"/>
      <c r="N758" s="500"/>
      <c r="O758" s="500"/>
      <c r="P758" s="500"/>
      <c r="Q758" s="500"/>
      <c r="R758" s="500"/>
      <c r="S758" s="500"/>
      <c r="T758" s="500"/>
      <c r="U758" s="500"/>
      <c r="V758" s="500"/>
      <c r="W758" s="500"/>
      <c r="X758" s="500"/>
      <c r="Y758" s="500"/>
      <c r="Z758" s="500"/>
    </row>
    <row r="759" spans="1:26" x14ac:dyDescent="0.3">
      <c r="A759" s="500"/>
      <c r="B759" s="500"/>
      <c r="C759" s="500"/>
      <c r="D759" s="500"/>
      <c r="E759" s="500"/>
      <c r="F759" s="500"/>
      <c r="G759" s="500"/>
      <c r="H759" s="500"/>
      <c r="I759" s="500"/>
      <c r="J759" s="500"/>
      <c r="K759" s="500"/>
      <c r="L759" s="500"/>
      <c r="M759" s="500"/>
      <c r="N759" s="500"/>
      <c r="O759" s="500"/>
      <c r="P759" s="500"/>
      <c r="Q759" s="500"/>
      <c r="R759" s="500"/>
      <c r="S759" s="500"/>
      <c r="T759" s="500"/>
      <c r="U759" s="500"/>
      <c r="V759" s="500"/>
      <c r="W759" s="500"/>
      <c r="X759" s="500"/>
      <c r="Y759" s="500"/>
      <c r="Z759" s="500"/>
    </row>
    <row r="760" spans="1:26" x14ac:dyDescent="0.3">
      <c r="A760" s="500"/>
      <c r="B760" s="500"/>
      <c r="C760" s="500"/>
      <c r="D760" s="500"/>
      <c r="E760" s="500"/>
      <c r="F760" s="500"/>
      <c r="G760" s="500"/>
      <c r="H760" s="500"/>
      <c r="I760" s="500"/>
      <c r="J760" s="500"/>
      <c r="K760" s="500"/>
      <c r="L760" s="500"/>
      <c r="M760" s="500"/>
      <c r="N760" s="500"/>
      <c r="O760" s="500"/>
      <c r="P760" s="500"/>
      <c r="Q760" s="500"/>
      <c r="R760" s="500"/>
      <c r="S760" s="500"/>
      <c r="T760" s="500"/>
      <c r="U760" s="500"/>
      <c r="V760" s="500"/>
      <c r="W760" s="500"/>
      <c r="X760" s="500"/>
      <c r="Y760" s="500"/>
      <c r="Z760" s="500"/>
    </row>
    <row r="761" spans="1:26" x14ac:dyDescent="0.3">
      <c r="A761" s="500"/>
      <c r="B761" s="500"/>
      <c r="C761" s="500"/>
      <c r="D761" s="500"/>
      <c r="E761" s="500"/>
      <c r="F761" s="500"/>
      <c r="G761" s="500"/>
      <c r="H761" s="500"/>
      <c r="I761" s="500"/>
      <c r="J761" s="500"/>
      <c r="K761" s="500"/>
      <c r="L761" s="500"/>
      <c r="M761" s="500"/>
      <c r="N761" s="500"/>
      <c r="O761" s="500"/>
      <c r="P761" s="500"/>
      <c r="Q761" s="500"/>
      <c r="R761" s="500"/>
      <c r="S761" s="500"/>
      <c r="T761" s="500"/>
      <c r="U761" s="500"/>
      <c r="V761" s="500"/>
      <c r="W761" s="500"/>
      <c r="X761" s="500"/>
      <c r="Y761" s="500"/>
      <c r="Z761" s="500"/>
    </row>
    <row r="762" spans="1:26" x14ac:dyDescent="0.3">
      <c r="A762" s="500"/>
      <c r="B762" s="500"/>
      <c r="C762" s="500"/>
      <c r="D762" s="500"/>
      <c r="E762" s="500"/>
      <c r="F762" s="500"/>
      <c r="G762" s="500"/>
      <c r="H762" s="500"/>
      <c r="I762" s="500"/>
      <c r="J762" s="500"/>
      <c r="K762" s="500"/>
      <c r="L762" s="500"/>
      <c r="M762" s="500"/>
      <c r="N762" s="500"/>
      <c r="O762" s="500"/>
      <c r="P762" s="500"/>
      <c r="Q762" s="500"/>
      <c r="R762" s="500"/>
      <c r="S762" s="500"/>
      <c r="T762" s="500"/>
      <c r="U762" s="500"/>
      <c r="V762" s="500"/>
      <c r="W762" s="500"/>
      <c r="X762" s="500"/>
      <c r="Y762" s="500"/>
      <c r="Z762" s="500"/>
    </row>
    <row r="763" spans="1:26" x14ac:dyDescent="0.3">
      <c r="A763" s="500"/>
      <c r="B763" s="500"/>
      <c r="C763" s="500"/>
      <c r="D763" s="500"/>
      <c r="E763" s="500"/>
      <c r="F763" s="500"/>
      <c r="G763" s="500"/>
      <c r="H763" s="500"/>
      <c r="I763" s="500"/>
      <c r="J763" s="500"/>
      <c r="K763" s="500"/>
      <c r="L763" s="500"/>
      <c r="M763" s="500"/>
      <c r="N763" s="500"/>
      <c r="O763" s="500"/>
      <c r="P763" s="500"/>
      <c r="Q763" s="500"/>
      <c r="R763" s="500"/>
      <c r="S763" s="500"/>
      <c r="T763" s="500"/>
      <c r="U763" s="500"/>
      <c r="V763" s="500"/>
      <c r="W763" s="500"/>
      <c r="X763" s="500"/>
      <c r="Y763" s="500"/>
      <c r="Z763" s="500"/>
    </row>
    <row r="764" spans="1:26" x14ac:dyDescent="0.3">
      <c r="A764" s="500"/>
      <c r="B764" s="500"/>
      <c r="C764" s="500"/>
      <c r="D764" s="500"/>
      <c r="E764" s="500"/>
      <c r="F764" s="500"/>
      <c r="G764" s="500"/>
      <c r="H764" s="500"/>
      <c r="I764" s="500"/>
      <c r="J764" s="500"/>
      <c r="K764" s="500"/>
      <c r="L764" s="500"/>
      <c r="M764" s="500"/>
      <c r="N764" s="500"/>
      <c r="O764" s="500"/>
      <c r="P764" s="500"/>
      <c r="Q764" s="500"/>
      <c r="R764" s="500"/>
      <c r="S764" s="500"/>
      <c r="T764" s="500"/>
      <c r="U764" s="500"/>
      <c r="V764" s="500"/>
      <c r="W764" s="500"/>
      <c r="X764" s="500"/>
      <c r="Y764" s="500"/>
      <c r="Z764" s="500"/>
    </row>
    <row r="765" spans="1:26" x14ac:dyDescent="0.3">
      <c r="A765" s="500"/>
      <c r="B765" s="500"/>
      <c r="C765" s="500"/>
      <c r="D765" s="500"/>
      <c r="E765" s="500"/>
      <c r="F765" s="500"/>
      <c r="G765" s="500"/>
      <c r="H765" s="500"/>
      <c r="I765" s="500"/>
      <c r="J765" s="500"/>
      <c r="K765" s="500"/>
      <c r="L765" s="500"/>
      <c r="M765" s="500"/>
      <c r="N765" s="500"/>
      <c r="O765" s="500"/>
      <c r="P765" s="500"/>
      <c r="Q765" s="500"/>
      <c r="R765" s="500"/>
      <c r="S765" s="500"/>
      <c r="T765" s="500"/>
      <c r="U765" s="500"/>
      <c r="V765" s="500"/>
      <c r="W765" s="500"/>
      <c r="X765" s="500"/>
      <c r="Y765" s="500"/>
      <c r="Z765" s="500"/>
    </row>
    <row r="766" spans="1:26" x14ac:dyDescent="0.3">
      <c r="A766" s="500"/>
      <c r="B766" s="500"/>
      <c r="C766" s="500"/>
      <c r="D766" s="500"/>
      <c r="E766" s="500"/>
      <c r="F766" s="500"/>
      <c r="G766" s="500"/>
      <c r="H766" s="500"/>
      <c r="I766" s="500"/>
      <c r="J766" s="500"/>
      <c r="K766" s="500"/>
      <c r="L766" s="500"/>
      <c r="M766" s="500"/>
      <c r="N766" s="500"/>
      <c r="O766" s="500"/>
      <c r="P766" s="500"/>
      <c r="Q766" s="500"/>
      <c r="R766" s="500"/>
      <c r="S766" s="500"/>
      <c r="T766" s="500"/>
      <c r="U766" s="500"/>
      <c r="V766" s="500"/>
      <c r="W766" s="500"/>
      <c r="X766" s="500"/>
      <c r="Y766" s="500"/>
      <c r="Z766" s="500"/>
    </row>
    <row r="767" spans="1:26" x14ac:dyDescent="0.3">
      <c r="A767" s="500"/>
      <c r="B767" s="500"/>
      <c r="C767" s="500"/>
      <c r="D767" s="500"/>
      <c r="E767" s="500"/>
      <c r="F767" s="500"/>
      <c r="G767" s="500"/>
      <c r="H767" s="500"/>
      <c r="I767" s="500"/>
      <c r="J767" s="500"/>
      <c r="K767" s="500"/>
      <c r="L767" s="500"/>
      <c r="M767" s="500"/>
      <c r="N767" s="500"/>
      <c r="O767" s="500"/>
      <c r="P767" s="500"/>
      <c r="Q767" s="500"/>
      <c r="R767" s="500"/>
      <c r="S767" s="500"/>
      <c r="T767" s="500"/>
      <c r="U767" s="500"/>
      <c r="V767" s="500"/>
      <c r="W767" s="500"/>
      <c r="X767" s="500"/>
      <c r="Y767" s="500"/>
      <c r="Z767" s="500"/>
    </row>
    <row r="768" spans="1:26" x14ac:dyDescent="0.3">
      <c r="A768" s="500"/>
      <c r="B768" s="500"/>
      <c r="C768" s="500"/>
      <c r="D768" s="500"/>
      <c r="E768" s="500"/>
      <c r="F768" s="500"/>
      <c r="G768" s="500"/>
      <c r="H768" s="500"/>
      <c r="I768" s="500"/>
      <c r="J768" s="500"/>
      <c r="K768" s="500"/>
      <c r="L768" s="500"/>
      <c r="M768" s="500"/>
      <c r="N768" s="500"/>
      <c r="O768" s="500"/>
      <c r="P768" s="500"/>
      <c r="Q768" s="500"/>
      <c r="R768" s="500"/>
      <c r="S768" s="500"/>
      <c r="T768" s="500"/>
      <c r="U768" s="500"/>
      <c r="V768" s="500"/>
      <c r="W768" s="500"/>
      <c r="X768" s="500"/>
      <c r="Y768" s="500"/>
      <c r="Z768" s="500"/>
    </row>
    <row r="769" spans="1:26" x14ac:dyDescent="0.3">
      <c r="A769" s="500"/>
      <c r="B769" s="500"/>
      <c r="C769" s="500"/>
      <c r="D769" s="500"/>
      <c r="E769" s="500"/>
      <c r="F769" s="500"/>
      <c r="G769" s="500"/>
      <c r="H769" s="500"/>
      <c r="I769" s="500"/>
      <c r="J769" s="500"/>
      <c r="K769" s="500"/>
      <c r="L769" s="500"/>
      <c r="M769" s="500"/>
      <c r="N769" s="500"/>
      <c r="O769" s="500"/>
      <c r="P769" s="500"/>
      <c r="Q769" s="500"/>
      <c r="R769" s="500"/>
      <c r="S769" s="500"/>
      <c r="T769" s="500"/>
      <c r="U769" s="500"/>
      <c r="V769" s="500"/>
      <c r="W769" s="500"/>
      <c r="X769" s="500"/>
      <c r="Y769" s="500"/>
      <c r="Z769" s="500"/>
    </row>
    <row r="770" spans="1:26" x14ac:dyDescent="0.3">
      <c r="A770" s="500"/>
      <c r="B770" s="500"/>
      <c r="C770" s="500"/>
      <c r="D770" s="500"/>
      <c r="E770" s="500"/>
      <c r="F770" s="500"/>
      <c r="G770" s="500"/>
      <c r="H770" s="500"/>
      <c r="I770" s="500"/>
      <c r="J770" s="500"/>
      <c r="K770" s="500"/>
      <c r="L770" s="500"/>
      <c r="M770" s="500"/>
      <c r="N770" s="500"/>
      <c r="O770" s="500"/>
      <c r="P770" s="500"/>
      <c r="Q770" s="500"/>
      <c r="R770" s="500"/>
      <c r="S770" s="500"/>
      <c r="T770" s="500"/>
      <c r="U770" s="500"/>
      <c r="V770" s="500"/>
      <c r="W770" s="500"/>
      <c r="X770" s="500"/>
      <c r="Y770" s="500"/>
      <c r="Z770" s="500"/>
    </row>
    <row r="771" spans="1:26" x14ac:dyDescent="0.3">
      <c r="A771" s="500"/>
      <c r="B771" s="500"/>
      <c r="C771" s="500"/>
      <c r="D771" s="500"/>
      <c r="E771" s="500"/>
      <c r="F771" s="500"/>
      <c r="G771" s="500"/>
      <c r="H771" s="500"/>
      <c r="I771" s="500"/>
      <c r="J771" s="500"/>
      <c r="K771" s="500"/>
      <c r="L771" s="500"/>
      <c r="M771" s="500"/>
      <c r="N771" s="500"/>
      <c r="O771" s="500"/>
      <c r="P771" s="500"/>
      <c r="Q771" s="500"/>
      <c r="R771" s="500"/>
      <c r="S771" s="500"/>
      <c r="T771" s="500"/>
      <c r="U771" s="500"/>
      <c r="V771" s="500"/>
      <c r="W771" s="500"/>
      <c r="X771" s="500"/>
      <c r="Y771" s="500"/>
      <c r="Z771" s="500"/>
    </row>
    <row r="772" spans="1:26" x14ac:dyDescent="0.3">
      <c r="A772" s="500"/>
      <c r="B772" s="500"/>
      <c r="C772" s="500"/>
      <c r="D772" s="500"/>
      <c r="E772" s="500"/>
      <c r="F772" s="500"/>
      <c r="G772" s="500"/>
      <c r="H772" s="500"/>
      <c r="I772" s="500"/>
      <c r="J772" s="500"/>
      <c r="K772" s="500"/>
      <c r="L772" s="500"/>
      <c r="M772" s="500"/>
      <c r="N772" s="500"/>
      <c r="O772" s="500"/>
      <c r="P772" s="500"/>
      <c r="Q772" s="500"/>
      <c r="R772" s="500"/>
      <c r="S772" s="500"/>
      <c r="T772" s="500"/>
      <c r="U772" s="500"/>
      <c r="V772" s="500"/>
      <c r="W772" s="500"/>
      <c r="X772" s="500"/>
      <c r="Y772" s="500"/>
      <c r="Z772" s="500"/>
    </row>
    <row r="773" spans="1:26" x14ac:dyDescent="0.3">
      <c r="A773" s="500"/>
      <c r="B773" s="500"/>
      <c r="C773" s="500"/>
      <c r="D773" s="500"/>
      <c r="E773" s="500"/>
      <c r="F773" s="500"/>
      <c r="G773" s="500"/>
      <c r="H773" s="500"/>
      <c r="I773" s="500"/>
      <c r="J773" s="500"/>
      <c r="K773" s="500"/>
      <c r="L773" s="500"/>
      <c r="M773" s="500"/>
      <c r="N773" s="500"/>
      <c r="O773" s="500"/>
      <c r="P773" s="500"/>
      <c r="Q773" s="500"/>
      <c r="R773" s="500"/>
      <c r="S773" s="500"/>
      <c r="T773" s="500"/>
      <c r="U773" s="500"/>
      <c r="V773" s="500"/>
      <c r="W773" s="500"/>
      <c r="X773" s="500"/>
      <c r="Y773" s="500"/>
      <c r="Z773" s="500"/>
    </row>
    <row r="774" spans="1:26" x14ac:dyDescent="0.3">
      <c r="A774" s="500"/>
      <c r="B774" s="500"/>
      <c r="C774" s="500"/>
      <c r="D774" s="500"/>
      <c r="E774" s="500"/>
      <c r="F774" s="500"/>
      <c r="G774" s="500"/>
      <c r="H774" s="500"/>
      <c r="I774" s="500"/>
      <c r="J774" s="500"/>
      <c r="K774" s="500"/>
      <c r="L774" s="500"/>
      <c r="M774" s="500"/>
      <c r="N774" s="500"/>
      <c r="O774" s="500"/>
      <c r="P774" s="500"/>
      <c r="Q774" s="500"/>
      <c r="R774" s="500"/>
      <c r="S774" s="500"/>
      <c r="T774" s="500"/>
      <c r="U774" s="500"/>
      <c r="V774" s="500"/>
      <c r="W774" s="500"/>
      <c r="X774" s="500"/>
      <c r="Y774" s="500"/>
      <c r="Z774" s="500"/>
    </row>
    <row r="775" spans="1:26" x14ac:dyDescent="0.3">
      <c r="A775" s="500"/>
      <c r="B775" s="500"/>
      <c r="C775" s="500"/>
      <c r="D775" s="500"/>
      <c r="E775" s="500"/>
      <c r="F775" s="500"/>
      <c r="G775" s="500"/>
      <c r="H775" s="500"/>
      <c r="I775" s="500"/>
      <c r="J775" s="500"/>
      <c r="K775" s="500"/>
      <c r="L775" s="500"/>
      <c r="M775" s="500"/>
      <c r="N775" s="500"/>
      <c r="O775" s="500"/>
      <c r="P775" s="500"/>
      <c r="Q775" s="500"/>
      <c r="R775" s="500"/>
      <c r="S775" s="500"/>
      <c r="T775" s="500"/>
      <c r="U775" s="500"/>
      <c r="V775" s="500"/>
      <c r="W775" s="500"/>
      <c r="X775" s="500"/>
      <c r="Y775" s="500"/>
      <c r="Z775" s="500"/>
    </row>
    <row r="776" spans="1:26" x14ac:dyDescent="0.3">
      <c r="A776" s="500"/>
      <c r="B776" s="500"/>
      <c r="C776" s="500"/>
      <c r="D776" s="500"/>
      <c r="E776" s="500"/>
      <c r="F776" s="500"/>
      <c r="G776" s="500"/>
      <c r="H776" s="500"/>
      <c r="I776" s="500"/>
      <c r="J776" s="500"/>
      <c r="K776" s="500"/>
      <c r="L776" s="500"/>
      <c r="M776" s="500"/>
      <c r="N776" s="500"/>
      <c r="O776" s="500"/>
      <c r="P776" s="500"/>
      <c r="Q776" s="500"/>
      <c r="R776" s="500"/>
      <c r="S776" s="500"/>
      <c r="T776" s="500"/>
      <c r="U776" s="500"/>
      <c r="V776" s="500"/>
      <c r="W776" s="500"/>
      <c r="X776" s="500"/>
      <c r="Y776" s="500"/>
      <c r="Z776" s="500"/>
    </row>
    <row r="777" spans="1:26" x14ac:dyDescent="0.3">
      <c r="A777" s="500"/>
      <c r="B777" s="500"/>
      <c r="C777" s="500"/>
      <c r="D777" s="500"/>
      <c r="E777" s="500"/>
      <c r="F777" s="500"/>
      <c r="G777" s="500"/>
      <c r="H777" s="500"/>
      <c r="I777" s="500"/>
      <c r="J777" s="500"/>
      <c r="K777" s="500"/>
      <c r="L777" s="500"/>
      <c r="M777" s="500"/>
      <c r="N777" s="500"/>
      <c r="O777" s="500"/>
      <c r="P777" s="500"/>
      <c r="Q777" s="500"/>
      <c r="R777" s="500"/>
      <c r="S777" s="500"/>
      <c r="T777" s="500"/>
      <c r="U777" s="500"/>
      <c r="V777" s="500"/>
      <c r="W777" s="500"/>
      <c r="X777" s="500"/>
      <c r="Y777" s="500"/>
      <c r="Z777" s="500"/>
    </row>
    <row r="778" spans="1:26" x14ac:dyDescent="0.3">
      <c r="A778" s="500"/>
      <c r="B778" s="500"/>
      <c r="C778" s="500"/>
      <c r="D778" s="500"/>
      <c r="E778" s="500"/>
      <c r="F778" s="500"/>
      <c r="G778" s="500"/>
      <c r="H778" s="500"/>
      <c r="I778" s="500"/>
      <c r="J778" s="500"/>
      <c r="K778" s="500"/>
      <c r="L778" s="500"/>
      <c r="M778" s="500"/>
      <c r="N778" s="500"/>
      <c r="O778" s="500"/>
      <c r="P778" s="500"/>
      <c r="Q778" s="500"/>
      <c r="R778" s="500"/>
      <c r="S778" s="500"/>
      <c r="T778" s="500"/>
      <c r="U778" s="500"/>
      <c r="V778" s="500"/>
      <c r="W778" s="500"/>
      <c r="X778" s="500"/>
      <c r="Y778" s="500"/>
      <c r="Z778" s="500"/>
    </row>
    <row r="779" spans="1:26" x14ac:dyDescent="0.3">
      <c r="A779" s="500"/>
      <c r="B779" s="500"/>
      <c r="C779" s="500"/>
      <c r="D779" s="500"/>
      <c r="E779" s="500"/>
      <c r="F779" s="500"/>
      <c r="G779" s="500"/>
      <c r="H779" s="500"/>
      <c r="I779" s="500"/>
      <c r="J779" s="500"/>
      <c r="K779" s="500"/>
      <c r="L779" s="500"/>
      <c r="M779" s="500"/>
      <c r="N779" s="500"/>
      <c r="O779" s="500"/>
      <c r="P779" s="500"/>
      <c r="Q779" s="500"/>
      <c r="R779" s="500"/>
      <c r="S779" s="500"/>
      <c r="T779" s="500"/>
      <c r="U779" s="500"/>
      <c r="V779" s="500"/>
      <c r="W779" s="500"/>
      <c r="X779" s="500"/>
      <c r="Y779" s="500"/>
      <c r="Z779" s="500"/>
    </row>
    <row r="780" spans="1:26" x14ac:dyDescent="0.3">
      <c r="A780" s="500"/>
      <c r="B780" s="500"/>
      <c r="C780" s="500"/>
      <c r="D780" s="500"/>
      <c r="E780" s="500"/>
      <c r="F780" s="500"/>
      <c r="G780" s="500"/>
      <c r="H780" s="500"/>
      <c r="I780" s="500"/>
      <c r="J780" s="500"/>
      <c r="K780" s="500"/>
      <c r="L780" s="500"/>
      <c r="M780" s="500"/>
      <c r="N780" s="500"/>
      <c r="O780" s="500"/>
      <c r="P780" s="500"/>
      <c r="Q780" s="500"/>
      <c r="R780" s="500"/>
      <c r="S780" s="500"/>
      <c r="T780" s="500"/>
      <c r="U780" s="500"/>
      <c r="V780" s="500"/>
      <c r="W780" s="500"/>
      <c r="X780" s="500"/>
      <c r="Y780" s="500"/>
      <c r="Z780" s="500"/>
    </row>
    <row r="781" spans="1:26" x14ac:dyDescent="0.3">
      <c r="A781" s="500"/>
      <c r="B781" s="500"/>
      <c r="C781" s="500"/>
      <c r="D781" s="500"/>
      <c r="E781" s="500"/>
      <c r="F781" s="500"/>
      <c r="G781" s="500"/>
      <c r="H781" s="500"/>
      <c r="I781" s="500"/>
      <c r="J781" s="500"/>
      <c r="K781" s="500"/>
      <c r="L781" s="500"/>
      <c r="M781" s="500"/>
      <c r="N781" s="500"/>
      <c r="O781" s="500"/>
      <c r="P781" s="500"/>
      <c r="Q781" s="500"/>
      <c r="R781" s="500"/>
      <c r="S781" s="500"/>
      <c r="T781" s="500"/>
      <c r="U781" s="500"/>
      <c r="V781" s="500"/>
      <c r="W781" s="500"/>
      <c r="X781" s="500"/>
      <c r="Y781" s="500"/>
      <c r="Z781" s="500"/>
    </row>
    <row r="782" spans="1:26" x14ac:dyDescent="0.3">
      <c r="A782" s="500"/>
      <c r="B782" s="500"/>
      <c r="C782" s="500"/>
      <c r="D782" s="500"/>
      <c r="E782" s="500"/>
      <c r="F782" s="500"/>
      <c r="G782" s="500"/>
      <c r="H782" s="500"/>
      <c r="I782" s="500"/>
      <c r="J782" s="500"/>
      <c r="K782" s="500"/>
      <c r="L782" s="500"/>
      <c r="M782" s="500"/>
      <c r="N782" s="500"/>
      <c r="O782" s="500"/>
      <c r="P782" s="500"/>
      <c r="Q782" s="500"/>
      <c r="R782" s="500"/>
      <c r="S782" s="500"/>
      <c r="T782" s="500"/>
      <c r="U782" s="500"/>
      <c r="V782" s="500"/>
      <c r="W782" s="500"/>
      <c r="X782" s="500"/>
      <c r="Y782" s="500"/>
      <c r="Z782" s="500"/>
    </row>
    <row r="783" spans="1:26" x14ac:dyDescent="0.3">
      <c r="A783" s="500"/>
      <c r="B783" s="500"/>
      <c r="C783" s="500"/>
      <c r="D783" s="500"/>
      <c r="E783" s="500"/>
      <c r="F783" s="500"/>
      <c r="G783" s="500"/>
      <c r="H783" s="500"/>
      <c r="I783" s="500"/>
      <c r="J783" s="500"/>
      <c r="K783" s="500"/>
      <c r="L783" s="500"/>
      <c r="M783" s="500"/>
      <c r="N783" s="500"/>
      <c r="O783" s="500"/>
      <c r="P783" s="500"/>
      <c r="Q783" s="500"/>
      <c r="R783" s="500"/>
      <c r="S783" s="500"/>
      <c r="T783" s="500"/>
      <c r="U783" s="500"/>
      <c r="V783" s="500"/>
      <c r="W783" s="500"/>
      <c r="X783" s="500"/>
      <c r="Y783" s="500"/>
      <c r="Z783" s="500"/>
    </row>
    <row r="784" spans="1:26" x14ac:dyDescent="0.3">
      <c r="A784" s="500"/>
      <c r="B784" s="500"/>
      <c r="C784" s="500"/>
      <c r="D784" s="500"/>
      <c r="E784" s="500"/>
      <c r="F784" s="500"/>
      <c r="G784" s="500"/>
      <c r="H784" s="500"/>
      <c r="I784" s="500"/>
      <c r="J784" s="500"/>
      <c r="K784" s="500"/>
      <c r="L784" s="500"/>
      <c r="M784" s="500"/>
      <c r="N784" s="500"/>
      <c r="O784" s="500"/>
      <c r="P784" s="500"/>
      <c r="Q784" s="500"/>
      <c r="R784" s="500"/>
      <c r="S784" s="500"/>
      <c r="T784" s="500"/>
      <c r="U784" s="500"/>
      <c r="V784" s="500"/>
      <c r="W784" s="500"/>
      <c r="X784" s="500"/>
      <c r="Y784" s="500"/>
      <c r="Z784" s="500"/>
    </row>
    <row r="785" spans="1:26" x14ac:dyDescent="0.3">
      <c r="A785" s="500"/>
      <c r="B785" s="500"/>
      <c r="C785" s="500"/>
      <c r="D785" s="500"/>
      <c r="E785" s="500"/>
      <c r="F785" s="500"/>
      <c r="G785" s="500"/>
      <c r="H785" s="500"/>
      <c r="I785" s="500"/>
      <c r="J785" s="500"/>
      <c r="K785" s="500"/>
      <c r="L785" s="500"/>
      <c r="M785" s="500"/>
      <c r="N785" s="500"/>
      <c r="O785" s="500"/>
      <c r="P785" s="500"/>
      <c r="Q785" s="500"/>
      <c r="R785" s="500"/>
      <c r="S785" s="500"/>
      <c r="T785" s="500"/>
      <c r="U785" s="500"/>
      <c r="V785" s="500"/>
      <c r="W785" s="500"/>
      <c r="X785" s="500"/>
      <c r="Y785" s="500"/>
      <c r="Z785" s="500"/>
    </row>
    <row r="786" spans="1:26" x14ac:dyDescent="0.3">
      <c r="A786" s="500"/>
      <c r="B786" s="500"/>
      <c r="C786" s="500"/>
      <c r="D786" s="500"/>
      <c r="E786" s="500"/>
      <c r="F786" s="500"/>
      <c r="G786" s="500"/>
      <c r="H786" s="500"/>
      <c r="I786" s="500"/>
      <c r="J786" s="500"/>
      <c r="K786" s="500"/>
      <c r="L786" s="500"/>
      <c r="M786" s="500"/>
      <c r="N786" s="500"/>
      <c r="O786" s="500"/>
      <c r="P786" s="500"/>
      <c r="Q786" s="500"/>
      <c r="R786" s="500"/>
      <c r="S786" s="500"/>
      <c r="T786" s="500"/>
      <c r="U786" s="500"/>
      <c r="V786" s="500"/>
      <c r="W786" s="500"/>
      <c r="X786" s="500"/>
      <c r="Y786" s="500"/>
      <c r="Z786" s="500"/>
    </row>
    <row r="787" spans="1:26" x14ac:dyDescent="0.3">
      <c r="A787" s="500"/>
      <c r="B787" s="500"/>
      <c r="C787" s="500"/>
      <c r="D787" s="500"/>
      <c r="E787" s="500"/>
      <c r="F787" s="500"/>
      <c r="G787" s="500"/>
      <c r="H787" s="500"/>
      <c r="I787" s="500"/>
      <c r="J787" s="500"/>
      <c r="K787" s="500"/>
      <c r="L787" s="500"/>
      <c r="M787" s="500"/>
      <c r="N787" s="500"/>
      <c r="O787" s="500"/>
      <c r="P787" s="500"/>
      <c r="Q787" s="500"/>
      <c r="R787" s="500"/>
      <c r="S787" s="500"/>
      <c r="T787" s="500"/>
      <c r="U787" s="500"/>
      <c r="V787" s="500"/>
      <c r="W787" s="500"/>
      <c r="X787" s="500"/>
      <c r="Y787" s="500"/>
      <c r="Z787" s="500"/>
    </row>
    <row r="788" spans="1:26" x14ac:dyDescent="0.3">
      <c r="A788" s="500"/>
      <c r="B788" s="500"/>
      <c r="C788" s="500"/>
      <c r="D788" s="500"/>
      <c r="E788" s="500"/>
      <c r="F788" s="500"/>
      <c r="G788" s="500"/>
      <c r="H788" s="500"/>
      <c r="I788" s="500"/>
      <c r="J788" s="500"/>
      <c r="K788" s="500"/>
      <c r="L788" s="500"/>
      <c r="M788" s="500"/>
      <c r="N788" s="500"/>
      <c r="O788" s="500"/>
      <c r="P788" s="500"/>
      <c r="Q788" s="500"/>
      <c r="R788" s="500"/>
      <c r="S788" s="500"/>
      <c r="T788" s="500"/>
      <c r="U788" s="500"/>
      <c r="V788" s="500"/>
      <c r="W788" s="500"/>
      <c r="X788" s="500"/>
      <c r="Y788" s="500"/>
      <c r="Z788" s="500"/>
    </row>
    <row r="789" spans="1:26" x14ac:dyDescent="0.3">
      <c r="A789" s="500"/>
      <c r="B789" s="500"/>
      <c r="C789" s="500"/>
      <c r="D789" s="500"/>
      <c r="E789" s="500"/>
      <c r="F789" s="500"/>
      <c r="G789" s="500"/>
      <c r="H789" s="500"/>
      <c r="I789" s="500"/>
      <c r="J789" s="500"/>
      <c r="K789" s="500"/>
      <c r="L789" s="500"/>
      <c r="M789" s="500"/>
      <c r="N789" s="500"/>
      <c r="O789" s="500"/>
      <c r="P789" s="500"/>
      <c r="Q789" s="500"/>
      <c r="R789" s="500"/>
      <c r="S789" s="500"/>
      <c r="T789" s="500"/>
      <c r="U789" s="500"/>
      <c r="V789" s="500"/>
      <c r="W789" s="500"/>
      <c r="X789" s="500"/>
      <c r="Y789" s="500"/>
      <c r="Z789" s="500"/>
    </row>
    <row r="790" spans="1:26" x14ac:dyDescent="0.3">
      <c r="A790" s="500"/>
      <c r="B790" s="500"/>
      <c r="C790" s="500"/>
      <c r="D790" s="500"/>
      <c r="E790" s="500"/>
      <c r="F790" s="500"/>
      <c r="G790" s="500"/>
      <c r="H790" s="500"/>
      <c r="I790" s="500"/>
      <c r="J790" s="500"/>
      <c r="K790" s="500"/>
      <c r="L790" s="500"/>
      <c r="M790" s="500"/>
      <c r="N790" s="500"/>
      <c r="O790" s="500"/>
      <c r="P790" s="500"/>
      <c r="Q790" s="500"/>
      <c r="R790" s="500"/>
      <c r="S790" s="500"/>
      <c r="T790" s="500"/>
      <c r="U790" s="500"/>
      <c r="V790" s="500"/>
      <c r="W790" s="500"/>
      <c r="X790" s="500"/>
      <c r="Y790" s="500"/>
      <c r="Z790" s="500"/>
    </row>
    <row r="791" spans="1:26" x14ac:dyDescent="0.3">
      <c r="A791" s="500"/>
      <c r="B791" s="500"/>
      <c r="C791" s="500"/>
      <c r="D791" s="500"/>
      <c r="E791" s="500"/>
      <c r="F791" s="500"/>
      <c r="G791" s="500"/>
      <c r="H791" s="500"/>
      <c r="I791" s="500"/>
      <c r="J791" s="500"/>
      <c r="K791" s="500"/>
      <c r="L791" s="500"/>
      <c r="M791" s="500"/>
      <c r="N791" s="500"/>
      <c r="O791" s="500"/>
      <c r="P791" s="500"/>
      <c r="Q791" s="500"/>
      <c r="R791" s="500"/>
      <c r="S791" s="500"/>
      <c r="T791" s="500"/>
      <c r="U791" s="500"/>
      <c r="V791" s="500"/>
      <c r="W791" s="500"/>
      <c r="X791" s="500"/>
      <c r="Y791" s="500"/>
      <c r="Z791" s="500"/>
    </row>
    <row r="792" spans="1:26" x14ac:dyDescent="0.3">
      <c r="A792" s="500"/>
      <c r="B792" s="500"/>
      <c r="C792" s="500"/>
      <c r="D792" s="500"/>
      <c r="E792" s="500"/>
      <c r="F792" s="500"/>
      <c r="G792" s="500"/>
      <c r="H792" s="500"/>
      <c r="I792" s="500"/>
      <c r="J792" s="500"/>
      <c r="K792" s="500"/>
      <c r="L792" s="500"/>
      <c r="M792" s="500"/>
      <c r="N792" s="500"/>
      <c r="O792" s="500"/>
      <c r="P792" s="500"/>
      <c r="Q792" s="500"/>
      <c r="R792" s="500"/>
      <c r="S792" s="500"/>
      <c r="T792" s="500"/>
      <c r="U792" s="500"/>
      <c r="V792" s="500"/>
      <c r="W792" s="500"/>
      <c r="X792" s="500"/>
      <c r="Y792" s="500"/>
      <c r="Z792" s="500"/>
    </row>
    <row r="793" spans="1:26" x14ac:dyDescent="0.3">
      <c r="A793" s="500"/>
      <c r="B793" s="500"/>
      <c r="C793" s="500"/>
      <c r="D793" s="500"/>
      <c r="E793" s="500"/>
      <c r="F793" s="500"/>
      <c r="G793" s="500"/>
      <c r="H793" s="500"/>
      <c r="I793" s="500"/>
      <c r="J793" s="500"/>
      <c r="K793" s="500"/>
      <c r="L793" s="500"/>
      <c r="M793" s="500"/>
      <c r="N793" s="500"/>
      <c r="O793" s="500"/>
      <c r="P793" s="500"/>
      <c r="Q793" s="500"/>
      <c r="R793" s="500"/>
      <c r="S793" s="500"/>
      <c r="T793" s="500"/>
      <c r="U793" s="500"/>
      <c r="V793" s="500"/>
      <c r="W793" s="500"/>
      <c r="X793" s="500"/>
      <c r="Y793" s="500"/>
      <c r="Z793" s="500"/>
    </row>
    <row r="794" spans="1:26" x14ac:dyDescent="0.3">
      <c r="A794" s="500"/>
      <c r="B794" s="500"/>
      <c r="C794" s="500"/>
      <c r="D794" s="500"/>
      <c r="E794" s="500"/>
      <c r="F794" s="500"/>
      <c r="G794" s="500"/>
      <c r="H794" s="500"/>
      <c r="I794" s="500"/>
      <c r="J794" s="500"/>
      <c r="K794" s="500"/>
      <c r="L794" s="500"/>
      <c r="M794" s="500"/>
      <c r="N794" s="500"/>
      <c r="O794" s="500"/>
      <c r="P794" s="500"/>
      <c r="Q794" s="500"/>
      <c r="R794" s="500"/>
      <c r="S794" s="500"/>
      <c r="T794" s="500"/>
      <c r="U794" s="500"/>
      <c r="V794" s="500"/>
      <c r="W794" s="500"/>
      <c r="X794" s="500"/>
      <c r="Y794" s="500"/>
      <c r="Z794" s="500"/>
    </row>
    <row r="795" spans="1:26" x14ac:dyDescent="0.3">
      <c r="A795" s="500"/>
      <c r="B795" s="500"/>
      <c r="C795" s="500"/>
      <c r="D795" s="500"/>
      <c r="E795" s="500"/>
      <c r="F795" s="500"/>
      <c r="G795" s="500"/>
      <c r="H795" s="500"/>
      <c r="I795" s="500"/>
      <c r="J795" s="500"/>
      <c r="K795" s="500"/>
      <c r="L795" s="500"/>
      <c r="M795" s="500"/>
      <c r="N795" s="500"/>
      <c r="O795" s="500"/>
      <c r="P795" s="500"/>
      <c r="Q795" s="500"/>
      <c r="R795" s="500"/>
      <c r="S795" s="500"/>
      <c r="T795" s="500"/>
      <c r="U795" s="500"/>
      <c r="V795" s="500"/>
      <c r="W795" s="500"/>
      <c r="X795" s="500"/>
      <c r="Y795" s="500"/>
      <c r="Z795" s="500"/>
    </row>
    <row r="796" spans="1:26" x14ac:dyDescent="0.3">
      <c r="A796" s="500"/>
      <c r="B796" s="500"/>
      <c r="C796" s="500"/>
      <c r="D796" s="500"/>
      <c r="E796" s="500"/>
      <c r="F796" s="500"/>
      <c r="G796" s="500"/>
      <c r="H796" s="500"/>
      <c r="I796" s="500"/>
      <c r="J796" s="500"/>
      <c r="K796" s="500"/>
      <c r="L796" s="500"/>
      <c r="M796" s="500"/>
      <c r="N796" s="500"/>
      <c r="O796" s="500"/>
      <c r="P796" s="500"/>
      <c r="Q796" s="500"/>
      <c r="R796" s="500"/>
      <c r="S796" s="500"/>
      <c r="T796" s="500"/>
      <c r="U796" s="500"/>
      <c r="V796" s="500"/>
      <c r="W796" s="500"/>
      <c r="X796" s="500"/>
      <c r="Y796" s="500"/>
      <c r="Z796" s="500"/>
    </row>
    <row r="797" spans="1:26" x14ac:dyDescent="0.3">
      <c r="A797" s="500"/>
      <c r="B797" s="500"/>
      <c r="C797" s="500"/>
      <c r="D797" s="500"/>
      <c r="E797" s="500"/>
      <c r="F797" s="500"/>
      <c r="G797" s="500"/>
      <c r="H797" s="500"/>
      <c r="I797" s="500"/>
      <c r="J797" s="500"/>
      <c r="K797" s="500"/>
      <c r="L797" s="500"/>
      <c r="M797" s="500"/>
      <c r="N797" s="500"/>
      <c r="O797" s="500"/>
      <c r="P797" s="500"/>
      <c r="Q797" s="500"/>
      <c r="R797" s="500"/>
      <c r="S797" s="500"/>
      <c r="T797" s="500"/>
      <c r="U797" s="500"/>
      <c r="V797" s="500"/>
      <c r="W797" s="500"/>
      <c r="X797" s="500"/>
      <c r="Y797" s="500"/>
      <c r="Z797" s="500"/>
    </row>
    <row r="798" spans="1:26" x14ac:dyDescent="0.3">
      <c r="A798" s="500"/>
      <c r="B798" s="500"/>
      <c r="C798" s="500"/>
      <c r="D798" s="500"/>
      <c r="E798" s="500"/>
      <c r="F798" s="500"/>
      <c r="G798" s="500"/>
      <c r="H798" s="500"/>
      <c r="I798" s="500"/>
      <c r="J798" s="500"/>
      <c r="K798" s="500"/>
      <c r="L798" s="500"/>
      <c r="M798" s="500"/>
      <c r="N798" s="500"/>
      <c r="O798" s="500"/>
      <c r="P798" s="500"/>
      <c r="Q798" s="500"/>
      <c r="R798" s="500"/>
      <c r="S798" s="500"/>
      <c r="T798" s="500"/>
      <c r="U798" s="500"/>
      <c r="V798" s="500"/>
      <c r="W798" s="500"/>
      <c r="X798" s="500"/>
      <c r="Y798" s="500"/>
      <c r="Z798" s="500"/>
    </row>
    <row r="799" spans="1:26" x14ac:dyDescent="0.3">
      <c r="A799" s="500"/>
      <c r="B799" s="500"/>
      <c r="C799" s="500"/>
      <c r="D799" s="500"/>
      <c r="E799" s="500"/>
      <c r="F799" s="500"/>
      <c r="G799" s="500"/>
      <c r="H799" s="500"/>
      <c r="I799" s="500"/>
      <c r="J799" s="500"/>
      <c r="K799" s="500"/>
      <c r="L799" s="500"/>
      <c r="M799" s="500"/>
      <c r="N799" s="500"/>
      <c r="O799" s="500"/>
      <c r="P799" s="500"/>
      <c r="Q799" s="500"/>
      <c r="R799" s="500"/>
      <c r="S799" s="500"/>
      <c r="T799" s="500"/>
      <c r="U799" s="500"/>
      <c r="V799" s="500"/>
      <c r="W799" s="500"/>
      <c r="X799" s="500"/>
      <c r="Y799" s="500"/>
      <c r="Z799" s="500"/>
    </row>
    <row r="800" spans="1:26" x14ac:dyDescent="0.3">
      <c r="A800" s="500"/>
      <c r="B800" s="500"/>
      <c r="C800" s="500"/>
      <c r="D800" s="500"/>
      <c r="E800" s="500"/>
      <c r="F800" s="500"/>
      <c r="G800" s="500"/>
      <c r="H800" s="500"/>
      <c r="I800" s="500"/>
      <c r="J800" s="500"/>
      <c r="K800" s="500"/>
      <c r="L800" s="500"/>
      <c r="M800" s="500"/>
      <c r="N800" s="500"/>
      <c r="O800" s="500"/>
      <c r="P800" s="500"/>
      <c r="Q800" s="500"/>
      <c r="R800" s="500"/>
      <c r="S800" s="500"/>
      <c r="T800" s="500"/>
      <c r="U800" s="500"/>
      <c r="V800" s="500"/>
      <c r="W800" s="500"/>
      <c r="X800" s="500"/>
      <c r="Y800" s="500"/>
      <c r="Z800" s="500"/>
    </row>
    <row r="801" spans="1:26" x14ac:dyDescent="0.3">
      <c r="A801" s="500"/>
      <c r="B801" s="500"/>
      <c r="C801" s="500"/>
      <c r="D801" s="500"/>
      <c r="E801" s="500"/>
      <c r="F801" s="500"/>
      <c r="G801" s="500"/>
      <c r="H801" s="500"/>
      <c r="I801" s="500"/>
      <c r="J801" s="500"/>
      <c r="K801" s="500"/>
      <c r="L801" s="500"/>
      <c r="M801" s="500"/>
      <c r="N801" s="500"/>
      <c r="O801" s="500"/>
      <c r="P801" s="500"/>
      <c r="Q801" s="500"/>
      <c r="R801" s="500"/>
      <c r="S801" s="500"/>
      <c r="T801" s="500"/>
      <c r="U801" s="500"/>
      <c r="V801" s="500"/>
      <c r="W801" s="500"/>
      <c r="X801" s="500"/>
      <c r="Y801" s="500"/>
      <c r="Z801" s="500"/>
    </row>
    <row r="802" spans="1:26" x14ac:dyDescent="0.3">
      <c r="A802" s="500"/>
      <c r="B802" s="500"/>
      <c r="C802" s="500"/>
      <c r="D802" s="500"/>
      <c r="E802" s="500"/>
      <c r="F802" s="500"/>
      <c r="G802" s="500"/>
      <c r="H802" s="500"/>
      <c r="I802" s="500"/>
      <c r="J802" s="500"/>
      <c r="K802" s="500"/>
      <c r="L802" s="500"/>
      <c r="M802" s="500"/>
      <c r="N802" s="500"/>
      <c r="O802" s="500"/>
      <c r="P802" s="500"/>
      <c r="Q802" s="500"/>
      <c r="R802" s="500"/>
      <c r="S802" s="500"/>
      <c r="T802" s="500"/>
      <c r="U802" s="500"/>
      <c r="V802" s="500"/>
      <c r="W802" s="500"/>
      <c r="X802" s="500"/>
      <c r="Y802" s="500"/>
      <c r="Z802" s="500"/>
    </row>
    <row r="803" spans="1:26" x14ac:dyDescent="0.3">
      <c r="A803" s="500"/>
      <c r="B803" s="500"/>
      <c r="C803" s="500"/>
      <c r="D803" s="500"/>
      <c r="E803" s="500"/>
      <c r="F803" s="500"/>
      <c r="G803" s="500"/>
      <c r="H803" s="500"/>
      <c r="I803" s="500"/>
      <c r="J803" s="500"/>
      <c r="K803" s="500"/>
      <c r="L803" s="500"/>
      <c r="M803" s="500"/>
      <c r="N803" s="500"/>
      <c r="O803" s="500"/>
      <c r="P803" s="500"/>
      <c r="Q803" s="500"/>
      <c r="R803" s="500"/>
      <c r="S803" s="500"/>
      <c r="T803" s="500"/>
      <c r="U803" s="500"/>
      <c r="V803" s="500"/>
      <c r="W803" s="500"/>
      <c r="X803" s="500"/>
      <c r="Y803" s="500"/>
      <c r="Z803" s="500"/>
    </row>
    <row r="804" spans="1:26" x14ac:dyDescent="0.3">
      <c r="A804" s="500"/>
      <c r="B804" s="500"/>
      <c r="C804" s="500"/>
      <c r="D804" s="500"/>
      <c r="E804" s="500"/>
      <c r="F804" s="500"/>
      <c r="G804" s="500"/>
      <c r="H804" s="500"/>
      <c r="I804" s="500"/>
      <c r="J804" s="500"/>
      <c r="K804" s="500"/>
      <c r="L804" s="500"/>
      <c r="M804" s="500"/>
      <c r="N804" s="500"/>
      <c r="O804" s="500"/>
      <c r="P804" s="500"/>
      <c r="Q804" s="500"/>
      <c r="R804" s="500"/>
      <c r="S804" s="500"/>
      <c r="T804" s="500"/>
      <c r="U804" s="500"/>
      <c r="V804" s="500"/>
      <c r="W804" s="500"/>
      <c r="X804" s="500"/>
      <c r="Y804" s="500"/>
      <c r="Z804" s="500"/>
    </row>
    <row r="805" spans="1:26" x14ac:dyDescent="0.3">
      <c r="A805" s="500"/>
      <c r="B805" s="500"/>
      <c r="C805" s="500"/>
      <c r="D805" s="500"/>
      <c r="E805" s="500"/>
      <c r="F805" s="500"/>
      <c r="G805" s="500"/>
      <c r="H805" s="500"/>
      <c r="I805" s="500"/>
      <c r="J805" s="500"/>
      <c r="K805" s="500"/>
      <c r="L805" s="500"/>
      <c r="M805" s="500"/>
      <c r="N805" s="500"/>
      <c r="O805" s="500"/>
      <c r="P805" s="500"/>
      <c r="Q805" s="500"/>
      <c r="R805" s="500"/>
      <c r="S805" s="500"/>
      <c r="T805" s="500"/>
      <c r="U805" s="500"/>
      <c r="V805" s="500"/>
      <c r="W805" s="500"/>
      <c r="X805" s="500"/>
      <c r="Y805" s="500"/>
      <c r="Z805" s="500"/>
    </row>
    <row r="806" spans="1:26" x14ac:dyDescent="0.3">
      <c r="A806" s="500"/>
      <c r="B806" s="500"/>
      <c r="C806" s="500"/>
      <c r="D806" s="500"/>
      <c r="E806" s="500"/>
      <c r="F806" s="500"/>
      <c r="G806" s="500"/>
      <c r="H806" s="500"/>
      <c r="I806" s="500"/>
      <c r="J806" s="500"/>
      <c r="K806" s="500"/>
      <c r="L806" s="500"/>
      <c r="M806" s="500"/>
      <c r="N806" s="500"/>
      <c r="O806" s="500"/>
      <c r="P806" s="500"/>
      <c r="Q806" s="500"/>
      <c r="R806" s="500"/>
      <c r="S806" s="500"/>
      <c r="T806" s="500"/>
      <c r="U806" s="500"/>
      <c r="V806" s="500"/>
      <c r="W806" s="500"/>
      <c r="X806" s="500"/>
      <c r="Y806" s="500"/>
      <c r="Z806" s="500"/>
    </row>
    <row r="807" spans="1:26" x14ac:dyDescent="0.3">
      <c r="A807" s="500"/>
      <c r="B807" s="500"/>
      <c r="C807" s="500"/>
      <c r="D807" s="500"/>
      <c r="E807" s="500"/>
      <c r="F807" s="500"/>
      <c r="G807" s="500"/>
      <c r="H807" s="500"/>
      <c r="I807" s="500"/>
      <c r="J807" s="500"/>
      <c r="K807" s="500"/>
      <c r="L807" s="500"/>
      <c r="M807" s="500"/>
      <c r="N807" s="500"/>
      <c r="O807" s="500"/>
      <c r="P807" s="500"/>
      <c r="Q807" s="500"/>
      <c r="R807" s="500"/>
      <c r="S807" s="500"/>
      <c r="T807" s="500"/>
      <c r="U807" s="500"/>
      <c r="V807" s="500"/>
      <c r="W807" s="500"/>
      <c r="X807" s="500"/>
      <c r="Y807" s="500"/>
      <c r="Z807" s="500"/>
    </row>
    <row r="808" spans="1:26" x14ac:dyDescent="0.3">
      <c r="A808" s="500"/>
      <c r="B808" s="500"/>
      <c r="C808" s="500"/>
      <c r="D808" s="500"/>
      <c r="E808" s="500"/>
      <c r="F808" s="500"/>
      <c r="G808" s="500"/>
      <c r="H808" s="500"/>
      <c r="I808" s="500"/>
      <c r="J808" s="500"/>
      <c r="K808" s="500"/>
      <c r="L808" s="500"/>
      <c r="M808" s="500"/>
      <c r="N808" s="500"/>
      <c r="O808" s="500"/>
      <c r="P808" s="500"/>
      <c r="Q808" s="500"/>
      <c r="R808" s="500"/>
      <c r="S808" s="500"/>
      <c r="T808" s="500"/>
      <c r="U808" s="500"/>
      <c r="V808" s="500"/>
      <c r="W808" s="500"/>
      <c r="X808" s="500"/>
      <c r="Y808" s="500"/>
      <c r="Z808" s="500"/>
    </row>
    <row r="809" spans="1:26" x14ac:dyDescent="0.3">
      <c r="A809" s="500"/>
      <c r="B809" s="500"/>
      <c r="C809" s="500"/>
      <c r="D809" s="500"/>
      <c r="E809" s="500"/>
      <c r="F809" s="500"/>
      <c r="G809" s="500"/>
      <c r="H809" s="500"/>
      <c r="I809" s="500"/>
      <c r="J809" s="500"/>
      <c r="K809" s="500"/>
      <c r="L809" s="500"/>
      <c r="M809" s="500"/>
      <c r="N809" s="500"/>
      <c r="O809" s="500"/>
      <c r="P809" s="500"/>
      <c r="Q809" s="500"/>
      <c r="R809" s="500"/>
      <c r="S809" s="500"/>
      <c r="T809" s="500"/>
      <c r="U809" s="500"/>
      <c r="V809" s="500"/>
      <c r="W809" s="500"/>
      <c r="X809" s="500"/>
      <c r="Y809" s="500"/>
      <c r="Z809" s="500"/>
    </row>
    <row r="810" spans="1:26" x14ac:dyDescent="0.3">
      <c r="A810" s="500"/>
      <c r="B810" s="500"/>
      <c r="C810" s="500"/>
      <c r="D810" s="500"/>
      <c r="E810" s="500"/>
      <c r="F810" s="500"/>
      <c r="G810" s="500"/>
      <c r="H810" s="500"/>
      <c r="I810" s="500"/>
      <c r="J810" s="500"/>
      <c r="K810" s="500"/>
      <c r="L810" s="500"/>
      <c r="M810" s="500"/>
      <c r="N810" s="500"/>
      <c r="O810" s="500"/>
      <c r="P810" s="500"/>
      <c r="Q810" s="500"/>
      <c r="R810" s="500"/>
      <c r="S810" s="500"/>
      <c r="T810" s="500"/>
      <c r="U810" s="500"/>
      <c r="V810" s="500"/>
      <c r="W810" s="500"/>
      <c r="X810" s="500"/>
      <c r="Y810" s="500"/>
      <c r="Z810" s="500"/>
    </row>
    <row r="811" spans="1:26" x14ac:dyDescent="0.3">
      <c r="A811" s="500"/>
      <c r="B811" s="500"/>
      <c r="C811" s="500"/>
      <c r="D811" s="500"/>
      <c r="E811" s="500"/>
      <c r="F811" s="500"/>
      <c r="G811" s="500"/>
      <c r="H811" s="500"/>
      <c r="I811" s="500"/>
      <c r="J811" s="500"/>
      <c r="K811" s="500"/>
      <c r="L811" s="500"/>
      <c r="M811" s="500"/>
      <c r="N811" s="500"/>
      <c r="O811" s="500"/>
      <c r="P811" s="500"/>
      <c r="Q811" s="500"/>
      <c r="R811" s="500"/>
      <c r="S811" s="500"/>
      <c r="T811" s="500"/>
      <c r="U811" s="500"/>
      <c r="V811" s="500"/>
      <c r="W811" s="500"/>
      <c r="X811" s="500"/>
      <c r="Y811" s="500"/>
      <c r="Z811" s="500"/>
    </row>
    <row r="812" spans="1:26" x14ac:dyDescent="0.3">
      <c r="A812" s="500"/>
      <c r="B812" s="500"/>
      <c r="C812" s="500"/>
      <c r="D812" s="500"/>
      <c r="E812" s="500"/>
      <c r="F812" s="500"/>
      <c r="G812" s="500"/>
      <c r="H812" s="500"/>
      <c r="I812" s="500"/>
      <c r="J812" s="500"/>
      <c r="K812" s="500"/>
      <c r="L812" s="500"/>
      <c r="M812" s="500"/>
      <c r="N812" s="500"/>
      <c r="O812" s="500"/>
      <c r="P812" s="500"/>
      <c r="Q812" s="500"/>
      <c r="R812" s="500"/>
      <c r="S812" s="500"/>
      <c r="T812" s="500"/>
      <c r="U812" s="500"/>
      <c r="V812" s="500"/>
      <c r="W812" s="500"/>
      <c r="X812" s="500"/>
      <c r="Y812" s="500"/>
      <c r="Z812" s="500"/>
    </row>
    <row r="813" spans="1:26" x14ac:dyDescent="0.3">
      <c r="A813" s="500"/>
      <c r="B813" s="500"/>
      <c r="C813" s="500"/>
      <c r="D813" s="500"/>
      <c r="E813" s="500"/>
      <c r="F813" s="500"/>
      <c r="G813" s="500"/>
      <c r="H813" s="500"/>
      <c r="I813" s="500"/>
      <c r="J813" s="500"/>
      <c r="K813" s="500"/>
      <c r="L813" s="500"/>
      <c r="M813" s="500"/>
      <c r="N813" s="500"/>
      <c r="O813" s="500"/>
      <c r="P813" s="500"/>
      <c r="Q813" s="500"/>
      <c r="R813" s="500"/>
      <c r="S813" s="500"/>
      <c r="T813" s="500"/>
      <c r="U813" s="500"/>
      <c r="V813" s="500"/>
      <c r="W813" s="500"/>
      <c r="X813" s="500"/>
      <c r="Y813" s="500"/>
      <c r="Z813" s="500"/>
    </row>
    <row r="814" spans="1:26" x14ac:dyDescent="0.3">
      <c r="A814" s="500"/>
      <c r="B814" s="500"/>
      <c r="C814" s="500"/>
      <c r="D814" s="500"/>
      <c r="E814" s="500"/>
      <c r="F814" s="500"/>
      <c r="G814" s="500"/>
      <c r="H814" s="500"/>
      <c r="I814" s="500"/>
      <c r="J814" s="500"/>
      <c r="K814" s="500"/>
      <c r="L814" s="500"/>
      <c r="M814" s="500"/>
      <c r="N814" s="500"/>
      <c r="O814" s="500"/>
      <c r="P814" s="500"/>
      <c r="Q814" s="500"/>
      <c r="R814" s="500"/>
      <c r="S814" s="500"/>
      <c r="T814" s="500"/>
      <c r="U814" s="500"/>
      <c r="V814" s="500"/>
      <c r="W814" s="500"/>
      <c r="X814" s="500"/>
      <c r="Y814" s="500"/>
      <c r="Z814" s="500"/>
    </row>
    <row r="815" spans="1:26" x14ac:dyDescent="0.3">
      <c r="A815" s="500"/>
      <c r="B815" s="500"/>
      <c r="C815" s="500"/>
      <c r="D815" s="500"/>
      <c r="E815" s="500"/>
      <c r="F815" s="500"/>
      <c r="G815" s="500"/>
      <c r="H815" s="500"/>
      <c r="I815" s="500"/>
      <c r="J815" s="500"/>
      <c r="K815" s="500"/>
      <c r="L815" s="500"/>
      <c r="M815" s="500"/>
      <c r="N815" s="500"/>
      <c r="O815" s="500"/>
      <c r="P815" s="500"/>
      <c r="Q815" s="500"/>
      <c r="R815" s="500"/>
      <c r="S815" s="500"/>
      <c r="T815" s="500"/>
      <c r="U815" s="500"/>
      <c r="V815" s="500"/>
      <c r="W815" s="500"/>
      <c r="X815" s="500"/>
      <c r="Y815" s="500"/>
      <c r="Z815" s="500"/>
    </row>
    <row r="816" spans="1:26" x14ac:dyDescent="0.3">
      <c r="A816" s="500"/>
      <c r="B816" s="500"/>
      <c r="C816" s="500"/>
      <c r="D816" s="500"/>
      <c r="E816" s="500"/>
      <c r="F816" s="500"/>
      <c r="G816" s="500"/>
      <c r="H816" s="500"/>
      <c r="I816" s="500"/>
      <c r="J816" s="500"/>
      <c r="K816" s="500"/>
      <c r="L816" s="500"/>
      <c r="M816" s="500"/>
      <c r="N816" s="500"/>
      <c r="O816" s="500"/>
      <c r="P816" s="500"/>
      <c r="Q816" s="500"/>
      <c r="R816" s="500"/>
      <c r="S816" s="500"/>
      <c r="T816" s="500"/>
      <c r="U816" s="500"/>
      <c r="V816" s="500"/>
      <c r="W816" s="500"/>
      <c r="X816" s="500"/>
      <c r="Y816" s="500"/>
      <c r="Z816" s="500"/>
    </row>
    <row r="817" spans="1:26" x14ac:dyDescent="0.3">
      <c r="A817" s="500"/>
      <c r="B817" s="500"/>
      <c r="C817" s="500"/>
      <c r="D817" s="500"/>
      <c r="E817" s="500"/>
      <c r="F817" s="500"/>
      <c r="G817" s="500"/>
      <c r="H817" s="500"/>
      <c r="I817" s="500"/>
      <c r="J817" s="500"/>
      <c r="K817" s="500"/>
      <c r="L817" s="500"/>
      <c r="M817" s="500"/>
      <c r="N817" s="500"/>
      <c r="O817" s="500"/>
      <c r="P817" s="500"/>
      <c r="Q817" s="500"/>
      <c r="R817" s="500"/>
      <c r="S817" s="500"/>
      <c r="T817" s="500"/>
      <c r="U817" s="500"/>
      <c r="V817" s="500"/>
      <c r="W817" s="500"/>
      <c r="X817" s="500"/>
      <c r="Y817" s="500"/>
      <c r="Z817" s="500"/>
    </row>
    <row r="818" spans="1:26" x14ac:dyDescent="0.3">
      <c r="A818" s="500"/>
      <c r="B818" s="500"/>
      <c r="C818" s="500"/>
      <c r="D818" s="500"/>
      <c r="E818" s="500"/>
      <c r="F818" s="500"/>
      <c r="G818" s="500"/>
      <c r="H818" s="500"/>
      <c r="I818" s="500"/>
      <c r="J818" s="500"/>
      <c r="K818" s="500"/>
      <c r="L818" s="500"/>
      <c r="M818" s="500"/>
      <c r="N818" s="500"/>
      <c r="O818" s="500"/>
      <c r="P818" s="500"/>
      <c r="Q818" s="500"/>
      <c r="R818" s="500"/>
      <c r="S818" s="500"/>
      <c r="T818" s="500"/>
      <c r="U818" s="500"/>
      <c r="V818" s="500"/>
      <c r="W818" s="500"/>
      <c r="X818" s="500"/>
      <c r="Y818" s="500"/>
      <c r="Z818" s="500"/>
    </row>
    <row r="819" spans="1:26" x14ac:dyDescent="0.3">
      <c r="A819" s="500"/>
      <c r="B819" s="500"/>
      <c r="C819" s="500"/>
      <c r="D819" s="500"/>
      <c r="E819" s="500"/>
      <c r="F819" s="500"/>
      <c r="G819" s="500"/>
      <c r="H819" s="500"/>
      <c r="I819" s="500"/>
      <c r="J819" s="500"/>
      <c r="K819" s="500"/>
      <c r="L819" s="500"/>
      <c r="M819" s="500"/>
      <c r="N819" s="500"/>
      <c r="O819" s="500"/>
      <c r="P819" s="500"/>
      <c r="Q819" s="500"/>
      <c r="R819" s="500"/>
      <c r="S819" s="500"/>
      <c r="T819" s="500"/>
      <c r="U819" s="500"/>
      <c r="V819" s="500"/>
      <c r="W819" s="500"/>
      <c r="X819" s="500"/>
      <c r="Y819" s="500"/>
      <c r="Z819" s="500"/>
    </row>
    <row r="820" spans="1:26" x14ac:dyDescent="0.3">
      <c r="A820" s="500"/>
      <c r="B820" s="500"/>
      <c r="C820" s="500"/>
      <c r="D820" s="500"/>
      <c r="E820" s="500"/>
      <c r="F820" s="500"/>
      <c r="G820" s="500"/>
      <c r="H820" s="500"/>
      <c r="I820" s="500"/>
      <c r="J820" s="500"/>
      <c r="K820" s="500"/>
      <c r="L820" s="500"/>
      <c r="M820" s="500"/>
      <c r="N820" s="500"/>
      <c r="O820" s="500"/>
      <c r="P820" s="500"/>
      <c r="Q820" s="500"/>
      <c r="R820" s="500"/>
      <c r="S820" s="500"/>
      <c r="T820" s="500"/>
      <c r="U820" s="500"/>
      <c r="V820" s="500"/>
      <c r="W820" s="500"/>
      <c r="X820" s="500"/>
      <c r="Y820" s="500"/>
      <c r="Z820" s="500"/>
    </row>
    <row r="821" spans="1:26" x14ac:dyDescent="0.3">
      <c r="A821" s="500"/>
      <c r="B821" s="500"/>
      <c r="C821" s="500"/>
      <c r="D821" s="500"/>
      <c r="E821" s="500"/>
      <c r="F821" s="500"/>
      <c r="G821" s="500"/>
      <c r="H821" s="500"/>
      <c r="I821" s="500"/>
      <c r="J821" s="500"/>
      <c r="K821" s="500"/>
      <c r="L821" s="500"/>
      <c r="M821" s="500"/>
      <c r="N821" s="500"/>
      <c r="O821" s="500"/>
      <c r="P821" s="500"/>
      <c r="Q821" s="500"/>
      <c r="R821" s="500"/>
      <c r="S821" s="500"/>
      <c r="T821" s="500"/>
      <c r="U821" s="500"/>
      <c r="V821" s="500"/>
      <c r="W821" s="500"/>
      <c r="X821" s="500"/>
      <c r="Y821" s="500"/>
      <c r="Z821" s="500"/>
    </row>
    <row r="822" spans="1:26" x14ac:dyDescent="0.3">
      <c r="A822" s="500"/>
      <c r="B822" s="500"/>
      <c r="C822" s="500"/>
      <c r="D822" s="500"/>
      <c r="E822" s="500"/>
      <c r="F822" s="500"/>
      <c r="G822" s="500"/>
      <c r="H822" s="500"/>
      <c r="I822" s="500"/>
      <c r="J822" s="500"/>
      <c r="K822" s="500"/>
      <c r="L822" s="500"/>
      <c r="M822" s="500"/>
      <c r="N822" s="500"/>
      <c r="O822" s="500"/>
      <c r="P822" s="500"/>
      <c r="Q822" s="500"/>
      <c r="R822" s="500"/>
      <c r="S822" s="500"/>
      <c r="T822" s="500"/>
      <c r="U822" s="500"/>
      <c r="V822" s="500"/>
      <c r="W822" s="500"/>
      <c r="X822" s="500"/>
      <c r="Y822" s="500"/>
      <c r="Z822" s="500"/>
    </row>
    <row r="823" spans="1:26" x14ac:dyDescent="0.3">
      <c r="A823" s="500"/>
      <c r="B823" s="500"/>
      <c r="C823" s="500"/>
      <c r="D823" s="500"/>
      <c r="E823" s="500"/>
      <c r="F823" s="500"/>
      <c r="G823" s="500"/>
      <c r="H823" s="500"/>
      <c r="I823" s="500"/>
      <c r="J823" s="500"/>
      <c r="K823" s="500"/>
      <c r="L823" s="500"/>
      <c r="M823" s="500"/>
      <c r="N823" s="500"/>
      <c r="O823" s="500"/>
      <c r="P823" s="500"/>
      <c r="Q823" s="500"/>
      <c r="R823" s="500"/>
      <c r="S823" s="500"/>
      <c r="T823" s="500"/>
      <c r="U823" s="500"/>
      <c r="V823" s="500"/>
      <c r="W823" s="500"/>
      <c r="X823" s="500"/>
      <c r="Y823" s="500"/>
      <c r="Z823" s="500"/>
    </row>
    <row r="824" spans="1:26" x14ac:dyDescent="0.3">
      <c r="A824" s="500"/>
      <c r="B824" s="500"/>
      <c r="C824" s="500"/>
      <c r="D824" s="500"/>
      <c r="E824" s="500"/>
      <c r="F824" s="500"/>
      <c r="G824" s="500"/>
      <c r="H824" s="500"/>
      <c r="I824" s="500"/>
      <c r="J824" s="500"/>
      <c r="K824" s="500"/>
      <c r="L824" s="500"/>
      <c r="M824" s="500"/>
      <c r="N824" s="500"/>
      <c r="O824" s="500"/>
      <c r="P824" s="500"/>
      <c r="Q824" s="500"/>
      <c r="R824" s="500"/>
      <c r="S824" s="500"/>
      <c r="T824" s="500"/>
      <c r="U824" s="500"/>
      <c r="V824" s="500"/>
      <c r="W824" s="500"/>
      <c r="X824" s="500"/>
      <c r="Y824" s="500"/>
      <c r="Z824" s="500"/>
    </row>
    <row r="825" spans="1:26" x14ac:dyDescent="0.3">
      <c r="A825" s="500"/>
      <c r="B825" s="500"/>
      <c r="C825" s="500"/>
      <c r="D825" s="500"/>
      <c r="E825" s="500"/>
      <c r="F825" s="500"/>
      <c r="G825" s="500"/>
      <c r="H825" s="500"/>
      <c r="I825" s="500"/>
      <c r="J825" s="500"/>
      <c r="K825" s="500"/>
      <c r="L825" s="500"/>
      <c r="M825" s="500"/>
      <c r="N825" s="500"/>
      <c r="O825" s="500"/>
      <c r="P825" s="500"/>
      <c r="Q825" s="500"/>
      <c r="R825" s="500"/>
      <c r="S825" s="500"/>
      <c r="T825" s="500"/>
      <c r="U825" s="500"/>
      <c r="V825" s="500"/>
      <c r="W825" s="500"/>
      <c r="X825" s="500"/>
      <c r="Y825" s="500"/>
      <c r="Z825" s="500"/>
    </row>
    <row r="826" spans="1:26" x14ac:dyDescent="0.3">
      <c r="A826" s="500"/>
      <c r="B826" s="500"/>
      <c r="C826" s="500"/>
      <c r="D826" s="500"/>
      <c r="E826" s="500"/>
      <c r="F826" s="500"/>
      <c r="G826" s="500"/>
      <c r="H826" s="500"/>
      <c r="I826" s="500"/>
      <c r="J826" s="500"/>
      <c r="K826" s="500"/>
      <c r="L826" s="500"/>
      <c r="M826" s="500"/>
      <c r="N826" s="500"/>
      <c r="O826" s="500"/>
      <c r="P826" s="500"/>
      <c r="Q826" s="500"/>
      <c r="R826" s="500"/>
      <c r="S826" s="500"/>
      <c r="T826" s="500"/>
      <c r="U826" s="500"/>
      <c r="V826" s="500"/>
      <c r="W826" s="500"/>
      <c r="X826" s="500"/>
      <c r="Y826" s="500"/>
      <c r="Z826" s="500"/>
    </row>
    <row r="827" spans="1:26" x14ac:dyDescent="0.3">
      <c r="A827" s="500"/>
      <c r="B827" s="500"/>
      <c r="C827" s="500"/>
      <c r="D827" s="500"/>
      <c r="E827" s="500"/>
      <c r="F827" s="500"/>
      <c r="G827" s="500"/>
      <c r="H827" s="500"/>
      <c r="I827" s="500"/>
      <c r="J827" s="500"/>
      <c r="K827" s="500"/>
      <c r="L827" s="500"/>
      <c r="M827" s="500"/>
      <c r="N827" s="500"/>
      <c r="O827" s="500"/>
      <c r="P827" s="500"/>
      <c r="Q827" s="500"/>
      <c r="R827" s="500"/>
      <c r="S827" s="500"/>
      <c r="T827" s="500"/>
      <c r="U827" s="500"/>
      <c r="V827" s="500"/>
      <c r="W827" s="500"/>
      <c r="X827" s="500"/>
      <c r="Y827" s="500"/>
      <c r="Z827" s="500"/>
    </row>
    <row r="828" spans="1:26" x14ac:dyDescent="0.3">
      <c r="A828" s="500"/>
      <c r="B828" s="500"/>
      <c r="C828" s="500"/>
      <c r="D828" s="500"/>
      <c r="E828" s="500"/>
      <c r="F828" s="500"/>
      <c r="G828" s="500"/>
      <c r="H828" s="500"/>
      <c r="I828" s="500"/>
      <c r="J828" s="500"/>
      <c r="K828" s="500"/>
      <c r="L828" s="500"/>
      <c r="M828" s="500"/>
      <c r="N828" s="500"/>
      <c r="O828" s="500"/>
      <c r="P828" s="500"/>
      <c r="Q828" s="500"/>
      <c r="R828" s="500"/>
      <c r="S828" s="500"/>
      <c r="T828" s="500"/>
      <c r="U828" s="500"/>
      <c r="V828" s="500"/>
      <c r="W828" s="500"/>
      <c r="X828" s="500"/>
      <c r="Y828" s="500"/>
      <c r="Z828" s="500"/>
    </row>
    <row r="829" spans="1:26" x14ac:dyDescent="0.3">
      <c r="A829" s="500"/>
      <c r="B829" s="500"/>
      <c r="C829" s="500"/>
      <c r="D829" s="500"/>
      <c r="E829" s="500"/>
      <c r="F829" s="500"/>
      <c r="G829" s="500"/>
      <c r="H829" s="500"/>
      <c r="I829" s="500"/>
      <c r="J829" s="500"/>
      <c r="K829" s="500"/>
      <c r="L829" s="500"/>
      <c r="M829" s="500"/>
      <c r="N829" s="500"/>
      <c r="O829" s="500"/>
      <c r="P829" s="500"/>
      <c r="Q829" s="500"/>
      <c r="R829" s="500"/>
      <c r="S829" s="500"/>
      <c r="T829" s="500"/>
      <c r="U829" s="500"/>
      <c r="V829" s="500"/>
      <c r="W829" s="500"/>
      <c r="X829" s="500"/>
      <c r="Y829" s="500"/>
      <c r="Z829" s="500"/>
    </row>
    <row r="830" spans="1:26" x14ac:dyDescent="0.3">
      <c r="A830" s="500"/>
      <c r="B830" s="500"/>
      <c r="C830" s="500"/>
      <c r="D830" s="500"/>
      <c r="E830" s="500"/>
      <c r="F830" s="500"/>
      <c r="G830" s="500"/>
      <c r="H830" s="500"/>
      <c r="I830" s="500"/>
      <c r="J830" s="500"/>
      <c r="K830" s="500"/>
      <c r="L830" s="500"/>
      <c r="M830" s="500"/>
      <c r="N830" s="500"/>
      <c r="O830" s="500"/>
      <c r="P830" s="500"/>
      <c r="Q830" s="500"/>
      <c r="R830" s="500"/>
      <c r="S830" s="500"/>
      <c r="T830" s="500"/>
      <c r="U830" s="500"/>
      <c r="V830" s="500"/>
      <c r="W830" s="500"/>
      <c r="X830" s="500"/>
      <c r="Y830" s="500"/>
      <c r="Z830" s="500"/>
    </row>
    <row r="831" spans="1:26" x14ac:dyDescent="0.3">
      <c r="A831" s="500"/>
      <c r="B831" s="500"/>
      <c r="C831" s="500"/>
      <c r="D831" s="500"/>
      <c r="E831" s="500"/>
      <c r="F831" s="500"/>
      <c r="G831" s="500"/>
      <c r="H831" s="500"/>
      <c r="I831" s="500"/>
      <c r="J831" s="500"/>
      <c r="K831" s="500"/>
      <c r="L831" s="500"/>
      <c r="M831" s="500"/>
      <c r="N831" s="500"/>
      <c r="O831" s="500"/>
      <c r="P831" s="500"/>
      <c r="Q831" s="500"/>
      <c r="R831" s="500"/>
      <c r="S831" s="500"/>
      <c r="T831" s="500"/>
      <c r="U831" s="500"/>
      <c r="V831" s="500"/>
      <c r="W831" s="500"/>
      <c r="X831" s="500"/>
      <c r="Y831" s="500"/>
      <c r="Z831" s="500"/>
    </row>
    <row r="832" spans="1:26" x14ac:dyDescent="0.3">
      <c r="A832" s="500"/>
      <c r="B832" s="500"/>
      <c r="C832" s="500"/>
      <c r="D832" s="500"/>
      <c r="E832" s="500"/>
      <c r="F832" s="500"/>
      <c r="G832" s="500"/>
      <c r="H832" s="500"/>
      <c r="I832" s="500"/>
      <c r="J832" s="500"/>
      <c r="K832" s="500"/>
      <c r="L832" s="500"/>
      <c r="M832" s="500"/>
      <c r="N832" s="500"/>
      <c r="O832" s="500"/>
      <c r="P832" s="500"/>
      <c r="Q832" s="500"/>
      <c r="R832" s="500"/>
      <c r="S832" s="500"/>
      <c r="T832" s="500"/>
      <c r="U832" s="500"/>
      <c r="V832" s="500"/>
      <c r="W832" s="500"/>
      <c r="X832" s="500"/>
      <c r="Y832" s="500"/>
      <c r="Z832" s="500"/>
    </row>
    <row r="833" spans="1:26" x14ac:dyDescent="0.3">
      <c r="A833" s="500"/>
      <c r="B833" s="500"/>
      <c r="C833" s="500"/>
      <c r="D833" s="500"/>
      <c r="E833" s="500"/>
      <c r="F833" s="500"/>
      <c r="G833" s="500"/>
      <c r="H833" s="500"/>
      <c r="I833" s="500"/>
      <c r="J833" s="500"/>
      <c r="K833" s="500"/>
      <c r="L833" s="500"/>
      <c r="M833" s="500"/>
      <c r="N833" s="500"/>
      <c r="O833" s="500"/>
      <c r="P833" s="500"/>
      <c r="Q833" s="500"/>
      <c r="R833" s="500"/>
      <c r="S833" s="500"/>
      <c r="T833" s="500"/>
      <c r="U833" s="500"/>
      <c r="V833" s="500"/>
      <c r="W833" s="500"/>
      <c r="X833" s="500"/>
      <c r="Y833" s="500"/>
      <c r="Z833" s="500"/>
    </row>
    <row r="834" spans="1:26" x14ac:dyDescent="0.3">
      <c r="A834" s="500"/>
      <c r="B834" s="500"/>
      <c r="C834" s="500"/>
      <c r="D834" s="500"/>
      <c r="E834" s="500"/>
      <c r="F834" s="500"/>
      <c r="G834" s="500"/>
      <c r="H834" s="500"/>
      <c r="I834" s="500"/>
      <c r="J834" s="500"/>
      <c r="K834" s="500"/>
      <c r="L834" s="500"/>
      <c r="M834" s="500"/>
      <c r="N834" s="500"/>
      <c r="O834" s="500"/>
      <c r="P834" s="500"/>
      <c r="Q834" s="500"/>
      <c r="R834" s="500"/>
      <c r="S834" s="500"/>
      <c r="T834" s="500"/>
      <c r="U834" s="500"/>
      <c r="V834" s="500"/>
      <c r="W834" s="500"/>
      <c r="X834" s="500"/>
      <c r="Y834" s="500"/>
      <c r="Z834" s="500"/>
    </row>
    <row r="835" spans="1:26" x14ac:dyDescent="0.3">
      <c r="A835" s="500"/>
      <c r="B835" s="500"/>
      <c r="C835" s="500"/>
      <c r="D835" s="500"/>
      <c r="E835" s="500"/>
      <c r="F835" s="500"/>
      <c r="G835" s="500"/>
      <c r="H835" s="500"/>
      <c r="I835" s="500"/>
      <c r="J835" s="500"/>
      <c r="K835" s="500"/>
      <c r="L835" s="500"/>
      <c r="M835" s="500"/>
      <c r="N835" s="500"/>
      <c r="O835" s="500"/>
      <c r="P835" s="500"/>
      <c r="Q835" s="500"/>
      <c r="R835" s="500"/>
      <c r="S835" s="500"/>
      <c r="T835" s="500"/>
      <c r="U835" s="500"/>
      <c r="V835" s="500"/>
      <c r="W835" s="500"/>
      <c r="X835" s="500"/>
      <c r="Y835" s="500"/>
      <c r="Z835" s="500"/>
    </row>
    <row r="836" spans="1:26" x14ac:dyDescent="0.3">
      <c r="A836" s="500"/>
      <c r="B836" s="500"/>
      <c r="C836" s="500"/>
      <c r="D836" s="500"/>
      <c r="E836" s="500"/>
      <c r="F836" s="500"/>
      <c r="G836" s="500"/>
      <c r="H836" s="500"/>
      <c r="I836" s="500"/>
      <c r="J836" s="500"/>
      <c r="K836" s="500"/>
      <c r="L836" s="500"/>
      <c r="M836" s="500"/>
      <c r="N836" s="500"/>
      <c r="O836" s="500"/>
      <c r="P836" s="500"/>
      <c r="Q836" s="500"/>
      <c r="R836" s="500"/>
      <c r="S836" s="500"/>
      <c r="T836" s="500"/>
      <c r="U836" s="500"/>
      <c r="V836" s="500"/>
      <c r="W836" s="500"/>
      <c r="X836" s="500"/>
      <c r="Y836" s="500"/>
      <c r="Z836" s="500"/>
    </row>
    <row r="837" spans="1:26" x14ac:dyDescent="0.3">
      <c r="A837" s="500"/>
      <c r="B837" s="500"/>
      <c r="C837" s="500"/>
      <c r="D837" s="500"/>
      <c r="E837" s="500"/>
      <c r="F837" s="500"/>
      <c r="G837" s="500"/>
      <c r="H837" s="500"/>
      <c r="I837" s="500"/>
      <c r="J837" s="500"/>
      <c r="K837" s="500"/>
      <c r="L837" s="500"/>
      <c r="M837" s="500"/>
      <c r="N837" s="500"/>
      <c r="O837" s="500"/>
      <c r="P837" s="500"/>
      <c r="Q837" s="500"/>
      <c r="R837" s="500"/>
      <c r="S837" s="500"/>
      <c r="T837" s="500"/>
      <c r="U837" s="500"/>
      <c r="V837" s="500"/>
      <c r="W837" s="500"/>
      <c r="X837" s="500"/>
      <c r="Y837" s="500"/>
      <c r="Z837" s="500"/>
    </row>
    <row r="838" spans="1:26" x14ac:dyDescent="0.3">
      <c r="A838" s="500"/>
      <c r="B838" s="500"/>
      <c r="C838" s="500"/>
      <c r="D838" s="500"/>
      <c r="E838" s="500"/>
      <c r="F838" s="500"/>
      <c r="G838" s="500"/>
      <c r="H838" s="500"/>
      <c r="I838" s="500"/>
      <c r="J838" s="500"/>
      <c r="K838" s="500"/>
      <c r="L838" s="500"/>
      <c r="M838" s="500"/>
      <c r="N838" s="500"/>
      <c r="O838" s="500"/>
      <c r="P838" s="500"/>
      <c r="Q838" s="500"/>
      <c r="R838" s="500"/>
      <c r="S838" s="500"/>
      <c r="T838" s="500"/>
      <c r="U838" s="500"/>
      <c r="V838" s="500"/>
      <c r="W838" s="500"/>
      <c r="X838" s="500"/>
      <c r="Y838" s="500"/>
      <c r="Z838" s="500"/>
    </row>
    <row r="839" spans="1:26" x14ac:dyDescent="0.3">
      <c r="A839" s="500"/>
      <c r="B839" s="500"/>
      <c r="C839" s="500"/>
      <c r="D839" s="500"/>
      <c r="E839" s="500"/>
      <c r="F839" s="500"/>
      <c r="G839" s="500"/>
      <c r="H839" s="500"/>
      <c r="I839" s="500"/>
      <c r="J839" s="500"/>
      <c r="K839" s="500"/>
      <c r="L839" s="500"/>
      <c r="M839" s="500"/>
      <c r="N839" s="500"/>
      <c r="O839" s="500"/>
      <c r="P839" s="500"/>
      <c r="Q839" s="500"/>
      <c r="R839" s="500"/>
      <c r="S839" s="500"/>
      <c r="T839" s="500"/>
      <c r="U839" s="500"/>
      <c r="V839" s="500"/>
      <c r="W839" s="500"/>
      <c r="X839" s="500"/>
      <c r="Y839" s="500"/>
      <c r="Z839" s="500"/>
    </row>
    <row r="840" spans="1:26" x14ac:dyDescent="0.3">
      <c r="A840" s="500"/>
      <c r="B840" s="500"/>
      <c r="C840" s="500"/>
      <c r="D840" s="500"/>
      <c r="E840" s="500"/>
      <c r="F840" s="500"/>
      <c r="G840" s="500"/>
      <c r="H840" s="500"/>
      <c r="I840" s="500"/>
      <c r="J840" s="500"/>
      <c r="K840" s="500"/>
      <c r="L840" s="500"/>
      <c r="M840" s="500"/>
      <c r="N840" s="500"/>
      <c r="O840" s="500"/>
      <c r="P840" s="500"/>
      <c r="Q840" s="500"/>
      <c r="R840" s="500"/>
      <c r="S840" s="500"/>
      <c r="T840" s="500"/>
      <c r="U840" s="500"/>
      <c r="V840" s="500"/>
      <c r="W840" s="500"/>
      <c r="X840" s="500"/>
      <c r="Y840" s="500"/>
      <c r="Z840" s="500"/>
    </row>
    <row r="841" spans="1:26" x14ac:dyDescent="0.3">
      <c r="A841" s="500"/>
      <c r="B841" s="500"/>
      <c r="C841" s="500"/>
      <c r="D841" s="500"/>
      <c r="E841" s="500"/>
      <c r="F841" s="500"/>
      <c r="G841" s="500"/>
      <c r="H841" s="500"/>
      <c r="I841" s="500"/>
      <c r="J841" s="500"/>
      <c r="K841" s="500"/>
      <c r="L841" s="500"/>
      <c r="M841" s="500"/>
      <c r="N841" s="500"/>
      <c r="O841" s="500"/>
      <c r="P841" s="500"/>
      <c r="Q841" s="500"/>
      <c r="R841" s="500"/>
      <c r="S841" s="500"/>
      <c r="T841" s="500"/>
      <c r="U841" s="500"/>
      <c r="V841" s="500"/>
      <c r="W841" s="500"/>
      <c r="X841" s="500"/>
      <c r="Y841" s="500"/>
      <c r="Z841" s="500"/>
    </row>
    <row r="842" spans="1:26" x14ac:dyDescent="0.3">
      <c r="A842" s="500"/>
      <c r="B842" s="500"/>
      <c r="C842" s="500"/>
      <c r="D842" s="500"/>
      <c r="E842" s="500"/>
      <c r="F842" s="500"/>
      <c r="G842" s="500"/>
      <c r="H842" s="500"/>
      <c r="I842" s="500"/>
      <c r="J842" s="500"/>
      <c r="K842" s="500"/>
      <c r="L842" s="500"/>
      <c r="M842" s="500"/>
      <c r="N842" s="500"/>
      <c r="O842" s="500"/>
      <c r="P842" s="500"/>
      <c r="Q842" s="500"/>
      <c r="R842" s="500"/>
      <c r="S842" s="500"/>
      <c r="T842" s="500"/>
      <c r="U842" s="500"/>
      <c r="V842" s="500"/>
      <c r="W842" s="500"/>
      <c r="X842" s="500"/>
      <c r="Y842" s="500"/>
      <c r="Z842" s="500"/>
    </row>
    <row r="843" spans="1:26" x14ac:dyDescent="0.3">
      <c r="A843" s="500"/>
      <c r="B843" s="500"/>
      <c r="C843" s="500"/>
      <c r="D843" s="500"/>
      <c r="E843" s="500"/>
      <c r="F843" s="500"/>
      <c r="G843" s="500"/>
      <c r="H843" s="500"/>
      <c r="I843" s="500"/>
      <c r="J843" s="500"/>
      <c r="K843" s="500"/>
      <c r="L843" s="500"/>
      <c r="M843" s="500"/>
      <c r="N843" s="500"/>
      <c r="O843" s="500"/>
      <c r="P843" s="500"/>
      <c r="Q843" s="500"/>
      <c r="R843" s="500"/>
      <c r="S843" s="500"/>
      <c r="T843" s="500"/>
      <c r="U843" s="500"/>
      <c r="V843" s="500"/>
      <c r="W843" s="500"/>
      <c r="X843" s="500"/>
      <c r="Y843" s="500"/>
      <c r="Z843" s="500"/>
    </row>
    <row r="844" spans="1:26" x14ac:dyDescent="0.3">
      <c r="A844" s="500"/>
      <c r="B844" s="500"/>
      <c r="C844" s="500"/>
      <c r="D844" s="500"/>
      <c r="E844" s="500"/>
      <c r="F844" s="500"/>
      <c r="G844" s="500"/>
      <c r="H844" s="500"/>
      <c r="I844" s="500"/>
      <c r="J844" s="500"/>
      <c r="K844" s="500"/>
      <c r="L844" s="500"/>
      <c r="M844" s="500"/>
      <c r="N844" s="500"/>
      <c r="O844" s="500"/>
      <c r="P844" s="500"/>
      <c r="Q844" s="500"/>
      <c r="R844" s="500"/>
      <c r="S844" s="500"/>
      <c r="T844" s="500"/>
      <c r="U844" s="500"/>
      <c r="V844" s="500"/>
      <c r="W844" s="500"/>
      <c r="X844" s="500"/>
      <c r="Y844" s="500"/>
      <c r="Z844" s="500"/>
    </row>
    <row r="845" spans="1:26" x14ac:dyDescent="0.3">
      <c r="A845" s="500"/>
      <c r="B845" s="500"/>
      <c r="C845" s="500"/>
      <c r="D845" s="500"/>
      <c r="E845" s="500"/>
      <c r="F845" s="500"/>
      <c r="G845" s="500"/>
      <c r="H845" s="500"/>
      <c r="I845" s="500"/>
      <c r="J845" s="500"/>
      <c r="K845" s="500"/>
      <c r="L845" s="500"/>
      <c r="M845" s="500"/>
      <c r="N845" s="500"/>
      <c r="O845" s="500"/>
      <c r="P845" s="500"/>
      <c r="Q845" s="500"/>
      <c r="R845" s="500"/>
      <c r="S845" s="500"/>
      <c r="T845" s="500"/>
      <c r="U845" s="500"/>
      <c r="V845" s="500"/>
      <c r="W845" s="500"/>
      <c r="X845" s="500"/>
      <c r="Y845" s="500"/>
      <c r="Z845" s="500"/>
    </row>
    <row r="846" spans="1:26" x14ac:dyDescent="0.3">
      <c r="A846" s="500"/>
      <c r="B846" s="500"/>
      <c r="C846" s="500"/>
      <c r="D846" s="500"/>
      <c r="E846" s="500"/>
      <c r="F846" s="500"/>
      <c r="G846" s="500"/>
      <c r="H846" s="500"/>
      <c r="I846" s="500"/>
      <c r="J846" s="500"/>
      <c r="K846" s="500"/>
      <c r="L846" s="500"/>
      <c r="M846" s="500"/>
      <c r="N846" s="500"/>
      <c r="O846" s="500"/>
      <c r="P846" s="500"/>
      <c r="Q846" s="500"/>
      <c r="R846" s="500"/>
      <c r="S846" s="500"/>
      <c r="T846" s="500"/>
      <c r="U846" s="500"/>
      <c r="V846" s="500"/>
      <c r="W846" s="500"/>
      <c r="X846" s="500"/>
      <c r="Y846" s="500"/>
      <c r="Z846" s="500"/>
    </row>
    <row r="847" spans="1:26" x14ac:dyDescent="0.3">
      <c r="A847" s="500"/>
      <c r="B847" s="500"/>
      <c r="C847" s="500"/>
      <c r="D847" s="500"/>
      <c r="E847" s="500"/>
      <c r="F847" s="500"/>
      <c r="G847" s="500"/>
      <c r="H847" s="500"/>
      <c r="I847" s="500"/>
      <c r="J847" s="500"/>
      <c r="K847" s="500"/>
      <c r="L847" s="500"/>
      <c r="M847" s="500"/>
      <c r="N847" s="500"/>
      <c r="O847" s="500"/>
      <c r="P847" s="500"/>
      <c r="Q847" s="500"/>
      <c r="R847" s="500"/>
      <c r="S847" s="500"/>
      <c r="T847" s="500"/>
      <c r="U847" s="500"/>
      <c r="V847" s="500"/>
      <c r="W847" s="500"/>
      <c r="X847" s="500"/>
      <c r="Y847" s="500"/>
      <c r="Z847" s="500"/>
    </row>
    <row r="848" spans="1:26" x14ac:dyDescent="0.3">
      <c r="A848" s="500"/>
      <c r="B848" s="500"/>
      <c r="C848" s="500"/>
      <c r="D848" s="500"/>
      <c r="E848" s="500"/>
      <c r="F848" s="500"/>
      <c r="G848" s="500"/>
      <c r="H848" s="500"/>
      <c r="I848" s="500"/>
      <c r="J848" s="500"/>
      <c r="K848" s="500"/>
      <c r="L848" s="500"/>
      <c r="M848" s="500"/>
      <c r="N848" s="500"/>
      <c r="O848" s="500"/>
      <c r="P848" s="500"/>
      <c r="Q848" s="500"/>
      <c r="R848" s="500"/>
      <c r="S848" s="500"/>
      <c r="T848" s="500"/>
      <c r="U848" s="500"/>
      <c r="V848" s="500"/>
      <c r="W848" s="500"/>
      <c r="X848" s="500"/>
      <c r="Y848" s="500"/>
      <c r="Z848" s="500"/>
    </row>
    <row r="849" spans="1:26" x14ac:dyDescent="0.3">
      <c r="A849" s="500"/>
      <c r="B849" s="500"/>
      <c r="C849" s="500"/>
      <c r="D849" s="500"/>
      <c r="E849" s="500"/>
      <c r="F849" s="500"/>
      <c r="G849" s="500"/>
      <c r="H849" s="500"/>
      <c r="I849" s="500"/>
      <c r="J849" s="500"/>
      <c r="K849" s="500"/>
      <c r="L849" s="500"/>
      <c r="M849" s="500"/>
      <c r="N849" s="500"/>
      <c r="O849" s="500"/>
      <c r="P849" s="500"/>
      <c r="Q849" s="500"/>
      <c r="R849" s="500"/>
      <c r="S849" s="500"/>
      <c r="T849" s="500"/>
      <c r="U849" s="500"/>
      <c r="V849" s="500"/>
      <c r="W849" s="500"/>
      <c r="X849" s="500"/>
      <c r="Y849" s="500"/>
      <c r="Z849" s="500"/>
    </row>
    <row r="850" spans="1:26" x14ac:dyDescent="0.3">
      <c r="A850" s="500"/>
      <c r="B850" s="500"/>
      <c r="C850" s="500"/>
      <c r="D850" s="500"/>
      <c r="E850" s="500"/>
      <c r="F850" s="500"/>
      <c r="G850" s="500"/>
      <c r="H850" s="500"/>
      <c r="I850" s="500"/>
      <c r="J850" s="500"/>
      <c r="K850" s="500"/>
      <c r="L850" s="500"/>
      <c r="M850" s="500"/>
      <c r="N850" s="500"/>
      <c r="O850" s="500"/>
      <c r="P850" s="500"/>
      <c r="Q850" s="500"/>
      <c r="R850" s="500"/>
      <c r="S850" s="500"/>
      <c r="T850" s="500"/>
      <c r="U850" s="500"/>
      <c r="V850" s="500"/>
      <c r="W850" s="500"/>
      <c r="X850" s="500"/>
      <c r="Y850" s="500"/>
      <c r="Z850" s="500"/>
    </row>
    <row r="851" spans="1:26" x14ac:dyDescent="0.3">
      <c r="A851" s="500"/>
      <c r="B851" s="500"/>
      <c r="C851" s="500"/>
      <c r="D851" s="500"/>
      <c r="E851" s="500"/>
      <c r="F851" s="500"/>
      <c r="G851" s="500"/>
      <c r="H851" s="500"/>
      <c r="I851" s="500"/>
      <c r="J851" s="500"/>
      <c r="K851" s="500"/>
      <c r="L851" s="500"/>
      <c r="M851" s="500"/>
      <c r="N851" s="500"/>
      <c r="O851" s="500"/>
      <c r="P851" s="500"/>
      <c r="Q851" s="500"/>
      <c r="R851" s="500"/>
      <c r="S851" s="500"/>
      <c r="T851" s="500"/>
      <c r="U851" s="500"/>
      <c r="V851" s="500"/>
      <c r="W851" s="500"/>
      <c r="X851" s="500"/>
      <c r="Y851" s="500"/>
      <c r="Z851" s="500"/>
    </row>
    <row r="852" spans="1:26" x14ac:dyDescent="0.3">
      <c r="A852" s="500"/>
      <c r="B852" s="500"/>
      <c r="C852" s="500"/>
      <c r="D852" s="500"/>
      <c r="E852" s="500"/>
      <c r="F852" s="500"/>
      <c r="G852" s="500"/>
      <c r="H852" s="500"/>
      <c r="I852" s="500"/>
      <c r="J852" s="500"/>
      <c r="K852" s="500"/>
      <c r="L852" s="500"/>
      <c r="M852" s="500"/>
      <c r="N852" s="500"/>
      <c r="O852" s="500"/>
      <c r="P852" s="500"/>
      <c r="Q852" s="500"/>
      <c r="R852" s="500"/>
      <c r="S852" s="500"/>
      <c r="T852" s="500"/>
      <c r="U852" s="500"/>
      <c r="V852" s="500"/>
      <c r="W852" s="500"/>
      <c r="X852" s="500"/>
      <c r="Y852" s="500"/>
      <c r="Z852" s="500"/>
    </row>
    <row r="853" spans="1:26" x14ac:dyDescent="0.3">
      <c r="A853" s="500"/>
      <c r="B853" s="500"/>
      <c r="C853" s="500"/>
      <c r="D853" s="500"/>
      <c r="E853" s="500"/>
      <c r="F853" s="500"/>
      <c r="G853" s="500"/>
      <c r="H853" s="500"/>
      <c r="I853" s="500"/>
      <c r="J853" s="500"/>
      <c r="K853" s="500"/>
      <c r="L853" s="500"/>
      <c r="M853" s="500"/>
      <c r="N853" s="500"/>
      <c r="O853" s="500"/>
      <c r="P853" s="500"/>
      <c r="Q853" s="500"/>
      <c r="R853" s="500"/>
      <c r="S853" s="500"/>
      <c r="T853" s="500"/>
      <c r="U853" s="500"/>
      <c r="V853" s="500"/>
      <c r="W853" s="500"/>
      <c r="X853" s="500"/>
      <c r="Y853" s="500"/>
      <c r="Z853" s="500"/>
    </row>
    <row r="854" spans="1:26" x14ac:dyDescent="0.3">
      <c r="A854" s="500"/>
      <c r="B854" s="500"/>
      <c r="C854" s="500"/>
      <c r="D854" s="500"/>
      <c r="E854" s="500"/>
      <c r="F854" s="500"/>
      <c r="G854" s="500"/>
      <c r="H854" s="500"/>
      <c r="I854" s="500"/>
      <c r="J854" s="500"/>
      <c r="K854" s="500"/>
      <c r="L854" s="500"/>
      <c r="M854" s="500"/>
      <c r="N854" s="500"/>
      <c r="O854" s="500"/>
      <c r="P854" s="500"/>
      <c r="Q854" s="500"/>
      <c r="R854" s="500"/>
      <c r="S854" s="500"/>
      <c r="T854" s="500"/>
      <c r="U854" s="500"/>
      <c r="V854" s="500"/>
      <c r="W854" s="500"/>
      <c r="X854" s="500"/>
      <c r="Y854" s="500"/>
      <c r="Z854" s="500"/>
    </row>
    <row r="855" spans="1:26" x14ac:dyDescent="0.3">
      <c r="A855" s="500"/>
      <c r="B855" s="500"/>
      <c r="C855" s="500"/>
      <c r="D855" s="500"/>
      <c r="E855" s="500"/>
      <c r="F855" s="500"/>
      <c r="G855" s="500"/>
      <c r="H855" s="500"/>
      <c r="I855" s="500"/>
      <c r="J855" s="500"/>
      <c r="K855" s="500"/>
      <c r="L855" s="500"/>
      <c r="M855" s="500"/>
      <c r="N855" s="500"/>
      <c r="O855" s="500"/>
      <c r="P855" s="500"/>
      <c r="Q855" s="500"/>
      <c r="R855" s="500"/>
      <c r="S855" s="500"/>
      <c r="T855" s="500"/>
      <c r="U855" s="500"/>
      <c r="V855" s="500"/>
      <c r="W855" s="500"/>
      <c r="X855" s="500"/>
      <c r="Y855" s="500"/>
      <c r="Z855" s="500"/>
    </row>
    <row r="856" spans="1:26" x14ac:dyDescent="0.3">
      <c r="A856" s="500"/>
      <c r="B856" s="500"/>
      <c r="C856" s="500"/>
      <c r="D856" s="500"/>
      <c r="E856" s="500"/>
      <c r="F856" s="500"/>
      <c r="G856" s="500"/>
      <c r="H856" s="500"/>
      <c r="I856" s="500"/>
      <c r="J856" s="500"/>
      <c r="K856" s="500"/>
      <c r="L856" s="500"/>
      <c r="M856" s="500"/>
      <c r="N856" s="500"/>
      <c r="O856" s="500"/>
      <c r="P856" s="500"/>
      <c r="Q856" s="500"/>
      <c r="R856" s="500"/>
      <c r="S856" s="500"/>
      <c r="T856" s="500"/>
      <c r="U856" s="500"/>
      <c r="V856" s="500"/>
      <c r="W856" s="500"/>
      <c r="X856" s="500"/>
      <c r="Y856" s="500"/>
      <c r="Z856" s="500"/>
    </row>
    <row r="857" spans="1:26" x14ac:dyDescent="0.3">
      <c r="A857" s="500"/>
      <c r="B857" s="500"/>
      <c r="C857" s="500"/>
      <c r="D857" s="500"/>
      <c r="E857" s="500"/>
      <c r="F857" s="500"/>
      <c r="G857" s="500"/>
      <c r="H857" s="500"/>
      <c r="I857" s="500"/>
      <c r="J857" s="500"/>
      <c r="K857" s="500"/>
      <c r="L857" s="500"/>
      <c r="M857" s="500"/>
      <c r="N857" s="500"/>
      <c r="O857" s="500"/>
      <c r="P857" s="500"/>
      <c r="Q857" s="500"/>
      <c r="R857" s="500"/>
      <c r="S857" s="500"/>
      <c r="T857" s="500"/>
      <c r="U857" s="500"/>
      <c r="V857" s="500"/>
      <c r="W857" s="500"/>
      <c r="X857" s="500"/>
      <c r="Y857" s="500"/>
      <c r="Z857" s="500"/>
    </row>
    <row r="858" spans="1:26" x14ac:dyDescent="0.3">
      <c r="A858" s="500"/>
      <c r="B858" s="500"/>
      <c r="C858" s="500"/>
      <c r="D858" s="500"/>
      <c r="E858" s="500"/>
      <c r="F858" s="500"/>
      <c r="G858" s="500"/>
      <c r="H858" s="500"/>
      <c r="I858" s="500"/>
      <c r="J858" s="500"/>
      <c r="K858" s="500"/>
      <c r="L858" s="500"/>
      <c r="M858" s="500"/>
      <c r="N858" s="500"/>
      <c r="O858" s="500"/>
      <c r="P858" s="500"/>
      <c r="Q858" s="500"/>
      <c r="R858" s="500"/>
      <c r="S858" s="500"/>
      <c r="T858" s="500"/>
      <c r="U858" s="500"/>
      <c r="V858" s="500"/>
      <c r="W858" s="500"/>
      <c r="X858" s="500"/>
      <c r="Y858" s="500"/>
      <c r="Z858" s="500"/>
    </row>
    <row r="859" spans="1:26" x14ac:dyDescent="0.3">
      <c r="A859" s="500"/>
      <c r="B859" s="500"/>
      <c r="C859" s="500"/>
      <c r="D859" s="500"/>
      <c r="E859" s="500"/>
      <c r="F859" s="500"/>
      <c r="G859" s="500"/>
      <c r="H859" s="500"/>
      <c r="I859" s="500"/>
      <c r="J859" s="500"/>
      <c r="K859" s="500"/>
      <c r="L859" s="500"/>
      <c r="M859" s="500"/>
      <c r="N859" s="500"/>
      <c r="O859" s="500"/>
      <c r="P859" s="500"/>
      <c r="Q859" s="500"/>
      <c r="R859" s="500"/>
      <c r="S859" s="500"/>
      <c r="T859" s="500"/>
      <c r="U859" s="500"/>
      <c r="V859" s="500"/>
      <c r="W859" s="500"/>
      <c r="X859" s="500"/>
      <c r="Y859" s="500"/>
      <c r="Z859" s="500"/>
    </row>
    <row r="860" spans="1:26" x14ac:dyDescent="0.3">
      <c r="A860" s="500"/>
      <c r="B860" s="500"/>
      <c r="C860" s="500"/>
      <c r="D860" s="500"/>
      <c r="E860" s="500"/>
      <c r="F860" s="500"/>
      <c r="G860" s="500"/>
      <c r="H860" s="500"/>
      <c r="I860" s="500"/>
      <c r="J860" s="500"/>
      <c r="K860" s="500"/>
      <c r="L860" s="500"/>
      <c r="M860" s="500"/>
      <c r="N860" s="500"/>
      <c r="O860" s="500"/>
      <c r="P860" s="500"/>
      <c r="Q860" s="500"/>
      <c r="R860" s="500"/>
      <c r="S860" s="500"/>
      <c r="T860" s="500"/>
      <c r="U860" s="500"/>
      <c r="V860" s="500"/>
      <c r="W860" s="500"/>
      <c r="X860" s="500"/>
      <c r="Y860" s="500"/>
      <c r="Z860" s="500"/>
    </row>
    <row r="861" spans="1:26" x14ac:dyDescent="0.3">
      <c r="A861" s="500"/>
      <c r="B861" s="500"/>
      <c r="C861" s="500"/>
      <c r="D861" s="500"/>
      <c r="E861" s="500"/>
      <c r="F861" s="500"/>
      <c r="G861" s="500"/>
      <c r="H861" s="500"/>
      <c r="I861" s="500"/>
      <c r="J861" s="500"/>
      <c r="K861" s="500"/>
      <c r="L861" s="500"/>
      <c r="M861" s="500"/>
      <c r="N861" s="500"/>
      <c r="O861" s="500"/>
      <c r="P861" s="500"/>
      <c r="Q861" s="500"/>
      <c r="R861" s="500"/>
      <c r="S861" s="500"/>
      <c r="T861" s="500"/>
      <c r="U861" s="500"/>
      <c r="V861" s="500"/>
      <c r="W861" s="500"/>
      <c r="X861" s="500"/>
      <c r="Y861" s="500"/>
      <c r="Z861" s="500"/>
    </row>
    <row r="862" spans="1:26" x14ac:dyDescent="0.3">
      <c r="A862" s="500"/>
      <c r="B862" s="500"/>
      <c r="C862" s="500"/>
      <c r="D862" s="500"/>
      <c r="E862" s="500"/>
      <c r="F862" s="500"/>
      <c r="G862" s="500"/>
      <c r="H862" s="500"/>
      <c r="I862" s="500"/>
      <c r="J862" s="500"/>
      <c r="K862" s="500"/>
      <c r="L862" s="500"/>
      <c r="M862" s="500"/>
      <c r="N862" s="500"/>
      <c r="O862" s="500"/>
      <c r="P862" s="500"/>
      <c r="Q862" s="500"/>
      <c r="R862" s="500"/>
      <c r="S862" s="500"/>
      <c r="T862" s="500"/>
      <c r="U862" s="500"/>
      <c r="V862" s="500"/>
      <c r="W862" s="500"/>
      <c r="X862" s="500"/>
      <c r="Y862" s="500"/>
      <c r="Z862" s="500"/>
    </row>
    <row r="863" spans="1:26" x14ac:dyDescent="0.3">
      <c r="A863" s="500"/>
      <c r="B863" s="500"/>
      <c r="C863" s="500"/>
      <c r="D863" s="500"/>
      <c r="E863" s="500"/>
      <c r="F863" s="500"/>
      <c r="G863" s="500"/>
      <c r="H863" s="500"/>
      <c r="I863" s="500"/>
      <c r="J863" s="500"/>
      <c r="K863" s="500"/>
      <c r="L863" s="500"/>
      <c r="M863" s="500"/>
      <c r="N863" s="500"/>
      <c r="O863" s="500"/>
      <c r="P863" s="500"/>
      <c r="Q863" s="500"/>
      <c r="R863" s="500"/>
      <c r="S863" s="500"/>
      <c r="T863" s="500"/>
      <c r="U863" s="500"/>
      <c r="V863" s="500"/>
      <c r="W863" s="500"/>
      <c r="X863" s="500"/>
      <c r="Y863" s="500"/>
      <c r="Z863" s="500"/>
    </row>
    <row r="864" spans="1:26" x14ac:dyDescent="0.3">
      <c r="A864" s="500"/>
      <c r="B864" s="500"/>
      <c r="C864" s="500"/>
      <c r="D864" s="500"/>
      <c r="E864" s="500"/>
      <c r="F864" s="500"/>
      <c r="G864" s="500"/>
      <c r="H864" s="500"/>
      <c r="I864" s="500"/>
      <c r="J864" s="500"/>
      <c r="K864" s="500"/>
      <c r="L864" s="500"/>
      <c r="M864" s="500"/>
      <c r="N864" s="500"/>
      <c r="O864" s="500"/>
      <c r="P864" s="500"/>
      <c r="Q864" s="500"/>
      <c r="R864" s="500"/>
      <c r="S864" s="500"/>
      <c r="T864" s="500"/>
      <c r="U864" s="500"/>
      <c r="V864" s="500"/>
      <c r="W864" s="500"/>
      <c r="X864" s="500"/>
      <c r="Y864" s="500"/>
      <c r="Z864" s="500"/>
    </row>
    <row r="865" spans="1:26" x14ac:dyDescent="0.3">
      <c r="A865" s="500"/>
      <c r="B865" s="500"/>
      <c r="C865" s="500"/>
      <c r="D865" s="500"/>
      <c r="E865" s="500"/>
      <c r="F865" s="500"/>
      <c r="G865" s="500"/>
      <c r="H865" s="500"/>
      <c r="I865" s="500"/>
      <c r="J865" s="500"/>
      <c r="K865" s="500"/>
      <c r="L865" s="500"/>
      <c r="M865" s="500"/>
      <c r="N865" s="500"/>
      <c r="O865" s="500"/>
      <c r="P865" s="500"/>
      <c r="Q865" s="500"/>
      <c r="R865" s="500"/>
      <c r="S865" s="500"/>
      <c r="T865" s="500"/>
      <c r="U865" s="500"/>
      <c r="V865" s="500"/>
      <c r="W865" s="500"/>
      <c r="X865" s="500"/>
      <c r="Y865" s="500"/>
      <c r="Z865" s="500"/>
    </row>
    <row r="866" spans="1:26" x14ac:dyDescent="0.3">
      <c r="A866" s="500"/>
      <c r="B866" s="500"/>
      <c r="C866" s="500"/>
      <c r="D866" s="500"/>
      <c r="E866" s="500"/>
      <c r="F866" s="500"/>
      <c r="G866" s="500"/>
      <c r="H866" s="500"/>
      <c r="I866" s="500"/>
      <c r="J866" s="500"/>
      <c r="K866" s="500"/>
      <c r="L866" s="500"/>
      <c r="M866" s="500"/>
      <c r="N866" s="500"/>
      <c r="O866" s="500"/>
      <c r="P866" s="500"/>
      <c r="Q866" s="500"/>
      <c r="R866" s="500"/>
      <c r="S866" s="500"/>
      <c r="T866" s="500"/>
      <c r="U866" s="500"/>
      <c r="V866" s="500"/>
      <c r="W866" s="500"/>
      <c r="X866" s="500"/>
      <c r="Y866" s="500"/>
      <c r="Z866" s="500"/>
    </row>
    <row r="867" spans="1:26" x14ac:dyDescent="0.3">
      <c r="A867" s="500"/>
      <c r="B867" s="500"/>
      <c r="C867" s="500"/>
      <c r="D867" s="500"/>
      <c r="E867" s="500"/>
      <c r="F867" s="500"/>
      <c r="G867" s="500"/>
      <c r="H867" s="500"/>
      <c r="I867" s="500"/>
      <c r="J867" s="500"/>
      <c r="K867" s="500"/>
      <c r="L867" s="500"/>
      <c r="M867" s="500"/>
      <c r="N867" s="500"/>
      <c r="O867" s="500"/>
      <c r="P867" s="500"/>
      <c r="Q867" s="500"/>
      <c r="R867" s="500"/>
      <c r="S867" s="500"/>
      <c r="T867" s="500"/>
      <c r="U867" s="500"/>
      <c r="V867" s="500"/>
      <c r="W867" s="500"/>
      <c r="X867" s="500"/>
      <c r="Y867" s="500"/>
      <c r="Z867" s="500"/>
    </row>
    <row r="868" spans="1:26" x14ac:dyDescent="0.3">
      <c r="A868" s="500"/>
      <c r="B868" s="500"/>
      <c r="C868" s="500"/>
      <c r="D868" s="500"/>
      <c r="E868" s="500"/>
      <c r="F868" s="500"/>
      <c r="G868" s="500"/>
      <c r="H868" s="500"/>
      <c r="I868" s="500"/>
      <c r="J868" s="500"/>
      <c r="K868" s="500"/>
      <c r="L868" s="500"/>
      <c r="M868" s="500"/>
      <c r="N868" s="500"/>
      <c r="O868" s="500"/>
      <c r="P868" s="500"/>
      <c r="Q868" s="500"/>
      <c r="R868" s="500"/>
      <c r="S868" s="500"/>
      <c r="T868" s="500"/>
      <c r="U868" s="500"/>
      <c r="V868" s="500"/>
      <c r="W868" s="500"/>
      <c r="X868" s="500"/>
      <c r="Y868" s="500"/>
      <c r="Z868" s="500"/>
    </row>
    <row r="869" spans="1:26" x14ac:dyDescent="0.3">
      <c r="A869" s="500"/>
      <c r="B869" s="500"/>
      <c r="C869" s="500"/>
      <c r="D869" s="500"/>
      <c r="E869" s="500"/>
      <c r="F869" s="500"/>
      <c r="G869" s="500"/>
      <c r="H869" s="500"/>
      <c r="I869" s="500"/>
      <c r="J869" s="500"/>
      <c r="K869" s="500"/>
      <c r="L869" s="500"/>
      <c r="M869" s="500"/>
      <c r="N869" s="500"/>
      <c r="O869" s="500"/>
      <c r="P869" s="500"/>
      <c r="Q869" s="500"/>
      <c r="R869" s="500"/>
      <c r="S869" s="500"/>
      <c r="T869" s="500"/>
      <c r="U869" s="500"/>
      <c r="V869" s="500"/>
      <c r="W869" s="500"/>
      <c r="X869" s="500"/>
      <c r="Y869" s="500"/>
      <c r="Z869" s="500"/>
    </row>
    <row r="870" spans="1:26" x14ac:dyDescent="0.3">
      <c r="A870" s="500"/>
      <c r="B870" s="500"/>
      <c r="C870" s="500"/>
      <c r="D870" s="500"/>
      <c r="E870" s="500"/>
      <c r="F870" s="500"/>
      <c r="G870" s="500"/>
      <c r="H870" s="500"/>
      <c r="I870" s="500"/>
      <c r="J870" s="500"/>
      <c r="K870" s="500"/>
      <c r="L870" s="500"/>
      <c r="M870" s="500"/>
      <c r="N870" s="500"/>
      <c r="O870" s="500"/>
      <c r="P870" s="500"/>
      <c r="Q870" s="500"/>
      <c r="R870" s="500"/>
      <c r="S870" s="500"/>
      <c r="T870" s="500"/>
      <c r="U870" s="500"/>
      <c r="V870" s="500"/>
      <c r="W870" s="500"/>
      <c r="X870" s="500"/>
      <c r="Y870" s="500"/>
      <c r="Z870" s="500"/>
    </row>
    <row r="871" spans="1:26" x14ac:dyDescent="0.3">
      <c r="A871" s="500"/>
      <c r="B871" s="500"/>
      <c r="C871" s="500"/>
      <c r="D871" s="500"/>
      <c r="E871" s="500"/>
      <c r="F871" s="500"/>
      <c r="G871" s="500"/>
      <c r="H871" s="500"/>
      <c r="I871" s="500"/>
      <c r="J871" s="500"/>
      <c r="K871" s="500"/>
      <c r="L871" s="500"/>
      <c r="M871" s="500"/>
      <c r="N871" s="500"/>
      <c r="O871" s="500"/>
      <c r="P871" s="500"/>
      <c r="Q871" s="500"/>
      <c r="R871" s="500"/>
      <c r="S871" s="500"/>
      <c r="T871" s="500"/>
      <c r="U871" s="500"/>
      <c r="V871" s="500"/>
      <c r="W871" s="500"/>
      <c r="X871" s="500"/>
      <c r="Y871" s="500"/>
      <c r="Z871" s="500"/>
    </row>
    <row r="872" spans="1:26" x14ac:dyDescent="0.3">
      <c r="A872" s="500"/>
      <c r="B872" s="500"/>
      <c r="C872" s="500"/>
      <c r="D872" s="500"/>
      <c r="E872" s="500"/>
      <c r="F872" s="500"/>
      <c r="G872" s="500"/>
      <c r="H872" s="500"/>
      <c r="I872" s="500"/>
      <c r="J872" s="500"/>
      <c r="K872" s="500"/>
      <c r="L872" s="500"/>
      <c r="M872" s="500"/>
      <c r="N872" s="500"/>
      <c r="O872" s="500"/>
      <c r="P872" s="500"/>
      <c r="Q872" s="500"/>
      <c r="R872" s="500"/>
      <c r="S872" s="500"/>
      <c r="T872" s="500"/>
      <c r="U872" s="500"/>
      <c r="V872" s="500"/>
      <c r="W872" s="500"/>
      <c r="X872" s="500"/>
      <c r="Y872" s="500"/>
      <c r="Z872" s="500"/>
    </row>
    <row r="873" spans="1:26" x14ac:dyDescent="0.3">
      <c r="A873" s="500"/>
      <c r="B873" s="500"/>
      <c r="C873" s="500"/>
      <c r="D873" s="500"/>
      <c r="E873" s="500"/>
      <c r="F873" s="500"/>
      <c r="G873" s="500"/>
      <c r="H873" s="500"/>
      <c r="I873" s="500"/>
      <c r="J873" s="500"/>
      <c r="K873" s="500"/>
      <c r="L873" s="500"/>
      <c r="M873" s="500"/>
      <c r="N873" s="500"/>
      <c r="O873" s="500"/>
      <c r="P873" s="500"/>
      <c r="Q873" s="500"/>
      <c r="R873" s="500"/>
      <c r="S873" s="500"/>
      <c r="T873" s="500"/>
      <c r="U873" s="500"/>
      <c r="V873" s="500"/>
      <c r="W873" s="500"/>
      <c r="X873" s="500"/>
      <c r="Y873" s="500"/>
      <c r="Z873" s="500"/>
    </row>
    <row r="874" spans="1:26" x14ac:dyDescent="0.3">
      <c r="A874" s="500"/>
      <c r="B874" s="500"/>
      <c r="C874" s="500"/>
      <c r="D874" s="500"/>
      <c r="E874" s="500"/>
      <c r="F874" s="500"/>
      <c r="G874" s="500"/>
      <c r="H874" s="500"/>
      <c r="I874" s="500"/>
      <c r="J874" s="500"/>
      <c r="K874" s="500"/>
      <c r="L874" s="500"/>
      <c r="M874" s="500"/>
      <c r="N874" s="500"/>
      <c r="O874" s="500"/>
      <c r="P874" s="500"/>
      <c r="Q874" s="500"/>
      <c r="R874" s="500"/>
      <c r="S874" s="500"/>
      <c r="T874" s="500"/>
      <c r="U874" s="500"/>
      <c r="V874" s="500"/>
      <c r="W874" s="500"/>
      <c r="X874" s="500"/>
      <c r="Y874" s="500"/>
      <c r="Z874" s="500"/>
    </row>
    <row r="875" spans="1:26" x14ac:dyDescent="0.3">
      <c r="A875" s="500"/>
      <c r="B875" s="500"/>
      <c r="C875" s="500"/>
      <c r="D875" s="500"/>
      <c r="E875" s="500"/>
      <c r="F875" s="500"/>
      <c r="G875" s="500"/>
      <c r="H875" s="500"/>
      <c r="I875" s="500"/>
      <c r="J875" s="500"/>
      <c r="K875" s="500"/>
      <c r="L875" s="500"/>
      <c r="M875" s="500"/>
      <c r="N875" s="500"/>
      <c r="O875" s="500"/>
      <c r="P875" s="500"/>
      <c r="Q875" s="500"/>
      <c r="R875" s="500"/>
      <c r="S875" s="500"/>
      <c r="T875" s="500"/>
      <c r="U875" s="500"/>
      <c r="V875" s="500"/>
      <c r="W875" s="500"/>
      <c r="X875" s="500"/>
      <c r="Y875" s="500"/>
      <c r="Z875" s="500"/>
    </row>
    <row r="876" spans="1:26" x14ac:dyDescent="0.3">
      <c r="A876" s="500"/>
      <c r="B876" s="500"/>
      <c r="C876" s="500"/>
      <c r="D876" s="500"/>
      <c r="E876" s="500"/>
      <c r="F876" s="500"/>
      <c r="G876" s="500"/>
      <c r="H876" s="500"/>
      <c r="I876" s="500"/>
      <c r="J876" s="500"/>
      <c r="K876" s="500"/>
      <c r="L876" s="500"/>
      <c r="M876" s="500"/>
      <c r="N876" s="500"/>
      <c r="O876" s="500"/>
      <c r="P876" s="500"/>
      <c r="Q876" s="500"/>
      <c r="R876" s="500"/>
      <c r="S876" s="500"/>
      <c r="T876" s="500"/>
      <c r="U876" s="500"/>
      <c r="V876" s="500"/>
      <c r="W876" s="500"/>
      <c r="X876" s="500"/>
      <c r="Y876" s="500"/>
      <c r="Z876" s="500"/>
    </row>
    <row r="877" spans="1:26" x14ac:dyDescent="0.3">
      <c r="A877" s="500"/>
      <c r="B877" s="500"/>
      <c r="C877" s="500"/>
      <c r="D877" s="500"/>
      <c r="E877" s="500"/>
      <c r="F877" s="500"/>
      <c r="G877" s="500"/>
      <c r="H877" s="500"/>
      <c r="I877" s="500"/>
      <c r="J877" s="500"/>
      <c r="K877" s="500"/>
      <c r="L877" s="500"/>
      <c r="M877" s="500"/>
      <c r="N877" s="500"/>
      <c r="O877" s="500"/>
      <c r="P877" s="500"/>
      <c r="Q877" s="500"/>
      <c r="R877" s="500"/>
      <c r="S877" s="500"/>
      <c r="T877" s="500"/>
      <c r="U877" s="500"/>
      <c r="V877" s="500"/>
      <c r="W877" s="500"/>
      <c r="X877" s="500"/>
      <c r="Y877" s="500"/>
      <c r="Z877" s="500"/>
    </row>
    <row r="878" spans="1:26" x14ac:dyDescent="0.3">
      <c r="A878" s="500"/>
      <c r="B878" s="500"/>
      <c r="C878" s="500"/>
      <c r="D878" s="500"/>
      <c r="E878" s="500"/>
      <c r="F878" s="500"/>
      <c r="G878" s="500"/>
      <c r="H878" s="500"/>
      <c r="I878" s="500"/>
      <c r="J878" s="500"/>
      <c r="K878" s="500"/>
      <c r="L878" s="500"/>
      <c r="M878" s="500"/>
      <c r="N878" s="500"/>
      <c r="O878" s="500"/>
      <c r="P878" s="500"/>
      <c r="Q878" s="500"/>
      <c r="R878" s="500"/>
      <c r="S878" s="500"/>
      <c r="T878" s="500"/>
      <c r="U878" s="500"/>
      <c r="V878" s="500"/>
      <c r="W878" s="500"/>
      <c r="X878" s="500"/>
      <c r="Y878" s="500"/>
      <c r="Z878" s="500"/>
    </row>
    <row r="879" spans="1:26" x14ac:dyDescent="0.3">
      <c r="A879" s="500"/>
      <c r="B879" s="500"/>
      <c r="C879" s="500"/>
      <c r="D879" s="500"/>
      <c r="E879" s="500"/>
      <c r="F879" s="500"/>
      <c r="G879" s="500"/>
      <c r="H879" s="500"/>
      <c r="I879" s="500"/>
      <c r="J879" s="500"/>
      <c r="K879" s="500"/>
      <c r="L879" s="500"/>
      <c r="M879" s="500"/>
      <c r="N879" s="500"/>
      <c r="O879" s="500"/>
      <c r="P879" s="500"/>
      <c r="Q879" s="500"/>
      <c r="R879" s="500"/>
      <c r="S879" s="500"/>
      <c r="T879" s="500"/>
      <c r="U879" s="500"/>
      <c r="V879" s="500"/>
      <c r="W879" s="500"/>
      <c r="X879" s="500"/>
      <c r="Y879" s="500"/>
      <c r="Z879" s="500"/>
    </row>
    <row r="880" spans="1:26" x14ac:dyDescent="0.3">
      <c r="A880" s="500"/>
      <c r="B880" s="500"/>
      <c r="C880" s="500"/>
      <c r="D880" s="500"/>
      <c r="E880" s="500"/>
      <c r="F880" s="500"/>
      <c r="G880" s="500"/>
      <c r="H880" s="500"/>
      <c r="I880" s="500"/>
      <c r="J880" s="500"/>
      <c r="K880" s="500"/>
      <c r="L880" s="500"/>
      <c r="M880" s="500"/>
      <c r="N880" s="500"/>
      <c r="O880" s="500"/>
      <c r="P880" s="500"/>
      <c r="Q880" s="500"/>
      <c r="R880" s="500"/>
      <c r="S880" s="500"/>
      <c r="T880" s="500"/>
      <c r="U880" s="500"/>
      <c r="V880" s="500"/>
      <c r="W880" s="500"/>
      <c r="X880" s="500"/>
      <c r="Y880" s="500"/>
      <c r="Z880" s="500"/>
    </row>
    <row r="881" spans="1:26" x14ac:dyDescent="0.3">
      <c r="A881" s="500"/>
      <c r="B881" s="500"/>
      <c r="C881" s="500"/>
      <c r="D881" s="500"/>
      <c r="E881" s="500"/>
      <c r="F881" s="500"/>
      <c r="G881" s="500"/>
      <c r="H881" s="500"/>
      <c r="I881" s="500"/>
      <c r="J881" s="500"/>
      <c r="K881" s="500"/>
      <c r="L881" s="500"/>
      <c r="M881" s="500"/>
      <c r="N881" s="500"/>
      <c r="O881" s="500"/>
      <c r="P881" s="500"/>
      <c r="Q881" s="500"/>
      <c r="R881" s="500"/>
      <c r="S881" s="500"/>
      <c r="T881" s="500"/>
      <c r="U881" s="500"/>
      <c r="V881" s="500"/>
      <c r="W881" s="500"/>
      <c r="X881" s="500"/>
      <c r="Y881" s="500"/>
      <c r="Z881" s="500"/>
    </row>
    <row r="882" spans="1:26" x14ac:dyDescent="0.3">
      <c r="A882" s="500"/>
      <c r="B882" s="500"/>
      <c r="C882" s="500"/>
      <c r="D882" s="500"/>
      <c r="E882" s="500"/>
      <c r="F882" s="500"/>
      <c r="G882" s="500"/>
      <c r="H882" s="500"/>
      <c r="I882" s="500"/>
      <c r="J882" s="500"/>
      <c r="K882" s="500"/>
      <c r="L882" s="500"/>
      <c r="M882" s="500"/>
      <c r="N882" s="500"/>
      <c r="O882" s="500"/>
      <c r="P882" s="500"/>
      <c r="Q882" s="500"/>
      <c r="R882" s="500"/>
      <c r="S882" s="500"/>
      <c r="T882" s="500"/>
      <c r="U882" s="500"/>
      <c r="V882" s="500"/>
      <c r="W882" s="500"/>
      <c r="X882" s="500"/>
      <c r="Y882" s="500"/>
      <c r="Z882" s="500"/>
    </row>
    <row r="883" spans="1:26" x14ac:dyDescent="0.3">
      <c r="A883" s="500"/>
      <c r="B883" s="500"/>
      <c r="C883" s="500"/>
      <c r="D883" s="500"/>
      <c r="E883" s="500"/>
      <c r="F883" s="500"/>
      <c r="G883" s="500"/>
      <c r="H883" s="500"/>
      <c r="I883" s="500"/>
      <c r="J883" s="500"/>
      <c r="K883" s="500"/>
      <c r="L883" s="500"/>
      <c r="M883" s="500"/>
      <c r="N883" s="500"/>
      <c r="O883" s="500"/>
      <c r="P883" s="500"/>
      <c r="Q883" s="500"/>
      <c r="R883" s="500"/>
      <c r="S883" s="500"/>
      <c r="T883" s="500"/>
      <c r="U883" s="500"/>
      <c r="V883" s="500"/>
      <c r="W883" s="500"/>
      <c r="X883" s="500"/>
      <c r="Y883" s="500"/>
      <c r="Z883" s="500"/>
    </row>
    <row r="884" spans="1:26" x14ac:dyDescent="0.3">
      <c r="A884" s="500"/>
      <c r="B884" s="500"/>
      <c r="C884" s="500"/>
      <c r="D884" s="500"/>
      <c r="E884" s="500"/>
      <c r="F884" s="500"/>
      <c r="G884" s="500"/>
      <c r="H884" s="500"/>
      <c r="I884" s="500"/>
      <c r="J884" s="500"/>
      <c r="K884" s="500"/>
      <c r="L884" s="500"/>
      <c r="M884" s="500"/>
      <c r="N884" s="500"/>
      <c r="O884" s="500"/>
      <c r="P884" s="500"/>
      <c r="Q884" s="500"/>
      <c r="R884" s="500"/>
      <c r="S884" s="500"/>
      <c r="T884" s="500"/>
      <c r="U884" s="500"/>
      <c r="V884" s="500"/>
      <c r="W884" s="500"/>
      <c r="X884" s="500"/>
      <c r="Y884" s="500"/>
      <c r="Z884" s="500"/>
    </row>
    <row r="885" spans="1:26" x14ac:dyDescent="0.3">
      <c r="A885" s="500"/>
      <c r="B885" s="500"/>
      <c r="C885" s="500"/>
      <c r="D885" s="500"/>
      <c r="E885" s="500"/>
      <c r="F885" s="500"/>
      <c r="G885" s="500"/>
      <c r="H885" s="500"/>
      <c r="I885" s="500"/>
      <c r="J885" s="500"/>
      <c r="K885" s="500"/>
      <c r="L885" s="500"/>
      <c r="M885" s="500"/>
      <c r="N885" s="500"/>
      <c r="O885" s="500"/>
      <c r="P885" s="500"/>
      <c r="Q885" s="500"/>
      <c r="R885" s="500"/>
      <c r="S885" s="500"/>
      <c r="T885" s="500"/>
      <c r="U885" s="500"/>
      <c r="V885" s="500"/>
      <c r="W885" s="500"/>
      <c r="X885" s="500"/>
      <c r="Y885" s="500"/>
      <c r="Z885" s="500"/>
    </row>
    <row r="886" spans="1:26" x14ac:dyDescent="0.3">
      <c r="A886" s="500"/>
      <c r="B886" s="500"/>
      <c r="C886" s="500"/>
      <c r="D886" s="500"/>
      <c r="E886" s="500"/>
      <c r="F886" s="500"/>
      <c r="G886" s="500"/>
      <c r="H886" s="500"/>
      <c r="I886" s="500"/>
      <c r="J886" s="500"/>
      <c r="K886" s="500"/>
      <c r="L886" s="500"/>
      <c r="M886" s="500"/>
      <c r="N886" s="500"/>
      <c r="O886" s="500"/>
      <c r="P886" s="500"/>
      <c r="Q886" s="500"/>
      <c r="R886" s="500"/>
      <c r="S886" s="500"/>
      <c r="T886" s="500"/>
      <c r="U886" s="500"/>
      <c r="V886" s="500"/>
      <c r="W886" s="500"/>
      <c r="X886" s="500"/>
      <c r="Y886" s="500"/>
      <c r="Z886" s="500"/>
    </row>
    <row r="887" spans="1:26" x14ac:dyDescent="0.3">
      <c r="A887" s="500"/>
      <c r="B887" s="500"/>
      <c r="C887" s="500"/>
      <c r="D887" s="500"/>
      <c r="E887" s="500"/>
      <c r="F887" s="500"/>
      <c r="G887" s="500"/>
      <c r="H887" s="500"/>
      <c r="I887" s="500"/>
      <c r="J887" s="500"/>
      <c r="K887" s="500"/>
      <c r="L887" s="500"/>
      <c r="M887" s="500"/>
      <c r="N887" s="500"/>
      <c r="O887" s="500"/>
      <c r="P887" s="500"/>
      <c r="Q887" s="500"/>
      <c r="R887" s="500"/>
      <c r="S887" s="500"/>
      <c r="T887" s="500"/>
      <c r="U887" s="500"/>
      <c r="V887" s="500"/>
      <c r="W887" s="500"/>
      <c r="X887" s="500"/>
      <c r="Y887" s="500"/>
      <c r="Z887" s="500"/>
    </row>
    <row r="888" spans="1:26" x14ac:dyDescent="0.3">
      <c r="A888" s="500"/>
      <c r="B888" s="500"/>
      <c r="C888" s="500"/>
      <c r="D888" s="500"/>
      <c r="E888" s="500"/>
      <c r="F888" s="500"/>
      <c r="G888" s="500"/>
      <c r="H888" s="500"/>
      <c r="I888" s="500"/>
      <c r="J888" s="500"/>
      <c r="K888" s="500"/>
      <c r="L888" s="500"/>
      <c r="M888" s="500"/>
      <c r="N888" s="500"/>
      <c r="O888" s="500"/>
      <c r="P888" s="500"/>
      <c r="Q888" s="500"/>
      <c r="R888" s="500"/>
      <c r="S888" s="500"/>
      <c r="T888" s="500"/>
      <c r="U888" s="500"/>
      <c r="V888" s="500"/>
      <c r="W888" s="500"/>
      <c r="X888" s="500"/>
      <c r="Y888" s="500"/>
      <c r="Z888" s="500"/>
    </row>
    <row r="889" spans="1:26" x14ac:dyDescent="0.3">
      <c r="A889" s="500"/>
      <c r="B889" s="500"/>
      <c r="C889" s="500"/>
      <c r="D889" s="500"/>
      <c r="E889" s="500"/>
      <c r="F889" s="500"/>
      <c r="G889" s="500"/>
      <c r="H889" s="500"/>
      <c r="I889" s="500"/>
      <c r="J889" s="500"/>
      <c r="K889" s="500"/>
      <c r="L889" s="500"/>
      <c r="M889" s="500"/>
      <c r="N889" s="500"/>
      <c r="O889" s="500"/>
      <c r="P889" s="500"/>
      <c r="Q889" s="500"/>
      <c r="R889" s="500"/>
      <c r="S889" s="500"/>
      <c r="T889" s="500"/>
      <c r="U889" s="500"/>
      <c r="V889" s="500"/>
      <c r="W889" s="500"/>
      <c r="X889" s="500"/>
      <c r="Y889" s="500"/>
      <c r="Z889" s="500"/>
    </row>
    <row r="890" spans="1:26" x14ac:dyDescent="0.3">
      <c r="A890" s="500"/>
      <c r="B890" s="500"/>
      <c r="C890" s="500"/>
      <c r="D890" s="500"/>
      <c r="E890" s="500"/>
      <c r="F890" s="500"/>
      <c r="G890" s="500"/>
      <c r="H890" s="500"/>
      <c r="I890" s="500"/>
      <c r="J890" s="500"/>
      <c r="K890" s="500"/>
      <c r="L890" s="500"/>
      <c r="M890" s="500"/>
      <c r="N890" s="500"/>
      <c r="O890" s="500"/>
      <c r="P890" s="500"/>
      <c r="Q890" s="500"/>
      <c r="R890" s="500"/>
      <c r="S890" s="500"/>
      <c r="T890" s="500"/>
      <c r="U890" s="500"/>
      <c r="V890" s="500"/>
      <c r="W890" s="500"/>
      <c r="X890" s="500"/>
      <c r="Y890" s="500"/>
      <c r="Z890" s="500"/>
    </row>
    <row r="891" spans="1:26" x14ac:dyDescent="0.3">
      <c r="A891" s="500"/>
      <c r="B891" s="500"/>
      <c r="C891" s="500"/>
      <c r="D891" s="500"/>
      <c r="E891" s="500"/>
      <c r="F891" s="500"/>
      <c r="G891" s="500"/>
      <c r="H891" s="500"/>
      <c r="I891" s="500"/>
      <c r="J891" s="500"/>
      <c r="K891" s="500"/>
      <c r="L891" s="500"/>
      <c r="M891" s="500"/>
      <c r="N891" s="500"/>
      <c r="O891" s="500"/>
      <c r="P891" s="500"/>
      <c r="Q891" s="500"/>
      <c r="R891" s="500"/>
      <c r="S891" s="500"/>
      <c r="T891" s="500"/>
      <c r="U891" s="500"/>
      <c r="V891" s="500"/>
      <c r="W891" s="500"/>
      <c r="X891" s="500"/>
      <c r="Y891" s="500"/>
      <c r="Z891" s="500"/>
    </row>
    <row r="892" spans="1:26" x14ac:dyDescent="0.3">
      <c r="A892" s="500"/>
      <c r="B892" s="500"/>
      <c r="C892" s="500"/>
      <c r="D892" s="500"/>
      <c r="E892" s="500"/>
      <c r="F892" s="500"/>
      <c r="G892" s="500"/>
      <c r="H892" s="500"/>
      <c r="I892" s="500"/>
      <c r="J892" s="500"/>
      <c r="K892" s="500"/>
      <c r="L892" s="500"/>
      <c r="M892" s="500"/>
      <c r="N892" s="500"/>
      <c r="O892" s="500"/>
      <c r="P892" s="500"/>
      <c r="Q892" s="500"/>
      <c r="R892" s="500"/>
      <c r="S892" s="500"/>
      <c r="T892" s="500"/>
      <c r="U892" s="500"/>
      <c r="V892" s="500"/>
      <c r="W892" s="500"/>
      <c r="X892" s="500"/>
      <c r="Y892" s="500"/>
      <c r="Z892" s="500"/>
    </row>
    <row r="893" spans="1:26" x14ac:dyDescent="0.3">
      <c r="A893" s="500"/>
      <c r="B893" s="500"/>
      <c r="C893" s="500"/>
      <c r="D893" s="500"/>
      <c r="E893" s="500"/>
      <c r="F893" s="500"/>
      <c r="G893" s="500"/>
      <c r="H893" s="500"/>
      <c r="I893" s="500"/>
      <c r="J893" s="500"/>
      <c r="K893" s="500"/>
      <c r="L893" s="500"/>
      <c r="M893" s="500"/>
      <c r="N893" s="500"/>
      <c r="O893" s="500"/>
      <c r="P893" s="500"/>
      <c r="Q893" s="500"/>
      <c r="R893" s="500"/>
      <c r="S893" s="500"/>
      <c r="T893" s="500"/>
      <c r="U893" s="500"/>
      <c r="V893" s="500"/>
      <c r="W893" s="500"/>
      <c r="X893" s="500"/>
      <c r="Y893" s="500"/>
      <c r="Z893" s="500"/>
    </row>
    <row r="894" spans="1:26" x14ac:dyDescent="0.3">
      <c r="A894" s="500"/>
      <c r="B894" s="500"/>
      <c r="C894" s="500"/>
      <c r="D894" s="500"/>
      <c r="E894" s="500"/>
      <c r="F894" s="500"/>
      <c r="G894" s="500"/>
      <c r="H894" s="500"/>
      <c r="I894" s="500"/>
      <c r="J894" s="500"/>
      <c r="K894" s="500"/>
      <c r="L894" s="500"/>
      <c r="M894" s="500"/>
      <c r="N894" s="500"/>
      <c r="O894" s="500"/>
      <c r="P894" s="500"/>
      <c r="Q894" s="500"/>
      <c r="R894" s="500"/>
      <c r="S894" s="500"/>
      <c r="T894" s="500"/>
      <c r="U894" s="500"/>
      <c r="V894" s="500"/>
      <c r="W894" s="500"/>
      <c r="X894" s="500"/>
      <c r="Y894" s="500"/>
      <c r="Z894" s="500"/>
    </row>
    <row r="895" spans="1:26" x14ac:dyDescent="0.3">
      <c r="A895" s="500"/>
      <c r="B895" s="500"/>
      <c r="C895" s="500"/>
      <c r="D895" s="500"/>
      <c r="E895" s="500"/>
      <c r="F895" s="500"/>
      <c r="G895" s="500"/>
      <c r="H895" s="500"/>
      <c r="I895" s="500"/>
      <c r="J895" s="500"/>
      <c r="K895" s="500"/>
      <c r="L895" s="500"/>
      <c r="M895" s="500"/>
      <c r="N895" s="500"/>
      <c r="O895" s="500"/>
      <c r="P895" s="500"/>
      <c r="Q895" s="500"/>
      <c r="R895" s="500"/>
      <c r="S895" s="500"/>
      <c r="T895" s="500"/>
      <c r="U895" s="500"/>
      <c r="V895" s="500"/>
      <c r="W895" s="500"/>
      <c r="X895" s="500"/>
      <c r="Y895" s="500"/>
      <c r="Z895" s="500"/>
    </row>
    <row r="896" spans="1:26" x14ac:dyDescent="0.3">
      <c r="A896" s="500"/>
      <c r="B896" s="500"/>
      <c r="C896" s="500"/>
      <c r="D896" s="500"/>
      <c r="E896" s="500"/>
      <c r="F896" s="500"/>
      <c r="G896" s="500"/>
      <c r="H896" s="500"/>
      <c r="I896" s="500"/>
      <c r="J896" s="500"/>
      <c r="K896" s="500"/>
      <c r="L896" s="500"/>
      <c r="M896" s="500"/>
      <c r="N896" s="500"/>
      <c r="O896" s="500"/>
      <c r="P896" s="500"/>
      <c r="Q896" s="500"/>
      <c r="R896" s="500"/>
      <c r="S896" s="500"/>
      <c r="T896" s="500"/>
      <c r="U896" s="500"/>
      <c r="V896" s="500"/>
      <c r="W896" s="500"/>
      <c r="X896" s="500"/>
      <c r="Y896" s="500"/>
      <c r="Z896" s="500"/>
    </row>
    <row r="897" spans="1:26" x14ac:dyDescent="0.3">
      <c r="A897" s="500"/>
      <c r="B897" s="500"/>
      <c r="C897" s="500"/>
      <c r="D897" s="500"/>
      <c r="E897" s="500"/>
      <c r="F897" s="500"/>
      <c r="G897" s="500"/>
      <c r="H897" s="500"/>
      <c r="I897" s="500"/>
      <c r="J897" s="500"/>
      <c r="K897" s="500"/>
      <c r="L897" s="500"/>
      <c r="M897" s="500"/>
      <c r="N897" s="500"/>
      <c r="O897" s="500"/>
      <c r="P897" s="500"/>
      <c r="Q897" s="500"/>
      <c r="R897" s="500"/>
      <c r="S897" s="500"/>
      <c r="T897" s="500"/>
      <c r="U897" s="500"/>
      <c r="V897" s="500"/>
      <c r="W897" s="500"/>
      <c r="X897" s="500"/>
      <c r="Y897" s="500"/>
      <c r="Z897" s="500"/>
    </row>
    <row r="898" spans="1:26" x14ac:dyDescent="0.3">
      <c r="A898" s="500"/>
      <c r="B898" s="500"/>
      <c r="C898" s="500"/>
      <c r="D898" s="500"/>
      <c r="E898" s="500"/>
      <c r="F898" s="500"/>
      <c r="G898" s="500"/>
      <c r="H898" s="500"/>
      <c r="I898" s="500"/>
      <c r="J898" s="500"/>
      <c r="K898" s="500"/>
      <c r="L898" s="500"/>
      <c r="M898" s="500"/>
      <c r="N898" s="500"/>
      <c r="O898" s="500"/>
      <c r="P898" s="500"/>
      <c r="Q898" s="500"/>
      <c r="R898" s="500"/>
      <c r="S898" s="500"/>
      <c r="T898" s="500"/>
      <c r="U898" s="500"/>
      <c r="V898" s="500"/>
      <c r="W898" s="500"/>
      <c r="X898" s="500"/>
      <c r="Y898" s="500"/>
      <c r="Z898" s="500"/>
    </row>
    <row r="899" spans="1:26" x14ac:dyDescent="0.3">
      <c r="A899" s="500"/>
      <c r="B899" s="500"/>
      <c r="C899" s="500"/>
      <c r="D899" s="500"/>
      <c r="E899" s="500"/>
      <c r="F899" s="500"/>
      <c r="G899" s="500"/>
      <c r="H899" s="500"/>
      <c r="I899" s="500"/>
      <c r="J899" s="500"/>
      <c r="K899" s="500"/>
      <c r="L899" s="500"/>
      <c r="M899" s="500"/>
      <c r="N899" s="500"/>
      <c r="O899" s="500"/>
      <c r="P899" s="500"/>
      <c r="Q899" s="500"/>
      <c r="R899" s="500"/>
      <c r="S899" s="500"/>
      <c r="T899" s="500"/>
      <c r="U899" s="500"/>
      <c r="V899" s="500"/>
      <c r="W899" s="500"/>
      <c r="X899" s="500"/>
      <c r="Y899" s="500"/>
      <c r="Z899" s="500"/>
    </row>
    <row r="900" spans="1:26" x14ac:dyDescent="0.3">
      <c r="A900" s="500"/>
      <c r="B900" s="500"/>
      <c r="C900" s="500"/>
      <c r="D900" s="500"/>
      <c r="E900" s="500"/>
      <c r="F900" s="500"/>
      <c r="G900" s="500"/>
      <c r="H900" s="500"/>
      <c r="I900" s="500"/>
      <c r="J900" s="500"/>
      <c r="K900" s="500"/>
      <c r="L900" s="500"/>
      <c r="M900" s="500"/>
      <c r="N900" s="500"/>
      <c r="O900" s="500"/>
      <c r="P900" s="500"/>
      <c r="Q900" s="500"/>
      <c r="R900" s="500"/>
      <c r="S900" s="500"/>
      <c r="T900" s="500"/>
      <c r="U900" s="500"/>
      <c r="V900" s="500"/>
      <c r="W900" s="500"/>
      <c r="X900" s="500"/>
      <c r="Y900" s="500"/>
      <c r="Z900" s="500"/>
    </row>
    <row r="901" spans="1:26" x14ac:dyDescent="0.3">
      <c r="A901" s="500"/>
      <c r="B901" s="500"/>
      <c r="C901" s="500"/>
      <c r="D901" s="500"/>
      <c r="E901" s="500"/>
      <c r="F901" s="500"/>
      <c r="G901" s="500"/>
      <c r="H901" s="500"/>
      <c r="I901" s="500"/>
      <c r="J901" s="500"/>
      <c r="K901" s="500"/>
      <c r="L901" s="500"/>
      <c r="M901" s="500"/>
      <c r="N901" s="500"/>
      <c r="O901" s="500"/>
      <c r="P901" s="500"/>
      <c r="Q901" s="500"/>
      <c r="R901" s="500"/>
      <c r="S901" s="500"/>
      <c r="T901" s="500"/>
      <c r="U901" s="500"/>
      <c r="V901" s="500"/>
      <c r="W901" s="500"/>
      <c r="X901" s="500"/>
      <c r="Y901" s="500"/>
      <c r="Z901" s="500"/>
    </row>
    <row r="902" spans="1:26" x14ac:dyDescent="0.3">
      <c r="A902" s="500"/>
      <c r="B902" s="500"/>
      <c r="C902" s="500"/>
      <c r="D902" s="500"/>
      <c r="E902" s="500"/>
      <c r="F902" s="500"/>
      <c r="G902" s="500"/>
      <c r="H902" s="500"/>
      <c r="I902" s="500"/>
      <c r="J902" s="500"/>
      <c r="K902" s="500"/>
      <c r="L902" s="500"/>
      <c r="M902" s="500"/>
      <c r="N902" s="500"/>
      <c r="O902" s="500"/>
      <c r="P902" s="500"/>
      <c r="Q902" s="500"/>
      <c r="R902" s="500"/>
      <c r="S902" s="500"/>
      <c r="T902" s="500"/>
      <c r="U902" s="500"/>
      <c r="V902" s="500"/>
      <c r="W902" s="500"/>
      <c r="X902" s="500"/>
      <c r="Y902" s="500"/>
      <c r="Z902" s="500"/>
    </row>
    <row r="903" spans="1:26" x14ac:dyDescent="0.3">
      <c r="A903" s="500"/>
      <c r="B903" s="500"/>
      <c r="C903" s="500"/>
      <c r="D903" s="500"/>
      <c r="E903" s="500"/>
      <c r="F903" s="500"/>
      <c r="G903" s="500"/>
      <c r="H903" s="500"/>
      <c r="I903" s="500"/>
      <c r="J903" s="500"/>
      <c r="K903" s="500"/>
      <c r="L903" s="500"/>
      <c r="M903" s="500"/>
      <c r="N903" s="500"/>
      <c r="O903" s="500"/>
      <c r="P903" s="500"/>
      <c r="Q903" s="500"/>
      <c r="R903" s="500"/>
      <c r="S903" s="500"/>
      <c r="T903" s="500"/>
      <c r="U903" s="500"/>
      <c r="V903" s="500"/>
      <c r="W903" s="500"/>
      <c r="X903" s="500"/>
      <c r="Y903" s="500"/>
      <c r="Z903" s="500"/>
    </row>
    <row r="904" spans="1:26" x14ac:dyDescent="0.3">
      <c r="A904" s="500"/>
      <c r="B904" s="500"/>
      <c r="C904" s="500"/>
      <c r="D904" s="500"/>
      <c r="E904" s="500"/>
      <c r="F904" s="500"/>
      <c r="G904" s="500"/>
      <c r="H904" s="500"/>
      <c r="I904" s="500"/>
      <c r="J904" s="500"/>
      <c r="K904" s="500"/>
      <c r="L904" s="500"/>
      <c r="M904" s="500"/>
      <c r="N904" s="500"/>
      <c r="O904" s="500"/>
      <c r="P904" s="500"/>
      <c r="Q904" s="500"/>
      <c r="R904" s="500"/>
      <c r="S904" s="500"/>
      <c r="T904" s="500"/>
      <c r="U904" s="500"/>
      <c r="V904" s="500"/>
      <c r="W904" s="500"/>
      <c r="X904" s="500"/>
      <c r="Y904" s="500"/>
      <c r="Z904" s="500"/>
    </row>
    <row r="905" spans="1:26" x14ac:dyDescent="0.3">
      <c r="A905" s="500"/>
      <c r="B905" s="500"/>
      <c r="C905" s="500"/>
      <c r="D905" s="500"/>
      <c r="E905" s="500"/>
      <c r="F905" s="500"/>
      <c r="G905" s="500"/>
      <c r="H905" s="500"/>
      <c r="I905" s="500"/>
      <c r="J905" s="500"/>
      <c r="K905" s="500"/>
      <c r="L905" s="500"/>
      <c r="M905" s="500"/>
      <c r="N905" s="500"/>
      <c r="O905" s="500"/>
      <c r="P905" s="500"/>
      <c r="Q905" s="500"/>
      <c r="R905" s="500"/>
      <c r="S905" s="500"/>
      <c r="T905" s="500"/>
      <c r="U905" s="500"/>
      <c r="V905" s="500"/>
      <c r="W905" s="500"/>
      <c r="X905" s="500"/>
      <c r="Y905" s="500"/>
      <c r="Z905" s="500"/>
    </row>
    <row r="906" spans="1:26" x14ac:dyDescent="0.3">
      <c r="A906" s="500"/>
      <c r="B906" s="500"/>
      <c r="C906" s="500"/>
      <c r="D906" s="500"/>
      <c r="E906" s="500"/>
      <c r="F906" s="500"/>
      <c r="G906" s="500"/>
      <c r="H906" s="500"/>
      <c r="I906" s="500"/>
      <c r="J906" s="500"/>
      <c r="K906" s="500"/>
      <c r="L906" s="500"/>
      <c r="M906" s="500"/>
      <c r="N906" s="500"/>
      <c r="O906" s="500"/>
      <c r="P906" s="500"/>
      <c r="Q906" s="500"/>
      <c r="R906" s="500"/>
      <c r="S906" s="500"/>
      <c r="T906" s="500"/>
      <c r="U906" s="500"/>
      <c r="V906" s="500"/>
      <c r="W906" s="500"/>
      <c r="X906" s="500"/>
      <c r="Y906" s="500"/>
      <c r="Z906" s="500"/>
    </row>
    <row r="907" spans="1:26" x14ac:dyDescent="0.3">
      <c r="A907" s="500"/>
      <c r="B907" s="500"/>
      <c r="C907" s="500"/>
      <c r="D907" s="500"/>
      <c r="E907" s="500"/>
      <c r="F907" s="500"/>
      <c r="G907" s="500"/>
      <c r="H907" s="500"/>
      <c r="I907" s="500"/>
      <c r="J907" s="500"/>
      <c r="K907" s="500"/>
      <c r="L907" s="500"/>
      <c r="M907" s="500"/>
      <c r="N907" s="500"/>
      <c r="O907" s="500"/>
      <c r="P907" s="500"/>
      <c r="Q907" s="500"/>
      <c r="R907" s="500"/>
      <c r="S907" s="500"/>
      <c r="T907" s="500"/>
      <c r="U907" s="500"/>
      <c r="V907" s="500"/>
      <c r="W907" s="500"/>
      <c r="X907" s="500"/>
      <c r="Y907" s="500"/>
      <c r="Z907" s="500"/>
    </row>
    <row r="908" spans="1:26" x14ac:dyDescent="0.3">
      <c r="A908" s="500"/>
      <c r="B908" s="500"/>
      <c r="C908" s="500"/>
      <c r="D908" s="500"/>
      <c r="E908" s="500"/>
      <c r="F908" s="500"/>
      <c r="G908" s="500"/>
      <c r="H908" s="500"/>
      <c r="I908" s="500"/>
      <c r="J908" s="500"/>
      <c r="K908" s="500"/>
      <c r="L908" s="500"/>
      <c r="M908" s="500"/>
      <c r="N908" s="500"/>
      <c r="O908" s="500"/>
      <c r="P908" s="500"/>
      <c r="Q908" s="500"/>
      <c r="R908" s="500"/>
      <c r="S908" s="500"/>
      <c r="T908" s="500"/>
      <c r="U908" s="500"/>
      <c r="V908" s="500"/>
      <c r="W908" s="500"/>
      <c r="X908" s="500"/>
      <c r="Y908" s="500"/>
      <c r="Z908" s="500"/>
    </row>
    <row r="909" spans="1:26" x14ac:dyDescent="0.3">
      <c r="A909" s="500"/>
      <c r="B909" s="500"/>
      <c r="C909" s="500"/>
      <c r="D909" s="500"/>
      <c r="E909" s="500"/>
      <c r="F909" s="500"/>
      <c r="G909" s="500"/>
      <c r="H909" s="500"/>
      <c r="I909" s="500"/>
      <c r="J909" s="500"/>
      <c r="K909" s="500"/>
      <c r="L909" s="500"/>
      <c r="M909" s="500"/>
      <c r="N909" s="500"/>
      <c r="O909" s="500"/>
      <c r="P909" s="500"/>
      <c r="Q909" s="500"/>
      <c r="R909" s="500"/>
      <c r="S909" s="500"/>
      <c r="T909" s="500"/>
      <c r="U909" s="500"/>
      <c r="V909" s="500"/>
      <c r="W909" s="500"/>
      <c r="X909" s="500"/>
      <c r="Y909" s="500"/>
      <c r="Z909" s="500"/>
    </row>
    <row r="910" spans="1:26" x14ac:dyDescent="0.3">
      <c r="A910" s="500"/>
      <c r="B910" s="500"/>
      <c r="C910" s="500"/>
      <c r="D910" s="500"/>
      <c r="E910" s="500"/>
      <c r="F910" s="500"/>
      <c r="G910" s="500"/>
      <c r="H910" s="500"/>
      <c r="I910" s="500"/>
      <c r="J910" s="500"/>
      <c r="K910" s="500"/>
      <c r="L910" s="500"/>
      <c r="M910" s="500"/>
      <c r="N910" s="500"/>
      <c r="O910" s="500"/>
      <c r="P910" s="500"/>
      <c r="Q910" s="500"/>
      <c r="R910" s="500"/>
      <c r="S910" s="500"/>
      <c r="T910" s="500"/>
      <c r="U910" s="500"/>
      <c r="V910" s="500"/>
      <c r="W910" s="500"/>
      <c r="X910" s="500"/>
      <c r="Y910" s="500"/>
      <c r="Z910" s="500"/>
    </row>
    <row r="911" spans="1:26" x14ac:dyDescent="0.3">
      <c r="A911" s="500"/>
      <c r="B911" s="500"/>
      <c r="C911" s="500"/>
      <c r="D911" s="500"/>
      <c r="E911" s="500"/>
      <c r="F911" s="500"/>
      <c r="G911" s="500"/>
      <c r="H911" s="500"/>
      <c r="I911" s="500"/>
      <c r="J911" s="500"/>
      <c r="K911" s="500"/>
      <c r="L911" s="500"/>
      <c r="M911" s="500"/>
      <c r="N911" s="500"/>
      <c r="O911" s="500"/>
      <c r="P911" s="500"/>
      <c r="Q911" s="500"/>
      <c r="R911" s="500"/>
      <c r="S911" s="500"/>
      <c r="T911" s="500"/>
      <c r="U911" s="500"/>
      <c r="V911" s="500"/>
      <c r="W911" s="500"/>
      <c r="X911" s="500"/>
      <c r="Y911" s="500"/>
      <c r="Z911" s="500"/>
    </row>
    <row r="912" spans="1:26" x14ac:dyDescent="0.3">
      <c r="A912" s="500"/>
      <c r="B912" s="500"/>
      <c r="C912" s="500"/>
      <c r="D912" s="500"/>
      <c r="E912" s="500"/>
      <c r="F912" s="500"/>
      <c r="G912" s="500"/>
      <c r="H912" s="500"/>
      <c r="I912" s="500"/>
      <c r="J912" s="500"/>
      <c r="K912" s="500"/>
      <c r="L912" s="500"/>
      <c r="M912" s="500"/>
      <c r="N912" s="500"/>
      <c r="O912" s="500"/>
      <c r="P912" s="500"/>
      <c r="Q912" s="500"/>
      <c r="R912" s="500"/>
      <c r="S912" s="500"/>
      <c r="T912" s="500"/>
      <c r="U912" s="500"/>
      <c r="V912" s="500"/>
      <c r="W912" s="500"/>
      <c r="X912" s="500"/>
      <c r="Y912" s="500"/>
      <c r="Z912" s="500"/>
    </row>
    <row r="913" spans="1:26" x14ac:dyDescent="0.3">
      <c r="A913" s="500"/>
      <c r="B913" s="500"/>
      <c r="C913" s="500"/>
      <c r="D913" s="500"/>
      <c r="E913" s="500"/>
      <c r="F913" s="500"/>
      <c r="G913" s="500"/>
      <c r="H913" s="500"/>
      <c r="I913" s="500"/>
      <c r="J913" s="500"/>
      <c r="K913" s="500"/>
      <c r="L913" s="500"/>
      <c r="M913" s="500"/>
      <c r="N913" s="500"/>
      <c r="O913" s="500"/>
      <c r="P913" s="500"/>
      <c r="Q913" s="500"/>
      <c r="R913" s="500"/>
      <c r="S913" s="500"/>
      <c r="T913" s="500"/>
      <c r="U913" s="500"/>
      <c r="V913" s="500"/>
      <c r="W913" s="500"/>
      <c r="X913" s="500"/>
      <c r="Y913" s="500"/>
      <c r="Z913" s="500"/>
    </row>
    <row r="914" spans="1:26" x14ac:dyDescent="0.3">
      <c r="A914" s="500"/>
      <c r="B914" s="500"/>
      <c r="C914" s="500"/>
      <c r="D914" s="500"/>
      <c r="E914" s="500"/>
      <c r="F914" s="500"/>
      <c r="G914" s="500"/>
      <c r="H914" s="500"/>
      <c r="I914" s="500"/>
      <c r="J914" s="500"/>
      <c r="K914" s="500"/>
      <c r="L914" s="500"/>
      <c r="M914" s="500"/>
      <c r="N914" s="500"/>
      <c r="O914" s="500"/>
      <c r="P914" s="500"/>
      <c r="Q914" s="500"/>
      <c r="R914" s="500"/>
      <c r="S914" s="500"/>
      <c r="T914" s="500"/>
      <c r="U914" s="500"/>
      <c r="V914" s="500"/>
      <c r="W914" s="500"/>
      <c r="X914" s="500"/>
      <c r="Y914" s="500"/>
      <c r="Z914" s="500"/>
    </row>
    <row r="915" spans="1:26" x14ac:dyDescent="0.3">
      <c r="A915" s="500"/>
      <c r="B915" s="500"/>
      <c r="C915" s="500"/>
      <c r="D915" s="500"/>
      <c r="E915" s="500"/>
      <c r="F915" s="500"/>
      <c r="G915" s="500"/>
      <c r="H915" s="500"/>
      <c r="I915" s="500"/>
      <c r="J915" s="500"/>
      <c r="K915" s="500"/>
      <c r="L915" s="500"/>
      <c r="M915" s="500"/>
      <c r="N915" s="500"/>
      <c r="O915" s="500"/>
      <c r="P915" s="500"/>
      <c r="Q915" s="500"/>
      <c r="R915" s="500"/>
      <c r="S915" s="500"/>
      <c r="T915" s="500"/>
      <c r="U915" s="500"/>
      <c r="V915" s="500"/>
      <c r="W915" s="500"/>
      <c r="X915" s="500"/>
      <c r="Y915" s="500"/>
      <c r="Z915" s="500"/>
    </row>
    <row r="916" spans="1:26" x14ac:dyDescent="0.3">
      <c r="A916" s="500"/>
      <c r="B916" s="500"/>
      <c r="C916" s="500"/>
      <c r="D916" s="500"/>
      <c r="E916" s="500"/>
      <c r="F916" s="500"/>
      <c r="G916" s="500"/>
      <c r="H916" s="500"/>
      <c r="I916" s="500"/>
      <c r="J916" s="500"/>
      <c r="K916" s="500"/>
      <c r="L916" s="500"/>
      <c r="M916" s="500"/>
      <c r="N916" s="500"/>
      <c r="O916" s="500"/>
      <c r="P916" s="500"/>
      <c r="Q916" s="500"/>
      <c r="R916" s="500"/>
      <c r="S916" s="500"/>
      <c r="T916" s="500"/>
      <c r="U916" s="500"/>
      <c r="V916" s="500"/>
      <c r="W916" s="500"/>
      <c r="X916" s="500"/>
      <c r="Y916" s="500"/>
      <c r="Z916" s="500"/>
    </row>
    <row r="917" spans="1:26" x14ac:dyDescent="0.3">
      <c r="A917" s="500"/>
      <c r="B917" s="500"/>
      <c r="C917" s="500"/>
      <c r="D917" s="500"/>
      <c r="E917" s="500"/>
      <c r="F917" s="500"/>
      <c r="G917" s="500"/>
      <c r="H917" s="500"/>
      <c r="I917" s="500"/>
      <c r="J917" s="500"/>
      <c r="K917" s="500"/>
      <c r="L917" s="500"/>
      <c r="M917" s="500"/>
      <c r="N917" s="500"/>
      <c r="O917" s="500"/>
      <c r="P917" s="500"/>
      <c r="Q917" s="500"/>
      <c r="R917" s="500"/>
      <c r="S917" s="500"/>
      <c r="T917" s="500"/>
      <c r="U917" s="500"/>
      <c r="V917" s="500"/>
      <c r="W917" s="500"/>
      <c r="X917" s="500"/>
      <c r="Y917" s="500"/>
      <c r="Z917" s="500"/>
    </row>
    <row r="918" spans="1:26" x14ac:dyDescent="0.3">
      <c r="A918" s="500"/>
      <c r="B918" s="500"/>
      <c r="C918" s="500"/>
      <c r="D918" s="500"/>
      <c r="E918" s="500"/>
      <c r="F918" s="500"/>
      <c r="G918" s="500"/>
      <c r="H918" s="500"/>
      <c r="I918" s="500"/>
      <c r="J918" s="500"/>
      <c r="K918" s="500"/>
      <c r="L918" s="500"/>
      <c r="M918" s="500"/>
      <c r="N918" s="500"/>
      <c r="O918" s="500"/>
      <c r="P918" s="500"/>
      <c r="Q918" s="500"/>
      <c r="R918" s="500"/>
      <c r="S918" s="500"/>
      <c r="T918" s="500"/>
      <c r="U918" s="500"/>
      <c r="V918" s="500"/>
      <c r="W918" s="500"/>
      <c r="X918" s="500"/>
      <c r="Y918" s="500"/>
      <c r="Z918" s="500"/>
    </row>
    <row r="919" spans="1:26" x14ac:dyDescent="0.3">
      <c r="A919" s="500"/>
      <c r="B919" s="500"/>
      <c r="C919" s="500"/>
      <c r="D919" s="500"/>
      <c r="E919" s="500"/>
      <c r="F919" s="500"/>
      <c r="G919" s="500"/>
      <c r="H919" s="500"/>
      <c r="I919" s="500"/>
      <c r="J919" s="500"/>
      <c r="K919" s="500"/>
      <c r="L919" s="500"/>
      <c r="M919" s="500"/>
      <c r="N919" s="500"/>
      <c r="O919" s="500"/>
      <c r="P919" s="500"/>
      <c r="Q919" s="500"/>
      <c r="R919" s="500"/>
      <c r="S919" s="500"/>
      <c r="T919" s="500"/>
      <c r="U919" s="500"/>
      <c r="V919" s="500"/>
      <c r="W919" s="500"/>
      <c r="X919" s="500"/>
      <c r="Y919" s="500"/>
      <c r="Z919" s="500"/>
    </row>
    <row r="920" spans="1:26" x14ac:dyDescent="0.3">
      <c r="A920" s="500"/>
      <c r="B920" s="500"/>
      <c r="C920" s="500"/>
      <c r="D920" s="500"/>
      <c r="E920" s="500"/>
      <c r="F920" s="500"/>
      <c r="G920" s="500"/>
      <c r="H920" s="500"/>
      <c r="I920" s="500"/>
      <c r="J920" s="500"/>
      <c r="K920" s="500"/>
      <c r="L920" s="500"/>
      <c r="M920" s="500"/>
      <c r="N920" s="500"/>
      <c r="O920" s="500"/>
      <c r="P920" s="500"/>
      <c r="Q920" s="500"/>
      <c r="R920" s="500"/>
      <c r="S920" s="500"/>
      <c r="T920" s="500"/>
      <c r="U920" s="500"/>
      <c r="V920" s="500"/>
      <c r="W920" s="500"/>
      <c r="X920" s="500"/>
      <c r="Y920" s="500"/>
      <c r="Z920" s="500"/>
    </row>
    <row r="921" spans="1:26" x14ac:dyDescent="0.3">
      <c r="A921" s="500"/>
      <c r="B921" s="500"/>
      <c r="C921" s="500"/>
      <c r="D921" s="500"/>
      <c r="E921" s="500"/>
      <c r="F921" s="500"/>
      <c r="G921" s="500"/>
      <c r="H921" s="500"/>
      <c r="I921" s="500"/>
      <c r="J921" s="500"/>
      <c r="K921" s="500"/>
      <c r="L921" s="500"/>
      <c r="M921" s="500"/>
      <c r="N921" s="500"/>
      <c r="O921" s="500"/>
      <c r="P921" s="500"/>
      <c r="Q921" s="500"/>
      <c r="R921" s="500"/>
      <c r="S921" s="500"/>
      <c r="T921" s="500"/>
      <c r="U921" s="500"/>
      <c r="V921" s="500"/>
      <c r="W921" s="500"/>
      <c r="X921" s="500"/>
      <c r="Y921" s="500"/>
      <c r="Z921" s="500"/>
    </row>
    <row r="922" spans="1:26" x14ac:dyDescent="0.3">
      <c r="A922" s="500"/>
      <c r="B922" s="500"/>
      <c r="C922" s="500"/>
      <c r="D922" s="500"/>
      <c r="E922" s="500"/>
      <c r="F922" s="500"/>
      <c r="G922" s="500"/>
      <c r="H922" s="500"/>
      <c r="I922" s="500"/>
      <c r="J922" s="500"/>
      <c r="K922" s="500"/>
      <c r="L922" s="500"/>
      <c r="M922" s="500"/>
      <c r="N922" s="500"/>
      <c r="O922" s="500"/>
      <c r="P922" s="500"/>
      <c r="Q922" s="500"/>
      <c r="R922" s="500"/>
      <c r="S922" s="500"/>
      <c r="T922" s="500"/>
      <c r="U922" s="500"/>
      <c r="V922" s="500"/>
      <c r="W922" s="500"/>
      <c r="X922" s="500"/>
      <c r="Y922" s="500"/>
      <c r="Z922" s="500"/>
    </row>
    <row r="923" spans="1:26" x14ac:dyDescent="0.3">
      <c r="A923" s="500"/>
      <c r="B923" s="500"/>
      <c r="C923" s="500"/>
      <c r="D923" s="500"/>
      <c r="E923" s="500"/>
      <c r="F923" s="500"/>
      <c r="G923" s="500"/>
      <c r="H923" s="500"/>
      <c r="I923" s="500"/>
      <c r="J923" s="500"/>
      <c r="K923" s="500"/>
      <c r="L923" s="500"/>
      <c r="M923" s="500"/>
      <c r="N923" s="500"/>
      <c r="O923" s="500"/>
      <c r="P923" s="500"/>
      <c r="Q923" s="500"/>
      <c r="R923" s="500"/>
      <c r="S923" s="500"/>
      <c r="T923" s="500"/>
      <c r="U923" s="500"/>
      <c r="V923" s="500"/>
      <c r="W923" s="500"/>
      <c r="X923" s="500"/>
      <c r="Y923" s="500"/>
      <c r="Z923" s="500"/>
    </row>
    <row r="924" spans="1:26" x14ac:dyDescent="0.3">
      <c r="A924" s="500"/>
      <c r="B924" s="500"/>
      <c r="C924" s="500"/>
      <c r="D924" s="500"/>
      <c r="E924" s="500"/>
      <c r="F924" s="500"/>
      <c r="G924" s="500"/>
      <c r="H924" s="500"/>
      <c r="I924" s="500"/>
      <c r="J924" s="500"/>
      <c r="K924" s="500"/>
      <c r="L924" s="500"/>
      <c r="M924" s="500"/>
      <c r="N924" s="500"/>
      <c r="O924" s="500"/>
      <c r="P924" s="500"/>
      <c r="Q924" s="500"/>
      <c r="R924" s="500"/>
      <c r="S924" s="500"/>
      <c r="T924" s="500"/>
      <c r="U924" s="500"/>
      <c r="V924" s="500"/>
      <c r="W924" s="500"/>
      <c r="X924" s="500"/>
      <c r="Y924" s="500"/>
      <c r="Z924" s="500"/>
    </row>
    <row r="925" spans="1:26" x14ac:dyDescent="0.3">
      <c r="A925" s="500"/>
      <c r="B925" s="500"/>
      <c r="C925" s="500"/>
      <c r="D925" s="500"/>
      <c r="E925" s="500"/>
      <c r="F925" s="500"/>
      <c r="G925" s="500"/>
      <c r="H925" s="500"/>
      <c r="I925" s="500"/>
      <c r="J925" s="500"/>
      <c r="K925" s="500"/>
      <c r="L925" s="500"/>
      <c r="M925" s="500"/>
      <c r="N925" s="500"/>
      <c r="O925" s="500"/>
      <c r="P925" s="500"/>
      <c r="Q925" s="500"/>
      <c r="R925" s="500"/>
      <c r="S925" s="500"/>
      <c r="T925" s="500"/>
      <c r="U925" s="500"/>
      <c r="V925" s="500"/>
      <c r="W925" s="500"/>
      <c r="X925" s="500"/>
      <c r="Y925" s="500"/>
      <c r="Z925" s="500"/>
    </row>
    <row r="926" spans="1:26" x14ac:dyDescent="0.3">
      <c r="A926" s="500"/>
      <c r="B926" s="500"/>
      <c r="C926" s="500"/>
      <c r="D926" s="500"/>
      <c r="E926" s="500"/>
      <c r="F926" s="500"/>
      <c r="G926" s="500"/>
      <c r="H926" s="500"/>
      <c r="I926" s="500"/>
      <c r="J926" s="500"/>
      <c r="K926" s="500"/>
      <c r="L926" s="500"/>
      <c r="M926" s="500"/>
      <c r="N926" s="500"/>
      <c r="O926" s="500"/>
      <c r="P926" s="500"/>
      <c r="Q926" s="500"/>
      <c r="R926" s="500"/>
      <c r="S926" s="500"/>
      <c r="T926" s="500"/>
      <c r="U926" s="500"/>
      <c r="V926" s="500"/>
      <c r="W926" s="500"/>
      <c r="X926" s="500"/>
      <c r="Y926" s="500"/>
      <c r="Z926" s="500"/>
    </row>
    <row r="927" spans="1:26" x14ac:dyDescent="0.3">
      <c r="A927" s="500"/>
      <c r="B927" s="500"/>
      <c r="C927" s="500"/>
      <c r="D927" s="500"/>
      <c r="E927" s="500"/>
      <c r="F927" s="500"/>
      <c r="G927" s="500"/>
      <c r="H927" s="500"/>
      <c r="I927" s="500"/>
      <c r="J927" s="500"/>
      <c r="K927" s="500"/>
      <c r="L927" s="500"/>
      <c r="M927" s="500"/>
      <c r="N927" s="500"/>
      <c r="O927" s="500"/>
      <c r="P927" s="500"/>
      <c r="Q927" s="500"/>
      <c r="R927" s="500"/>
      <c r="S927" s="500"/>
      <c r="T927" s="500"/>
      <c r="U927" s="500"/>
      <c r="V927" s="500"/>
      <c r="W927" s="500"/>
      <c r="X927" s="500"/>
      <c r="Y927" s="500"/>
      <c r="Z927" s="500"/>
    </row>
    <row r="928" spans="1:26" x14ac:dyDescent="0.3">
      <c r="A928" s="500"/>
      <c r="B928" s="500"/>
      <c r="C928" s="500"/>
      <c r="D928" s="500"/>
      <c r="E928" s="500"/>
      <c r="F928" s="500"/>
      <c r="G928" s="500"/>
      <c r="H928" s="500"/>
      <c r="I928" s="500"/>
      <c r="J928" s="500"/>
      <c r="K928" s="500"/>
      <c r="L928" s="500"/>
      <c r="M928" s="500"/>
      <c r="N928" s="500"/>
      <c r="O928" s="500"/>
      <c r="P928" s="500"/>
      <c r="Q928" s="500"/>
      <c r="R928" s="500"/>
      <c r="S928" s="500"/>
      <c r="T928" s="500"/>
      <c r="U928" s="500"/>
      <c r="V928" s="500"/>
      <c r="W928" s="500"/>
      <c r="X928" s="500"/>
      <c r="Y928" s="500"/>
      <c r="Z928" s="500"/>
    </row>
    <row r="929" spans="1:26" x14ac:dyDescent="0.3">
      <c r="A929" s="500"/>
      <c r="B929" s="500"/>
      <c r="C929" s="500"/>
      <c r="D929" s="500"/>
      <c r="E929" s="500"/>
      <c r="F929" s="500"/>
      <c r="G929" s="500"/>
      <c r="H929" s="500"/>
      <c r="I929" s="500"/>
      <c r="J929" s="500"/>
      <c r="K929" s="500"/>
      <c r="L929" s="500"/>
      <c r="M929" s="500"/>
      <c r="N929" s="500"/>
      <c r="O929" s="500"/>
      <c r="P929" s="500"/>
      <c r="Q929" s="500"/>
      <c r="R929" s="500"/>
      <c r="S929" s="500"/>
      <c r="T929" s="500"/>
      <c r="U929" s="500"/>
      <c r="V929" s="500"/>
      <c r="W929" s="500"/>
      <c r="X929" s="500"/>
      <c r="Y929" s="500"/>
      <c r="Z929" s="500"/>
    </row>
    <row r="930" spans="1:26" x14ac:dyDescent="0.3">
      <c r="A930" s="500"/>
      <c r="B930" s="500"/>
      <c r="C930" s="500"/>
      <c r="D930" s="500"/>
      <c r="E930" s="500"/>
      <c r="F930" s="500"/>
      <c r="G930" s="500"/>
      <c r="H930" s="500"/>
      <c r="I930" s="500"/>
      <c r="J930" s="500"/>
      <c r="K930" s="500"/>
      <c r="L930" s="500"/>
      <c r="M930" s="500"/>
      <c r="N930" s="500"/>
      <c r="O930" s="500"/>
      <c r="P930" s="500"/>
      <c r="Q930" s="500"/>
      <c r="R930" s="500"/>
      <c r="S930" s="500"/>
      <c r="T930" s="500"/>
      <c r="U930" s="500"/>
      <c r="V930" s="500"/>
      <c r="W930" s="500"/>
      <c r="X930" s="500"/>
      <c r="Y930" s="500"/>
      <c r="Z930" s="500"/>
    </row>
    <row r="931" spans="1:26" x14ac:dyDescent="0.3">
      <c r="A931" s="500"/>
      <c r="B931" s="500"/>
      <c r="C931" s="500"/>
      <c r="D931" s="500"/>
      <c r="E931" s="500"/>
      <c r="F931" s="500"/>
      <c r="G931" s="500"/>
      <c r="H931" s="500"/>
      <c r="I931" s="500"/>
      <c r="J931" s="500"/>
      <c r="K931" s="500"/>
      <c r="L931" s="500"/>
      <c r="M931" s="500"/>
      <c r="N931" s="500"/>
      <c r="O931" s="500"/>
      <c r="P931" s="500"/>
      <c r="Q931" s="500"/>
      <c r="R931" s="500"/>
      <c r="S931" s="500"/>
      <c r="T931" s="500"/>
      <c r="U931" s="500"/>
      <c r="V931" s="500"/>
      <c r="W931" s="500"/>
      <c r="X931" s="500"/>
      <c r="Y931" s="500"/>
      <c r="Z931" s="500"/>
    </row>
    <row r="932" spans="1:26" x14ac:dyDescent="0.3">
      <c r="A932" s="500"/>
      <c r="B932" s="500"/>
      <c r="C932" s="500"/>
      <c r="D932" s="500"/>
      <c r="E932" s="500"/>
      <c r="F932" s="500"/>
      <c r="G932" s="500"/>
      <c r="H932" s="500"/>
      <c r="I932" s="500"/>
      <c r="J932" s="500"/>
      <c r="K932" s="500"/>
      <c r="L932" s="500"/>
      <c r="M932" s="500"/>
      <c r="N932" s="500"/>
      <c r="O932" s="500"/>
      <c r="P932" s="500"/>
      <c r="Q932" s="500"/>
      <c r="R932" s="500"/>
      <c r="S932" s="500"/>
      <c r="T932" s="500"/>
      <c r="U932" s="500"/>
      <c r="V932" s="500"/>
      <c r="W932" s="500"/>
      <c r="X932" s="500"/>
      <c r="Y932" s="500"/>
      <c r="Z932" s="500"/>
    </row>
    <row r="933" spans="1:26" x14ac:dyDescent="0.3">
      <c r="A933" s="500"/>
      <c r="B933" s="500"/>
      <c r="C933" s="500"/>
      <c r="D933" s="500"/>
      <c r="E933" s="500"/>
      <c r="F933" s="500"/>
      <c r="G933" s="500"/>
      <c r="H933" s="500"/>
      <c r="I933" s="500"/>
      <c r="J933" s="500"/>
      <c r="K933" s="500"/>
      <c r="L933" s="500"/>
      <c r="M933" s="500"/>
      <c r="N933" s="500"/>
      <c r="O933" s="500"/>
      <c r="P933" s="500"/>
      <c r="Q933" s="500"/>
      <c r="R933" s="500"/>
      <c r="S933" s="500"/>
      <c r="T933" s="500"/>
      <c r="U933" s="500"/>
      <c r="V933" s="500"/>
      <c r="W933" s="500"/>
      <c r="X933" s="500"/>
      <c r="Y933" s="500"/>
      <c r="Z933" s="500"/>
    </row>
    <row r="934" spans="1:26" x14ac:dyDescent="0.3">
      <c r="A934" s="500"/>
      <c r="B934" s="500"/>
      <c r="C934" s="500"/>
      <c r="D934" s="500"/>
      <c r="E934" s="500"/>
      <c r="F934" s="500"/>
      <c r="G934" s="500"/>
      <c r="H934" s="500"/>
      <c r="I934" s="500"/>
      <c r="J934" s="500"/>
      <c r="K934" s="500"/>
      <c r="L934" s="500"/>
      <c r="M934" s="500"/>
      <c r="N934" s="500"/>
      <c r="O934" s="500"/>
      <c r="P934" s="500"/>
      <c r="Q934" s="500"/>
      <c r="R934" s="500"/>
      <c r="S934" s="500"/>
      <c r="T934" s="500"/>
      <c r="U934" s="500"/>
      <c r="V934" s="500"/>
      <c r="W934" s="500"/>
      <c r="X934" s="500"/>
      <c r="Y934" s="500"/>
      <c r="Z934" s="500"/>
    </row>
    <row r="935" spans="1:26" x14ac:dyDescent="0.3">
      <c r="A935" s="500"/>
      <c r="B935" s="500"/>
      <c r="C935" s="500"/>
      <c r="D935" s="500"/>
      <c r="E935" s="500"/>
      <c r="F935" s="500"/>
      <c r="G935" s="500"/>
      <c r="H935" s="500"/>
      <c r="I935" s="500"/>
      <c r="J935" s="500"/>
      <c r="K935" s="500"/>
      <c r="L935" s="500"/>
      <c r="M935" s="500"/>
      <c r="N935" s="500"/>
      <c r="O935" s="500"/>
      <c r="P935" s="500"/>
      <c r="Q935" s="500"/>
      <c r="R935" s="500"/>
      <c r="S935" s="500"/>
      <c r="T935" s="500"/>
      <c r="U935" s="500"/>
      <c r="V935" s="500"/>
      <c r="W935" s="500"/>
      <c r="X935" s="500"/>
      <c r="Y935" s="500"/>
      <c r="Z935" s="500"/>
    </row>
    <row r="936" spans="1:26" x14ac:dyDescent="0.3">
      <c r="A936" s="500"/>
      <c r="B936" s="500"/>
      <c r="C936" s="500"/>
      <c r="D936" s="500"/>
      <c r="E936" s="500"/>
      <c r="F936" s="500"/>
      <c r="G936" s="500"/>
      <c r="H936" s="500"/>
      <c r="I936" s="500"/>
      <c r="J936" s="500"/>
      <c r="K936" s="500"/>
      <c r="L936" s="500"/>
      <c r="M936" s="500"/>
      <c r="N936" s="500"/>
      <c r="O936" s="500"/>
      <c r="P936" s="500"/>
      <c r="Q936" s="500"/>
      <c r="R936" s="500"/>
      <c r="S936" s="500"/>
      <c r="T936" s="500"/>
      <c r="U936" s="500"/>
      <c r="V936" s="500"/>
      <c r="W936" s="500"/>
      <c r="X936" s="500"/>
      <c r="Y936" s="500"/>
      <c r="Z936" s="500"/>
    </row>
    <row r="937" spans="1:26" x14ac:dyDescent="0.3">
      <c r="A937" s="500"/>
      <c r="B937" s="500"/>
      <c r="C937" s="500"/>
      <c r="D937" s="500"/>
      <c r="E937" s="500"/>
      <c r="F937" s="500"/>
      <c r="G937" s="500"/>
      <c r="H937" s="500"/>
      <c r="I937" s="500"/>
      <c r="J937" s="500"/>
      <c r="K937" s="500"/>
      <c r="L937" s="500"/>
      <c r="M937" s="500"/>
      <c r="N937" s="500"/>
      <c r="O937" s="500"/>
      <c r="P937" s="500"/>
      <c r="Q937" s="500"/>
      <c r="R937" s="500"/>
      <c r="S937" s="500"/>
      <c r="T937" s="500"/>
      <c r="U937" s="500"/>
      <c r="V937" s="500"/>
      <c r="W937" s="500"/>
      <c r="X937" s="500"/>
      <c r="Y937" s="500"/>
      <c r="Z937" s="500"/>
    </row>
    <row r="938" spans="1:26" x14ac:dyDescent="0.3">
      <c r="A938" s="500"/>
      <c r="B938" s="500"/>
      <c r="C938" s="500"/>
      <c r="D938" s="500"/>
      <c r="E938" s="500"/>
      <c r="F938" s="500"/>
      <c r="G938" s="500"/>
      <c r="H938" s="500"/>
      <c r="I938" s="500"/>
      <c r="J938" s="500"/>
      <c r="K938" s="500"/>
      <c r="L938" s="500"/>
      <c r="M938" s="500"/>
      <c r="N938" s="500"/>
      <c r="O938" s="500"/>
      <c r="P938" s="500"/>
      <c r="Q938" s="500"/>
      <c r="R938" s="500"/>
      <c r="S938" s="500"/>
      <c r="T938" s="500"/>
      <c r="U938" s="500"/>
      <c r="V938" s="500"/>
      <c r="W938" s="500"/>
      <c r="X938" s="500"/>
      <c r="Y938" s="500"/>
      <c r="Z938" s="500"/>
    </row>
    <row r="939" spans="1:26" x14ac:dyDescent="0.3">
      <c r="A939" s="500"/>
      <c r="B939" s="500"/>
      <c r="C939" s="500"/>
      <c r="D939" s="500"/>
      <c r="E939" s="500"/>
      <c r="F939" s="500"/>
      <c r="G939" s="500"/>
      <c r="H939" s="500"/>
      <c r="I939" s="500"/>
      <c r="J939" s="500"/>
      <c r="K939" s="500"/>
      <c r="L939" s="500"/>
      <c r="M939" s="500"/>
      <c r="N939" s="500"/>
      <c r="O939" s="500"/>
      <c r="P939" s="500"/>
      <c r="Q939" s="500"/>
      <c r="R939" s="500"/>
      <c r="S939" s="500"/>
      <c r="T939" s="500"/>
      <c r="U939" s="500"/>
      <c r="V939" s="500"/>
      <c r="W939" s="500"/>
      <c r="X939" s="500"/>
      <c r="Y939" s="500"/>
      <c r="Z939" s="500"/>
    </row>
    <row r="940" spans="1:26" x14ac:dyDescent="0.3">
      <c r="A940" s="500"/>
      <c r="B940" s="500"/>
      <c r="C940" s="500"/>
      <c r="D940" s="500"/>
      <c r="E940" s="500"/>
      <c r="F940" s="500"/>
      <c r="G940" s="500"/>
      <c r="H940" s="500"/>
      <c r="I940" s="500"/>
      <c r="J940" s="500"/>
      <c r="K940" s="500"/>
      <c r="L940" s="500"/>
      <c r="M940" s="500"/>
      <c r="N940" s="500"/>
      <c r="O940" s="500"/>
      <c r="P940" s="500"/>
      <c r="Q940" s="500"/>
      <c r="R940" s="500"/>
      <c r="S940" s="500"/>
      <c r="T940" s="500"/>
      <c r="U940" s="500"/>
      <c r="V940" s="500"/>
      <c r="W940" s="500"/>
      <c r="X940" s="500"/>
      <c r="Y940" s="500"/>
      <c r="Z940" s="500"/>
    </row>
    <row r="941" spans="1:26" x14ac:dyDescent="0.3">
      <c r="A941" s="500"/>
      <c r="B941" s="500"/>
      <c r="C941" s="500"/>
      <c r="D941" s="500"/>
      <c r="E941" s="500"/>
      <c r="F941" s="500"/>
      <c r="G941" s="500"/>
      <c r="H941" s="500"/>
      <c r="I941" s="500"/>
      <c r="J941" s="500"/>
      <c r="K941" s="500"/>
      <c r="L941" s="500"/>
      <c r="M941" s="500"/>
      <c r="N941" s="500"/>
      <c r="O941" s="500"/>
      <c r="P941" s="500"/>
      <c r="Q941" s="500"/>
      <c r="R941" s="500"/>
      <c r="S941" s="500"/>
      <c r="T941" s="500"/>
      <c r="U941" s="500"/>
      <c r="V941" s="500"/>
      <c r="W941" s="500"/>
      <c r="X941" s="500"/>
      <c r="Y941" s="500"/>
      <c r="Z941" s="500"/>
    </row>
    <row r="942" spans="1:26" x14ac:dyDescent="0.3">
      <c r="A942" s="500"/>
      <c r="B942" s="500"/>
      <c r="C942" s="500"/>
      <c r="D942" s="500"/>
      <c r="E942" s="500"/>
      <c r="F942" s="500"/>
      <c r="G942" s="500"/>
      <c r="H942" s="500"/>
      <c r="I942" s="500"/>
      <c r="J942" s="500"/>
      <c r="K942" s="500"/>
      <c r="L942" s="500"/>
      <c r="M942" s="500"/>
      <c r="N942" s="500"/>
      <c r="O942" s="500"/>
      <c r="P942" s="500"/>
      <c r="Q942" s="500"/>
      <c r="R942" s="500"/>
      <c r="S942" s="500"/>
      <c r="T942" s="500"/>
      <c r="U942" s="500"/>
      <c r="V942" s="500"/>
      <c r="W942" s="500"/>
      <c r="X942" s="500"/>
      <c r="Y942" s="500"/>
      <c r="Z942" s="500"/>
    </row>
    <row r="943" spans="1:26" x14ac:dyDescent="0.3">
      <c r="A943" s="500"/>
      <c r="B943" s="500"/>
      <c r="C943" s="500"/>
      <c r="D943" s="500"/>
      <c r="E943" s="500"/>
      <c r="F943" s="500"/>
      <c r="G943" s="500"/>
      <c r="H943" s="500"/>
      <c r="I943" s="500"/>
      <c r="J943" s="500"/>
      <c r="K943" s="500"/>
      <c r="L943" s="500"/>
      <c r="M943" s="500"/>
      <c r="N943" s="500"/>
      <c r="O943" s="500"/>
      <c r="P943" s="500"/>
      <c r="Q943" s="500"/>
      <c r="R943" s="500"/>
      <c r="S943" s="500"/>
      <c r="T943" s="500"/>
      <c r="U943" s="500"/>
      <c r="V943" s="500"/>
      <c r="W943" s="500"/>
      <c r="X943" s="500"/>
      <c r="Y943" s="500"/>
      <c r="Z943" s="500"/>
    </row>
    <row r="944" spans="1:26" x14ac:dyDescent="0.3">
      <c r="A944" s="500"/>
      <c r="B944" s="500"/>
      <c r="C944" s="500"/>
      <c r="D944" s="500"/>
      <c r="E944" s="500"/>
      <c r="F944" s="500"/>
      <c r="G944" s="500"/>
      <c r="H944" s="500"/>
      <c r="I944" s="500"/>
      <c r="J944" s="500"/>
      <c r="K944" s="500"/>
      <c r="L944" s="500"/>
      <c r="M944" s="500"/>
      <c r="N944" s="500"/>
      <c r="O944" s="500"/>
      <c r="P944" s="500"/>
      <c r="Q944" s="500"/>
      <c r="R944" s="500"/>
      <c r="S944" s="500"/>
      <c r="T944" s="500"/>
      <c r="U944" s="500"/>
      <c r="V944" s="500"/>
      <c r="W944" s="500"/>
      <c r="X944" s="500"/>
      <c r="Y944" s="500"/>
      <c r="Z944" s="500"/>
    </row>
    <row r="945" spans="1:26" x14ac:dyDescent="0.3">
      <c r="A945" s="500"/>
      <c r="B945" s="500"/>
      <c r="C945" s="500"/>
      <c r="D945" s="500"/>
      <c r="E945" s="500"/>
      <c r="F945" s="500"/>
      <c r="G945" s="500"/>
      <c r="H945" s="500"/>
      <c r="I945" s="500"/>
      <c r="J945" s="500"/>
      <c r="K945" s="500"/>
      <c r="L945" s="500"/>
      <c r="M945" s="500"/>
      <c r="N945" s="500"/>
      <c r="O945" s="500"/>
      <c r="P945" s="500"/>
      <c r="Q945" s="500"/>
      <c r="R945" s="500"/>
      <c r="S945" s="500"/>
      <c r="T945" s="500"/>
      <c r="U945" s="500"/>
      <c r="V945" s="500"/>
      <c r="W945" s="500"/>
      <c r="X945" s="500"/>
      <c r="Y945" s="500"/>
      <c r="Z945" s="500"/>
    </row>
    <row r="946" spans="1:26" x14ac:dyDescent="0.3">
      <c r="A946" s="500"/>
      <c r="B946" s="500"/>
      <c r="C946" s="500"/>
      <c r="D946" s="500"/>
      <c r="E946" s="500"/>
      <c r="F946" s="500"/>
      <c r="G946" s="500"/>
      <c r="H946" s="500"/>
      <c r="I946" s="500"/>
      <c r="J946" s="500"/>
      <c r="K946" s="500"/>
      <c r="L946" s="500"/>
      <c r="M946" s="500"/>
      <c r="N946" s="500"/>
      <c r="O946" s="500"/>
      <c r="P946" s="500"/>
      <c r="Q946" s="500"/>
      <c r="R946" s="500"/>
      <c r="S946" s="500"/>
      <c r="T946" s="500"/>
      <c r="U946" s="500"/>
      <c r="V946" s="500"/>
      <c r="W946" s="500"/>
      <c r="X946" s="500"/>
      <c r="Y946" s="500"/>
      <c r="Z946" s="500"/>
    </row>
    <row r="947" spans="1:26" x14ac:dyDescent="0.3">
      <c r="A947" s="500"/>
      <c r="B947" s="500"/>
      <c r="C947" s="500"/>
      <c r="D947" s="500"/>
      <c r="E947" s="500"/>
      <c r="F947" s="500"/>
      <c r="G947" s="500"/>
      <c r="H947" s="500"/>
      <c r="I947" s="500"/>
      <c r="J947" s="500"/>
      <c r="K947" s="500"/>
      <c r="L947" s="500"/>
      <c r="M947" s="500"/>
      <c r="N947" s="500"/>
      <c r="O947" s="500"/>
      <c r="P947" s="500"/>
      <c r="Q947" s="500"/>
      <c r="R947" s="500"/>
      <c r="S947" s="500"/>
      <c r="T947" s="500"/>
      <c r="U947" s="500"/>
      <c r="V947" s="500"/>
      <c r="W947" s="500"/>
      <c r="X947" s="500"/>
      <c r="Y947" s="500"/>
      <c r="Z947" s="500"/>
    </row>
    <row r="948" spans="1:26" x14ac:dyDescent="0.3">
      <c r="A948" s="500"/>
      <c r="B948" s="500"/>
      <c r="C948" s="500"/>
      <c r="D948" s="500"/>
      <c r="E948" s="500"/>
      <c r="F948" s="500"/>
      <c r="G948" s="500"/>
      <c r="H948" s="500"/>
      <c r="I948" s="500"/>
      <c r="J948" s="500"/>
      <c r="K948" s="500"/>
      <c r="L948" s="500"/>
      <c r="M948" s="500"/>
      <c r="N948" s="500"/>
      <c r="O948" s="500"/>
      <c r="P948" s="500"/>
      <c r="Q948" s="500"/>
      <c r="R948" s="500"/>
      <c r="S948" s="500"/>
      <c r="T948" s="500"/>
      <c r="U948" s="500"/>
      <c r="V948" s="500"/>
      <c r="W948" s="500"/>
      <c r="X948" s="500"/>
      <c r="Y948" s="500"/>
      <c r="Z948" s="500"/>
    </row>
    <row r="949" spans="1:26" x14ac:dyDescent="0.3">
      <c r="A949" s="500"/>
      <c r="B949" s="500"/>
      <c r="C949" s="500"/>
      <c r="D949" s="500"/>
      <c r="E949" s="500"/>
      <c r="F949" s="500"/>
      <c r="G949" s="500"/>
      <c r="H949" s="500"/>
      <c r="I949" s="500"/>
      <c r="J949" s="500"/>
      <c r="K949" s="500"/>
      <c r="L949" s="500"/>
      <c r="M949" s="500"/>
      <c r="N949" s="500"/>
      <c r="O949" s="500"/>
      <c r="P949" s="500"/>
      <c r="Q949" s="500"/>
      <c r="R949" s="500"/>
      <c r="S949" s="500"/>
      <c r="T949" s="500"/>
      <c r="U949" s="500"/>
      <c r="V949" s="500"/>
      <c r="W949" s="500"/>
      <c r="X949" s="500"/>
      <c r="Y949" s="500"/>
      <c r="Z949" s="500"/>
    </row>
    <row r="950" spans="1:26" x14ac:dyDescent="0.3">
      <c r="A950" s="500"/>
      <c r="B950" s="500"/>
      <c r="C950" s="500"/>
      <c r="D950" s="500"/>
      <c r="E950" s="500"/>
      <c r="F950" s="500"/>
      <c r="G950" s="500"/>
      <c r="H950" s="500"/>
      <c r="I950" s="500"/>
      <c r="J950" s="500"/>
      <c r="K950" s="500"/>
      <c r="L950" s="500"/>
      <c r="M950" s="500"/>
      <c r="N950" s="500"/>
      <c r="O950" s="500"/>
      <c r="P950" s="500"/>
      <c r="Q950" s="500"/>
      <c r="R950" s="500"/>
      <c r="S950" s="500"/>
      <c r="T950" s="500"/>
      <c r="U950" s="500"/>
      <c r="V950" s="500"/>
      <c r="W950" s="500"/>
      <c r="X950" s="500"/>
      <c r="Y950" s="500"/>
      <c r="Z950" s="500"/>
    </row>
    <row r="951" spans="1:26" x14ac:dyDescent="0.3">
      <c r="A951" s="500"/>
      <c r="B951" s="500"/>
      <c r="C951" s="500"/>
      <c r="D951" s="500"/>
      <c r="E951" s="500"/>
      <c r="F951" s="500"/>
      <c r="G951" s="500"/>
      <c r="H951" s="500"/>
      <c r="I951" s="500"/>
      <c r="J951" s="500"/>
      <c r="K951" s="500"/>
      <c r="L951" s="500"/>
      <c r="M951" s="500"/>
      <c r="N951" s="500"/>
      <c r="O951" s="500"/>
      <c r="P951" s="500"/>
      <c r="Q951" s="500"/>
      <c r="R951" s="500"/>
      <c r="S951" s="500"/>
      <c r="T951" s="500"/>
      <c r="U951" s="500"/>
      <c r="V951" s="500"/>
      <c r="W951" s="500"/>
      <c r="X951" s="500"/>
      <c r="Y951" s="500"/>
      <c r="Z951" s="500"/>
    </row>
    <row r="952" spans="1:26" x14ac:dyDescent="0.3">
      <c r="A952" s="500"/>
      <c r="B952" s="500"/>
      <c r="C952" s="500"/>
      <c r="D952" s="500"/>
      <c r="E952" s="500"/>
      <c r="F952" s="500"/>
      <c r="G952" s="500"/>
      <c r="H952" s="500"/>
      <c r="I952" s="500"/>
      <c r="J952" s="500"/>
      <c r="K952" s="500"/>
      <c r="L952" s="500"/>
      <c r="M952" s="500"/>
      <c r="N952" s="500"/>
      <c r="O952" s="500"/>
      <c r="P952" s="500"/>
      <c r="Q952" s="500"/>
      <c r="R952" s="500"/>
      <c r="S952" s="500"/>
      <c r="T952" s="500"/>
      <c r="U952" s="500"/>
      <c r="V952" s="500"/>
      <c r="W952" s="500"/>
      <c r="X952" s="500"/>
      <c r="Y952" s="500"/>
      <c r="Z952" s="500"/>
    </row>
    <row r="953" spans="1:26" x14ac:dyDescent="0.3">
      <c r="A953" s="500"/>
      <c r="B953" s="500"/>
      <c r="C953" s="500"/>
      <c r="D953" s="500"/>
      <c r="E953" s="500"/>
      <c r="F953" s="500"/>
      <c r="G953" s="500"/>
      <c r="H953" s="500"/>
      <c r="I953" s="500"/>
      <c r="J953" s="500"/>
      <c r="K953" s="500"/>
      <c r="L953" s="500"/>
      <c r="M953" s="500"/>
      <c r="N953" s="500"/>
      <c r="O953" s="500"/>
      <c r="P953" s="500"/>
      <c r="Q953" s="500"/>
      <c r="R953" s="500"/>
      <c r="S953" s="500"/>
      <c r="T953" s="500"/>
      <c r="U953" s="500"/>
      <c r="V953" s="500"/>
      <c r="W953" s="500"/>
      <c r="X953" s="500"/>
      <c r="Y953" s="500"/>
      <c r="Z953" s="500"/>
    </row>
    <row r="954" spans="1:26" x14ac:dyDescent="0.3">
      <c r="A954" s="500"/>
      <c r="B954" s="500"/>
      <c r="C954" s="500"/>
      <c r="D954" s="500"/>
      <c r="E954" s="500"/>
      <c r="F954" s="500"/>
      <c r="G954" s="500"/>
      <c r="H954" s="500"/>
      <c r="I954" s="500"/>
      <c r="J954" s="500"/>
      <c r="K954" s="500"/>
      <c r="L954" s="500"/>
      <c r="M954" s="500"/>
      <c r="N954" s="500"/>
      <c r="O954" s="500"/>
      <c r="P954" s="500"/>
      <c r="Q954" s="500"/>
      <c r="R954" s="500"/>
      <c r="S954" s="500"/>
      <c r="T954" s="500"/>
      <c r="U954" s="500"/>
      <c r="V954" s="500"/>
      <c r="W954" s="500"/>
      <c r="X954" s="500"/>
      <c r="Y954" s="500"/>
      <c r="Z954" s="500"/>
    </row>
    <row r="955" spans="1:26" x14ac:dyDescent="0.3">
      <c r="A955" s="500"/>
      <c r="B955" s="500"/>
      <c r="C955" s="500"/>
      <c r="D955" s="500"/>
      <c r="E955" s="500"/>
      <c r="F955" s="500"/>
      <c r="G955" s="500"/>
      <c r="H955" s="500"/>
      <c r="I955" s="500"/>
      <c r="J955" s="500"/>
      <c r="K955" s="500"/>
      <c r="L955" s="500"/>
      <c r="M955" s="500"/>
      <c r="N955" s="500"/>
      <c r="O955" s="500"/>
      <c r="P955" s="500"/>
      <c r="Q955" s="500"/>
      <c r="R955" s="500"/>
      <c r="S955" s="500"/>
      <c r="T955" s="500"/>
      <c r="U955" s="500"/>
      <c r="V955" s="500"/>
      <c r="W955" s="500"/>
      <c r="X955" s="500"/>
      <c r="Y955" s="500"/>
      <c r="Z955" s="500"/>
    </row>
    <row r="956" spans="1:26" x14ac:dyDescent="0.3">
      <c r="A956" s="500"/>
      <c r="B956" s="500"/>
      <c r="C956" s="500"/>
      <c r="D956" s="500"/>
      <c r="E956" s="500"/>
      <c r="F956" s="500"/>
      <c r="G956" s="500"/>
      <c r="H956" s="500"/>
      <c r="I956" s="500"/>
      <c r="J956" s="500"/>
      <c r="K956" s="500"/>
      <c r="L956" s="500"/>
      <c r="M956" s="500"/>
      <c r="N956" s="500"/>
      <c r="O956" s="500"/>
      <c r="P956" s="500"/>
      <c r="Q956" s="500"/>
      <c r="R956" s="500"/>
      <c r="S956" s="500"/>
      <c r="T956" s="500"/>
      <c r="U956" s="500"/>
      <c r="V956" s="500"/>
      <c r="W956" s="500"/>
      <c r="X956" s="500"/>
      <c r="Y956" s="500"/>
      <c r="Z956" s="500"/>
    </row>
    <row r="957" spans="1:26" x14ac:dyDescent="0.3">
      <c r="A957" s="500"/>
      <c r="B957" s="500"/>
      <c r="C957" s="500"/>
      <c r="D957" s="500"/>
      <c r="E957" s="500"/>
      <c r="F957" s="500"/>
      <c r="G957" s="500"/>
      <c r="H957" s="500"/>
      <c r="I957" s="500"/>
      <c r="J957" s="500"/>
      <c r="K957" s="500"/>
      <c r="L957" s="500"/>
      <c r="M957" s="500"/>
      <c r="N957" s="500"/>
      <c r="O957" s="500"/>
      <c r="P957" s="500"/>
      <c r="Q957" s="500"/>
      <c r="R957" s="500"/>
      <c r="S957" s="500"/>
      <c r="T957" s="500"/>
      <c r="U957" s="500"/>
      <c r="V957" s="500"/>
      <c r="W957" s="500"/>
      <c r="X957" s="500"/>
      <c r="Y957" s="500"/>
      <c r="Z957" s="500"/>
    </row>
    <row r="958" spans="1:26" x14ac:dyDescent="0.3">
      <c r="A958" s="500"/>
      <c r="B958" s="500"/>
      <c r="C958" s="500"/>
      <c r="D958" s="500"/>
      <c r="E958" s="500"/>
      <c r="F958" s="500"/>
      <c r="G958" s="500"/>
      <c r="H958" s="500"/>
      <c r="I958" s="500"/>
      <c r="J958" s="500"/>
      <c r="K958" s="500"/>
      <c r="L958" s="500"/>
      <c r="M958" s="500"/>
      <c r="N958" s="500"/>
      <c r="O958" s="500"/>
      <c r="P958" s="500"/>
      <c r="Q958" s="500"/>
      <c r="R958" s="500"/>
      <c r="S958" s="500"/>
      <c r="T958" s="500"/>
      <c r="U958" s="500"/>
      <c r="V958" s="500"/>
      <c r="W958" s="500"/>
      <c r="X958" s="500"/>
      <c r="Y958" s="500"/>
      <c r="Z958" s="500"/>
    </row>
    <row r="959" spans="1:26" x14ac:dyDescent="0.3">
      <c r="A959" s="500"/>
      <c r="B959" s="500"/>
      <c r="C959" s="500"/>
      <c r="D959" s="500"/>
      <c r="E959" s="500"/>
      <c r="F959" s="500"/>
      <c r="G959" s="500"/>
      <c r="H959" s="500"/>
      <c r="I959" s="500"/>
      <c r="J959" s="500"/>
      <c r="K959" s="500"/>
      <c r="L959" s="500"/>
      <c r="M959" s="500"/>
      <c r="N959" s="500"/>
      <c r="O959" s="500"/>
      <c r="P959" s="500"/>
      <c r="Q959" s="500"/>
      <c r="R959" s="500"/>
      <c r="S959" s="500"/>
      <c r="T959" s="500"/>
      <c r="U959" s="500"/>
      <c r="V959" s="500"/>
      <c r="W959" s="500"/>
      <c r="X959" s="500"/>
      <c r="Y959" s="500"/>
      <c r="Z959" s="500"/>
    </row>
    <row r="960" spans="1:26" x14ac:dyDescent="0.3">
      <c r="A960" s="500"/>
      <c r="B960" s="500"/>
      <c r="C960" s="500"/>
      <c r="D960" s="500"/>
      <c r="E960" s="500"/>
      <c r="F960" s="500"/>
      <c r="G960" s="500"/>
      <c r="H960" s="500"/>
      <c r="I960" s="500"/>
      <c r="J960" s="500"/>
      <c r="K960" s="500"/>
      <c r="L960" s="500"/>
      <c r="M960" s="500"/>
      <c r="N960" s="500"/>
      <c r="O960" s="500"/>
      <c r="P960" s="500"/>
      <c r="Q960" s="500"/>
      <c r="R960" s="500"/>
      <c r="S960" s="500"/>
      <c r="T960" s="500"/>
      <c r="U960" s="500"/>
      <c r="V960" s="500"/>
      <c r="W960" s="500"/>
      <c r="X960" s="500"/>
      <c r="Y960" s="500"/>
      <c r="Z960" s="500"/>
    </row>
    <row r="961" spans="1:26" x14ac:dyDescent="0.3">
      <c r="A961" s="500"/>
      <c r="B961" s="500"/>
      <c r="C961" s="500"/>
      <c r="D961" s="500"/>
      <c r="E961" s="500"/>
      <c r="F961" s="500"/>
      <c r="G961" s="500"/>
      <c r="H961" s="500"/>
      <c r="I961" s="500"/>
      <c r="J961" s="500"/>
      <c r="K961" s="500"/>
      <c r="L961" s="500"/>
      <c r="M961" s="500"/>
      <c r="N961" s="500"/>
      <c r="O961" s="500"/>
      <c r="P961" s="500"/>
      <c r="Q961" s="500"/>
      <c r="R961" s="500"/>
      <c r="S961" s="500"/>
      <c r="T961" s="500"/>
      <c r="U961" s="500"/>
      <c r="V961" s="500"/>
      <c r="W961" s="500"/>
      <c r="X961" s="500"/>
      <c r="Y961" s="500"/>
      <c r="Z961" s="500"/>
    </row>
    <row r="962" spans="1:26" x14ac:dyDescent="0.3">
      <c r="A962" s="500"/>
      <c r="B962" s="500"/>
      <c r="C962" s="500"/>
      <c r="D962" s="500"/>
      <c r="E962" s="500"/>
      <c r="F962" s="500"/>
      <c r="G962" s="500"/>
      <c r="H962" s="500"/>
      <c r="I962" s="500"/>
      <c r="J962" s="500"/>
      <c r="K962" s="500"/>
      <c r="L962" s="500"/>
      <c r="M962" s="500"/>
      <c r="N962" s="500"/>
      <c r="O962" s="500"/>
      <c r="P962" s="500"/>
      <c r="Q962" s="500"/>
      <c r="R962" s="500"/>
      <c r="S962" s="500"/>
      <c r="T962" s="500"/>
      <c r="U962" s="500"/>
      <c r="V962" s="500"/>
      <c r="W962" s="500"/>
      <c r="X962" s="500"/>
      <c r="Y962" s="500"/>
      <c r="Z962" s="500"/>
    </row>
    <row r="963" spans="1:26" x14ac:dyDescent="0.3">
      <c r="A963" s="500"/>
      <c r="B963" s="500"/>
      <c r="C963" s="500"/>
      <c r="D963" s="500"/>
      <c r="E963" s="500"/>
      <c r="F963" s="500"/>
      <c r="G963" s="500"/>
      <c r="H963" s="500"/>
      <c r="I963" s="500"/>
      <c r="J963" s="500"/>
      <c r="K963" s="500"/>
      <c r="L963" s="500"/>
      <c r="M963" s="500"/>
      <c r="N963" s="500"/>
      <c r="O963" s="500"/>
      <c r="P963" s="500"/>
      <c r="Q963" s="500"/>
      <c r="R963" s="500"/>
      <c r="S963" s="500"/>
      <c r="T963" s="500"/>
      <c r="U963" s="500"/>
      <c r="V963" s="500"/>
      <c r="W963" s="500"/>
      <c r="X963" s="500"/>
      <c r="Y963" s="500"/>
      <c r="Z963" s="500"/>
    </row>
    <row r="964" spans="1:26" x14ac:dyDescent="0.3">
      <c r="A964" s="500"/>
      <c r="B964" s="500"/>
      <c r="C964" s="500"/>
      <c r="D964" s="500"/>
      <c r="E964" s="500"/>
      <c r="F964" s="500"/>
      <c r="G964" s="500"/>
      <c r="H964" s="500"/>
      <c r="I964" s="500"/>
      <c r="J964" s="500"/>
      <c r="K964" s="500"/>
      <c r="L964" s="500"/>
      <c r="M964" s="500"/>
      <c r="N964" s="500"/>
      <c r="O964" s="500"/>
      <c r="P964" s="500"/>
      <c r="Q964" s="500"/>
      <c r="R964" s="500"/>
      <c r="S964" s="500"/>
      <c r="T964" s="500"/>
      <c r="U964" s="500"/>
      <c r="V964" s="500"/>
      <c r="W964" s="500"/>
      <c r="X964" s="500"/>
      <c r="Y964" s="500"/>
      <c r="Z964" s="500"/>
    </row>
    <row r="965" spans="1:26" x14ac:dyDescent="0.3">
      <c r="A965" s="500"/>
      <c r="B965" s="500"/>
      <c r="C965" s="500"/>
      <c r="D965" s="500"/>
      <c r="E965" s="500"/>
      <c r="F965" s="500"/>
      <c r="G965" s="500"/>
      <c r="H965" s="500"/>
      <c r="I965" s="500"/>
      <c r="J965" s="500"/>
      <c r="K965" s="500"/>
      <c r="L965" s="500"/>
      <c r="M965" s="500"/>
      <c r="N965" s="500"/>
      <c r="O965" s="500"/>
      <c r="P965" s="500"/>
      <c r="Q965" s="500"/>
      <c r="R965" s="500"/>
      <c r="S965" s="500"/>
      <c r="T965" s="500"/>
      <c r="U965" s="500"/>
      <c r="V965" s="500"/>
      <c r="W965" s="500"/>
      <c r="X965" s="500"/>
      <c r="Y965" s="500"/>
      <c r="Z965" s="500"/>
    </row>
    <row r="966" spans="1:26" x14ac:dyDescent="0.3">
      <c r="A966" s="500"/>
      <c r="B966" s="500"/>
      <c r="C966" s="500"/>
      <c r="D966" s="500"/>
      <c r="E966" s="500"/>
      <c r="F966" s="500"/>
      <c r="G966" s="500"/>
      <c r="H966" s="500"/>
      <c r="I966" s="500"/>
      <c r="J966" s="500"/>
      <c r="K966" s="500"/>
      <c r="L966" s="500"/>
      <c r="M966" s="500"/>
      <c r="N966" s="500"/>
      <c r="O966" s="500"/>
      <c r="P966" s="500"/>
      <c r="Q966" s="500"/>
      <c r="R966" s="500"/>
      <c r="S966" s="500"/>
      <c r="T966" s="500"/>
      <c r="U966" s="500"/>
      <c r="V966" s="500"/>
      <c r="W966" s="500"/>
      <c r="X966" s="500"/>
      <c r="Y966" s="500"/>
      <c r="Z966" s="500"/>
    </row>
    <row r="967" spans="1:26" x14ac:dyDescent="0.3">
      <c r="A967" s="500"/>
      <c r="B967" s="500"/>
      <c r="C967" s="500"/>
      <c r="D967" s="500"/>
      <c r="E967" s="500"/>
      <c r="F967" s="500"/>
      <c r="G967" s="500"/>
      <c r="H967" s="500"/>
      <c r="I967" s="500"/>
      <c r="J967" s="500"/>
      <c r="K967" s="500"/>
      <c r="L967" s="500"/>
      <c r="M967" s="500"/>
      <c r="N967" s="500"/>
      <c r="O967" s="500"/>
      <c r="P967" s="500"/>
      <c r="Q967" s="500"/>
      <c r="R967" s="500"/>
      <c r="S967" s="500"/>
      <c r="T967" s="500"/>
      <c r="U967" s="500"/>
      <c r="V967" s="500"/>
      <c r="W967" s="500"/>
      <c r="X967" s="500"/>
      <c r="Y967" s="500"/>
      <c r="Z967" s="500"/>
    </row>
    <row r="968" spans="1:26" x14ac:dyDescent="0.3">
      <c r="A968" s="500"/>
      <c r="B968" s="500"/>
      <c r="C968" s="500"/>
      <c r="D968" s="500"/>
      <c r="E968" s="500"/>
      <c r="F968" s="500"/>
      <c r="G968" s="500"/>
      <c r="H968" s="500"/>
      <c r="I968" s="500"/>
      <c r="J968" s="500"/>
      <c r="K968" s="500"/>
      <c r="L968" s="500"/>
      <c r="M968" s="500"/>
      <c r="N968" s="500"/>
      <c r="O968" s="500"/>
      <c r="P968" s="500"/>
      <c r="Q968" s="500"/>
      <c r="R968" s="500"/>
      <c r="S968" s="500"/>
      <c r="T968" s="500"/>
      <c r="U968" s="500"/>
      <c r="V968" s="500"/>
      <c r="W968" s="500"/>
      <c r="X968" s="500"/>
      <c r="Y968" s="500"/>
      <c r="Z968" s="500"/>
    </row>
    <row r="969" spans="1:26" x14ac:dyDescent="0.3">
      <c r="A969" s="500"/>
      <c r="B969" s="500"/>
      <c r="C969" s="500"/>
      <c r="D969" s="500"/>
      <c r="E969" s="500"/>
      <c r="F969" s="500"/>
      <c r="G969" s="500"/>
      <c r="H969" s="500"/>
      <c r="I969" s="500"/>
      <c r="J969" s="500"/>
      <c r="K969" s="500"/>
      <c r="L969" s="500"/>
      <c r="M969" s="500"/>
      <c r="N969" s="500"/>
      <c r="O969" s="500"/>
      <c r="P969" s="500"/>
      <c r="Q969" s="500"/>
      <c r="R969" s="500"/>
      <c r="S969" s="500"/>
      <c r="T969" s="500"/>
      <c r="U969" s="500"/>
      <c r="V969" s="500"/>
      <c r="W969" s="500"/>
      <c r="X969" s="500"/>
      <c r="Y969" s="500"/>
      <c r="Z969" s="500"/>
    </row>
    <row r="970" spans="1:26" x14ac:dyDescent="0.3">
      <c r="A970" s="500"/>
      <c r="B970" s="500"/>
      <c r="C970" s="500"/>
      <c r="D970" s="500"/>
      <c r="E970" s="500"/>
      <c r="F970" s="500"/>
      <c r="G970" s="500"/>
      <c r="H970" s="500"/>
      <c r="I970" s="500"/>
      <c r="J970" s="500"/>
      <c r="K970" s="500"/>
      <c r="L970" s="500"/>
      <c r="M970" s="500"/>
      <c r="N970" s="500"/>
      <c r="O970" s="500"/>
      <c r="P970" s="500"/>
      <c r="Q970" s="500"/>
      <c r="R970" s="500"/>
      <c r="S970" s="500"/>
      <c r="T970" s="500"/>
      <c r="U970" s="500"/>
      <c r="V970" s="500"/>
      <c r="W970" s="500"/>
      <c r="X970" s="500"/>
      <c r="Y970" s="500"/>
      <c r="Z970" s="500"/>
    </row>
    <row r="971" spans="1:26" x14ac:dyDescent="0.3">
      <c r="A971" s="500"/>
      <c r="B971" s="500"/>
      <c r="C971" s="500"/>
      <c r="D971" s="500"/>
      <c r="E971" s="500"/>
      <c r="F971" s="500"/>
      <c r="G971" s="500"/>
      <c r="H971" s="500"/>
      <c r="I971" s="500"/>
      <c r="J971" s="500"/>
      <c r="K971" s="500"/>
      <c r="L971" s="500"/>
      <c r="M971" s="500"/>
      <c r="N971" s="500"/>
      <c r="O971" s="500"/>
      <c r="P971" s="500"/>
      <c r="Q971" s="500"/>
      <c r="R971" s="500"/>
      <c r="S971" s="500"/>
      <c r="T971" s="500"/>
      <c r="U971" s="500"/>
      <c r="V971" s="500"/>
      <c r="W971" s="500"/>
      <c r="X971" s="500"/>
      <c r="Y971" s="500"/>
      <c r="Z971" s="500"/>
    </row>
    <row r="972" spans="1:26" x14ac:dyDescent="0.3">
      <c r="A972" s="500"/>
      <c r="B972" s="500"/>
      <c r="C972" s="500"/>
      <c r="D972" s="500"/>
      <c r="E972" s="500"/>
      <c r="F972" s="500"/>
      <c r="G972" s="500"/>
      <c r="H972" s="500"/>
      <c r="I972" s="500"/>
      <c r="J972" s="500"/>
      <c r="K972" s="500"/>
      <c r="L972" s="500"/>
      <c r="M972" s="500"/>
      <c r="N972" s="500"/>
      <c r="O972" s="500"/>
      <c r="P972" s="500"/>
      <c r="Q972" s="500"/>
      <c r="R972" s="500"/>
      <c r="S972" s="500"/>
      <c r="T972" s="500"/>
      <c r="U972" s="500"/>
      <c r="V972" s="500"/>
      <c r="W972" s="500"/>
      <c r="X972" s="500"/>
      <c r="Y972" s="500"/>
      <c r="Z972" s="500"/>
    </row>
    <row r="973" spans="1:26" x14ac:dyDescent="0.3">
      <c r="A973" s="500"/>
      <c r="B973" s="500"/>
      <c r="C973" s="500"/>
      <c r="D973" s="500"/>
      <c r="E973" s="500"/>
      <c r="F973" s="500"/>
      <c r="G973" s="500"/>
      <c r="H973" s="500"/>
      <c r="I973" s="500"/>
      <c r="J973" s="500"/>
      <c r="K973" s="500"/>
      <c r="L973" s="500"/>
      <c r="M973" s="500"/>
      <c r="N973" s="500"/>
      <c r="O973" s="500"/>
      <c r="P973" s="500"/>
      <c r="Q973" s="500"/>
      <c r="R973" s="500"/>
      <c r="S973" s="500"/>
      <c r="T973" s="500"/>
      <c r="U973" s="500"/>
      <c r="V973" s="500"/>
      <c r="W973" s="500"/>
      <c r="X973" s="500"/>
      <c r="Y973" s="500"/>
      <c r="Z973" s="500"/>
    </row>
    <row r="974" spans="1:26" x14ac:dyDescent="0.3">
      <c r="A974" s="500"/>
      <c r="B974" s="500"/>
      <c r="C974" s="500"/>
      <c r="D974" s="500"/>
      <c r="E974" s="500"/>
      <c r="F974" s="500"/>
      <c r="G974" s="500"/>
      <c r="H974" s="500"/>
      <c r="I974" s="500"/>
      <c r="J974" s="500"/>
      <c r="K974" s="500"/>
      <c r="L974" s="500"/>
      <c r="M974" s="500"/>
      <c r="N974" s="500"/>
      <c r="O974" s="500"/>
      <c r="P974" s="500"/>
      <c r="Q974" s="500"/>
      <c r="R974" s="500"/>
      <c r="S974" s="500"/>
      <c r="T974" s="500"/>
      <c r="U974" s="500"/>
      <c r="V974" s="500"/>
      <c r="W974" s="500"/>
      <c r="X974" s="500"/>
      <c r="Y974" s="500"/>
      <c r="Z974" s="500"/>
    </row>
    <row r="975" spans="1:26" x14ac:dyDescent="0.3">
      <c r="A975" s="500"/>
      <c r="B975" s="500"/>
      <c r="C975" s="500"/>
      <c r="D975" s="500"/>
      <c r="E975" s="500"/>
      <c r="F975" s="500"/>
      <c r="G975" s="500"/>
      <c r="H975" s="500"/>
      <c r="I975" s="500"/>
      <c r="J975" s="500"/>
      <c r="K975" s="500"/>
      <c r="L975" s="500"/>
      <c r="M975" s="500"/>
      <c r="N975" s="500"/>
      <c r="O975" s="500"/>
      <c r="P975" s="500"/>
      <c r="Q975" s="500"/>
      <c r="R975" s="500"/>
      <c r="S975" s="500"/>
      <c r="T975" s="500"/>
      <c r="U975" s="500"/>
      <c r="V975" s="500"/>
      <c r="W975" s="500"/>
      <c r="X975" s="500"/>
      <c r="Y975" s="500"/>
      <c r="Z975" s="500"/>
    </row>
    <row r="976" spans="1:26" x14ac:dyDescent="0.3">
      <c r="A976" s="500"/>
      <c r="B976" s="500"/>
      <c r="C976" s="500"/>
      <c r="D976" s="500"/>
      <c r="E976" s="500"/>
      <c r="F976" s="500"/>
      <c r="G976" s="500"/>
      <c r="H976" s="500"/>
      <c r="I976" s="500"/>
      <c r="J976" s="500"/>
      <c r="K976" s="500"/>
      <c r="L976" s="500"/>
      <c r="M976" s="500"/>
      <c r="N976" s="500"/>
      <c r="O976" s="500"/>
      <c r="P976" s="500"/>
      <c r="Q976" s="500"/>
      <c r="R976" s="500"/>
      <c r="S976" s="500"/>
      <c r="T976" s="500"/>
      <c r="U976" s="500"/>
      <c r="V976" s="500"/>
      <c r="W976" s="500"/>
      <c r="X976" s="500"/>
      <c r="Y976" s="500"/>
      <c r="Z976" s="500"/>
    </row>
    <row r="977" spans="1:26" x14ac:dyDescent="0.3">
      <c r="A977" s="500"/>
      <c r="B977" s="500"/>
      <c r="C977" s="500"/>
      <c r="D977" s="500"/>
      <c r="E977" s="500"/>
      <c r="F977" s="500"/>
      <c r="G977" s="500"/>
      <c r="H977" s="500"/>
      <c r="I977" s="500"/>
      <c r="J977" s="500"/>
      <c r="K977" s="500"/>
      <c r="L977" s="500"/>
      <c r="M977" s="500"/>
      <c r="N977" s="500"/>
      <c r="O977" s="500"/>
      <c r="P977" s="500"/>
      <c r="Q977" s="500"/>
      <c r="R977" s="500"/>
      <c r="S977" s="500"/>
      <c r="T977" s="500"/>
      <c r="U977" s="500"/>
      <c r="V977" s="500"/>
      <c r="W977" s="500"/>
      <c r="X977" s="500"/>
      <c r="Y977" s="500"/>
      <c r="Z977" s="500"/>
    </row>
    <row r="978" spans="1:26" x14ac:dyDescent="0.3">
      <c r="A978" s="500"/>
      <c r="B978" s="500"/>
      <c r="C978" s="500"/>
      <c r="D978" s="500"/>
      <c r="E978" s="500"/>
      <c r="F978" s="500"/>
      <c r="G978" s="500"/>
      <c r="H978" s="500"/>
      <c r="I978" s="500"/>
      <c r="J978" s="500"/>
      <c r="K978" s="500"/>
      <c r="L978" s="500"/>
      <c r="M978" s="500"/>
      <c r="N978" s="500"/>
      <c r="O978" s="500"/>
      <c r="P978" s="500"/>
      <c r="Q978" s="500"/>
      <c r="R978" s="500"/>
      <c r="S978" s="500"/>
      <c r="T978" s="500"/>
      <c r="U978" s="500"/>
      <c r="V978" s="500"/>
      <c r="W978" s="500"/>
      <c r="X978" s="500"/>
      <c r="Y978" s="500"/>
      <c r="Z978" s="500"/>
    </row>
    <row r="979" spans="1:26" x14ac:dyDescent="0.3">
      <c r="A979" s="500"/>
      <c r="B979" s="500"/>
      <c r="C979" s="500"/>
      <c r="D979" s="500"/>
      <c r="E979" s="500"/>
      <c r="F979" s="500"/>
      <c r="G979" s="500"/>
      <c r="H979" s="500"/>
      <c r="I979" s="500"/>
      <c r="J979" s="500"/>
      <c r="K979" s="500"/>
      <c r="L979" s="500"/>
      <c r="M979" s="500"/>
      <c r="N979" s="500"/>
      <c r="O979" s="500"/>
      <c r="P979" s="500"/>
      <c r="Q979" s="500"/>
      <c r="R979" s="500"/>
      <c r="S979" s="500"/>
      <c r="T979" s="500"/>
      <c r="U979" s="500"/>
      <c r="V979" s="500"/>
      <c r="W979" s="500"/>
      <c r="X979" s="500"/>
      <c r="Y979" s="500"/>
      <c r="Z979" s="500"/>
    </row>
    <row r="980" spans="1:26" x14ac:dyDescent="0.3">
      <c r="A980" s="500"/>
      <c r="B980" s="500"/>
      <c r="C980" s="500"/>
      <c r="D980" s="500"/>
      <c r="E980" s="500"/>
      <c r="F980" s="500"/>
      <c r="G980" s="500"/>
      <c r="H980" s="500"/>
      <c r="I980" s="500"/>
      <c r="J980" s="500"/>
      <c r="K980" s="500"/>
      <c r="L980" s="500"/>
      <c r="M980" s="500"/>
      <c r="N980" s="500"/>
      <c r="O980" s="500"/>
      <c r="P980" s="500"/>
      <c r="Q980" s="500"/>
      <c r="R980" s="500"/>
      <c r="S980" s="500"/>
      <c r="T980" s="500"/>
      <c r="U980" s="500"/>
      <c r="V980" s="500"/>
      <c r="W980" s="500"/>
      <c r="X980" s="500"/>
      <c r="Y980" s="500"/>
      <c r="Z980" s="500"/>
    </row>
    <row r="981" spans="1:26" x14ac:dyDescent="0.3">
      <c r="A981" s="500"/>
      <c r="B981" s="500"/>
      <c r="C981" s="500"/>
      <c r="D981" s="500"/>
      <c r="E981" s="500"/>
      <c r="F981" s="500"/>
      <c r="G981" s="500"/>
      <c r="H981" s="500"/>
      <c r="I981" s="500"/>
      <c r="J981" s="500"/>
      <c r="K981" s="500"/>
      <c r="L981" s="500"/>
      <c r="M981" s="500"/>
      <c r="N981" s="500"/>
      <c r="O981" s="500"/>
      <c r="P981" s="500"/>
      <c r="Q981" s="500"/>
      <c r="R981" s="500"/>
      <c r="S981" s="500"/>
      <c r="T981" s="500"/>
      <c r="U981" s="500"/>
      <c r="V981" s="500"/>
      <c r="W981" s="500"/>
      <c r="X981" s="500"/>
      <c r="Y981" s="500"/>
      <c r="Z981" s="500"/>
    </row>
    <row r="982" spans="1:26" x14ac:dyDescent="0.3">
      <c r="A982" s="500"/>
      <c r="B982" s="500"/>
      <c r="C982" s="500"/>
      <c r="D982" s="500"/>
      <c r="E982" s="500"/>
      <c r="F982" s="500"/>
      <c r="G982" s="500"/>
      <c r="H982" s="500"/>
      <c r="I982" s="500"/>
      <c r="J982" s="500"/>
      <c r="K982" s="500"/>
      <c r="L982" s="500"/>
      <c r="M982" s="500"/>
      <c r="N982" s="500"/>
      <c r="O982" s="500"/>
      <c r="P982" s="500"/>
      <c r="Q982" s="500"/>
      <c r="R982" s="500"/>
      <c r="S982" s="500"/>
      <c r="T982" s="500"/>
      <c r="U982" s="500"/>
      <c r="V982" s="500"/>
      <c r="W982" s="500"/>
      <c r="X982" s="500"/>
      <c r="Y982" s="500"/>
      <c r="Z982" s="500"/>
    </row>
    <row r="983" spans="1:26" x14ac:dyDescent="0.3">
      <c r="A983" s="500"/>
      <c r="B983" s="500"/>
      <c r="C983" s="500"/>
      <c r="D983" s="500"/>
      <c r="E983" s="500"/>
      <c r="F983" s="500"/>
      <c r="G983" s="500"/>
      <c r="H983" s="500"/>
      <c r="I983" s="500"/>
      <c r="J983" s="500"/>
      <c r="K983" s="500"/>
      <c r="L983" s="500"/>
      <c r="M983" s="500"/>
      <c r="N983" s="500"/>
      <c r="O983" s="500"/>
      <c r="P983" s="500"/>
      <c r="Q983" s="500"/>
      <c r="R983" s="500"/>
      <c r="S983" s="500"/>
      <c r="T983" s="500"/>
      <c r="U983" s="500"/>
      <c r="V983" s="500"/>
      <c r="W983" s="500"/>
      <c r="X983" s="500"/>
      <c r="Y983" s="500"/>
      <c r="Z983" s="500"/>
    </row>
    <row r="984" spans="1:26" x14ac:dyDescent="0.3">
      <c r="A984" s="500"/>
      <c r="B984" s="500"/>
      <c r="C984" s="500"/>
      <c r="D984" s="500"/>
      <c r="E984" s="500"/>
      <c r="F984" s="500"/>
      <c r="G984" s="500"/>
      <c r="H984" s="500"/>
      <c r="I984" s="500"/>
      <c r="J984" s="500"/>
      <c r="K984" s="500"/>
      <c r="L984" s="500"/>
      <c r="M984" s="500"/>
      <c r="N984" s="500"/>
      <c r="O984" s="500"/>
      <c r="P984" s="500"/>
      <c r="Q984" s="500"/>
      <c r="R984" s="500"/>
      <c r="S984" s="500"/>
      <c r="T984" s="500"/>
      <c r="U984" s="500"/>
      <c r="V984" s="500"/>
      <c r="W984" s="500"/>
      <c r="X984" s="500"/>
      <c r="Y984" s="500"/>
      <c r="Z984" s="500"/>
    </row>
    <row r="985" spans="1:26" x14ac:dyDescent="0.3">
      <c r="A985" s="500"/>
      <c r="B985" s="500"/>
      <c r="C985" s="500"/>
      <c r="D985" s="500"/>
      <c r="E985" s="500"/>
      <c r="F985" s="500"/>
      <c r="G985" s="500"/>
      <c r="H985" s="500"/>
      <c r="I985" s="500"/>
      <c r="J985" s="500"/>
      <c r="K985" s="500"/>
      <c r="L985" s="500"/>
      <c r="M985" s="500"/>
      <c r="N985" s="500"/>
      <c r="O985" s="500"/>
      <c r="P985" s="500"/>
      <c r="Q985" s="500"/>
      <c r="R985" s="500"/>
      <c r="S985" s="500"/>
      <c r="T985" s="500"/>
      <c r="U985" s="500"/>
      <c r="V985" s="500"/>
      <c r="W985" s="500"/>
      <c r="X985" s="500"/>
      <c r="Y985" s="500"/>
      <c r="Z985" s="500"/>
    </row>
    <row r="986" spans="1:26" x14ac:dyDescent="0.3">
      <c r="A986" s="500"/>
      <c r="B986" s="500"/>
      <c r="C986" s="500"/>
      <c r="D986" s="500"/>
      <c r="E986" s="500"/>
      <c r="F986" s="500"/>
      <c r="G986" s="500"/>
      <c r="H986" s="500"/>
      <c r="I986" s="500"/>
      <c r="J986" s="500"/>
      <c r="K986" s="500"/>
      <c r="L986" s="500"/>
      <c r="M986" s="500"/>
      <c r="N986" s="500"/>
      <c r="O986" s="500"/>
      <c r="P986" s="500"/>
      <c r="Q986" s="500"/>
      <c r="R986" s="500"/>
      <c r="S986" s="500"/>
      <c r="T986" s="500"/>
      <c r="U986" s="500"/>
      <c r="V986" s="500"/>
      <c r="W986" s="500"/>
      <c r="X986" s="500"/>
      <c r="Y986" s="500"/>
      <c r="Z986" s="500"/>
    </row>
    <row r="987" spans="1:26" x14ac:dyDescent="0.3">
      <c r="A987" s="500"/>
      <c r="B987" s="500"/>
      <c r="C987" s="500"/>
      <c r="D987" s="500"/>
      <c r="E987" s="500"/>
      <c r="F987" s="500"/>
      <c r="G987" s="500"/>
      <c r="H987" s="500"/>
      <c r="I987" s="500"/>
      <c r="J987" s="500"/>
      <c r="K987" s="500"/>
      <c r="L987" s="500"/>
      <c r="M987" s="500"/>
      <c r="N987" s="500"/>
      <c r="O987" s="500"/>
      <c r="P987" s="500"/>
      <c r="Q987" s="500"/>
      <c r="R987" s="500"/>
      <c r="S987" s="500"/>
      <c r="T987" s="500"/>
      <c r="U987" s="500"/>
      <c r="V987" s="500"/>
      <c r="W987" s="500"/>
      <c r="X987" s="500"/>
      <c r="Y987" s="500"/>
      <c r="Z987" s="500"/>
    </row>
    <row r="988" spans="1:26" x14ac:dyDescent="0.3">
      <c r="A988" s="500"/>
      <c r="B988" s="500"/>
      <c r="C988" s="500"/>
      <c r="D988" s="500"/>
      <c r="E988" s="500"/>
      <c r="F988" s="500"/>
      <c r="G988" s="500"/>
      <c r="H988" s="500"/>
      <c r="I988" s="500"/>
      <c r="J988" s="500"/>
      <c r="K988" s="500"/>
      <c r="L988" s="500"/>
      <c r="M988" s="500"/>
      <c r="N988" s="500"/>
      <c r="O988" s="500"/>
      <c r="P988" s="500"/>
      <c r="Q988" s="500"/>
      <c r="R988" s="500"/>
      <c r="S988" s="500"/>
      <c r="T988" s="500"/>
      <c r="U988" s="500"/>
      <c r="V988" s="500"/>
      <c r="W988" s="500"/>
      <c r="X988" s="500"/>
      <c r="Y988" s="500"/>
      <c r="Z988" s="500"/>
    </row>
    <row r="989" spans="1:26" x14ac:dyDescent="0.3">
      <c r="A989" s="500"/>
      <c r="B989" s="500"/>
      <c r="C989" s="500"/>
      <c r="D989" s="500"/>
      <c r="E989" s="500"/>
      <c r="F989" s="500"/>
      <c r="G989" s="500"/>
      <c r="H989" s="500"/>
      <c r="I989" s="500"/>
      <c r="J989" s="500"/>
      <c r="K989" s="500"/>
      <c r="L989" s="500"/>
      <c r="M989" s="500"/>
      <c r="N989" s="500"/>
      <c r="O989" s="500"/>
      <c r="P989" s="500"/>
      <c r="Q989" s="500"/>
      <c r="R989" s="500"/>
      <c r="S989" s="500"/>
      <c r="T989" s="500"/>
      <c r="U989" s="500"/>
      <c r="V989" s="500"/>
      <c r="W989" s="500"/>
      <c r="X989" s="500"/>
      <c r="Y989" s="500"/>
      <c r="Z989" s="500"/>
    </row>
    <row r="990" spans="1:26" x14ac:dyDescent="0.3">
      <c r="A990" s="500"/>
      <c r="B990" s="500"/>
      <c r="C990" s="500"/>
      <c r="D990" s="500"/>
      <c r="E990" s="500"/>
      <c r="F990" s="500"/>
      <c r="G990" s="500"/>
      <c r="H990" s="500"/>
      <c r="I990" s="500"/>
      <c r="J990" s="500"/>
      <c r="K990" s="500"/>
      <c r="L990" s="500"/>
      <c r="M990" s="500"/>
      <c r="N990" s="500"/>
      <c r="O990" s="500"/>
      <c r="P990" s="500"/>
      <c r="Q990" s="500"/>
      <c r="R990" s="500"/>
      <c r="S990" s="500"/>
      <c r="T990" s="500"/>
      <c r="U990" s="500"/>
      <c r="V990" s="500"/>
      <c r="W990" s="500"/>
      <c r="X990" s="500"/>
      <c r="Y990" s="500"/>
      <c r="Z990" s="500"/>
    </row>
    <row r="991" spans="1:26" x14ac:dyDescent="0.3">
      <c r="A991" s="500"/>
      <c r="B991" s="500"/>
      <c r="C991" s="500"/>
      <c r="D991" s="500"/>
      <c r="E991" s="500"/>
      <c r="F991" s="500"/>
      <c r="G991" s="500"/>
      <c r="H991" s="500"/>
      <c r="I991" s="500"/>
      <c r="J991" s="500"/>
      <c r="K991" s="500"/>
      <c r="L991" s="500"/>
      <c r="M991" s="500"/>
      <c r="N991" s="500"/>
      <c r="O991" s="500"/>
      <c r="P991" s="500"/>
      <c r="Q991" s="500"/>
      <c r="R991" s="500"/>
      <c r="S991" s="500"/>
      <c r="T991" s="500"/>
      <c r="U991" s="500"/>
      <c r="V991" s="500"/>
      <c r="W991" s="500"/>
      <c r="X991" s="500"/>
      <c r="Y991" s="500"/>
      <c r="Z991" s="500"/>
    </row>
    <row r="992" spans="1:26" x14ac:dyDescent="0.3">
      <c r="A992" s="500"/>
      <c r="B992" s="500"/>
      <c r="C992" s="500"/>
      <c r="D992" s="500"/>
      <c r="E992" s="500"/>
      <c r="F992" s="500"/>
      <c r="G992" s="500"/>
      <c r="H992" s="500"/>
      <c r="I992" s="500"/>
      <c r="J992" s="500"/>
      <c r="K992" s="500"/>
      <c r="L992" s="500"/>
      <c r="M992" s="500"/>
      <c r="N992" s="500"/>
      <c r="O992" s="500"/>
      <c r="P992" s="500"/>
      <c r="Q992" s="500"/>
      <c r="R992" s="500"/>
      <c r="S992" s="500"/>
      <c r="T992" s="500"/>
      <c r="U992" s="500"/>
      <c r="V992" s="500"/>
      <c r="W992" s="500"/>
      <c r="X992" s="500"/>
      <c r="Y992" s="500"/>
      <c r="Z992" s="500"/>
    </row>
    <row r="993" spans="1:26" x14ac:dyDescent="0.3">
      <c r="A993" s="500"/>
      <c r="B993" s="500"/>
      <c r="C993" s="500"/>
      <c r="D993" s="500"/>
      <c r="E993" s="500"/>
      <c r="F993" s="500"/>
      <c r="G993" s="500"/>
      <c r="H993" s="500"/>
      <c r="I993" s="500"/>
      <c r="J993" s="500"/>
      <c r="K993" s="500"/>
      <c r="L993" s="500"/>
      <c r="M993" s="500"/>
      <c r="N993" s="500"/>
      <c r="O993" s="500"/>
      <c r="P993" s="500"/>
      <c r="Q993" s="500"/>
      <c r="R993" s="500"/>
      <c r="S993" s="500"/>
      <c r="T993" s="500"/>
      <c r="U993" s="500"/>
      <c r="V993" s="500"/>
      <c r="W993" s="500"/>
      <c r="X993" s="500"/>
      <c r="Y993" s="500"/>
      <c r="Z993" s="500"/>
    </row>
    <row r="994" spans="1:26" x14ac:dyDescent="0.3">
      <c r="A994" s="500"/>
      <c r="B994" s="500"/>
      <c r="C994" s="500"/>
      <c r="D994" s="500"/>
      <c r="E994" s="500"/>
      <c r="F994" s="500"/>
      <c r="G994" s="500"/>
      <c r="H994" s="500"/>
      <c r="I994" s="500"/>
      <c r="J994" s="500"/>
      <c r="K994" s="500"/>
      <c r="L994" s="500"/>
      <c r="M994" s="500"/>
      <c r="N994" s="500"/>
      <c r="O994" s="500"/>
      <c r="P994" s="500"/>
      <c r="Q994" s="500"/>
      <c r="R994" s="500"/>
      <c r="S994" s="500"/>
      <c r="T994" s="500"/>
      <c r="U994" s="500"/>
      <c r="V994" s="500"/>
      <c r="W994" s="500"/>
      <c r="X994" s="500"/>
      <c r="Y994" s="500"/>
      <c r="Z994" s="500"/>
    </row>
    <row r="995" spans="1:26" x14ac:dyDescent="0.3">
      <c r="A995" s="500"/>
      <c r="B995" s="500"/>
      <c r="C995" s="500"/>
      <c r="D995" s="500"/>
      <c r="E995" s="500"/>
      <c r="F995" s="500"/>
      <c r="G995" s="500"/>
      <c r="H995" s="500"/>
      <c r="I995" s="500"/>
      <c r="J995" s="500"/>
      <c r="K995" s="500"/>
      <c r="L995" s="500"/>
      <c r="M995" s="500"/>
      <c r="N995" s="500"/>
      <c r="O995" s="500"/>
      <c r="P995" s="500"/>
      <c r="Q995" s="500"/>
      <c r="R995" s="500"/>
      <c r="S995" s="500"/>
      <c r="T995" s="500"/>
      <c r="U995" s="500"/>
      <c r="V995" s="500"/>
      <c r="W995" s="500"/>
      <c r="X995" s="500"/>
      <c r="Y995" s="500"/>
      <c r="Z995" s="500"/>
    </row>
    <row r="996" spans="1:26" x14ac:dyDescent="0.3">
      <c r="A996" s="500"/>
      <c r="B996" s="500"/>
      <c r="C996" s="500"/>
      <c r="D996" s="500"/>
      <c r="E996" s="500"/>
      <c r="F996" s="500"/>
      <c r="G996" s="500"/>
      <c r="H996" s="500"/>
      <c r="I996" s="500"/>
      <c r="J996" s="500"/>
      <c r="K996" s="500"/>
      <c r="L996" s="500"/>
      <c r="M996" s="500"/>
      <c r="N996" s="500"/>
      <c r="O996" s="500"/>
      <c r="P996" s="500"/>
      <c r="Q996" s="500"/>
      <c r="R996" s="500"/>
      <c r="S996" s="500"/>
      <c r="T996" s="500"/>
      <c r="U996" s="500"/>
      <c r="V996" s="500"/>
      <c r="W996" s="500"/>
      <c r="X996" s="500"/>
      <c r="Y996" s="500"/>
      <c r="Z996" s="500"/>
    </row>
    <row r="997" spans="1:26" x14ac:dyDescent="0.3">
      <c r="A997" s="500"/>
      <c r="B997" s="500"/>
      <c r="C997" s="500"/>
      <c r="D997" s="500"/>
      <c r="E997" s="500"/>
      <c r="F997" s="500"/>
      <c r="G997" s="500"/>
      <c r="H997" s="500"/>
      <c r="I997" s="500"/>
      <c r="J997" s="500"/>
      <c r="K997" s="500"/>
      <c r="L997" s="500"/>
      <c r="M997" s="500"/>
      <c r="N997" s="500"/>
      <c r="O997" s="500"/>
      <c r="P997" s="500"/>
      <c r="Q997" s="500"/>
      <c r="R997" s="500"/>
      <c r="S997" s="500"/>
      <c r="T997" s="500"/>
      <c r="U997" s="500"/>
      <c r="V997" s="500"/>
      <c r="W997" s="500"/>
      <c r="X997" s="500"/>
      <c r="Y997" s="500"/>
      <c r="Z997" s="500"/>
    </row>
    <row r="998" spans="1:26" x14ac:dyDescent="0.3">
      <c r="A998" s="500"/>
      <c r="B998" s="500"/>
      <c r="C998" s="500"/>
      <c r="D998" s="500"/>
      <c r="E998" s="500"/>
      <c r="F998" s="500"/>
      <c r="G998" s="500"/>
      <c r="H998" s="500"/>
      <c r="I998" s="500"/>
      <c r="J998" s="500"/>
      <c r="K998" s="500"/>
      <c r="L998" s="500"/>
      <c r="M998" s="500"/>
      <c r="N998" s="500"/>
      <c r="O998" s="500"/>
      <c r="P998" s="500"/>
      <c r="Q998" s="500"/>
      <c r="R998" s="500"/>
      <c r="S998" s="500"/>
      <c r="T998" s="500"/>
      <c r="U998" s="500"/>
      <c r="V998" s="500"/>
      <c r="W998" s="500"/>
      <c r="X998" s="500"/>
      <c r="Y998" s="500"/>
      <c r="Z998" s="500"/>
    </row>
    <row r="999" spans="1:26" x14ac:dyDescent="0.3">
      <c r="A999" s="500"/>
      <c r="B999" s="500"/>
      <c r="C999" s="500"/>
      <c r="D999" s="500"/>
      <c r="E999" s="500"/>
      <c r="F999" s="500"/>
      <c r="G999" s="500"/>
      <c r="H999" s="500"/>
      <c r="I999" s="500"/>
      <c r="J999" s="500"/>
      <c r="K999" s="500"/>
      <c r="L999" s="500"/>
      <c r="M999" s="500"/>
      <c r="N999" s="500"/>
      <c r="O999" s="500"/>
      <c r="P999" s="500"/>
      <c r="Q999" s="500"/>
      <c r="R999" s="500"/>
      <c r="S999" s="500"/>
      <c r="T999" s="500"/>
      <c r="U999" s="500"/>
      <c r="V999" s="500"/>
      <c r="W999" s="500"/>
      <c r="X999" s="500"/>
      <c r="Y999" s="500"/>
      <c r="Z999" s="500"/>
    </row>
  </sheetData>
  <scenarios current="1" show="1" sqref="C14">
    <scenario name="Lower" locked="1" count="10" user="DR. NISHTHA JAIN" comment="Created by DR. NISHTHA JAIN on 06-12-2025">
      <inputCells r="C4" val="7000"/>
      <inputCells r="C5" val="6000"/>
      <inputCells r="C6" val="2500"/>
      <inputCells r="C7" val="2000"/>
      <inputCells r="C8" val="700"/>
      <inputCells r="C9" val="15000"/>
      <inputCells r="C10" val="4500"/>
      <inputCells r="C11" val="9500"/>
      <inputCells r="C12" val="2000"/>
      <inputCells r="C13" val="400"/>
    </scenario>
    <scenario name="Higher" locked="1" count="10" user="DR. NISHTHA JAIN" comment="Created by DR. NISHTHA JAIN on 06-12-2025">
      <inputCells r="C4" val="10000"/>
      <inputCells r="C5" val="6000"/>
      <inputCells r="C6" val="4000"/>
      <inputCells r="C7" val="2500"/>
      <inputCells r="C8" val="700"/>
      <inputCells r="C9" val="21000"/>
      <inputCells r="C10" val="4500"/>
      <inputCells r="C11" val="11000"/>
      <inputCells r="C12" val="2000"/>
      <inputCells r="C13" val="400"/>
    </scenario>
  </scenarios>
  <mergeCells count="1">
    <mergeCell ref="B2:C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D06E-D1D2-4139-A0CD-CF8DED09A7EA}">
  <dimension ref="A1:Z999"/>
  <sheetViews>
    <sheetView workbookViewId="0">
      <selection activeCell="C16" sqref="C16"/>
    </sheetView>
  </sheetViews>
  <sheetFormatPr defaultColWidth="14.44140625" defaultRowHeight="15" customHeight="1" x14ac:dyDescent="0.3"/>
  <cols>
    <col min="1" max="1" width="8.77734375" style="510" customWidth="1"/>
    <col min="2" max="2" width="30.77734375" style="510" customWidth="1"/>
    <col min="3" max="3" width="13.21875" style="510" customWidth="1"/>
    <col min="4" max="26" width="8.6640625" style="510" customWidth="1"/>
    <col min="27" max="16384" width="14.44140625" style="510"/>
  </cols>
  <sheetData>
    <row r="1" spans="1:26" ht="16.5" customHeight="1" x14ac:dyDescent="0.3">
      <c r="A1" s="509"/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</row>
    <row r="2" spans="1:26" ht="16.5" customHeight="1" x14ac:dyDescent="0.3">
      <c r="A2" s="509"/>
      <c r="B2" s="684" t="s">
        <v>382</v>
      </c>
      <c r="C2" s="686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</row>
    <row r="3" spans="1:26" ht="16.5" customHeight="1" x14ac:dyDescent="0.3">
      <c r="A3" s="509"/>
      <c r="B3" s="503" t="s">
        <v>383</v>
      </c>
      <c r="C3" s="503" t="s">
        <v>384</v>
      </c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</row>
    <row r="4" spans="1:26" ht="16.5" customHeight="1" x14ac:dyDescent="0.3">
      <c r="A4" s="509"/>
      <c r="B4" s="504" t="s">
        <v>385</v>
      </c>
      <c r="C4" s="504">
        <v>10500</v>
      </c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</row>
    <row r="5" spans="1:26" ht="16.5" customHeight="1" x14ac:dyDescent="0.3">
      <c r="A5" s="509"/>
      <c r="B5" s="504" t="s">
        <v>386</v>
      </c>
      <c r="C5" s="504">
        <v>6000</v>
      </c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</row>
    <row r="6" spans="1:26" ht="16.5" customHeight="1" x14ac:dyDescent="0.3">
      <c r="A6" s="509"/>
      <c r="B6" s="504" t="s">
        <v>387</v>
      </c>
      <c r="C6" s="504">
        <v>3000</v>
      </c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509"/>
      <c r="O6" s="509"/>
      <c r="P6" s="509"/>
      <c r="Q6" s="509"/>
      <c r="R6" s="509"/>
      <c r="S6" s="509"/>
      <c r="T6" s="509"/>
      <c r="U6" s="509"/>
      <c r="V6" s="509"/>
      <c r="W6" s="509"/>
      <c r="X6" s="509"/>
      <c r="Y6" s="509"/>
      <c r="Z6" s="509"/>
    </row>
    <row r="7" spans="1:26" ht="16.5" customHeight="1" x14ac:dyDescent="0.3">
      <c r="A7" s="509"/>
      <c r="B7" s="504" t="s">
        <v>388</v>
      </c>
      <c r="C7" s="504">
        <v>2500</v>
      </c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</row>
    <row r="8" spans="1:26" ht="16.5" customHeight="1" x14ac:dyDescent="0.3">
      <c r="A8" s="509"/>
      <c r="B8" s="504" t="s">
        <v>389</v>
      </c>
      <c r="C8" s="504">
        <v>700</v>
      </c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509"/>
      <c r="Z8" s="509"/>
    </row>
    <row r="9" spans="1:26" ht="16.5" customHeight="1" x14ac:dyDescent="0.3">
      <c r="A9" s="509"/>
      <c r="B9" s="504" t="s">
        <v>390</v>
      </c>
      <c r="C9" s="504">
        <v>20000</v>
      </c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509"/>
      <c r="O9" s="509"/>
      <c r="P9" s="509"/>
      <c r="Q9" s="509"/>
      <c r="R9" s="509"/>
      <c r="S9" s="509"/>
      <c r="T9" s="509"/>
      <c r="U9" s="509"/>
      <c r="V9" s="509"/>
      <c r="W9" s="509"/>
      <c r="X9" s="509"/>
      <c r="Y9" s="509"/>
      <c r="Z9" s="509"/>
    </row>
    <row r="10" spans="1:26" ht="16.5" customHeight="1" x14ac:dyDescent="0.3">
      <c r="A10" s="509"/>
      <c r="B10" s="504" t="s">
        <v>391</v>
      </c>
      <c r="C10" s="504">
        <v>4500</v>
      </c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09"/>
      <c r="X10" s="509"/>
      <c r="Y10" s="509"/>
      <c r="Z10" s="509"/>
    </row>
    <row r="11" spans="1:26" ht="16.5" customHeight="1" x14ac:dyDescent="0.3">
      <c r="A11" s="509"/>
      <c r="B11" s="504" t="s">
        <v>392</v>
      </c>
      <c r="C11" s="504">
        <v>10000</v>
      </c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</row>
    <row r="12" spans="1:26" ht="16.5" customHeight="1" x14ac:dyDescent="0.3">
      <c r="A12" s="509"/>
      <c r="B12" s="504" t="s">
        <v>393</v>
      </c>
      <c r="C12" s="504">
        <v>2000</v>
      </c>
      <c r="D12" s="509"/>
      <c r="E12" s="509"/>
      <c r="F12" s="509"/>
      <c r="G12" s="509"/>
      <c r="H12" s="509"/>
      <c r="I12" s="509"/>
      <c r="J12" s="509"/>
      <c r="K12" s="509"/>
      <c r="L12" s="509"/>
      <c r="M12" s="509"/>
      <c r="N12" s="509"/>
      <c r="O12" s="509"/>
      <c r="P12" s="509"/>
      <c r="Q12" s="509"/>
      <c r="R12" s="509"/>
      <c r="S12" s="509"/>
      <c r="T12" s="509"/>
      <c r="U12" s="509"/>
      <c r="V12" s="509"/>
      <c r="W12" s="509"/>
      <c r="X12" s="509"/>
      <c r="Y12" s="509"/>
      <c r="Z12" s="509"/>
    </row>
    <row r="13" spans="1:26" ht="16.5" customHeight="1" x14ac:dyDescent="0.3">
      <c r="A13" s="509"/>
      <c r="B13" s="504" t="s">
        <v>394</v>
      </c>
      <c r="C13" s="504">
        <v>400</v>
      </c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  <c r="O13" s="509"/>
      <c r="P13" s="509"/>
      <c r="Q13" s="509"/>
      <c r="R13" s="509"/>
      <c r="S13" s="509"/>
      <c r="T13" s="509"/>
      <c r="U13" s="509"/>
      <c r="V13" s="509"/>
      <c r="W13" s="509"/>
      <c r="X13" s="509"/>
      <c r="Y13" s="509"/>
      <c r="Z13" s="509"/>
    </row>
    <row r="14" spans="1:26" ht="16.5" customHeight="1" x14ac:dyDescent="0.3">
      <c r="A14" s="509"/>
      <c r="B14" s="505" t="s">
        <v>271</v>
      </c>
      <c r="C14" s="505">
        <f>SUM(C4:C13)</f>
        <v>59600</v>
      </c>
      <c r="D14" s="509"/>
      <c r="E14" s="509"/>
      <c r="F14" s="509"/>
      <c r="G14" s="509"/>
      <c r="H14" s="509"/>
      <c r="I14" s="509"/>
      <c r="J14" s="509"/>
      <c r="K14" s="509"/>
      <c r="L14" s="509"/>
      <c r="M14" s="509"/>
      <c r="N14" s="509"/>
      <c r="O14" s="509"/>
      <c r="P14" s="509"/>
      <c r="Q14" s="509"/>
      <c r="R14" s="509"/>
      <c r="S14" s="509"/>
      <c r="T14" s="509"/>
      <c r="U14" s="509"/>
      <c r="V14" s="509"/>
      <c r="W14" s="509"/>
      <c r="X14" s="509"/>
      <c r="Y14" s="509"/>
      <c r="Z14" s="509"/>
    </row>
    <row r="15" spans="1:26" ht="16.5" customHeight="1" x14ac:dyDescent="0.3">
      <c r="A15" s="509"/>
      <c r="B15" s="509"/>
      <c r="C15" s="509"/>
      <c r="D15" s="509"/>
      <c r="E15" s="509"/>
      <c r="F15" s="509"/>
      <c r="G15" s="509"/>
      <c r="H15" s="509"/>
      <c r="I15" s="509"/>
      <c r="J15" s="509"/>
      <c r="K15" s="509"/>
      <c r="L15" s="509"/>
      <c r="M15" s="509"/>
      <c r="N15" s="509"/>
      <c r="O15" s="509"/>
      <c r="P15" s="509"/>
      <c r="Q15" s="509"/>
      <c r="R15" s="509"/>
      <c r="S15" s="509"/>
      <c r="T15" s="509"/>
      <c r="U15" s="509"/>
      <c r="V15" s="509"/>
      <c r="W15" s="509"/>
      <c r="X15" s="509"/>
      <c r="Y15" s="509"/>
      <c r="Z15" s="509"/>
    </row>
    <row r="16" spans="1:26" ht="16.5" customHeight="1" x14ac:dyDescent="0.3">
      <c r="A16" s="509"/>
      <c r="B16" s="509"/>
      <c r="C16" s="509"/>
      <c r="D16" s="509"/>
      <c r="E16" s="509"/>
      <c r="F16" s="509"/>
      <c r="G16" s="509"/>
      <c r="H16" s="509"/>
      <c r="I16" s="509"/>
      <c r="J16" s="509"/>
      <c r="K16" s="509"/>
      <c r="L16" s="509"/>
      <c r="M16" s="509"/>
      <c r="N16" s="509"/>
      <c r="O16" s="509"/>
      <c r="P16" s="509"/>
      <c r="Q16" s="509"/>
      <c r="R16" s="509"/>
      <c r="S16" s="509"/>
      <c r="T16" s="509"/>
      <c r="U16" s="509"/>
      <c r="V16" s="509"/>
      <c r="W16" s="509"/>
      <c r="X16" s="509"/>
      <c r="Y16" s="509"/>
      <c r="Z16" s="509"/>
    </row>
    <row r="17" spans="1:26" ht="16.5" customHeight="1" x14ac:dyDescent="0.3">
      <c r="A17" s="509"/>
      <c r="B17" s="509"/>
      <c r="C17" s="509"/>
      <c r="D17" s="509"/>
      <c r="E17" s="509"/>
      <c r="F17" s="509"/>
      <c r="G17" s="509"/>
      <c r="H17" s="509"/>
      <c r="I17" s="509"/>
      <c r="J17" s="509"/>
      <c r="K17" s="509"/>
      <c r="L17" s="509"/>
      <c r="M17" s="509"/>
      <c r="N17" s="509"/>
      <c r="O17" s="509"/>
      <c r="P17" s="509"/>
      <c r="Q17" s="509"/>
      <c r="R17" s="509"/>
      <c r="S17" s="509"/>
      <c r="T17" s="509"/>
      <c r="U17" s="509"/>
      <c r="V17" s="509"/>
      <c r="W17" s="509"/>
      <c r="X17" s="509"/>
      <c r="Y17" s="509"/>
      <c r="Z17" s="509"/>
    </row>
    <row r="18" spans="1:26" ht="16.5" customHeight="1" x14ac:dyDescent="0.3">
      <c r="A18" s="509"/>
      <c r="B18" s="509"/>
      <c r="C18" s="509"/>
      <c r="D18" s="509"/>
      <c r="E18" s="509"/>
      <c r="F18" s="509"/>
      <c r="G18" s="509"/>
      <c r="H18" s="509"/>
      <c r="I18" s="509"/>
      <c r="J18" s="509"/>
      <c r="K18" s="509"/>
      <c r="L18" s="509"/>
      <c r="M18" s="509"/>
      <c r="N18" s="509"/>
      <c r="O18" s="509"/>
      <c r="P18" s="509"/>
      <c r="Q18" s="509"/>
      <c r="R18" s="509"/>
      <c r="S18" s="509"/>
      <c r="T18" s="509"/>
      <c r="U18" s="509"/>
      <c r="V18" s="509"/>
      <c r="W18" s="509"/>
      <c r="X18" s="509"/>
      <c r="Y18" s="509"/>
      <c r="Z18" s="509"/>
    </row>
    <row r="19" spans="1:26" ht="16.5" customHeight="1" x14ac:dyDescent="0.3">
      <c r="A19" s="509"/>
      <c r="B19" s="509"/>
      <c r="C19" s="509"/>
      <c r="D19" s="509"/>
      <c r="E19" s="509"/>
      <c r="F19" s="509"/>
      <c r="G19" s="509"/>
      <c r="H19" s="509"/>
      <c r="I19" s="509"/>
      <c r="J19" s="509"/>
      <c r="K19" s="509"/>
      <c r="L19" s="509"/>
      <c r="M19" s="509"/>
      <c r="N19" s="509"/>
      <c r="O19" s="509"/>
      <c r="P19" s="509"/>
      <c r="Q19" s="509"/>
      <c r="R19" s="509"/>
      <c r="S19" s="509"/>
      <c r="T19" s="509"/>
      <c r="U19" s="509"/>
      <c r="V19" s="509"/>
      <c r="W19" s="509"/>
      <c r="X19" s="509"/>
      <c r="Y19" s="509"/>
      <c r="Z19" s="509"/>
    </row>
    <row r="20" spans="1:26" ht="16.5" customHeight="1" x14ac:dyDescent="0.3">
      <c r="A20" s="509"/>
      <c r="B20" s="509"/>
      <c r="C20" s="509"/>
      <c r="D20" s="509"/>
      <c r="E20" s="509"/>
      <c r="F20" s="509"/>
      <c r="G20" s="509"/>
      <c r="H20" s="509"/>
      <c r="I20" s="509"/>
      <c r="J20" s="509"/>
      <c r="K20" s="509"/>
      <c r="L20" s="509"/>
      <c r="M20" s="509"/>
      <c r="N20" s="509"/>
      <c r="O20" s="509"/>
      <c r="P20" s="509"/>
      <c r="Q20" s="509"/>
      <c r="R20" s="509"/>
      <c r="S20" s="509"/>
      <c r="T20" s="509"/>
      <c r="U20" s="509"/>
      <c r="V20" s="509"/>
      <c r="W20" s="509"/>
      <c r="X20" s="509"/>
      <c r="Y20" s="509"/>
      <c r="Z20" s="509"/>
    </row>
    <row r="21" spans="1:26" ht="16.5" customHeight="1" x14ac:dyDescent="0.3">
      <c r="A21" s="509"/>
      <c r="B21" s="509"/>
      <c r="C21" s="509"/>
      <c r="D21" s="509"/>
      <c r="E21" s="509"/>
      <c r="F21" s="509"/>
      <c r="G21" s="509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09"/>
      <c r="X21" s="509"/>
      <c r="Y21" s="509"/>
      <c r="Z21" s="509"/>
    </row>
    <row r="22" spans="1:26" ht="16.5" customHeight="1" x14ac:dyDescent="0.3">
      <c r="A22" s="509"/>
      <c r="B22" s="509"/>
      <c r="C22" s="509"/>
      <c r="D22" s="509"/>
      <c r="E22" s="509"/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</row>
    <row r="23" spans="1:26" ht="16.5" customHeight="1" x14ac:dyDescent="0.3">
      <c r="A23" s="509"/>
      <c r="B23" s="509"/>
      <c r="C23" s="509"/>
      <c r="D23" s="509"/>
      <c r="E23" s="509"/>
      <c r="F23" s="509"/>
      <c r="G23" s="509"/>
      <c r="H23" s="509"/>
      <c r="I23" s="509"/>
      <c r="J23" s="509"/>
      <c r="K23" s="509"/>
      <c r="L23" s="509"/>
      <c r="M23" s="509"/>
      <c r="N23" s="509"/>
      <c r="O23" s="509"/>
      <c r="P23" s="509"/>
      <c r="Q23" s="509"/>
      <c r="R23" s="509"/>
      <c r="S23" s="509"/>
      <c r="T23" s="509"/>
      <c r="U23" s="509"/>
      <c r="V23" s="509"/>
      <c r="W23" s="509"/>
      <c r="X23" s="509"/>
      <c r="Y23" s="509"/>
      <c r="Z23" s="509"/>
    </row>
    <row r="24" spans="1:26" ht="16.5" customHeight="1" x14ac:dyDescent="0.3">
      <c r="A24" s="509"/>
      <c r="B24" s="509"/>
      <c r="C24" s="509"/>
      <c r="D24" s="509"/>
      <c r="E24" s="509"/>
      <c r="F24" s="509"/>
      <c r="G24" s="509"/>
      <c r="H24" s="509"/>
      <c r="I24" s="509"/>
      <c r="J24" s="509"/>
      <c r="K24" s="509"/>
      <c r="L24" s="509"/>
      <c r="M24" s="509"/>
      <c r="N24" s="509"/>
      <c r="O24" s="509"/>
      <c r="P24" s="509"/>
      <c r="Q24" s="509"/>
      <c r="R24" s="509"/>
      <c r="S24" s="509"/>
      <c r="T24" s="509"/>
      <c r="U24" s="509"/>
      <c r="V24" s="509"/>
      <c r="W24" s="509"/>
      <c r="X24" s="509"/>
      <c r="Y24" s="509"/>
      <c r="Z24" s="509"/>
    </row>
    <row r="25" spans="1:26" ht="16.5" customHeight="1" x14ac:dyDescent="0.3">
      <c r="A25" s="509"/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509"/>
      <c r="V25" s="509"/>
      <c r="W25" s="509"/>
      <c r="X25" s="509"/>
      <c r="Y25" s="509"/>
      <c r="Z25" s="509"/>
    </row>
    <row r="26" spans="1:26" ht="16.5" customHeight="1" x14ac:dyDescent="0.3">
      <c r="A26" s="509"/>
      <c r="B26" s="509"/>
      <c r="C26" s="509"/>
      <c r="D26" s="509"/>
      <c r="E26" s="509"/>
      <c r="F26" s="509"/>
      <c r="G26" s="509"/>
      <c r="H26" s="509"/>
      <c r="I26" s="509"/>
      <c r="J26" s="509"/>
      <c r="K26" s="509"/>
      <c r="L26" s="509"/>
      <c r="M26" s="509"/>
      <c r="N26" s="509"/>
      <c r="O26" s="509"/>
      <c r="P26" s="509"/>
      <c r="Q26" s="509"/>
      <c r="R26" s="509"/>
      <c r="S26" s="509"/>
      <c r="T26" s="509"/>
      <c r="U26" s="509"/>
      <c r="V26" s="509"/>
      <c r="W26" s="509"/>
      <c r="X26" s="509"/>
      <c r="Y26" s="509"/>
      <c r="Z26" s="509"/>
    </row>
    <row r="27" spans="1:26" ht="16.5" customHeight="1" x14ac:dyDescent="0.3">
      <c r="A27" s="509"/>
      <c r="B27" s="509"/>
      <c r="C27" s="509"/>
      <c r="D27" s="509"/>
      <c r="E27" s="509"/>
      <c r="F27" s="509"/>
      <c r="G27" s="509"/>
      <c r="H27" s="509"/>
      <c r="I27" s="509"/>
      <c r="J27" s="509"/>
      <c r="K27" s="509"/>
      <c r="L27" s="509"/>
      <c r="M27" s="509"/>
      <c r="N27" s="509"/>
      <c r="O27" s="509"/>
      <c r="P27" s="509"/>
      <c r="Q27" s="509"/>
      <c r="R27" s="509"/>
      <c r="S27" s="509"/>
      <c r="T27" s="509"/>
      <c r="U27" s="509"/>
      <c r="V27" s="509"/>
      <c r="W27" s="509"/>
      <c r="X27" s="509"/>
      <c r="Y27" s="509"/>
      <c r="Z27" s="509"/>
    </row>
    <row r="28" spans="1:26" ht="16.5" customHeight="1" x14ac:dyDescent="0.3">
      <c r="A28" s="509"/>
      <c r="B28" s="509"/>
      <c r="C28" s="509"/>
      <c r="D28" s="509"/>
      <c r="E28" s="509"/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</row>
    <row r="29" spans="1:26" ht="16.5" customHeight="1" x14ac:dyDescent="0.3">
      <c r="A29" s="509"/>
      <c r="B29" s="509"/>
      <c r="C29" s="509"/>
      <c r="D29" s="509"/>
      <c r="E29" s="509"/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</row>
    <row r="30" spans="1:26" ht="16.5" customHeight="1" x14ac:dyDescent="0.3">
      <c r="A30" s="509"/>
      <c r="B30" s="509"/>
      <c r="C30" s="509"/>
      <c r="D30" s="509"/>
      <c r="E30" s="509"/>
      <c r="F30" s="509"/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09"/>
      <c r="S30" s="509"/>
      <c r="T30" s="509"/>
      <c r="U30" s="509"/>
      <c r="V30" s="509"/>
      <c r="W30" s="509"/>
      <c r="X30" s="509"/>
      <c r="Y30" s="509"/>
      <c r="Z30" s="509"/>
    </row>
    <row r="31" spans="1:26" ht="16.5" customHeight="1" x14ac:dyDescent="0.3">
      <c r="A31" s="509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509"/>
      <c r="V31" s="509"/>
      <c r="W31" s="509"/>
      <c r="X31" s="509"/>
      <c r="Y31" s="509"/>
      <c r="Z31" s="509"/>
    </row>
    <row r="32" spans="1:26" ht="16.5" customHeight="1" x14ac:dyDescent="0.3">
      <c r="A32" s="509"/>
      <c r="B32" s="509"/>
      <c r="C32" s="509"/>
      <c r="D32" s="509"/>
      <c r="E32" s="509"/>
      <c r="F32" s="509"/>
      <c r="G32" s="509"/>
      <c r="H32" s="509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T32" s="509"/>
      <c r="U32" s="509"/>
      <c r="V32" s="509"/>
      <c r="W32" s="509"/>
      <c r="X32" s="509"/>
      <c r="Y32" s="509"/>
      <c r="Z32" s="509"/>
    </row>
    <row r="33" spans="1:26" ht="16.5" customHeight="1" x14ac:dyDescent="0.3">
      <c r="A33" s="509"/>
      <c r="B33" s="509"/>
      <c r="C33" s="509"/>
      <c r="D33" s="509"/>
      <c r="E33" s="509"/>
      <c r="F33" s="509"/>
      <c r="G33" s="509"/>
      <c r="H33" s="509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T33" s="509"/>
      <c r="U33" s="509"/>
      <c r="V33" s="509"/>
      <c r="W33" s="509"/>
      <c r="X33" s="509"/>
      <c r="Y33" s="509"/>
      <c r="Z33" s="509"/>
    </row>
    <row r="34" spans="1:26" ht="16.5" customHeight="1" x14ac:dyDescent="0.3">
      <c r="A34" s="509"/>
      <c r="B34" s="509"/>
      <c r="C34" s="509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R34" s="509"/>
      <c r="S34" s="509"/>
      <c r="T34" s="509"/>
      <c r="U34" s="509"/>
      <c r="V34" s="509"/>
      <c r="W34" s="509"/>
      <c r="X34" s="509"/>
      <c r="Y34" s="509"/>
      <c r="Z34" s="509"/>
    </row>
    <row r="35" spans="1:26" ht="16.5" customHeight="1" x14ac:dyDescent="0.3">
      <c r="A35" s="509"/>
      <c r="B35" s="509"/>
      <c r="C35" s="509"/>
      <c r="D35" s="509"/>
      <c r="E35" s="509"/>
      <c r="F35" s="509"/>
      <c r="G35" s="509"/>
      <c r="H35" s="509"/>
      <c r="I35" s="509"/>
      <c r="J35" s="509"/>
      <c r="K35" s="509"/>
      <c r="L35" s="509"/>
      <c r="M35" s="509"/>
      <c r="N35" s="509"/>
      <c r="O35" s="509"/>
      <c r="P35" s="509"/>
      <c r="Q35" s="509"/>
      <c r="R35" s="509"/>
      <c r="S35" s="509"/>
      <c r="T35" s="509"/>
      <c r="U35" s="509"/>
      <c r="V35" s="509"/>
      <c r="W35" s="509"/>
      <c r="X35" s="509"/>
      <c r="Y35" s="509"/>
      <c r="Z35" s="509"/>
    </row>
    <row r="36" spans="1:26" ht="16.5" customHeight="1" x14ac:dyDescent="0.3">
      <c r="A36" s="509"/>
      <c r="B36" s="509"/>
      <c r="C36" s="509"/>
      <c r="D36" s="509"/>
      <c r="E36" s="509"/>
      <c r="F36" s="509"/>
      <c r="G36" s="509"/>
      <c r="H36" s="509"/>
      <c r="I36" s="509"/>
      <c r="J36" s="509"/>
      <c r="K36" s="509"/>
      <c r="L36" s="509"/>
      <c r="M36" s="509"/>
      <c r="N36" s="509"/>
      <c r="O36" s="509"/>
      <c r="P36" s="509"/>
      <c r="Q36" s="509"/>
      <c r="R36" s="509"/>
      <c r="S36" s="509"/>
      <c r="T36" s="509"/>
      <c r="U36" s="509"/>
      <c r="V36" s="509"/>
      <c r="W36" s="509"/>
      <c r="X36" s="509"/>
      <c r="Y36" s="509"/>
      <c r="Z36" s="509"/>
    </row>
    <row r="37" spans="1:26" ht="16.5" customHeight="1" x14ac:dyDescent="0.3">
      <c r="A37" s="509"/>
      <c r="B37" s="509"/>
      <c r="C37" s="509"/>
      <c r="D37" s="509"/>
      <c r="E37" s="509"/>
      <c r="F37" s="509"/>
      <c r="G37" s="509"/>
      <c r="H37" s="509"/>
      <c r="I37" s="509"/>
      <c r="J37" s="509"/>
      <c r="K37" s="509"/>
      <c r="L37" s="509"/>
      <c r="M37" s="509"/>
      <c r="N37" s="509"/>
      <c r="O37" s="509"/>
      <c r="P37" s="509"/>
      <c r="Q37" s="509"/>
      <c r="R37" s="509"/>
      <c r="S37" s="509"/>
      <c r="T37" s="509"/>
      <c r="U37" s="509"/>
      <c r="V37" s="509"/>
      <c r="W37" s="509"/>
      <c r="X37" s="509"/>
      <c r="Y37" s="509"/>
      <c r="Z37" s="509"/>
    </row>
    <row r="38" spans="1:26" ht="16.5" customHeight="1" x14ac:dyDescent="0.3">
      <c r="A38" s="509"/>
      <c r="B38" s="509"/>
      <c r="C38" s="509"/>
      <c r="D38" s="509"/>
      <c r="E38" s="509"/>
      <c r="F38" s="509"/>
      <c r="G38" s="509"/>
      <c r="H38" s="509"/>
      <c r="I38" s="509"/>
      <c r="J38" s="509"/>
      <c r="K38" s="509"/>
      <c r="L38" s="509"/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09"/>
      <c r="X38" s="509"/>
      <c r="Y38" s="509"/>
      <c r="Z38" s="509"/>
    </row>
    <row r="39" spans="1:26" ht="16.5" customHeight="1" x14ac:dyDescent="0.3">
      <c r="A39" s="509"/>
      <c r="B39" s="509"/>
      <c r="C39" s="509"/>
      <c r="D39" s="509"/>
      <c r="E39" s="509"/>
      <c r="F39" s="509"/>
      <c r="G39" s="509"/>
      <c r="H39" s="509"/>
      <c r="I39" s="509"/>
      <c r="J39" s="509"/>
      <c r="K39" s="509"/>
      <c r="L39" s="509"/>
      <c r="M39" s="509"/>
      <c r="N39" s="509"/>
      <c r="O39" s="509"/>
      <c r="P39" s="509"/>
      <c r="Q39" s="509"/>
      <c r="R39" s="509"/>
      <c r="S39" s="509"/>
      <c r="T39" s="509"/>
      <c r="U39" s="509"/>
      <c r="V39" s="509"/>
      <c r="W39" s="509"/>
      <c r="X39" s="509"/>
      <c r="Y39" s="509"/>
      <c r="Z39" s="509"/>
    </row>
    <row r="40" spans="1:26" ht="16.5" customHeight="1" x14ac:dyDescent="0.3">
      <c r="A40" s="509"/>
      <c r="B40" s="509"/>
      <c r="C40" s="509"/>
      <c r="D40" s="509"/>
      <c r="E40" s="509"/>
      <c r="F40" s="509"/>
      <c r="G40" s="509"/>
      <c r="H40" s="509"/>
      <c r="I40" s="509"/>
      <c r="J40" s="509"/>
      <c r="K40" s="509"/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09"/>
      <c r="X40" s="509"/>
      <c r="Y40" s="509"/>
      <c r="Z40" s="509"/>
    </row>
    <row r="41" spans="1:26" ht="16.5" customHeight="1" x14ac:dyDescent="0.3">
      <c r="A41" s="509"/>
      <c r="B41" s="509"/>
      <c r="C41" s="509"/>
      <c r="D41" s="509"/>
      <c r="E41" s="509"/>
      <c r="F41" s="509"/>
      <c r="G41" s="509"/>
      <c r="H41" s="509"/>
      <c r="I41" s="509"/>
      <c r="J41" s="509"/>
      <c r="K41" s="509"/>
      <c r="L41" s="509"/>
      <c r="M41" s="509"/>
      <c r="N41" s="509"/>
      <c r="O41" s="509"/>
      <c r="P41" s="509"/>
      <c r="Q41" s="509"/>
      <c r="R41" s="509"/>
      <c r="S41" s="509"/>
      <c r="T41" s="509"/>
      <c r="U41" s="509"/>
      <c r="V41" s="509"/>
      <c r="W41" s="509"/>
      <c r="X41" s="509"/>
      <c r="Y41" s="509"/>
      <c r="Z41" s="509"/>
    </row>
    <row r="42" spans="1:26" ht="16.5" customHeight="1" x14ac:dyDescent="0.3">
      <c r="A42" s="509"/>
      <c r="B42" s="509"/>
      <c r="C42" s="509"/>
      <c r="D42" s="509"/>
      <c r="E42" s="509"/>
      <c r="F42" s="509"/>
      <c r="G42" s="509"/>
      <c r="H42" s="509"/>
      <c r="I42" s="509"/>
      <c r="J42" s="509"/>
      <c r="K42" s="509"/>
      <c r="L42" s="509"/>
      <c r="M42" s="509"/>
      <c r="N42" s="509"/>
      <c r="O42" s="509"/>
      <c r="P42" s="509"/>
      <c r="Q42" s="509"/>
      <c r="R42" s="509"/>
      <c r="S42" s="509"/>
      <c r="T42" s="509"/>
      <c r="U42" s="509"/>
      <c r="V42" s="509"/>
      <c r="W42" s="509"/>
      <c r="X42" s="509"/>
      <c r="Y42" s="509"/>
      <c r="Z42" s="509"/>
    </row>
    <row r="43" spans="1:26" ht="16.5" customHeight="1" x14ac:dyDescent="0.3">
      <c r="A43" s="509"/>
      <c r="B43" s="509"/>
      <c r="C43" s="509"/>
      <c r="D43" s="509"/>
      <c r="E43" s="509"/>
      <c r="F43" s="509"/>
      <c r="G43" s="509"/>
      <c r="H43" s="509"/>
      <c r="I43" s="509"/>
      <c r="J43" s="509"/>
      <c r="K43" s="509"/>
      <c r="L43" s="509"/>
      <c r="M43" s="509"/>
      <c r="N43" s="509"/>
      <c r="O43" s="509"/>
      <c r="P43" s="509"/>
      <c r="Q43" s="509"/>
      <c r="R43" s="509"/>
      <c r="S43" s="509"/>
      <c r="T43" s="509"/>
      <c r="U43" s="509"/>
      <c r="V43" s="509"/>
      <c r="W43" s="509"/>
      <c r="X43" s="509"/>
      <c r="Y43" s="509"/>
      <c r="Z43" s="509"/>
    </row>
    <row r="44" spans="1:26" ht="16.5" customHeight="1" x14ac:dyDescent="0.3">
      <c r="A44" s="509"/>
      <c r="B44" s="509"/>
      <c r="C44" s="509"/>
      <c r="D44" s="509"/>
      <c r="E44" s="509"/>
      <c r="F44" s="509"/>
      <c r="G44" s="509"/>
      <c r="H44" s="509"/>
      <c r="I44" s="509"/>
      <c r="J44" s="509"/>
      <c r="K44" s="509"/>
      <c r="L44" s="509"/>
      <c r="M44" s="509"/>
      <c r="N44" s="509"/>
      <c r="O44" s="509"/>
      <c r="P44" s="509"/>
      <c r="Q44" s="509"/>
      <c r="R44" s="509"/>
      <c r="S44" s="509"/>
      <c r="T44" s="509"/>
      <c r="U44" s="509"/>
      <c r="V44" s="509"/>
      <c r="W44" s="509"/>
      <c r="X44" s="509"/>
      <c r="Y44" s="509"/>
      <c r="Z44" s="509"/>
    </row>
    <row r="45" spans="1:26" ht="16.5" customHeight="1" x14ac:dyDescent="0.3">
      <c r="A45" s="509"/>
      <c r="B45" s="509"/>
      <c r="C45" s="509"/>
      <c r="D45" s="509"/>
      <c r="E45" s="509"/>
      <c r="F45" s="509"/>
      <c r="G45" s="509"/>
      <c r="H45" s="509"/>
      <c r="I45" s="509"/>
      <c r="J45" s="509"/>
      <c r="K45" s="509"/>
      <c r="L45" s="509"/>
      <c r="M45" s="509"/>
      <c r="N45" s="509"/>
      <c r="O45" s="509"/>
      <c r="P45" s="509"/>
      <c r="Q45" s="509"/>
      <c r="R45" s="509"/>
      <c r="S45" s="509"/>
      <c r="T45" s="509"/>
      <c r="U45" s="509"/>
      <c r="V45" s="509"/>
      <c r="W45" s="509"/>
      <c r="X45" s="509"/>
      <c r="Y45" s="509"/>
      <c r="Z45" s="509"/>
    </row>
    <row r="46" spans="1:26" ht="16.5" customHeight="1" x14ac:dyDescent="0.3">
      <c r="A46" s="509"/>
      <c r="B46" s="509"/>
      <c r="C46" s="509"/>
      <c r="D46" s="509"/>
      <c r="E46" s="509"/>
      <c r="F46" s="509"/>
      <c r="G46" s="509"/>
      <c r="H46" s="509"/>
      <c r="I46" s="509"/>
      <c r="J46" s="509"/>
      <c r="K46" s="509"/>
      <c r="L46" s="509"/>
      <c r="M46" s="509"/>
      <c r="N46" s="509"/>
      <c r="O46" s="509"/>
      <c r="P46" s="509"/>
      <c r="Q46" s="509"/>
      <c r="R46" s="509"/>
      <c r="S46" s="509"/>
      <c r="T46" s="509"/>
      <c r="U46" s="509"/>
      <c r="V46" s="509"/>
      <c r="W46" s="509"/>
      <c r="X46" s="509"/>
      <c r="Y46" s="509"/>
      <c r="Z46" s="509"/>
    </row>
    <row r="47" spans="1:26" ht="16.5" customHeight="1" x14ac:dyDescent="0.3">
      <c r="A47" s="509"/>
      <c r="B47" s="509"/>
      <c r="C47" s="509"/>
      <c r="D47" s="509"/>
      <c r="E47" s="509"/>
      <c r="F47" s="509"/>
      <c r="G47" s="509"/>
      <c r="H47" s="509"/>
      <c r="I47" s="509"/>
      <c r="J47" s="509"/>
      <c r="K47" s="509"/>
      <c r="L47" s="509"/>
      <c r="M47" s="509"/>
      <c r="N47" s="509"/>
      <c r="O47" s="509"/>
      <c r="P47" s="509"/>
      <c r="Q47" s="509"/>
      <c r="R47" s="509"/>
      <c r="S47" s="509"/>
      <c r="T47" s="509"/>
      <c r="U47" s="509"/>
      <c r="V47" s="509"/>
      <c r="W47" s="509"/>
      <c r="X47" s="509"/>
      <c r="Y47" s="509"/>
      <c r="Z47" s="509"/>
    </row>
    <row r="48" spans="1:26" ht="16.5" customHeight="1" x14ac:dyDescent="0.3">
      <c r="A48" s="509"/>
      <c r="B48" s="509"/>
      <c r="C48" s="509"/>
      <c r="D48" s="509"/>
      <c r="E48" s="509"/>
      <c r="F48" s="509"/>
      <c r="G48" s="509"/>
      <c r="H48" s="509"/>
      <c r="I48" s="509"/>
      <c r="J48" s="509"/>
      <c r="K48" s="509"/>
      <c r="L48" s="509"/>
      <c r="M48" s="509"/>
      <c r="N48" s="509"/>
      <c r="O48" s="509"/>
      <c r="P48" s="509"/>
      <c r="Q48" s="509"/>
      <c r="R48" s="509"/>
      <c r="S48" s="509"/>
      <c r="T48" s="509"/>
      <c r="U48" s="509"/>
      <c r="V48" s="509"/>
      <c r="W48" s="509"/>
      <c r="X48" s="509"/>
      <c r="Y48" s="509"/>
      <c r="Z48" s="509"/>
    </row>
    <row r="49" spans="1:26" ht="16.5" customHeight="1" x14ac:dyDescent="0.3">
      <c r="A49" s="509"/>
      <c r="B49" s="509"/>
      <c r="C49" s="509"/>
      <c r="D49" s="509"/>
      <c r="E49" s="509"/>
      <c r="F49" s="509"/>
      <c r="G49" s="509"/>
      <c r="H49" s="509"/>
      <c r="I49" s="509"/>
      <c r="J49" s="509"/>
      <c r="K49" s="509"/>
      <c r="L49" s="509"/>
      <c r="M49" s="509"/>
      <c r="N49" s="509"/>
      <c r="O49" s="509"/>
      <c r="P49" s="509"/>
      <c r="Q49" s="509"/>
      <c r="R49" s="509"/>
      <c r="S49" s="509"/>
      <c r="T49" s="509"/>
      <c r="U49" s="509"/>
      <c r="V49" s="509"/>
      <c r="W49" s="509"/>
      <c r="X49" s="509"/>
      <c r="Y49" s="509"/>
      <c r="Z49" s="509"/>
    </row>
    <row r="50" spans="1:26" ht="16.5" customHeight="1" x14ac:dyDescent="0.3">
      <c r="A50" s="509"/>
      <c r="B50" s="509"/>
      <c r="C50" s="509"/>
      <c r="D50" s="509"/>
      <c r="E50" s="509"/>
      <c r="F50" s="509"/>
      <c r="G50" s="509"/>
      <c r="H50" s="509"/>
      <c r="I50" s="509"/>
      <c r="J50" s="509"/>
      <c r="K50" s="509"/>
      <c r="L50" s="509"/>
      <c r="M50" s="509"/>
      <c r="N50" s="509"/>
      <c r="O50" s="509"/>
      <c r="P50" s="509"/>
      <c r="Q50" s="509"/>
      <c r="R50" s="509"/>
      <c r="S50" s="509"/>
      <c r="T50" s="509"/>
      <c r="U50" s="509"/>
      <c r="V50" s="509"/>
      <c r="W50" s="509"/>
      <c r="X50" s="509"/>
      <c r="Y50" s="509"/>
      <c r="Z50" s="509"/>
    </row>
    <row r="51" spans="1:26" ht="16.5" customHeight="1" x14ac:dyDescent="0.3">
      <c r="A51" s="509"/>
      <c r="B51" s="509"/>
      <c r="C51" s="509"/>
      <c r="D51" s="509"/>
      <c r="E51" s="509"/>
      <c r="F51" s="509"/>
      <c r="G51" s="509"/>
      <c r="H51" s="509"/>
      <c r="I51" s="509"/>
      <c r="J51" s="509"/>
      <c r="K51" s="509"/>
      <c r="L51" s="509"/>
      <c r="M51" s="509"/>
      <c r="N51" s="509"/>
      <c r="O51" s="509"/>
      <c r="P51" s="509"/>
      <c r="Q51" s="509"/>
      <c r="R51" s="509"/>
      <c r="S51" s="509"/>
      <c r="T51" s="509"/>
      <c r="U51" s="509"/>
      <c r="V51" s="509"/>
      <c r="W51" s="509"/>
      <c r="X51" s="509"/>
      <c r="Y51" s="509"/>
      <c r="Z51" s="509"/>
    </row>
    <row r="52" spans="1:26" ht="16.5" customHeight="1" x14ac:dyDescent="0.3">
      <c r="A52" s="509"/>
      <c r="B52" s="509"/>
      <c r="C52" s="509"/>
      <c r="D52" s="509"/>
      <c r="E52" s="509"/>
      <c r="F52" s="509"/>
      <c r="G52" s="509"/>
      <c r="H52" s="509"/>
      <c r="I52" s="509"/>
      <c r="J52" s="509"/>
      <c r="K52" s="509"/>
      <c r="L52" s="509"/>
      <c r="M52" s="509"/>
      <c r="N52" s="509"/>
      <c r="O52" s="509"/>
      <c r="P52" s="509"/>
      <c r="Q52" s="509"/>
      <c r="R52" s="509"/>
      <c r="S52" s="509"/>
      <c r="T52" s="509"/>
      <c r="U52" s="509"/>
      <c r="V52" s="509"/>
      <c r="W52" s="509"/>
      <c r="X52" s="509"/>
      <c r="Y52" s="509"/>
      <c r="Z52" s="509"/>
    </row>
    <row r="53" spans="1:26" ht="16.5" customHeight="1" x14ac:dyDescent="0.3">
      <c r="A53" s="509"/>
      <c r="B53" s="509"/>
      <c r="C53" s="509"/>
      <c r="D53" s="509"/>
      <c r="E53" s="509"/>
      <c r="F53" s="509"/>
      <c r="G53" s="509"/>
      <c r="H53" s="509"/>
      <c r="I53" s="509"/>
      <c r="J53" s="509"/>
      <c r="K53" s="509"/>
      <c r="L53" s="509"/>
      <c r="M53" s="509"/>
      <c r="N53" s="509"/>
      <c r="O53" s="509"/>
      <c r="P53" s="509"/>
      <c r="Q53" s="509"/>
      <c r="R53" s="509"/>
      <c r="S53" s="509"/>
      <c r="T53" s="509"/>
      <c r="U53" s="509"/>
      <c r="V53" s="509"/>
      <c r="W53" s="509"/>
      <c r="X53" s="509"/>
      <c r="Y53" s="509"/>
      <c r="Z53" s="509"/>
    </row>
    <row r="54" spans="1:26" ht="16.5" customHeight="1" x14ac:dyDescent="0.3">
      <c r="A54" s="509"/>
      <c r="B54" s="509"/>
      <c r="C54" s="509"/>
      <c r="D54" s="509"/>
      <c r="E54" s="509"/>
      <c r="F54" s="509"/>
      <c r="G54" s="509"/>
      <c r="H54" s="509"/>
      <c r="I54" s="509"/>
      <c r="J54" s="509"/>
      <c r="K54" s="509"/>
      <c r="L54" s="509"/>
      <c r="M54" s="509"/>
      <c r="N54" s="509"/>
      <c r="O54" s="509"/>
      <c r="P54" s="509"/>
      <c r="Q54" s="509"/>
      <c r="R54" s="509"/>
      <c r="S54" s="509"/>
      <c r="T54" s="509"/>
      <c r="U54" s="509"/>
      <c r="V54" s="509"/>
      <c r="W54" s="509"/>
      <c r="X54" s="509"/>
      <c r="Y54" s="509"/>
      <c r="Z54" s="509"/>
    </row>
    <row r="55" spans="1:26" ht="16.5" customHeight="1" x14ac:dyDescent="0.3">
      <c r="A55" s="509"/>
      <c r="B55" s="509"/>
      <c r="C55" s="509"/>
      <c r="D55" s="509"/>
      <c r="E55" s="509"/>
      <c r="F55" s="509"/>
      <c r="G55" s="509"/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</row>
    <row r="56" spans="1:26" ht="16.5" customHeight="1" x14ac:dyDescent="0.3">
      <c r="A56" s="509"/>
      <c r="B56" s="509"/>
      <c r="C56" s="509"/>
      <c r="D56" s="509"/>
      <c r="E56" s="509"/>
      <c r="F56" s="509"/>
      <c r="G56" s="509"/>
      <c r="H56" s="509"/>
      <c r="I56" s="509"/>
      <c r="J56" s="509"/>
      <c r="K56" s="509"/>
      <c r="L56" s="509"/>
      <c r="M56" s="509"/>
      <c r="N56" s="509"/>
      <c r="O56" s="509"/>
      <c r="P56" s="509"/>
      <c r="Q56" s="509"/>
      <c r="R56" s="509"/>
      <c r="S56" s="509"/>
      <c r="T56" s="509"/>
      <c r="U56" s="509"/>
      <c r="V56" s="509"/>
      <c r="W56" s="509"/>
      <c r="X56" s="509"/>
      <c r="Y56" s="509"/>
      <c r="Z56" s="509"/>
    </row>
    <row r="57" spans="1:26" ht="16.5" customHeight="1" x14ac:dyDescent="0.3">
      <c r="A57" s="509"/>
      <c r="B57" s="509"/>
      <c r="C57" s="509"/>
      <c r="D57" s="509"/>
      <c r="E57" s="509"/>
      <c r="F57" s="509"/>
      <c r="G57" s="509"/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</row>
    <row r="58" spans="1:26" ht="16.5" customHeight="1" x14ac:dyDescent="0.3">
      <c r="A58" s="509"/>
      <c r="B58" s="509"/>
      <c r="C58" s="509"/>
      <c r="D58" s="509"/>
      <c r="E58" s="509"/>
      <c r="F58" s="509"/>
      <c r="G58" s="509"/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</row>
    <row r="59" spans="1:26" ht="16.5" customHeight="1" x14ac:dyDescent="0.3">
      <c r="A59" s="509"/>
      <c r="B59" s="509"/>
      <c r="C59" s="509"/>
      <c r="D59" s="509"/>
      <c r="E59" s="509"/>
      <c r="F59" s="509"/>
      <c r="G59" s="509"/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</row>
    <row r="60" spans="1:26" ht="16.5" customHeight="1" x14ac:dyDescent="0.3">
      <c r="A60" s="509"/>
      <c r="B60" s="509"/>
      <c r="C60" s="509"/>
      <c r="D60" s="509"/>
      <c r="E60" s="509"/>
      <c r="F60" s="509"/>
      <c r="G60" s="509"/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</row>
    <row r="61" spans="1:26" ht="16.5" customHeight="1" x14ac:dyDescent="0.3">
      <c r="A61" s="509"/>
      <c r="B61" s="509"/>
      <c r="C61" s="509"/>
      <c r="D61" s="509"/>
      <c r="E61" s="509"/>
      <c r="F61" s="509"/>
      <c r="G61" s="509"/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</row>
    <row r="62" spans="1:26" ht="16.5" customHeight="1" x14ac:dyDescent="0.3">
      <c r="A62" s="509"/>
      <c r="B62" s="509"/>
      <c r="C62" s="509"/>
      <c r="D62" s="509"/>
      <c r="E62" s="509"/>
      <c r="F62" s="509"/>
      <c r="G62" s="509"/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</row>
    <row r="63" spans="1:26" ht="16.5" customHeight="1" x14ac:dyDescent="0.3">
      <c r="A63" s="509"/>
      <c r="B63" s="509"/>
      <c r="C63" s="509"/>
      <c r="D63" s="509"/>
      <c r="E63" s="509"/>
      <c r="F63" s="509"/>
      <c r="G63" s="509"/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</row>
    <row r="64" spans="1:26" ht="16.5" customHeight="1" x14ac:dyDescent="0.3">
      <c r="A64" s="509"/>
      <c r="B64" s="509"/>
      <c r="C64" s="509"/>
      <c r="D64" s="509"/>
      <c r="E64" s="509"/>
      <c r="F64" s="509"/>
      <c r="G64" s="509"/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</row>
    <row r="65" spans="1:26" ht="16.5" customHeight="1" x14ac:dyDescent="0.3">
      <c r="A65" s="509"/>
      <c r="B65" s="509"/>
      <c r="C65" s="509"/>
      <c r="D65" s="509"/>
      <c r="E65" s="509"/>
      <c r="F65" s="509"/>
      <c r="G65" s="509"/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</row>
    <row r="66" spans="1:26" ht="16.5" customHeight="1" x14ac:dyDescent="0.3">
      <c r="A66" s="509"/>
      <c r="B66" s="509"/>
      <c r="C66" s="509"/>
      <c r="D66" s="509"/>
      <c r="E66" s="509"/>
      <c r="F66" s="509"/>
      <c r="G66" s="509"/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</row>
    <row r="67" spans="1:26" ht="16.5" customHeight="1" x14ac:dyDescent="0.3">
      <c r="A67" s="509"/>
      <c r="B67" s="509"/>
      <c r="C67" s="509"/>
      <c r="D67" s="509"/>
      <c r="E67" s="509"/>
      <c r="F67" s="509"/>
      <c r="G67" s="509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</row>
    <row r="68" spans="1:26" ht="16.5" customHeight="1" x14ac:dyDescent="0.3">
      <c r="A68" s="509"/>
      <c r="B68" s="509"/>
      <c r="C68" s="509"/>
      <c r="D68" s="509"/>
      <c r="E68" s="509"/>
      <c r="F68" s="509"/>
      <c r="G68" s="509"/>
      <c r="H68" s="509"/>
      <c r="I68" s="509"/>
      <c r="J68" s="509"/>
      <c r="K68" s="509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</row>
    <row r="69" spans="1:26" ht="16.5" customHeight="1" x14ac:dyDescent="0.3">
      <c r="A69" s="509"/>
      <c r="B69" s="509"/>
      <c r="C69" s="509"/>
      <c r="D69" s="509"/>
      <c r="E69" s="509"/>
      <c r="F69" s="509"/>
      <c r="G69" s="509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</row>
    <row r="70" spans="1:26" ht="16.5" customHeight="1" x14ac:dyDescent="0.3">
      <c r="A70" s="509"/>
      <c r="B70" s="509"/>
      <c r="C70" s="509"/>
      <c r="D70" s="509"/>
      <c r="E70" s="509"/>
      <c r="F70" s="509"/>
      <c r="G70" s="509"/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</row>
    <row r="71" spans="1:26" ht="16.5" customHeight="1" x14ac:dyDescent="0.3">
      <c r="A71" s="509"/>
      <c r="B71" s="509"/>
      <c r="C71" s="509"/>
      <c r="D71" s="509"/>
      <c r="E71" s="509"/>
      <c r="F71" s="509"/>
      <c r="G71" s="509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</row>
    <row r="72" spans="1:26" ht="16.5" customHeight="1" x14ac:dyDescent="0.3">
      <c r="A72" s="509"/>
      <c r="B72" s="509"/>
      <c r="C72" s="509"/>
      <c r="D72" s="509"/>
      <c r="E72" s="509"/>
      <c r="F72" s="509"/>
      <c r="G72" s="509"/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</row>
    <row r="73" spans="1:26" ht="16.5" customHeight="1" x14ac:dyDescent="0.3">
      <c r="A73" s="509"/>
      <c r="B73" s="509"/>
      <c r="C73" s="509"/>
      <c r="D73" s="509"/>
      <c r="E73" s="509"/>
      <c r="F73" s="509"/>
      <c r="G73" s="509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</row>
    <row r="74" spans="1:26" ht="16.5" customHeight="1" x14ac:dyDescent="0.3">
      <c r="A74" s="509"/>
      <c r="B74" s="509"/>
      <c r="C74" s="509"/>
      <c r="D74" s="509"/>
      <c r="E74" s="509"/>
      <c r="F74" s="509"/>
      <c r="G74" s="509"/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</row>
    <row r="75" spans="1:26" ht="16.5" customHeight="1" x14ac:dyDescent="0.3">
      <c r="A75" s="509"/>
      <c r="B75" s="509"/>
      <c r="C75" s="509"/>
      <c r="D75" s="509"/>
      <c r="E75" s="509"/>
      <c r="F75" s="509"/>
      <c r="G75" s="509"/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</row>
    <row r="76" spans="1:26" ht="16.5" customHeight="1" x14ac:dyDescent="0.3">
      <c r="A76" s="509"/>
      <c r="B76" s="509"/>
      <c r="C76" s="509"/>
      <c r="D76" s="509"/>
      <c r="E76" s="509"/>
      <c r="F76" s="509"/>
      <c r="G76" s="509"/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</row>
    <row r="77" spans="1:26" ht="16.5" customHeight="1" x14ac:dyDescent="0.3">
      <c r="A77" s="509"/>
      <c r="B77" s="509"/>
      <c r="C77" s="509"/>
      <c r="D77" s="509"/>
      <c r="E77" s="509"/>
      <c r="F77" s="509"/>
      <c r="G77" s="509"/>
      <c r="H77" s="509"/>
      <c r="I77" s="509"/>
      <c r="J77" s="509"/>
      <c r="K77" s="509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</row>
    <row r="78" spans="1:26" ht="16.5" customHeight="1" x14ac:dyDescent="0.3">
      <c r="A78" s="509"/>
      <c r="B78" s="509"/>
      <c r="C78" s="509"/>
      <c r="D78" s="509"/>
      <c r="E78" s="509"/>
      <c r="F78" s="509"/>
      <c r="G78" s="509"/>
      <c r="H78" s="509"/>
      <c r="I78" s="509"/>
      <c r="J78" s="509"/>
      <c r="K78" s="509"/>
      <c r="L78" s="509"/>
      <c r="M78" s="509"/>
      <c r="N78" s="509"/>
      <c r="O78" s="509"/>
      <c r="P78" s="509"/>
      <c r="Q78" s="509"/>
      <c r="R78" s="509"/>
      <c r="S78" s="509"/>
      <c r="T78" s="509"/>
      <c r="U78" s="509"/>
      <c r="V78" s="509"/>
      <c r="W78" s="509"/>
      <c r="X78" s="509"/>
      <c r="Y78" s="509"/>
      <c r="Z78" s="509"/>
    </row>
    <row r="79" spans="1:26" ht="16.5" customHeight="1" x14ac:dyDescent="0.3">
      <c r="A79" s="509"/>
      <c r="B79" s="509"/>
      <c r="C79" s="509"/>
      <c r="D79" s="509"/>
      <c r="E79" s="509"/>
      <c r="F79" s="509"/>
      <c r="G79" s="509"/>
      <c r="H79" s="509"/>
      <c r="I79" s="509"/>
      <c r="J79" s="509"/>
      <c r="K79" s="509"/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09"/>
      <c r="X79" s="509"/>
      <c r="Y79" s="509"/>
      <c r="Z79" s="509"/>
    </row>
    <row r="80" spans="1:26" ht="16.5" customHeight="1" x14ac:dyDescent="0.3">
      <c r="A80" s="509"/>
      <c r="B80" s="509"/>
      <c r="C80" s="509"/>
      <c r="D80" s="509"/>
      <c r="E80" s="509"/>
      <c r="F80" s="509"/>
      <c r="G80" s="509"/>
      <c r="H80" s="509"/>
      <c r="I80" s="509"/>
      <c r="J80" s="509"/>
      <c r="K80" s="509"/>
      <c r="L80" s="509"/>
      <c r="M80" s="509"/>
      <c r="N80" s="509"/>
      <c r="O80" s="509"/>
      <c r="P80" s="509"/>
      <c r="Q80" s="509"/>
      <c r="R80" s="509"/>
      <c r="S80" s="509"/>
      <c r="T80" s="509"/>
      <c r="U80" s="509"/>
      <c r="V80" s="509"/>
      <c r="W80" s="509"/>
      <c r="X80" s="509"/>
      <c r="Y80" s="509"/>
      <c r="Z80" s="509"/>
    </row>
    <row r="81" spans="1:26" ht="16.5" customHeight="1" x14ac:dyDescent="0.3">
      <c r="A81" s="509"/>
      <c r="B81" s="509"/>
      <c r="C81" s="509"/>
      <c r="D81" s="509"/>
      <c r="E81" s="509"/>
      <c r="F81" s="509"/>
      <c r="G81" s="509"/>
      <c r="H81" s="509"/>
      <c r="I81" s="509"/>
      <c r="J81" s="509"/>
      <c r="K81" s="509"/>
      <c r="L81" s="509"/>
      <c r="M81" s="509"/>
      <c r="N81" s="509"/>
      <c r="O81" s="509"/>
      <c r="P81" s="509"/>
      <c r="Q81" s="509"/>
      <c r="R81" s="509"/>
      <c r="S81" s="509"/>
      <c r="T81" s="509"/>
      <c r="U81" s="509"/>
      <c r="V81" s="509"/>
      <c r="W81" s="509"/>
      <c r="X81" s="509"/>
      <c r="Y81" s="509"/>
      <c r="Z81" s="509"/>
    </row>
    <row r="82" spans="1:26" ht="16.5" customHeight="1" x14ac:dyDescent="0.3">
      <c r="A82" s="509"/>
      <c r="B82" s="509"/>
      <c r="C82" s="509"/>
      <c r="D82" s="509"/>
      <c r="E82" s="509"/>
      <c r="F82" s="509"/>
      <c r="G82" s="509"/>
      <c r="H82" s="509"/>
      <c r="I82" s="509"/>
      <c r="J82" s="509"/>
      <c r="K82" s="509"/>
      <c r="L82" s="509"/>
      <c r="M82" s="509"/>
      <c r="N82" s="509"/>
      <c r="O82" s="509"/>
      <c r="P82" s="509"/>
      <c r="Q82" s="509"/>
      <c r="R82" s="509"/>
      <c r="S82" s="509"/>
      <c r="T82" s="509"/>
      <c r="U82" s="509"/>
      <c r="V82" s="509"/>
      <c r="W82" s="509"/>
      <c r="X82" s="509"/>
      <c r="Y82" s="509"/>
      <c r="Z82" s="509"/>
    </row>
    <row r="83" spans="1:26" ht="16.5" customHeight="1" x14ac:dyDescent="0.3">
      <c r="A83" s="509"/>
      <c r="B83" s="509"/>
      <c r="C83" s="509"/>
      <c r="D83" s="509"/>
      <c r="E83" s="509"/>
      <c r="F83" s="509"/>
      <c r="G83" s="509"/>
      <c r="H83" s="509"/>
      <c r="I83" s="509"/>
      <c r="J83" s="509"/>
      <c r="K83" s="509"/>
      <c r="L83" s="509"/>
      <c r="M83" s="509"/>
      <c r="N83" s="509"/>
      <c r="O83" s="509"/>
      <c r="P83" s="509"/>
      <c r="Q83" s="509"/>
      <c r="R83" s="509"/>
      <c r="S83" s="509"/>
      <c r="T83" s="509"/>
      <c r="U83" s="509"/>
      <c r="V83" s="509"/>
      <c r="W83" s="509"/>
      <c r="X83" s="509"/>
      <c r="Y83" s="509"/>
      <c r="Z83" s="509"/>
    </row>
    <row r="84" spans="1:26" ht="16.5" customHeight="1" x14ac:dyDescent="0.3">
      <c r="A84" s="509"/>
      <c r="B84" s="509"/>
      <c r="C84" s="509"/>
      <c r="D84" s="509"/>
      <c r="E84" s="509"/>
      <c r="F84" s="509"/>
      <c r="G84" s="509"/>
      <c r="H84" s="509"/>
      <c r="I84" s="509"/>
      <c r="J84" s="509"/>
      <c r="K84" s="509"/>
      <c r="L84" s="509"/>
      <c r="M84" s="509"/>
      <c r="N84" s="509"/>
      <c r="O84" s="509"/>
      <c r="P84" s="509"/>
      <c r="Q84" s="509"/>
      <c r="R84" s="509"/>
      <c r="S84" s="509"/>
      <c r="T84" s="509"/>
      <c r="U84" s="509"/>
      <c r="V84" s="509"/>
      <c r="W84" s="509"/>
      <c r="X84" s="509"/>
      <c r="Y84" s="509"/>
      <c r="Z84" s="509"/>
    </row>
    <row r="85" spans="1:26" ht="16.5" customHeight="1" x14ac:dyDescent="0.3">
      <c r="A85" s="509"/>
      <c r="B85" s="509"/>
      <c r="C85" s="509"/>
      <c r="D85" s="509"/>
      <c r="E85" s="509"/>
      <c r="F85" s="509"/>
      <c r="G85" s="509"/>
      <c r="H85" s="509"/>
      <c r="I85" s="509"/>
      <c r="J85" s="509"/>
      <c r="K85" s="509"/>
      <c r="L85" s="509"/>
      <c r="M85" s="509"/>
      <c r="N85" s="509"/>
      <c r="O85" s="509"/>
      <c r="P85" s="509"/>
      <c r="Q85" s="509"/>
      <c r="R85" s="509"/>
      <c r="S85" s="509"/>
      <c r="T85" s="509"/>
      <c r="U85" s="509"/>
      <c r="V85" s="509"/>
      <c r="W85" s="509"/>
      <c r="X85" s="509"/>
      <c r="Y85" s="509"/>
      <c r="Z85" s="509"/>
    </row>
    <row r="86" spans="1:26" ht="16.5" customHeight="1" x14ac:dyDescent="0.3">
      <c r="A86" s="509"/>
      <c r="B86" s="509"/>
      <c r="C86" s="509"/>
      <c r="D86" s="509"/>
      <c r="E86" s="509"/>
      <c r="F86" s="509"/>
      <c r="G86" s="509"/>
      <c r="H86" s="509"/>
      <c r="I86" s="509"/>
      <c r="J86" s="509"/>
      <c r="K86" s="509"/>
      <c r="L86" s="509"/>
      <c r="M86" s="509"/>
      <c r="N86" s="509"/>
      <c r="O86" s="509"/>
      <c r="P86" s="509"/>
      <c r="Q86" s="509"/>
      <c r="R86" s="509"/>
      <c r="S86" s="509"/>
      <c r="T86" s="509"/>
      <c r="U86" s="509"/>
      <c r="V86" s="509"/>
      <c r="W86" s="509"/>
      <c r="X86" s="509"/>
      <c r="Y86" s="509"/>
      <c r="Z86" s="509"/>
    </row>
    <row r="87" spans="1:26" ht="16.5" customHeight="1" x14ac:dyDescent="0.3">
      <c r="A87" s="509"/>
      <c r="B87" s="509"/>
      <c r="C87" s="509"/>
      <c r="D87" s="509"/>
      <c r="E87" s="509"/>
      <c r="F87" s="509"/>
      <c r="G87" s="509"/>
      <c r="H87" s="509"/>
      <c r="I87" s="509"/>
      <c r="J87" s="509"/>
      <c r="K87" s="509"/>
      <c r="L87" s="509"/>
      <c r="M87" s="509"/>
      <c r="N87" s="509"/>
      <c r="O87" s="509"/>
      <c r="P87" s="509"/>
      <c r="Q87" s="509"/>
      <c r="R87" s="509"/>
      <c r="S87" s="509"/>
      <c r="T87" s="509"/>
      <c r="U87" s="509"/>
      <c r="V87" s="509"/>
      <c r="W87" s="509"/>
      <c r="X87" s="509"/>
      <c r="Y87" s="509"/>
      <c r="Z87" s="509"/>
    </row>
    <row r="88" spans="1:26" ht="16.5" customHeight="1" x14ac:dyDescent="0.3">
      <c r="A88" s="509"/>
      <c r="B88" s="509"/>
      <c r="C88" s="509"/>
      <c r="D88" s="509"/>
      <c r="E88" s="509"/>
      <c r="F88" s="509"/>
      <c r="G88" s="509"/>
      <c r="H88" s="509"/>
      <c r="I88" s="509"/>
      <c r="J88" s="509"/>
      <c r="K88" s="509"/>
      <c r="L88" s="509"/>
      <c r="M88" s="509"/>
      <c r="N88" s="509"/>
      <c r="O88" s="509"/>
      <c r="P88" s="509"/>
      <c r="Q88" s="509"/>
      <c r="R88" s="509"/>
      <c r="S88" s="509"/>
      <c r="T88" s="509"/>
      <c r="U88" s="509"/>
      <c r="V88" s="509"/>
      <c r="W88" s="509"/>
      <c r="X88" s="509"/>
      <c r="Y88" s="509"/>
      <c r="Z88" s="509"/>
    </row>
    <row r="89" spans="1:26" ht="16.5" customHeight="1" x14ac:dyDescent="0.3">
      <c r="A89" s="509"/>
      <c r="B89" s="509"/>
      <c r="C89" s="509"/>
      <c r="D89" s="509"/>
      <c r="E89" s="509"/>
      <c r="F89" s="509"/>
      <c r="G89" s="509"/>
      <c r="H89" s="509"/>
      <c r="I89" s="509"/>
      <c r="J89" s="509"/>
      <c r="K89" s="509"/>
      <c r="L89" s="509"/>
      <c r="M89" s="509"/>
      <c r="N89" s="509"/>
      <c r="O89" s="509"/>
      <c r="P89" s="509"/>
      <c r="Q89" s="509"/>
      <c r="R89" s="509"/>
      <c r="S89" s="509"/>
      <c r="T89" s="509"/>
      <c r="U89" s="509"/>
      <c r="V89" s="509"/>
      <c r="W89" s="509"/>
      <c r="X89" s="509"/>
      <c r="Y89" s="509"/>
      <c r="Z89" s="509"/>
    </row>
    <row r="90" spans="1:26" ht="16.5" customHeight="1" x14ac:dyDescent="0.3">
      <c r="A90" s="509"/>
      <c r="B90" s="509"/>
      <c r="C90" s="509"/>
      <c r="D90" s="509"/>
      <c r="E90" s="509"/>
      <c r="F90" s="509"/>
      <c r="G90" s="509"/>
      <c r="H90" s="509"/>
      <c r="I90" s="509"/>
      <c r="J90" s="509"/>
      <c r="K90" s="509"/>
      <c r="L90" s="509"/>
      <c r="M90" s="509"/>
      <c r="N90" s="509"/>
      <c r="O90" s="509"/>
      <c r="P90" s="509"/>
      <c r="Q90" s="509"/>
      <c r="R90" s="509"/>
      <c r="S90" s="509"/>
      <c r="T90" s="509"/>
      <c r="U90" s="509"/>
      <c r="V90" s="509"/>
      <c r="W90" s="509"/>
      <c r="X90" s="509"/>
      <c r="Y90" s="509"/>
      <c r="Z90" s="509"/>
    </row>
    <row r="91" spans="1:26" ht="16.5" customHeight="1" x14ac:dyDescent="0.3">
      <c r="A91" s="509"/>
      <c r="B91" s="509"/>
      <c r="C91" s="509"/>
      <c r="D91" s="509"/>
      <c r="E91" s="509"/>
      <c r="F91" s="509"/>
      <c r="G91" s="509"/>
      <c r="H91" s="509"/>
      <c r="I91" s="509"/>
      <c r="J91" s="509"/>
      <c r="K91" s="509"/>
      <c r="L91" s="509"/>
      <c r="M91" s="509"/>
      <c r="N91" s="509"/>
      <c r="O91" s="509"/>
      <c r="P91" s="509"/>
      <c r="Q91" s="509"/>
      <c r="R91" s="509"/>
      <c r="S91" s="509"/>
      <c r="T91" s="509"/>
      <c r="U91" s="509"/>
      <c r="V91" s="509"/>
      <c r="W91" s="509"/>
      <c r="X91" s="509"/>
      <c r="Y91" s="509"/>
      <c r="Z91" s="509"/>
    </row>
    <row r="92" spans="1:26" ht="16.5" customHeight="1" x14ac:dyDescent="0.3">
      <c r="A92" s="509"/>
      <c r="B92" s="509"/>
      <c r="C92" s="509"/>
      <c r="D92" s="509"/>
      <c r="E92" s="509"/>
      <c r="F92" s="509"/>
      <c r="G92" s="509"/>
      <c r="H92" s="509"/>
      <c r="I92" s="509"/>
      <c r="J92" s="509"/>
      <c r="K92" s="509"/>
      <c r="L92" s="509"/>
      <c r="M92" s="509"/>
      <c r="N92" s="509"/>
      <c r="O92" s="509"/>
      <c r="P92" s="509"/>
      <c r="Q92" s="509"/>
      <c r="R92" s="509"/>
      <c r="S92" s="509"/>
      <c r="T92" s="509"/>
      <c r="U92" s="509"/>
      <c r="V92" s="509"/>
      <c r="W92" s="509"/>
      <c r="X92" s="509"/>
      <c r="Y92" s="509"/>
      <c r="Z92" s="509"/>
    </row>
    <row r="93" spans="1:26" ht="16.5" customHeight="1" x14ac:dyDescent="0.3">
      <c r="A93" s="509"/>
      <c r="B93" s="509"/>
      <c r="C93" s="509"/>
      <c r="D93" s="509"/>
      <c r="E93" s="509"/>
      <c r="F93" s="509"/>
      <c r="G93" s="509"/>
      <c r="H93" s="509"/>
      <c r="I93" s="509"/>
      <c r="J93" s="509"/>
      <c r="K93" s="509"/>
      <c r="L93" s="509"/>
      <c r="M93" s="509"/>
      <c r="N93" s="509"/>
      <c r="O93" s="509"/>
      <c r="P93" s="509"/>
      <c r="Q93" s="509"/>
      <c r="R93" s="509"/>
      <c r="S93" s="509"/>
      <c r="T93" s="509"/>
      <c r="U93" s="509"/>
      <c r="V93" s="509"/>
      <c r="W93" s="509"/>
      <c r="X93" s="509"/>
      <c r="Y93" s="509"/>
      <c r="Z93" s="509"/>
    </row>
    <row r="94" spans="1:26" ht="16.5" customHeight="1" x14ac:dyDescent="0.3">
      <c r="A94" s="509"/>
      <c r="B94" s="509"/>
      <c r="C94" s="509"/>
      <c r="D94" s="509"/>
      <c r="E94" s="509"/>
      <c r="F94" s="509"/>
      <c r="G94" s="509"/>
      <c r="H94" s="509"/>
      <c r="I94" s="509"/>
      <c r="J94" s="509"/>
      <c r="K94" s="509"/>
      <c r="L94" s="509"/>
      <c r="M94" s="509"/>
      <c r="N94" s="509"/>
      <c r="O94" s="509"/>
      <c r="P94" s="509"/>
      <c r="Q94" s="509"/>
      <c r="R94" s="509"/>
      <c r="S94" s="509"/>
      <c r="T94" s="509"/>
      <c r="U94" s="509"/>
      <c r="V94" s="509"/>
      <c r="W94" s="509"/>
      <c r="X94" s="509"/>
      <c r="Y94" s="509"/>
      <c r="Z94" s="509"/>
    </row>
    <row r="95" spans="1:26" ht="16.5" customHeight="1" x14ac:dyDescent="0.3">
      <c r="A95" s="509"/>
      <c r="B95" s="509"/>
      <c r="C95" s="509"/>
      <c r="D95" s="509"/>
      <c r="E95" s="509"/>
      <c r="F95" s="509"/>
      <c r="G95" s="509"/>
      <c r="H95" s="509"/>
      <c r="I95" s="509"/>
      <c r="J95" s="509"/>
      <c r="K95" s="509"/>
      <c r="L95" s="509"/>
      <c r="M95" s="509"/>
      <c r="N95" s="509"/>
      <c r="O95" s="509"/>
      <c r="P95" s="509"/>
      <c r="Q95" s="509"/>
      <c r="R95" s="509"/>
      <c r="S95" s="509"/>
      <c r="T95" s="509"/>
      <c r="U95" s="509"/>
      <c r="V95" s="509"/>
      <c r="W95" s="509"/>
      <c r="X95" s="509"/>
      <c r="Y95" s="509"/>
      <c r="Z95" s="509"/>
    </row>
    <row r="96" spans="1:26" ht="16.5" customHeight="1" x14ac:dyDescent="0.3">
      <c r="A96" s="509"/>
      <c r="B96" s="509"/>
      <c r="C96" s="509"/>
      <c r="D96" s="509"/>
      <c r="E96" s="509"/>
      <c r="F96" s="509"/>
      <c r="G96" s="509"/>
      <c r="H96" s="509"/>
      <c r="I96" s="509"/>
      <c r="J96" s="509"/>
      <c r="K96" s="509"/>
      <c r="L96" s="509"/>
      <c r="M96" s="509"/>
      <c r="N96" s="509"/>
      <c r="O96" s="509"/>
      <c r="P96" s="509"/>
      <c r="Q96" s="509"/>
      <c r="R96" s="509"/>
      <c r="S96" s="509"/>
      <c r="T96" s="509"/>
      <c r="U96" s="509"/>
      <c r="V96" s="509"/>
      <c r="W96" s="509"/>
      <c r="X96" s="509"/>
      <c r="Y96" s="509"/>
      <c r="Z96" s="509"/>
    </row>
    <row r="97" spans="1:26" ht="16.5" customHeight="1" x14ac:dyDescent="0.3">
      <c r="A97" s="509"/>
      <c r="B97" s="509"/>
      <c r="C97" s="509"/>
      <c r="D97" s="509"/>
      <c r="E97" s="509"/>
      <c r="F97" s="509"/>
      <c r="G97" s="509"/>
      <c r="H97" s="509"/>
      <c r="I97" s="509"/>
      <c r="J97" s="509"/>
      <c r="K97" s="509"/>
      <c r="L97" s="509"/>
      <c r="M97" s="509"/>
      <c r="N97" s="509"/>
      <c r="O97" s="509"/>
      <c r="P97" s="509"/>
      <c r="Q97" s="509"/>
      <c r="R97" s="509"/>
      <c r="S97" s="509"/>
      <c r="T97" s="509"/>
      <c r="U97" s="509"/>
      <c r="V97" s="509"/>
      <c r="W97" s="509"/>
      <c r="X97" s="509"/>
      <c r="Y97" s="509"/>
      <c r="Z97" s="509"/>
    </row>
    <row r="98" spans="1:26" ht="16.5" customHeight="1" x14ac:dyDescent="0.3">
      <c r="A98" s="509"/>
      <c r="B98" s="509"/>
      <c r="C98" s="509"/>
      <c r="D98" s="509"/>
      <c r="E98" s="509"/>
      <c r="F98" s="509"/>
      <c r="G98" s="509"/>
      <c r="H98" s="509"/>
      <c r="I98" s="509"/>
      <c r="J98" s="509"/>
      <c r="K98" s="509"/>
      <c r="L98" s="509"/>
      <c r="M98" s="509"/>
      <c r="N98" s="509"/>
      <c r="O98" s="509"/>
      <c r="P98" s="509"/>
      <c r="Q98" s="509"/>
      <c r="R98" s="509"/>
      <c r="S98" s="509"/>
      <c r="T98" s="509"/>
      <c r="U98" s="509"/>
      <c r="V98" s="509"/>
      <c r="W98" s="509"/>
      <c r="X98" s="509"/>
      <c r="Y98" s="509"/>
      <c r="Z98" s="509"/>
    </row>
    <row r="99" spans="1:26" ht="16.5" customHeight="1" x14ac:dyDescent="0.3">
      <c r="A99" s="509"/>
      <c r="B99" s="509"/>
      <c r="C99" s="509"/>
      <c r="D99" s="509"/>
      <c r="E99" s="509"/>
      <c r="F99" s="509"/>
      <c r="G99" s="509"/>
      <c r="H99" s="509"/>
      <c r="I99" s="509"/>
      <c r="J99" s="509"/>
      <c r="K99" s="509"/>
      <c r="L99" s="509"/>
      <c r="M99" s="509"/>
      <c r="N99" s="509"/>
      <c r="O99" s="509"/>
      <c r="P99" s="509"/>
      <c r="Q99" s="509"/>
      <c r="R99" s="509"/>
      <c r="S99" s="509"/>
      <c r="T99" s="509"/>
      <c r="U99" s="509"/>
      <c r="V99" s="509"/>
      <c r="W99" s="509"/>
      <c r="X99" s="509"/>
      <c r="Y99" s="509"/>
      <c r="Z99" s="509"/>
    </row>
    <row r="100" spans="1:26" ht="16.5" customHeight="1" x14ac:dyDescent="0.3">
      <c r="A100" s="509"/>
      <c r="B100" s="509"/>
      <c r="C100" s="509"/>
      <c r="D100" s="509"/>
      <c r="E100" s="509"/>
      <c r="F100" s="509"/>
      <c r="G100" s="509"/>
      <c r="H100" s="509"/>
      <c r="I100" s="509"/>
      <c r="J100" s="509"/>
      <c r="K100" s="509"/>
      <c r="L100" s="509"/>
      <c r="M100" s="509"/>
      <c r="N100" s="509"/>
      <c r="O100" s="509"/>
      <c r="P100" s="509"/>
      <c r="Q100" s="509"/>
      <c r="R100" s="509"/>
      <c r="S100" s="509"/>
      <c r="T100" s="509"/>
      <c r="U100" s="509"/>
      <c r="V100" s="509"/>
      <c r="W100" s="509"/>
      <c r="X100" s="509"/>
      <c r="Y100" s="509"/>
      <c r="Z100" s="509"/>
    </row>
    <row r="101" spans="1:26" ht="16.5" customHeight="1" x14ac:dyDescent="0.3">
      <c r="A101" s="509"/>
      <c r="B101" s="509"/>
      <c r="C101" s="509"/>
      <c r="D101" s="509"/>
      <c r="E101" s="509"/>
      <c r="F101" s="509"/>
      <c r="G101" s="509"/>
      <c r="H101" s="509"/>
      <c r="I101" s="509"/>
      <c r="J101" s="509"/>
      <c r="K101" s="509"/>
      <c r="L101" s="509"/>
      <c r="M101" s="509"/>
      <c r="N101" s="509"/>
      <c r="O101" s="509"/>
      <c r="P101" s="509"/>
      <c r="Q101" s="509"/>
      <c r="R101" s="509"/>
      <c r="S101" s="509"/>
      <c r="T101" s="509"/>
      <c r="U101" s="509"/>
      <c r="V101" s="509"/>
      <c r="W101" s="509"/>
      <c r="X101" s="509"/>
      <c r="Y101" s="509"/>
      <c r="Z101" s="509"/>
    </row>
    <row r="102" spans="1:26" ht="16.5" customHeight="1" x14ac:dyDescent="0.3">
      <c r="A102" s="509"/>
      <c r="B102" s="509"/>
      <c r="C102" s="509"/>
      <c r="D102" s="509"/>
      <c r="E102" s="509"/>
      <c r="F102" s="509"/>
      <c r="G102" s="509"/>
      <c r="H102" s="509"/>
      <c r="I102" s="509"/>
      <c r="J102" s="509"/>
      <c r="K102" s="509"/>
      <c r="L102" s="509"/>
      <c r="M102" s="509"/>
      <c r="N102" s="509"/>
      <c r="O102" s="509"/>
      <c r="P102" s="509"/>
      <c r="Q102" s="509"/>
      <c r="R102" s="509"/>
      <c r="S102" s="509"/>
      <c r="T102" s="509"/>
      <c r="U102" s="509"/>
      <c r="V102" s="509"/>
      <c r="W102" s="509"/>
      <c r="X102" s="509"/>
      <c r="Y102" s="509"/>
      <c r="Z102" s="509"/>
    </row>
    <row r="103" spans="1:26" ht="16.5" customHeight="1" x14ac:dyDescent="0.3">
      <c r="A103" s="509"/>
      <c r="B103" s="509"/>
      <c r="C103" s="509"/>
      <c r="D103" s="509"/>
      <c r="E103" s="509"/>
      <c r="F103" s="509"/>
      <c r="G103" s="509"/>
      <c r="H103" s="509"/>
      <c r="I103" s="509"/>
      <c r="J103" s="509"/>
      <c r="K103" s="509"/>
      <c r="L103" s="509"/>
      <c r="M103" s="509"/>
      <c r="N103" s="509"/>
      <c r="O103" s="509"/>
      <c r="P103" s="509"/>
      <c r="Q103" s="509"/>
      <c r="R103" s="509"/>
      <c r="S103" s="509"/>
      <c r="T103" s="509"/>
      <c r="U103" s="509"/>
      <c r="V103" s="509"/>
      <c r="W103" s="509"/>
      <c r="X103" s="509"/>
      <c r="Y103" s="509"/>
      <c r="Z103" s="509"/>
    </row>
    <row r="104" spans="1:26" ht="16.5" customHeight="1" x14ac:dyDescent="0.3">
      <c r="A104" s="509"/>
      <c r="B104" s="509"/>
      <c r="C104" s="509"/>
      <c r="D104" s="509"/>
      <c r="E104" s="509"/>
      <c r="F104" s="509"/>
      <c r="G104" s="509"/>
      <c r="H104" s="509"/>
      <c r="I104" s="509"/>
      <c r="J104" s="509"/>
      <c r="K104" s="509"/>
      <c r="L104" s="509"/>
      <c r="M104" s="509"/>
      <c r="N104" s="509"/>
      <c r="O104" s="509"/>
      <c r="P104" s="509"/>
      <c r="Q104" s="509"/>
      <c r="R104" s="509"/>
      <c r="S104" s="509"/>
      <c r="T104" s="509"/>
      <c r="U104" s="509"/>
      <c r="V104" s="509"/>
      <c r="W104" s="509"/>
      <c r="X104" s="509"/>
      <c r="Y104" s="509"/>
      <c r="Z104" s="509"/>
    </row>
    <row r="105" spans="1:26" ht="16.5" customHeight="1" x14ac:dyDescent="0.3">
      <c r="A105" s="509"/>
      <c r="B105" s="509"/>
      <c r="C105" s="509"/>
      <c r="D105" s="509"/>
      <c r="E105" s="509"/>
      <c r="F105" s="509"/>
      <c r="G105" s="509"/>
      <c r="H105" s="509"/>
      <c r="I105" s="509"/>
      <c r="J105" s="509"/>
      <c r="K105" s="509"/>
      <c r="L105" s="509"/>
      <c r="M105" s="509"/>
      <c r="N105" s="509"/>
      <c r="O105" s="509"/>
      <c r="P105" s="509"/>
      <c r="Q105" s="509"/>
      <c r="R105" s="509"/>
      <c r="S105" s="509"/>
      <c r="T105" s="509"/>
      <c r="U105" s="509"/>
      <c r="V105" s="509"/>
      <c r="W105" s="509"/>
      <c r="X105" s="509"/>
      <c r="Y105" s="509"/>
      <c r="Z105" s="509"/>
    </row>
    <row r="106" spans="1:26" ht="16.5" customHeight="1" x14ac:dyDescent="0.3">
      <c r="A106" s="509"/>
      <c r="B106" s="509"/>
      <c r="C106" s="509"/>
      <c r="D106" s="509"/>
      <c r="E106" s="509"/>
      <c r="F106" s="509"/>
      <c r="G106" s="509"/>
      <c r="H106" s="509"/>
      <c r="I106" s="509"/>
      <c r="J106" s="509"/>
      <c r="K106" s="509"/>
      <c r="L106" s="509"/>
      <c r="M106" s="509"/>
      <c r="N106" s="509"/>
      <c r="O106" s="509"/>
      <c r="P106" s="509"/>
      <c r="Q106" s="509"/>
      <c r="R106" s="509"/>
      <c r="S106" s="509"/>
      <c r="T106" s="509"/>
      <c r="U106" s="509"/>
      <c r="V106" s="509"/>
      <c r="W106" s="509"/>
      <c r="X106" s="509"/>
      <c r="Y106" s="509"/>
      <c r="Z106" s="509"/>
    </row>
    <row r="107" spans="1:26" ht="16.5" customHeight="1" x14ac:dyDescent="0.3">
      <c r="A107" s="509"/>
      <c r="B107" s="509"/>
      <c r="C107" s="509"/>
      <c r="D107" s="509"/>
      <c r="E107" s="509"/>
      <c r="F107" s="509"/>
      <c r="G107" s="509"/>
      <c r="H107" s="509"/>
      <c r="I107" s="509"/>
      <c r="J107" s="509"/>
      <c r="K107" s="509"/>
      <c r="L107" s="509"/>
      <c r="M107" s="509"/>
      <c r="N107" s="509"/>
      <c r="O107" s="509"/>
      <c r="P107" s="509"/>
      <c r="Q107" s="509"/>
      <c r="R107" s="509"/>
      <c r="S107" s="509"/>
      <c r="T107" s="509"/>
      <c r="U107" s="509"/>
      <c r="V107" s="509"/>
      <c r="W107" s="509"/>
      <c r="X107" s="509"/>
      <c r="Y107" s="509"/>
      <c r="Z107" s="509"/>
    </row>
    <row r="108" spans="1:26" ht="16.5" customHeight="1" x14ac:dyDescent="0.3">
      <c r="A108" s="509"/>
      <c r="B108" s="509"/>
      <c r="C108" s="509"/>
      <c r="D108" s="509"/>
      <c r="E108" s="509"/>
      <c r="F108" s="509"/>
      <c r="G108" s="509"/>
      <c r="H108" s="509"/>
      <c r="I108" s="509"/>
      <c r="J108" s="509"/>
      <c r="K108" s="509"/>
      <c r="L108" s="509"/>
      <c r="M108" s="509"/>
      <c r="N108" s="509"/>
      <c r="O108" s="509"/>
      <c r="P108" s="509"/>
      <c r="Q108" s="509"/>
      <c r="R108" s="509"/>
      <c r="S108" s="509"/>
      <c r="T108" s="509"/>
      <c r="U108" s="509"/>
      <c r="V108" s="509"/>
      <c r="W108" s="509"/>
      <c r="X108" s="509"/>
      <c r="Y108" s="509"/>
      <c r="Z108" s="509"/>
    </row>
    <row r="109" spans="1:26" ht="16.5" customHeight="1" x14ac:dyDescent="0.3">
      <c r="A109" s="509"/>
      <c r="B109" s="509"/>
      <c r="C109" s="509"/>
      <c r="D109" s="509"/>
      <c r="E109" s="509"/>
      <c r="F109" s="509"/>
      <c r="G109" s="509"/>
      <c r="H109" s="509"/>
      <c r="I109" s="509"/>
      <c r="J109" s="509"/>
      <c r="K109" s="509"/>
      <c r="L109" s="509"/>
      <c r="M109" s="509"/>
      <c r="N109" s="509"/>
      <c r="O109" s="509"/>
      <c r="P109" s="509"/>
      <c r="Q109" s="509"/>
      <c r="R109" s="509"/>
      <c r="S109" s="509"/>
      <c r="T109" s="509"/>
      <c r="U109" s="509"/>
      <c r="V109" s="509"/>
      <c r="W109" s="509"/>
      <c r="X109" s="509"/>
      <c r="Y109" s="509"/>
      <c r="Z109" s="509"/>
    </row>
    <row r="110" spans="1:26" ht="16.5" customHeight="1" x14ac:dyDescent="0.3">
      <c r="A110" s="509"/>
      <c r="B110" s="509"/>
      <c r="C110" s="509"/>
      <c r="D110" s="509"/>
      <c r="E110" s="509"/>
      <c r="F110" s="509"/>
      <c r="G110" s="509"/>
      <c r="H110" s="509"/>
      <c r="I110" s="509"/>
      <c r="J110" s="509"/>
      <c r="K110" s="509"/>
      <c r="L110" s="509"/>
      <c r="M110" s="509"/>
      <c r="N110" s="509"/>
      <c r="O110" s="509"/>
      <c r="P110" s="509"/>
      <c r="Q110" s="509"/>
      <c r="R110" s="509"/>
      <c r="S110" s="509"/>
      <c r="T110" s="509"/>
      <c r="U110" s="509"/>
      <c r="V110" s="509"/>
      <c r="W110" s="509"/>
      <c r="X110" s="509"/>
      <c r="Y110" s="509"/>
      <c r="Z110" s="509"/>
    </row>
    <row r="111" spans="1:26" ht="16.5" customHeight="1" x14ac:dyDescent="0.3">
      <c r="A111" s="509"/>
      <c r="B111" s="509"/>
      <c r="C111" s="509"/>
      <c r="D111" s="509"/>
      <c r="E111" s="509"/>
      <c r="F111" s="509"/>
      <c r="G111" s="509"/>
      <c r="H111" s="509"/>
      <c r="I111" s="509"/>
      <c r="J111" s="509"/>
      <c r="K111" s="509"/>
      <c r="L111" s="509"/>
      <c r="M111" s="509"/>
      <c r="N111" s="509"/>
      <c r="O111" s="509"/>
      <c r="P111" s="509"/>
      <c r="Q111" s="509"/>
      <c r="R111" s="509"/>
      <c r="S111" s="509"/>
      <c r="T111" s="509"/>
      <c r="U111" s="509"/>
      <c r="V111" s="509"/>
      <c r="W111" s="509"/>
      <c r="X111" s="509"/>
      <c r="Y111" s="509"/>
      <c r="Z111" s="509"/>
    </row>
    <row r="112" spans="1:26" ht="16.5" customHeight="1" x14ac:dyDescent="0.3">
      <c r="A112" s="509"/>
      <c r="B112" s="509"/>
      <c r="C112" s="509"/>
      <c r="D112" s="509"/>
      <c r="E112" s="509"/>
      <c r="F112" s="509"/>
      <c r="G112" s="509"/>
      <c r="H112" s="509"/>
      <c r="I112" s="509"/>
      <c r="J112" s="509"/>
      <c r="K112" s="509"/>
      <c r="L112" s="509"/>
      <c r="M112" s="509"/>
      <c r="N112" s="509"/>
      <c r="O112" s="509"/>
      <c r="P112" s="509"/>
      <c r="Q112" s="509"/>
      <c r="R112" s="509"/>
      <c r="S112" s="509"/>
      <c r="T112" s="509"/>
      <c r="U112" s="509"/>
      <c r="V112" s="509"/>
      <c r="W112" s="509"/>
      <c r="X112" s="509"/>
      <c r="Y112" s="509"/>
      <c r="Z112" s="509"/>
    </row>
    <row r="113" spans="1:26" ht="16.5" customHeight="1" x14ac:dyDescent="0.3">
      <c r="A113" s="509"/>
      <c r="B113" s="509"/>
      <c r="C113" s="509"/>
      <c r="D113" s="509"/>
      <c r="E113" s="509"/>
      <c r="F113" s="509"/>
      <c r="G113" s="509"/>
      <c r="H113" s="509"/>
      <c r="I113" s="509"/>
      <c r="J113" s="509"/>
      <c r="K113" s="509"/>
      <c r="L113" s="509"/>
      <c r="M113" s="509"/>
      <c r="N113" s="509"/>
      <c r="O113" s="509"/>
      <c r="P113" s="509"/>
      <c r="Q113" s="509"/>
      <c r="R113" s="509"/>
      <c r="S113" s="509"/>
      <c r="T113" s="509"/>
      <c r="U113" s="509"/>
      <c r="V113" s="509"/>
      <c r="W113" s="509"/>
      <c r="X113" s="509"/>
      <c r="Y113" s="509"/>
      <c r="Z113" s="509"/>
    </row>
    <row r="114" spans="1:26" ht="16.5" customHeight="1" x14ac:dyDescent="0.3">
      <c r="A114" s="509"/>
      <c r="B114" s="509"/>
      <c r="C114" s="509"/>
      <c r="D114" s="509"/>
      <c r="E114" s="509"/>
      <c r="F114" s="509"/>
      <c r="G114" s="509"/>
      <c r="H114" s="509"/>
      <c r="I114" s="509"/>
      <c r="J114" s="509"/>
      <c r="K114" s="509"/>
      <c r="L114" s="509"/>
      <c r="M114" s="509"/>
      <c r="N114" s="509"/>
      <c r="O114" s="509"/>
      <c r="P114" s="509"/>
      <c r="Q114" s="509"/>
      <c r="R114" s="509"/>
      <c r="S114" s="509"/>
      <c r="T114" s="509"/>
      <c r="U114" s="509"/>
      <c r="V114" s="509"/>
      <c r="W114" s="509"/>
      <c r="X114" s="509"/>
      <c r="Y114" s="509"/>
      <c r="Z114" s="509"/>
    </row>
    <row r="115" spans="1:26" ht="16.5" customHeight="1" x14ac:dyDescent="0.3">
      <c r="A115" s="509"/>
      <c r="B115" s="509"/>
      <c r="C115" s="509"/>
      <c r="D115" s="509"/>
      <c r="E115" s="509"/>
      <c r="F115" s="509"/>
      <c r="G115" s="509"/>
      <c r="H115" s="509"/>
      <c r="I115" s="509"/>
      <c r="J115" s="509"/>
      <c r="K115" s="509"/>
      <c r="L115" s="509"/>
      <c r="M115" s="509"/>
      <c r="N115" s="509"/>
      <c r="O115" s="509"/>
      <c r="P115" s="509"/>
      <c r="Q115" s="509"/>
      <c r="R115" s="509"/>
      <c r="S115" s="509"/>
      <c r="T115" s="509"/>
      <c r="U115" s="509"/>
      <c r="V115" s="509"/>
      <c r="W115" s="509"/>
      <c r="X115" s="509"/>
      <c r="Y115" s="509"/>
      <c r="Z115" s="509"/>
    </row>
    <row r="116" spans="1:26" ht="16.5" customHeight="1" x14ac:dyDescent="0.3">
      <c r="A116" s="509"/>
      <c r="B116" s="509"/>
      <c r="C116" s="509"/>
      <c r="D116" s="509"/>
      <c r="E116" s="509"/>
      <c r="F116" s="509"/>
      <c r="G116" s="509"/>
      <c r="H116" s="509"/>
      <c r="I116" s="509"/>
      <c r="J116" s="509"/>
      <c r="K116" s="509"/>
      <c r="L116" s="509"/>
      <c r="M116" s="509"/>
      <c r="N116" s="509"/>
      <c r="O116" s="509"/>
      <c r="P116" s="509"/>
      <c r="Q116" s="509"/>
      <c r="R116" s="509"/>
      <c r="S116" s="509"/>
      <c r="T116" s="509"/>
      <c r="U116" s="509"/>
      <c r="V116" s="509"/>
      <c r="W116" s="509"/>
      <c r="X116" s="509"/>
      <c r="Y116" s="509"/>
      <c r="Z116" s="509"/>
    </row>
    <row r="117" spans="1:26" ht="16.5" customHeight="1" x14ac:dyDescent="0.3">
      <c r="A117" s="509"/>
      <c r="B117" s="509"/>
      <c r="C117" s="509"/>
      <c r="D117" s="509"/>
      <c r="E117" s="509"/>
      <c r="F117" s="509"/>
      <c r="G117" s="509"/>
      <c r="H117" s="509"/>
      <c r="I117" s="509"/>
      <c r="J117" s="509"/>
      <c r="K117" s="509"/>
      <c r="L117" s="509"/>
      <c r="M117" s="509"/>
      <c r="N117" s="509"/>
      <c r="O117" s="509"/>
      <c r="P117" s="509"/>
      <c r="Q117" s="509"/>
      <c r="R117" s="509"/>
      <c r="S117" s="509"/>
      <c r="T117" s="509"/>
      <c r="U117" s="509"/>
      <c r="V117" s="509"/>
      <c r="W117" s="509"/>
      <c r="X117" s="509"/>
      <c r="Y117" s="509"/>
      <c r="Z117" s="509"/>
    </row>
    <row r="118" spans="1:26" ht="16.5" customHeight="1" x14ac:dyDescent="0.3">
      <c r="A118" s="509"/>
      <c r="B118" s="509"/>
      <c r="C118" s="509"/>
      <c r="D118" s="509"/>
      <c r="E118" s="509"/>
      <c r="F118" s="509"/>
      <c r="G118" s="509"/>
      <c r="H118" s="509"/>
      <c r="I118" s="509"/>
      <c r="J118" s="509"/>
      <c r="K118" s="509"/>
      <c r="L118" s="509"/>
      <c r="M118" s="509"/>
      <c r="N118" s="509"/>
      <c r="O118" s="509"/>
      <c r="P118" s="509"/>
      <c r="Q118" s="509"/>
      <c r="R118" s="509"/>
      <c r="S118" s="509"/>
      <c r="T118" s="509"/>
      <c r="U118" s="509"/>
      <c r="V118" s="509"/>
      <c r="W118" s="509"/>
      <c r="X118" s="509"/>
      <c r="Y118" s="509"/>
      <c r="Z118" s="509"/>
    </row>
    <row r="119" spans="1:26" ht="16.5" customHeight="1" x14ac:dyDescent="0.3">
      <c r="A119" s="509"/>
      <c r="B119" s="509"/>
      <c r="C119" s="509"/>
      <c r="D119" s="509"/>
      <c r="E119" s="509"/>
      <c r="F119" s="509"/>
      <c r="G119" s="509"/>
      <c r="H119" s="509"/>
      <c r="I119" s="509"/>
      <c r="J119" s="509"/>
      <c r="K119" s="509"/>
      <c r="L119" s="509"/>
      <c r="M119" s="509"/>
      <c r="N119" s="509"/>
      <c r="O119" s="509"/>
      <c r="P119" s="509"/>
      <c r="Q119" s="509"/>
      <c r="R119" s="509"/>
      <c r="S119" s="509"/>
      <c r="T119" s="509"/>
      <c r="U119" s="509"/>
      <c r="V119" s="509"/>
      <c r="W119" s="509"/>
      <c r="X119" s="509"/>
      <c r="Y119" s="509"/>
      <c r="Z119" s="509"/>
    </row>
    <row r="120" spans="1:26" ht="16.5" customHeight="1" x14ac:dyDescent="0.3">
      <c r="A120" s="509"/>
      <c r="B120" s="509"/>
      <c r="C120" s="509"/>
      <c r="D120" s="509"/>
      <c r="E120" s="509"/>
      <c r="F120" s="509"/>
      <c r="G120" s="509"/>
      <c r="H120" s="509"/>
      <c r="I120" s="509"/>
      <c r="J120" s="509"/>
      <c r="K120" s="509"/>
      <c r="L120" s="509"/>
      <c r="M120" s="509"/>
      <c r="N120" s="509"/>
      <c r="O120" s="509"/>
      <c r="P120" s="509"/>
      <c r="Q120" s="509"/>
      <c r="R120" s="509"/>
      <c r="S120" s="509"/>
      <c r="T120" s="509"/>
      <c r="U120" s="509"/>
      <c r="V120" s="509"/>
      <c r="W120" s="509"/>
      <c r="X120" s="509"/>
      <c r="Y120" s="509"/>
      <c r="Z120" s="509"/>
    </row>
    <row r="121" spans="1:26" ht="16.5" customHeight="1" x14ac:dyDescent="0.3">
      <c r="A121" s="509"/>
      <c r="B121" s="509"/>
      <c r="C121" s="509"/>
      <c r="D121" s="509"/>
      <c r="E121" s="509"/>
      <c r="F121" s="509"/>
      <c r="G121" s="509"/>
      <c r="H121" s="509"/>
      <c r="I121" s="509"/>
      <c r="J121" s="509"/>
      <c r="K121" s="509"/>
      <c r="L121" s="509"/>
      <c r="M121" s="509"/>
      <c r="N121" s="509"/>
      <c r="O121" s="509"/>
      <c r="P121" s="509"/>
      <c r="Q121" s="509"/>
      <c r="R121" s="509"/>
      <c r="S121" s="509"/>
      <c r="T121" s="509"/>
      <c r="U121" s="509"/>
      <c r="V121" s="509"/>
      <c r="W121" s="509"/>
      <c r="X121" s="509"/>
      <c r="Y121" s="509"/>
      <c r="Z121" s="509"/>
    </row>
    <row r="122" spans="1:26" ht="16.5" customHeight="1" x14ac:dyDescent="0.3">
      <c r="A122" s="509"/>
      <c r="B122" s="509"/>
      <c r="C122" s="509"/>
      <c r="D122" s="509"/>
      <c r="E122" s="509"/>
      <c r="F122" s="509"/>
      <c r="G122" s="509"/>
      <c r="H122" s="509"/>
      <c r="I122" s="509"/>
      <c r="J122" s="509"/>
      <c r="K122" s="509"/>
      <c r="L122" s="509"/>
      <c r="M122" s="509"/>
      <c r="N122" s="509"/>
      <c r="O122" s="509"/>
      <c r="P122" s="509"/>
      <c r="Q122" s="509"/>
      <c r="R122" s="509"/>
      <c r="S122" s="509"/>
      <c r="T122" s="509"/>
      <c r="U122" s="509"/>
      <c r="V122" s="509"/>
      <c r="W122" s="509"/>
      <c r="X122" s="509"/>
      <c r="Y122" s="509"/>
      <c r="Z122" s="509"/>
    </row>
    <row r="123" spans="1:26" ht="16.5" customHeight="1" x14ac:dyDescent="0.3">
      <c r="A123" s="509"/>
      <c r="B123" s="509"/>
      <c r="C123" s="509"/>
      <c r="D123" s="509"/>
      <c r="E123" s="509"/>
      <c r="F123" s="509"/>
      <c r="G123" s="509"/>
      <c r="H123" s="509"/>
      <c r="I123" s="509"/>
      <c r="J123" s="509"/>
      <c r="K123" s="509"/>
      <c r="L123" s="509"/>
      <c r="M123" s="509"/>
      <c r="N123" s="509"/>
      <c r="O123" s="509"/>
      <c r="P123" s="509"/>
      <c r="Q123" s="509"/>
      <c r="R123" s="509"/>
      <c r="S123" s="509"/>
      <c r="T123" s="509"/>
      <c r="U123" s="509"/>
      <c r="V123" s="509"/>
      <c r="W123" s="509"/>
      <c r="X123" s="509"/>
      <c r="Y123" s="509"/>
      <c r="Z123" s="509"/>
    </row>
    <row r="124" spans="1:26" ht="16.5" customHeight="1" x14ac:dyDescent="0.3">
      <c r="A124" s="509"/>
      <c r="B124" s="509"/>
      <c r="C124" s="509"/>
      <c r="D124" s="509"/>
      <c r="E124" s="509"/>
      <c r="F124" s="509"/>
      <c r="G124" s="509"/>
      <c r="H124" s="509"/>
      <c r="I124" s="509"/>
      <c r="J124" s="509"/>
      <c r="K124" s="509"/>
      <c r="L124" s="509"/>
      <c r="M124" s="509"/>
      <c r="N124" s="509"/>
      <c r="O124" s="509"/>
      <c r="P124" s="509"/>
      <c r="Q124" s="509"/>
      <c r="R124" s="509"/>
      <c r="S124" s="509"/>
      <c r="T124" s="509"/>
      <c r="U124" s="509"/>
      <c r="V124" s="509"/>
      <c r="W124" s="509"/>
      <c r="X124" s="509"/>
      <c r="Y124" s="509"/>
      <c r="Z124" s="509"/>
    </row>
    <row r="125" spans="1:26" ht="16.5" customHeight="1" x14ac:dyDescent="0.3">
      <c r="A125" s="509"/>
      <c r="B125" s="509"/>
      <c r="C125" s="509"/>
      <c r="D125" s="509"/>
      <c r="E125" s="509"/>
      <c r="F125" s="509"/>
      <c r="G125" s="509"/>
      <c r="H125" s="509"/>
      <c r="I125" s="509"/>
      <c r="J125" s="509"/>
      <c r="K125" s="509"/>
      <c r="L125" s="509"/>
      <c r="M125" s="509"/>
      <c r="N125" s="509"/>
      <c r="O125" s="509"/>
      <c r="P125" s="509"/>
      <c r="Q125" s="509"/>
      <c r="R125" s="509"/>
      <c r="S125" s="509"/>
      <c r="T125" s="509"/>
      <c r="U125" s="509"/>
      <c r="V125" s="509"/>
      <c r="W125" s="509"/>
      <c r="X125" s="509"/>
      <c r="Y125" s="509"/>
      <c r="Z125" s="509"/>
    </row>
    <row r="126" spans="1:26" ht="16.5" customHeight="1" x14ac:dyDescent="0.3">
      <c r="A126" s="509"/>
      <c r="B126" s="509"/>
      <c r="C126" s="509"/>
      <c r="D126" s="509"/>
      <c r="E126" s="509"/>
      <c r="F126" s="509"/>
      <c r="G126" s="509"/>
      <c r="H126" s="509"/>
      <c r="I126" s="509"/>
      <c r="J126" s="509"/>
      <c r="K126" s="509"/>
      <c r="L126" s="509"/>
      <c r="M126" s="509"/>
      <c r="N126" s="509"/>
      <c r="O126" s="509"/>
      <c r="P126" s="509"/>
      <c r="Q126" s="509"/>
      <c r="R126" s="509"/>
      <c r="S126" s="509"/>
      <c r="T126" s="509"/>
      <c r="U126" s="509"/>
      <c r="V126" s="509"/>
      <c r="W126" s="509"/>
      <c r="X126" s="509"/>
      <c r="Y126" s="509"/>
      <c r="Z126" s="509"/>
    </row>
    <row r="127" spans="1:26" ht="16.5" customHeight="1" x14ac:dyDescent="0.3">
      <c r="A127" s="509"/>
      <c r="B127" s="509"/>
      <c r="C127" s="509"/>
      <c r="D127" s="509"/>
      <c r="E127" s="509"/>
      <c r="F127" s="509"/>
      <c r="G127" s="509"/>
      <c r="H127" s="509"/>
      <c r="I127" s="509"/>
      <c r="J127" s="509"/>
      <c r="K127" s="509"/>
      <c r="L127" s="509"/>
      <c r="M127" s="509"/>
      <c r="N127" s="509"/>
      <c r="O127" s="509"/>
      <c r="P127" s="509"/>
      <c r="Q127" s="509"/>
      <c r="R127" s="509"/>
      <c r="S127" s="509"/>
      <c r="T127" s="509"/>
      <c r="U127" s="509"/>
      <c r="V127" s="509"/>
      <c r="W127" s="509"/>
      <c r="X127" s="509"/>
      <c r="Y127" s="509"/>
      <c r="Z127" s="509"/>
    </row>
    <row r="128" spans="1:26" ht="16.5" customHeight="1" x14ac:dyDescent="0.3">
      <c r="A128" s="509"/>
      <c r="B128" s="509"/>
      <c r="C128" s="509"/>
      <c r="D128" s="509"/>
      <c r="E128" s="509"/>
      <c r="F128" s="509"/>
      <c r="G128" s="509"/>
      <c r="H128" s="509"/>
      <c r="I128" s="509"/>
      <c r="J128" s="509"/>
      <c r="K128" s="509"/>
      <c r="L128" s="509"/>
      <c r="M128" s="509"/>
      <c r="N128" s="509"/>
      <c r="O128" s="509"/>
      <c r="P128" s="509"/>
      <c r="Q128" s="509"/>
      <c r="R128" s="509"/>
      <c r="S128" s="509"/>
      <c r="T128" s="509"/>
      <c r="U128" s="509"/>
      <c r="V128" s="509"/>
      <c r="W128" s="509"/>
      <c r="X128" s="509"/>
      <c r="Y128" s="509"/>
      <c r="Z128" s="509"/>
    </row>
    <row r="129" spans="1:26" ht="16.5" customHeight="1" x14ac:dyDescent="0.3">
      <c r="A129" s="509"/>
      <c r="B129" s="509"/>
      <c r="C129" s="509"/>
      <c r="D129" s="509"/>
      <c r="E129" s="509"/>
      <c r="F129" s="509"/>
      <c r="G129" s="509"/>
      <c r="H129" s="509"/>
      <c r="I129" s="509"/>
      <c r="J129" s="509"/>
      <c r="K129" s="509"/>
      <c r="L129" s="509"/>
      <c r="M129" s="509"/>
      <c r="N129" s="509"/>
      <c r="O129" s="509"/>
      <c r="P129" s="509"/>
      <c r="Q129" s="509"/>
      <c r="R129" s="509"/>
      <c r="S129" s="509"/>
      <c r="T129" s="509"/>
      <c r="U129" s="509"/>
      <c r="V129" s="509"/>
      <c r="W129" s="509"/>
      <c r="X129" s="509"/>
      <c r="Y129" s="509"/>
      <c r="Z129" s="509"/>
    </row>
    <row r="130" spans="1:26" ht="16.5" customHeight="1" x14ac:dyDescent="0.3">
      <c r="A130" s="509"/>
      <c r="B130" s="509"/>
      <c r="C130" s="509"/>
      <c r="D130" s="509"/>
      <c r="E130" s="509"/>
      <c r="F130" s="509"/>
      <c r="G130" s="509"/>
      <c r="H130" s="509"/>
      <c r="I130" s="509"/>
      <c r="J130" s="509"/>
      <c r="K130" s="509"/>
      <c r="L130" s="509"/>
      <c r="M130" s="509"/>
      <c r="N130" s="509"/>
      <c r="O130" s="509"/>
      <c r="P130" s="509"/>
      <c r="Q130" s="509"/>
      <c r="R130" s="509"/>
      <c r="S130" s="509"/>
      <c r="T130" s="509"/>
      <c r="U130" s="509"/>
      <c r="V130" s="509"/>
      <c r="W130" s="509"/>
      <c r="X130" s="509"/>
      <c r="Y130" s="509"/>
      <c r="Z130" s="509"/>
    </row>
    <row r="131" spans="1:26" ht="16.5" customHeight="1" x14ac:dyDescent="0.3">
      <c r="A131" s="509"/>
      <c r="B131" s="509"/>
      <c r="C131" s="509"/>
      <c r="D131" s="509"/>
      <c r="E131" s="509"/>
      <c r="F131" s="509"/>
      <c r="G131" s="509"/>
      <c r="H131" s="509"/>
      <c r="I131" s="509"/>
      <c r="J131" s="509"/>
      <c r="K131" s="509"/>
      <c r="L131" s="509"/>
      <c r="M131" s="509"/>
      <c r="N131" s="509"/>
      <c r="O131" s="509"/>
      <c r="P131" s="509"/>
      <c r="Q131" s="509"/>
      <c r="R131" s="509"/>
      <c r="S131" s="509"/>
      <c r="T131" s="509"/>
      <c r="U131" s="509"/>
      <c r="V131" s="509"/>
      <c r="W131" s="509"/>
      <c r="X131" s="509"/>
      <c r="Y131" s="509"/>
      <c r="Z131" s="509"/>
    </row>
    <row r="132" spans="1:26" ht="16.5" customHeight="1" x14ac:dyDescent="0.3">
      <c r="A132" s="509"/>
      <c r="B132" s="509"/>
      <c r="C132" s="509"/>
      <c r="D132" s="509"/>
      <c r="E132" s="509"/>
      <c r="F132" s="509"/>
      <c r="G132" s="509"/>
      <c r="H132" s="509"/>
      <c r="I132" s="509"/>
      <c r="J132" s="509"/>
      <c r="K132" s="509"/>
      <c r="L132" s="509"/>
      <c r="M132" s="509"/>
      <c r="N132" s="509"/>
      <c r="O132" s="509"/>
      <c r="P132" s="509"/>
      <c r="Q132" s="509"/>
      <c r="R132" s="509"/>
      <c r="S132" s="509"/>
      <c r="T132" s="509"/>
      <c r="U132" s="509"/>
      <c r="V132" s="509"/>
      <c r="W132" s="509"/>
      <c r="X132" s="509"/>
      <c r="Y132" s="509"/>
      <c r="Z132" s="509"/>
    </row>
    <row r="133" spans="1:26" ht="16.5" customHeight="1" x14ac:dyDescent="0.3">
      <c r="A133" s="509"/>
      <c r="B133" s="509"/>
      <c r="C133" s="509"/>
      <c r="D133" s="509"/>
      <c r="E133" s="509"/>
      <c r="F133" s="509"/>
      <c r="G133" s="509"/>
      <c r="H133" s="509"/>
      <c r="I133" s="509"/>
      <c r="J133" s="509"/>
      <c r="K133" s="509"/>
      <c r="L133" s="509"/>
      <c r="M133" s="509"/>
      <c r="N133" s="509"/>
      <c r="O133" s="509"/>
      <c r="P133" s="509"/>
      <c r="Q133" s="509"/>
      <c r="R133" s="509"/>
      <c r="S133" s="509"/>
      <c r="T133" s="509"/>
      <c r="U133" s="509"/>
      <c r="V133" s="509"/>
      <c r="W133" s="509"/>
      <c r="X133" s="509"/>
      <c r="Y133" s="509"/>
      <c r="Z133" s="509"/>
    </row>
    <row r="134" spans="1:26" ht="16.5" customHeight="1" x14ac:dyDescent="0.3">
      <c r="A134" s="509"/>
      <c r="B134" s="509"/>
      <c r="C134" s="509"/>
      <c r="D134" s="509"/>
      <c r="E134" s="509"/>
      <c r="F134" s="509"/>
      <c r="G134" s="509"/>
      <c r="H134" s="509"/>
      <c r="I134" s="509"/>
      <c r="J134" s="509"/>
      <c r="K134" s="509"/>
      <c r="L134" s="509"/>
      <c r="M134" s="509"/>
      <c r="N134" s="509"/>
      <c r="O134" s="509"/>
      <c r="P134" s="509"/>
      <c r="Q134" s="509"/>
      <c r="R134" s="509"/>
      <c r="S134" s="509"/>
      <c r="T134" s="509"/>
      <c r="U134" s="509"/>
      <c r="V134" s="509"/>
      <c r="W134" s="509"/>
      <c r="X134" s="509"/>
      <c r="Y134" s="509"/>
      <c r="Z134" s="509"/>
    </row>
    <row r="135" spans="1:26" ht="16.5" customHeight="1" x14ac:dyDescent="0.3">
      <c r="A135" s="509"/>
      <c r="B135" s="509"/>
      <c r="C135" s="509"/>
      <c r="D135" s="509"/>
      <c r="E135" s="509"/>
      <c r="F135" s="509"/>
      <c r="G135" s="509"/>
      <c r="H135" s="509"/>
      <c r="I135" s="509"/>
      <c r="J135" s="509"/>
      <c r="K135" s="509"/>
      <c r="L135" s="509"/>
      <c r="M135" s="509"/>
      <c r="N135" s="509"/>
      <c r="O135" s="509"/>
      <c r="P135" s="509"/>
      <c r="Q135" s="509"/>
      <c r="R135" s="509"/>
      <c r="S135" s="509"/>
      <c r="T135" s="509"/>
      <c r="U135" s="509"/>
      <c r="V135" s="509"/>
      <c r="W135" s="509"/>
      <c r="X135" s="509"/>
      <c r="Y135" s="509"/>
      <c r="Z135" s="509"/>
    </row>
    <row r="136" spans="1:26" ht="16.5" customHeight="1" x14ac:dyDescent="0.3">
      <c r="A136" s="509"/>
      <c r="B136" s="509"/>
      <c r="C136" s="509"/>
      <c r="D136" s="509"/>
      <c r="E136" s="509"/>
      <c r="F136" s="509"/>
      <c r="G136" s="509"/>
      <c r="H136" s="509"/>
      <c r="I136" s="509"/>
      <c r="J136" s="509"/>
      <c r="K136" s="509"/>
      <c r="L136" s="509"/>
      <c r="M136" s="509"/>
      <c r="N136" s="509"/>
      <c r="O136" s="509"/>
      <c r="P136" s="509"/>
      <c r="Q136" s="509"/>
      <c r="R136" s="509"/>
      <c r="S136" s="509"/>
      <c r="T136" s="509"/>
      <c r="U136" s="509"/>
      <c r="V136" s="509"/>
      <c r="W136" s="509"/>
      <c r="X136" s="509"/>
      <c r="Y136" s="509"/>
      <c r="Z136" s="509"/>
    </row>
    <row r="137" spans="1:26" ht="16.5" customHeight="1" x14ac:dyDescent="0.3">
      <c r="A137" s="509"/>
      <c r="B137" s="509"/>
      <c r="C137" s="509"/>
      <c r="D137" s="509"/>
      <c r="E137" s="509"/>
      <c r="F137" s="509"/>
      <c r="G137" s="509"/>
      <c r="H137" s="509"/>
      <c r="I137" s="509"/>
      <c r="J137" s="509"/>
      <c r="K137" s="509"/>
      <c r="L137" s="509"/>
      <c r="M137" s="509"/>
      <c r="N137" s="509"/>
      <c r="O137" s="509"/>
      <c r="P137" s="509"/>
      <c r="Q137" s="509"/>
      <c r="R137" s="509"/>
      <c r="S137" s="509"/>
      <c r="T137" s="509"/>
      <c r="U137" s="509"/>
      <c r="V137" s="509"/>
      <c r="W137" s="509"/>
      <c r="X137" s="509"/>
      <c r="Y137" s="509"/>
      <c r="Z137" s="509"/>
    </row>
    <row r="138" spans="1:26" ht="16.5" customHeight="1" x14ac:dyDescent="0.3">
      <c r="A138" s="509"/>
      <c r="B138" s="509"/>
      <c r="C138" s="509"/>
      <c r="D138" s="509"/>
      <c r="E138" s="509"/>
      <c r="F138" s="509"/>
      <c r="G138" s="509"/>
      <c r="H138" s="509"/>
      <c r="I138" s="509"/>
      <c r="J138" s="509"/>
      <c r="K138" s="509"/>
      <c r="L138" s="509"/>
      <c r="M138" s="509"/>
      <c r="N138" s="509"/>
      <c r="O138" s="509"/>
      <c r="P138" s="509"/>
      <c r="Q138" s="509"/>
      <c r="R138" s="509"/>
      <c r="S138" s="509"/>
      <c r="T138" s="509"/>
      <c r="U138" s="509"/>
      <c r="V138" s="509"/>
      <c r="W138" s="509"/>
      <c r="X138" s="509"/>
      <c r="Y138" s="509"/>
      <c r="Z138" s="509"/>
    </row>
    <row r="139" spans="1:26" ht="16.5" customHeight="1" x14ac:dyDescent="0.3">
      <c r="A139" s="509"/>
      <c r="B139" s="509"/>
      <c r="C139" s="509"/>
      <c r="D139" s="509"/>
      <c r="E139" s="509"/>
      <c r="F139" s="509"/>
      <c r="G139" s="509"/>
      <c r="H139" s="509"/>
      <c r="I139" s="509"/>
      <c r="J139" s="509"/>
      <c r="K139" s="509"/>
      <c r="L139" s="509"/>
      <c r="M139" s="509"/>
      <c r="N139" s="509"/>
      <c r="O139" s="509"/>
      <c r="P139" s="509"/>
      <c r="Q139" s="509"/>
      <c r="R139" s="509"/>
      <c r="S139" s="509"/>
      <c r="T139" s="509"/>
      <c r="U139" s="509"/>
      <c r="V139" s="509"/>
      <c r="W139" s="509"/>
      <c r="X139" s="509"/>
      <c r="Y139" s="509"/>
      <c r="Z139" s="509"/>
    </row>
    <row r="140" spans="1:26" ht="16.5" customHeight="1" x14ac:dyDescent="0.3">
      <c r="A140" s="509"/>
      <c r="B140" s="509"/>
      <c r="C140" s="509"/>
      <c r="D140" s="509"/>
      <c r="E140" s="509"/>
      <c r="F140" s="509"/>
      <c r="G140" s="509"/>
      <c r="H140" s="509"/>
      <c r="I140" s="509"/>
      <c r="J140" s="509"/>
      <c r="K140" s="509"/>
      <c r="L140" s="509"/>
      <c r="M140" s="509"/>
      <c r="N140" s="509"/>
      <c r="O140" s="509"/>
      <c r="P140" s="509"/>
      <c r="Q140" s="509"/>
      <c r="R140" s="509"/>
      <c r="S140" s="509"/>
      <c r="T140" s="509"/>
      <c r="U140" s="509"/>
      <c r="V140" s="509"/>
      <c r="W140" s="509"/>
      <c r="X140" s="509"/>
      <c r="Y140" s="509"/>
      <c r="Z140" s="509"/>
    </row>
    <row r="141" spans="1:26" ht="16.5" customHeight="1" x14ac:dyDescent="0.3">
      <c r="A141" s="509"/>
      <c r="B141" s="509"/>
      <c r="C141" s="509"/>
      <c r="D141" s="509"/>
      <c r="E141" s="509"/>
      <c r="F141" s="509"/>
      <c r="G141" s="509"/>
      <c r="H141" s="509"/>
      <c r="I141" s="509"/>
      <c r="J141" s="509"/>
      <c r="K141" s="509"/>
      <c r="L141" s="509"/>
      <c r="M141" s="509"/>
      <c r="N141" s="509"/>
      <c r="O141" s="509"/>
      <c r="P141" s="509"/>
      <c r="Q141" s="509"/>
      <c r="R141" s="509"/>
      <c r="S141" s="509"/>
      <c r="T141" s="509"/>
      <c r="U141" s="509"/>
      <c r="V141" s="509"/>
      <c r="W141" s="509"/>
      <c r="X141" s="509"/>
      <c r="Y141" s="509"/>
      <c r="Z141" s="509"/>
    </row>
    <row r="142" spans="1:26" ht="16.5" customHeight="1" x14ac:dyDescent="0.3">
      <c r="A142" s="509"/>
      <c r="B142" s="509"/>
      <c r="C142" s="509"/>
      <c r="D142" s="509"/>
      <c r="E142" s="509"/>
      <c r="F142" s="509"/>
      <c r="G142" s="509"/>
      <c r="H142" s="509"/>
      <c r="I142" s="509"/>
      <c r="J142" s="509"/>
      <c r="K142" s="509"/>
      <c r="L142" s="509"/>
      <c r="M142" s="509"/>
      <c r="N142" s="509"/>
      <c r="O142" s="509"/>
      <c r="P142" s="509"/>
      <c r="Q142" s="509"/>
      <c r="R142" s="509"/>
      <c r="S142" s="509"/>
      <c r="T142" s="509"/>
      <c r="U142" s="509"/>
      <c r="V142" s="509"/>
      <c r="W142" s="509"/>
      <c r="X142" s="509"/>
      <c r="Y142" s="509"/>
      <c r="Z142" s="509"/>
    </row>
    <row r="143" spans="1:26" ht="16.5" customHeight="1" x14ac:dyDescent="0.3">
      <c r="A143" s="509"/>
      <c r="B143" s="509"/>
      <c r="C143" s="509"/>
      <c r="D143" s="509"/>
      <c r="E143" s="509"/>
      <c r="F143" s="509"/>
      <c r="G143" s="509"/>
      <c r="H143" s="509"/>
      <c r="I143" s="509"/>
      <c r="J143" s="509"/>
      <c r="K143" s="509"/>
      <c r="L143" s="509"/>
      <c r="M143" s="509"/>
      <c r="N143" s="509"/>
      <c r="O143" s="509"/>
      <c r="P143" s="509"/>
      <c r="Q143" s="509"/>
      <c r="R143" s="509"/>
      <c r="S143" s="509"/>
      <c r="T143" s="509"/>
      <c r="U143" s="509"/>
      <c r="V143" s="509"/>
      <c r="W143" s="509"/>
      <c r="X143" s="509"/>
      <c r="Y143" s="509"/>
      <c r="Z143" s="509"/>
    </row>
    <row r="144" spans="1:26" ht="16.5" customHeight="1" x14ac:dyDescent="0.3">
      <c r="A144" s="509"/>
      <c r="B144" s="509"/>
      <c r="C144" s="509"/>
      <c r="D144" s="509"/>
      <c r="E144" s="509"/>
      <c r="F144" s="509"/>
      <c r="G144" s="509"/>
      <c r="H144" s="509"/>
      <c r="I144" s="509"/>
      <c r="J144" s="509"/>
      <c r="K144" s="509"/>
      <c r="L144" s="509"/>
      <c r="M144" s="509"/>
      <c r="N144" s="509"/>
      <c r="O144" s="509"/>
      <c r="P144" s="509"/>
      <c r="Q144" s="509"/>
      <c r="R144" s="509"/>
      <c r="S144" s="509"/>
      <c r="T144" s="509"/>
      <c r="U144" s="509"/>
      <c r="V144" s="509"/>
      <c r="W144" s="509"/>
      <c r="X144" s="509"/>
      <c r="Y144" s="509"/>
      <c r="Z144" s="509"/>
    </row>
    <row r="145" spans="1:26" ht="16.5" customHeight="1" x14ac:dyDescent="0.3">
      <c r="A145" s="509"/>
      <c r="B145" s="509"/>
      <c r="C145" s="509"/>
      <c r="D145" s="509"/>
      <c r="E145" s="509"/>
      <c r="F145" s="509"/>
      <c r="G145" s="509"/>
      <c r="H145" s="509"/>
      <c r="I145" s="509"/>
      <c r="J145" s="509"/>
      <c r="K145" s="509"/>
      <c r="L145" s="509"/>
      <c r="M145" s="509"/>
      <c r="N145" s="509"/>
      <c r="O145" s="509"/>
      <c r="P145" s="509"/>
      <c r="Q145" s="509"/>
      <c r="R145" s="509"/>
      <c r="S145" s="509"/>
      <c r="T145" s="509"/>
      <c r="U145" s="509"/>
      <c r="V145" s="509"/>
      <c r="W145" s="509"/>
      <c r="X145" s="509"/>
      <c r="Y145" s="509"/>
      <c r="Z145" s="509"/>
    </row>
    <row r="146" spans="1:26" ht="16.5" customHeight="1" x14ac:dyDescent="0.3">
      <c r="A146" s="509"/>
      <c r="B146" s="509"/>
      <c r="C146" s="509"/>
      <c r="D146" s="509"/>
      <c r="E146" s="509"/>
      <c r="F146" s="509"/>
      <c r="G146" s="509"/>
      <c r="H146" s="509"/>
      <c r="I146" s="509"/>
      <c r="J146" s="509"/>
      <c r="K146" s="509"/>
      <c r="L146" s="509"/>
      <c r="M146" s="509"/>
      <c r="N146" s="509"/>
      <c r="O146" s="509"/>
      <c r="P146" s="509"/>
      <c r="Q146" s="509"/>
      <c r="R146" s="509"/>
      <c r="S146" s="509"/>
      <c r="T146" s="509"/>
      <c r="U146" s="509"/>
      <c r="V146" s="509"/>
      <c r="W146" s="509"/>
      <c r="X146" s="509"/>
      <c r="Y146" s="509"/>
      <c r="Z146" s="509"/>
    </row>
    <row r="147" spans="1:26" ht="16.5" customHeight="1" x14ac:dyDescent="0.3">
      <c r="A147" s="509"/>
      <c r="B147" s="509"/>
      <c r="C147" s="509"/>
      <c r="D147" s="509"/>
      <c r="E147" s="509"/>
      <c r="F147" s="509"/>
      <c r="G147" s="509"/>
      <c r="H147" s="509"/>
      <c r="I147" s="509"/>
      <c r="J147" s="509"/>
      <c r="K147" s="509"/>
      <c r="L147" s="509"/>
      <c r="M147" s="509"/>
      <c r="N147" s="509"/>
      <c r="O147" s="509"/>
      <c r="P147" s="509"/>
      <c r="Q147" s="509"/>
      <c r="R147" s="509"/>
      <c r="S147" s="509"/>
      <c r="T147" s="509"/>
      <c r="U147" s="509"/>
      <c r="V147" s="509"/>
      <c r="W147" s="509"/>
      <c r="X147" s="509"/>
      <c r="Y147" s="509"/>
      <c r="Z147" s="509"/>
    </row>
    <row r="148" spans="1:26" ht="16.5" customHeight="1" x14ac:dyDescent="0.3">
      <c r="A148" s="509"/>
      <c r="B148" s="509"/>
      <c r="C148" s="509"/>
      <c r="D148" s="509"/>
      <c r="E148" s="509"/>
      <c r="F148" s="509"/>
      <c r="G148" s="509"/>
      <c r="H148" s="509"/>
      <c r="I148" s="509"/>
      <c r="J148" s="509"/>
      <c r="K148" s="509"/>
      <c r="L148" s="509"/>
      <c r="M148" s="509"/>
      <c r="N148" s="509"/>
      <c r="O148" s="509"/>
      <c r="P148" s="509"/>
      <c r="Q148" s="509"/>
      <c r="R148" s="509"/>
      <c r="S148" s="509"/>
      <c r="T148" s="509"/>
      <c r="U148" s="509"/>
      <c r="V148" s="509"/>
      <c r="W148" s="509"/>
      <c r="X148" s="509"/>
      <c r="Y148" s="509"/>
      <c r="Z148" s="509"/>
    </row>
    <row r="149" spans="1:26" ht="16.5" customHeight="1" x14ac:dyDescent="0.3">
      <c r="A149" s="509"/>
      <c r="B149" s="509"/>
      <c r="C149" s="509"/>
      <c r="D149" s="509"/>
      <c r="E149" s="509"/>
      <c r="F149" s="509"/>
      <c r="G149" s="509"/>
      <c r="H149" s="509"/>
      <c r="I149" s="509"/>
      <c r="J149" s="509"/>
      <c r="K149" s="509"/>
      <c r="L149" s="509"/>
      <c r="M149" s="509"/>
      <c r="N149" s="509"/>
      <c r="O149" s="509"/>
      <c r="P149" s="509"/>
      <c r="Q149" s="509"/>
      <c r="R149" s="509"/>
      <c r="S149" s="509"/>
      <c r="T149" s="509"/>
      <c r="U149" s="509"/>
      <c r="V149" s="509"/>
      <c r="W149" s="509"/>
      <c r="X149" s="509"/>
      <c r="Y149" s="509"/>
      <c r="Z149" s="509"/>
    </row>
    <row r="150" spans="1:26" ht="16.5" customHeight="1" x14ac:dyDescent="0.3">
      <c r="A150" s="509"/>
      <c r="B150" s="509"/>
      <c r="C150" s="509"/>
      <c r="D150" s="509"/>
      <c r="E150" s="509"/>
      <c r="F150" s="509"/>
      <c r="G150" s="509"/>
      <c r="H150" s="509"/>
      <c r="I150" s="509"/>
      <c r="J150" s="509"/>
      <c r="K150" s="509"/>
      <c r="L150" s="509"/>
      <c r="M150" s="509"/>
      <c r="N150" s="509"/>
      <c r="O150" s="509"/>
      <c r="P150" s="509"/>
      <c r="Q150" s="509"/>
      <c r="R150" s="509"/>
      <c r="S150" s="509"/>
      <c r="T150" s="509"/>
      <c r="U150" s="509"/>
      <c r="V150" s="509"/>
      <c r="W150" s="509"/>
      <c r="X150" s="509"/>
      <c r="Y150" s="509"/>
      <c r="Z150" s="509"/>
    </row>
    <row r="151" spans="1:26" ht="16.5" customHeight="1" x14ac:dyDescent="0.3">
      <c r="A151" s="509"/>
      <c r="B151" s="509"/>
      <c r="C151" s="509"/>
      <c r="D151" s="509"/>
      <c r="E151" s="509"/>
      <c r="F151" s="509"/>
      <c r="G151" s="509"/>
      <c r="H151" s="509"/>
      <c r="I151" s="509"/>
      <c r="J151" s="509"/>
      <c r="K151" s="509"/>
      <c r="L151" s="509"/>
      <c r="M151" s="509"/>
      <c r="N151" s="509"/>
      <c r="O151" s="509"/>
      <c r="P151" s="509"/>
      <c r="Q151" s="509"/>
      <c r="R151" s="509"/>
      <c r="S151" s="509"/>
      <c r="T151" s="509"/>
      <c r="U151" s="509"/>
      <c r="V151" s="509"/>
      <c r="W151" s="509"/>
      <c r="X151" s="509"/>
      <c r="Y151" s="509"/>
      <c r="Z151" s="509"/>
    </row>
    <row r="152" spans="1:26" ht="16.5" customHeight="1" x14ac:dyDescent="0.3">
      <c r="A152" s="509"/>
      <c r="B152" s="509"/>
      <c r="C152" s="509"/>
      <c r="D152" s="509"/>
      <c r="E152" s="509"/>
      <c r="F152" s="509"/>
      <c r="G152" s="509"/>
      <c r="H152" s="509"/>
      <c r="I152" s="509"/>
      <c r="J152" s="509"/>
      <c r="K152" s="509"/>
      <c r="L152" s="509"/>
      <c r="M152" s="509"/>
      <c r="N152" s="509"/>
      <c r="O152" s="509"/>
      <c r="P152" s="509"/>
      <c r="Q152" s="509"/>
      <c r="R152" s="509"/>
      <c r="S152" s="509"/>
      <c r="T152" s="509"/>
      <c r="U152" s="509"/>
      <c r="V152" s="509"/>
      <c r="W152" s="509"/>
      <c r="X152" s="509"/>
      <c r="Y152" s="509"/>
      <c r="Z152" s="509"/>
    </row>
    <row r="153" spans="1:26" ht="16.5" customHeight="1" x14ac:dyDescent="0.3">
      <c r="A153" s="509"/>
      <c r="B153" s="509"/>
      <c r="C153" s="509"/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09"/>
      <c r="X153" s="509"/>
      <c r="Y153" s="509"/>
      <c r="Z153" s="509"/>
    </row>
    <row r="154" spans="1:26" ht="16.5" customHeight="1" x14ac:dyDescent="0.3">
      <c r="A154" s="509"/>
      <c r="B154" s="509"/>
      <c r="C154" s="509"/>
      <c r="D154" s="509"/>
      <c r="E154" s="509"/>
      <c r="F154" s="509"/>
      <c r="G154" s="509"/>
      <c r="H154" s="509"/>
      <c r="I154" s="509"/>
      <c r="J154" s="509"/>
      <c r="K154" s="509"/>
      <c r="L154" s="509"/>
      <c r="M154" s="509"/>
      <c r="N154" s="509"/>
      <c r="O154" s="509"/>
      <c r="P154" s="509"/>
      <c r="Q154" s="509"/>
      <c r="R154" s="509"/>
      <c r="S154" s="509"/>
      <c r="T154" s="509"/>
      <c r="U154" s="509"/>
      <c r="V154" s="509"/>
      <c r="W154" s="509"/>
      <c r="X154" s="509"/>
      <c r="Y154" s="509"/>
      <c r="Z154" s="509"/>
    </row>
    <row r="155" spans="1:26" ht="16.5" customHeight="1" x14ac:dyDescent="0.3">
      <c r="A155" s="509"/>
      <c r="B155" s="509"/>
      <c r="C155" s="509"/>
      <c r="D155" s="509"/>
      <c r="E155" s="509"/>
      <c r="F155" s="509"/>
      <c r="G155" s="509"/>
      <c r="H155" s="509"/>
      <c r="I155" s="509"/>
      <c r="J155" s="509"/>
      <c r="K155" s="509"/>
      <c r="L155" s="509"/>
      <c r="M155" s="509"/>
      <c r="N155" s="509"/>
      <c r="O155" s="509"/>
      <c r="P155" s="509"/>
      <c r="Q155" s="509"/>
      <c r="R155" s="509"/>
      <c r="S155" s="509"/>
      <c r="T155" s="509"/>
      <c r="U155" s="509"/>
      <c r="V155" s="509"/>
      <c r="W155" s="509"/>
      <c r="X155" s="509"/>
      <c r="Y155" s="509"/>
      <c r="Z155" s="509"/>
    </row>
    <row r="156" spans="1:26" ht="16.5" customHeight="1" x14ac:dyDescent="0.3">
      <c r="A156" s="509"/>
      <c r="B156" s="509"/>
      <c r="C156" s="509"/>
      <c r="D156" s="509"/>
      <c r="E156" s="509"/>
      <c r="F156" s="509"/>
      <c r="G156" s="509"/>
      <c r="H156" s="509"/>
      <c r="I156" s="509"/>
      <c r="J156" s="509"/>
      <c r="K156" s="509"/>
      <c r="L156" s="509"/>
      <c r="M156" s="509"/>
      <c r="N156" s="509"/>
      <c r="O156" s="509"/>
      <c r="P156" s="509"/>
      <c r="Q156" s="509"/>
      <c r="R156" s="509"/>
      <c r="S156" s="509"/>
      <c r="T156" s="509"/>
      <c r="U156" s="509"/>
      <c r="V156" s="509"/>
      <c r="W156" s="509"/>
      <c r="X156" s="509"/>
      <c r="Y156" s="509"/>
      <c r="Z156" s="509"/>
    </row>
    <row r="157" spans="1:26" ht="16.5" customHeight="1" x14ac:dyDescent="0.3">
      <c r="A157" s="509"/>
      <c r="B157" s="509"/>
      <c r="C157" s="509"/>
      <c r="D157" s="509"/>
      <c r="E157" s="509"/>
      <c r="F157" s="509"/>
      <c r="G157" s="509"/>
      <c r="H157" s="509"/>
      <c r="I157" s="509"/>
      <c r="J157" s="509"/>
      <c r="K157" s="509"/>
      <c r="L157" s="509"/>
      <c r="M157" s="509"/>
      <c r="N157" s="509"/>
      <c r="O157" s="509"/>
      <c r="P157" s="509"/>
      <c r="Q157" s="509"/>
      <c r="R157" s="509"/>
      <c r="S157" s="509"/>
      <c r="T157" s="509"/>
      <c r="U157" s="509"/>
      <c r="V157" s="509"/>
      <c r="W157" s="509"/>
      <c r="X157" s="509"/>
      <c r="Y157" s="509"/>
      <c r="Z157" s="509"/>
    </row>
    <row r="158" spans="1:26" ht="16.5" customHeight="1" x14ac:dyDescent="0.3">
      <c r="A158" s="509"/>
      <c r="B158" s="509"/>
      <c r="C158" s="509"/>
      <c r="D158" s="509"/>
      <c r="E158" s="509"/>
      <c r="F158" s="509"/>
      <c r="G158" s="509"/>
      <c r="H158" s="509"/>
      <c r="I158" s="509"/>
      <c r="J158" s="509"/>
      <c r="K158" s="509"/>
      <c r="L158" s="509"/>
      <c r="M158" s="509"/>
      <c r="N158" s="509"/>
      <c r="O158" s="509"/>
      <c r="P158" s="509"/>
      <c r="Q158" s="509"/>
      <c r="R158" s="509"/>
      <c r="S158" s="509"/>
      <c r="T158" s="509"/>
      <c r="U158" s="509"/>
      <c r="V158" s="509"/>
      <c r="W158" s="509"/>
      <c r="X158" s="509"/>
      <c r="Y158" s="509"/>
      <c r="Z158" s="509"/>
    </row>
    <row r="159" spans="1:26" ht="16.5" customHeight="1" x14ac:dyDescent="0.3">
      <c r="A159" s="509"/>
      <c r="B159" s="509"/>
      <c r="C159" s="509"/>
      <c r="D159" s="509"/>
      <c r="E159" s="509"/>
      <c r="F159" s="509"/>
      <c r="G159" s="509"/>
      <c r="H159" s="509"/>
      <c r="I159" s="509"/>
      <c r="J159" s="509"/>
      <c r="K159" s="509"/>
      <c r="L159" s="509"/>
      <c r="M159" s="509"/>
      <c r="N159" s="509"/>
      <c r="O159" s="509"/>
      <c r="P159" s="509"/>
      <c r="Q159" s="509"/>
      <c r="R159" s="509"/>
      <c r="S159" s="509"/>
      <c r="T159" s="509"/>
      <c r="U159" s="509"/>
      <c r="V159" s="509"/>
      <c r="W159" s="509"/>
      <c r="X159" s="509"/>
      <c r="Y159" s="509"/>
      <c r="Z159" s="509"/>
    </row>
    <row r="160" spans="1:26" ht="16.5" customHeight="1" x14ac:dyDescent="0.3">
      <c r="A160" s="509"/>
      <c r="B160" s="509"/>
      <c r="C160" s="509"/>
      <c r="D160" s="509"/>
      <c r="E160" s="509"/>
      <c r="F160" s="509"/>
      <c r="G160" s="509"/>
      <c r="H160" s="509"/>
      <c r="I160" s="509"/>
      <c r="J160" s="509"/>
      <c r="K160" s="509"/>
      <c r="L160" s="509"/>
      <c r="M160" s="509"/>
      <c r="N160" s="509"/>
      <c r="O160" s="509"/>
      <c r="P160" s="509"/>
      <c r="Q160" s="509"/>
      <c r="R160" s="509"/>
      <c r="S160" s="509"/>
      <c r="T160" s="509"/>
      <c r="U160" s="509"/>
      <c r="V160" s="509"/>
      <c r="W160" s="509"/>
      <c r="X160" s="509"/>
      <c r="Y160" s="509"/>
      <c r="Z160" s="509"/>
    </row>
    <row r="161" spans="1:26" ht="16.5" customHeight="1" x14ac:dyDescent="0.3">
      <c r="A161" s="509"/>
      <c r="B161" s="509"/>
      <c r="C161" s="509"/>
      <c r="D161" s="509"/>
      <c r="E161" s="509"/>
      <c r="F161" s="509"/>
      <c r="G161" s="509"/>
      <c r="H161" s="509"/>
      <c r="I161" s="509"/>
      <c r="J161" s="509"/>
      <c r="K161" s="509"/>
      <c r="L161" s="509"/>
      <c r="M161" s="509"/>
      <c r="N161" s="509"/>
      <c r="O161" s="509"/>
      <c r="P161" s="509"/>
      <c r="Q161" s="509"/>
      <c r="R161" s="509"/>
      <c r="S161" s="509"/>
      <c r="T161" s="509"/>
      <c r="U161" s="509"/>
      <c r="V161" s="509"/>
      <c r="W161" s="509"/>
      <c r="X161" s="509"/>
      <c r="Y161" s="509"/>
      <c r="Z161" s="509"/>
    </row>
    <row r="162" spans="1:26" ht="16.5" customHeight="1" x14ac:dyDescent="0.3">
      <c r="A162" s="509"/>
      <c r="B162" s="509"/>
      <c r="C162" s="509"/>
      <c r="D162" s="509"/>
      <c r="E162" s="509"/>
      <c r="F162" s="509"/>
      <c r="G162" s="509"/>
      <c r="H162" s="509"/>
      <c r="I162" s="509"/>
      <c r="J162" s="509"/>
      <c r="K162" s="509"/>
      <c r="L162" s="509"/>
      <c r="M162" s="509"/>
      <c r="N162" s="509"/>
      <c r="O162" s="509"/>
      <c r="P162" s="509"/>
      <c r="Q162" s="509"/>
      <c r="R162" s="509"/>
      <c r="S162" s="509"/>
      <c r="T162" s="509"/>
      <c r="U162" s="509"/>
      <c r="V162" s="509"/>
      <c r="W162" s="509"/>
      <c r="X162" s="509"/>
      <c r="Y162" s="509"/>
      <c r="Z162" s="509"/>
    </row>
    <row r="163" spans="1:26" ht="16.5" customHeight="1" x14ac:dyDescent="0.3">
      <c r="A163" s="509"/>
      <c r="B163" s="509"/>
      <c r="C163" s="509"/>
      <c r="D163" s="509"/>
      <c r="E163" s="509"/>
      <c r="F163" s="509"/>
      <c r="G163" s="509"/>
      <c r="H163" s="509"/>
      <c r="I163" s="509"/>
      <c r="J163" s="509"/>
      <c r="K163" s="509"/>
      <c r="L163" s="509"/>
      <c r="M163" s="509"/>
      <c r="N163" s="509"/>
      <c r="O163" s="509"/>
      <c r="P163" s="509"/>
      <c r="Q163" s="509"/>
      <c r="R163" s="509"/>
      <c r="S163" s="509"/>
      <c r="T163" s="509"/>
      <c r="U163" s="509"/>
      <c r="V163" s="509"/>
      <c r="W163" s="509"/>
      <c r="X163" s="509"/>
      <c r="Y163" s="509"/>
      <c r="Z163" s="509"/>
    </row>
    <row r="164" spans="1:26" ht="16.5" customHeight="1" x14ac:dyDescent="0.3">
      <c r="A164" s="509"/>
      <c r="B164" s="509"/>
      <c r="C164" s="509"/>
      <c r="D164" s="509"/>
      <c r="E164" s="509"/>
      <c r="F164" s="509"/>
      <c r="G164" s="509"/>
      <c r="H164" s="509"/>
      <c r="I164" s="509"/>
      <c r="J164" s="509"/>
      <c r="K164" s="509"/>
      <c r="L164" s="509"/>
      <c r="M164" s="509"/>
      <c r="N164" s="509"/>
      <c r="O164" s="509"/>
      <c r="P164" s="509"/>
      <c r="Q164" s="509"/>
      <c r="R164" s="509"/>
      <c r="S164" s="509"/>
      <c r="T164" s="509"/>
      <c r="U164" s="509"/>
      <c r="V164" s="509"/>
      <c r="W164" s="509"/>
      <c r="X164" s="509"/>
      <c r="Y164" s="509"/>
      <c r="Z164" s="509"/>
    </row>
    <row r="165" spans="1:26" ht="16.5" customHeight="1" x14ac:dyDescent="0.3">
      <c r="A165" s="509"/>
      <c r="B165" s="509"/>
      <c r="C165" s="509"/>
      <c r="D165" s="509"/>
      <c r="E165" s="509"/>
      <c r="F165" s="509"/>
      <c r="G165" s="509"/>
      <c r="H165" s="509"/>
      <c r="I165" s="509"/>
      <c r="J165" s="509"/>
      <c r="K165" s="509"/>
      <c r="L165" s="509"/>
      <c r="M165" s="509"/>
      <c r="N165" s="509"/>
      <c r="O165" s="509"/>
      <c r="P165" s="509"/>
      <c r="Q165" s="509"/>
      <c r="R165" s="509"/>
      <c r="S165" s="509"/>
      <c r="T165" s="509"/>
      <c r="U165" s="509"/>
      <c r="V165" s="509"/>
      <c r="W165" s="509"/>
      <c r="X165" s="509"/>
      <c r="Y165" s="509"/>
      <c r="Z165" s="509"/>
    </row>
    <row r="166" spans="1:26" ht="16.5" customHeight="1" x14ac:dyDescent="0.3">
      <c r="A166" s="509"/>
      <c r="B166" s="509"/>
      <c r="C166" s="509"/>
      <c r="D166" s="509"/>
      <c r="E166" s="509"/>
      <c r="F166" s="509"/>
      <c r="G166" s="509"/>
      <c r="H166" s="509"/>
      <c r="I166" s="509"/>
      <c r="J166" s="509"/>
      <c r="K166" s="509"/>
      <c r="L166" s="509"/>
      <c r="M166" s="509"/>
      <c r="N166" s="509"/>
      <c r="O166" s="509"/>
      <c r="P166" s="509"/>
      <c r="Q166" s="509"/>
      <c r="R166" s="509"/>
      <c r="S166" s="509"/>
      <c r="T166" s="509"/>
      <c r="U166" s="509"/>
      <c r="V166" s="509"/>
      <c r="W166" s="509"/>
      <c r="X166" s="509"/>
      <c r="Y166" s="509"/>
      <c r="Z166" s="509"/>
    </row>
    <row r="167" spans="1:26" ht="16.5" customHeight="1" x14ac:dyDescent="0.3">
      <c r="A167" s="509"/>
      <c r="B167" s="509"/>
      <c r="C167" s="509"/>
      <c r="D167" s="509"/>
      <c r="E167" s="509"/>
      <c r="F167" s="509"/>
      <c r="G167" s="509"/>
      <c r="H167" s="509"/>
      <c r="I167" s="509"/>
      <c r="J167" s="509"/>
      <c r="K167" s="509"/>
      <c r="L167" s="509"/>
      <c r="M167" s="509"/>
      <c r="N167" s="509"/>
      <c r="O167" s="509"/>
      <c r="P167" s="509"/>
      <c r="Q167" s="509"/>
      <c r="R167" s="509"/>
      <c r="S167" s="509"/>
      <c r="T167" s="509"/>
      <c r="U167" s="509"/>
      <c r="V167" s="509"/>
      <c r="W167" s="509"/>
      <c r="X167" s="509"/>
      <c r="Y167" s="509"/>
      <c r="Z167" s="509"/>
    </row>
    <row r="168" spans="1:26" ht="16.5" customHeight="1" x14ac:dyDescent="0.3">
      <c r="A168" s="509"/>
      <c r="B168" s="509"/>
      <c r="C168" s="509"/>
      <c r="D168" s="509"/>
      <c r="E168" s="509"/>
      <c r="F168" s="509"/>
      <c r="G168" s="509"/>
      <c r="H168" s="509"/>
      <c r="I168" s="509"/>
      <c r="J168" s="509"/>
      <c r="K168" s="509"/>
      <c r="L168" s="509"/>
      <c r="M168" s="509"/>
      <c r="N168" s="509"/>
      <c r="O168" s="509"/>
      <c r="P168" s="509"/>
      <c r="Q168" s="509"/>
      <c r="R168" s="509"/>
      <c r="S168" s="509"/>
      <c r="T168" s="509"/>
      <c r="U168" s="509"/>
      <c r="V168" s="509"/>
      <c r="W168" s="509"/>
      <c r="X168" s="509"/>
      <c r="Y168" s="509"/>
      <c r="Z168" s="509"/>
    </row>
    <row r="169" spans="1:26" ht="16.5" customHeight="1" x14ac:dyDescent="0.3">
      <c r="A169" s="509"/>
      <c r="B169" s="509"/>
      <c r="C169" s="509"/>
      <c r="D169" s="509"/>
      <c r="E169" s="509"/>
      <c r="F169" s="509"/>
      <c r="G169" s="509"/>
      <c r="H169" s="509"/>
      <c r="I169" s="509"/>
      <c r="J169" s="509"/>
      <c r="K169" s="509"/>
      <c r="L169" s="509"/>
      <c r="M169" s="509"/>
      <c r="N169" s="509"/>
      <c r="O169" s="509"/>
      <c r="P169" s="509"/>
      <c r="Q169" s="509"/>
      <c r="R169" s="509"/>
      <c r="S169" s="509"/>
      <c r="T169" s="509"/>
      <c r="U169" s="509"/>
      <c r="V169" s="509"/>
      <c r="W169" s="509"/>
      <c r="X169" s="509"/>
      <c r="Y169" s="509"/>
      <c r="Z169" s="509"/>
    </row>
    <row r="170" spans="1:26" ht="16.5" customHeight="1" x14ac:dyDescent="0.3">
      <c r="A170" s="509"/>
      <c r="B170" s="509"/>
      <c r="C170" s="509"/>
      <c r="D170" s="509"/>
      <c r="E170" s="509"/>
      <c r="F170" s="509"/>
      <c r="G170" s="509"/>
      <c r="H170" s="509"/>
      <c r="I170" s="509"/>
      <c r="J170" s="509"/>
      <c r="K170" s="509"/>
      <c r="L170" s="509"/>
      <c r="M170" s="509"/>
      <c r="N170" s="509"/>
      <c r="O170" s="509"/>
      <c r="P170" s="509"/>
      <c r="Q170" s="509"/>
      <c r="R170" s="509"/>
      <c r="S170" s="509"/>
      <c r="T170" s="509"/>
      <c r="U170" s="509"/>
      <c r="V170" s="509"/>
      <c r="W170" s="509"/>
      <c r="X170" s="509"/>
      <c r="Y170" s="509"/>
      <c r="Z170" s="509"/>
    </row>
    <row r="171" spans="1:26" ht="16.5" customHeight="1" x14ac:dyDescent="0.3">
      <c r="A171" s="509"/>
      <c r="B171" s="509"/>
      <c r="C171" s="509"/>
      <c r="D171" s="509"/>
      <c r="E171" s="509"/>
      <c r="F171" s="509"/>
      <c r="G171" s="509"/>
      <c r="H171" s="509"/>
      <c r="I171" s="509"/>
      <c r="J171" s="509"/>
      <c r="K171" s="509"/>
      <c r="L171" s="509"/>
      <c r="M171" s="509"/>
      <c r="N171" s="509"/>
      <c r="O171" s="509"/>
      <c r="P171" s="509"/>
      <c r="Q171" s="509"/>
      <c r="R171" s="509"/>
      <c r="S171" s="509"/>
      <c r="T171" s="509"/>
      <c r="U171" s="509"/>
      <c r="V171" s="509"/>
      <c r="W171" s="509"/>
      <c r="X171" s="509"/>
      <c r="Y171" s="509"/>
      <c r="Z171" s="509"/>
    </row>
    <row r="172" spans="1:26" ht="16.5" customHeight="1" x14ac:dyDescent="0.3">
      <c r="A172" s="509"/>
      <c r="B172" s="509"/>
      <c r="C172" s="509"/>
      <c r="D172" s="509"/>
      <c r="E172" s="509"/>
      <c r="F172" s="509"/>
      <c r="G172" s="509"/>
      <c r="H172" s="509"/>
      <c r="I172" s="509"/>
      <c r="J172" s="509"/>
      <c r="K172" s="509"/>
      <c r="L172" s="509"/>
      <c r="M172" s="509"/>
      <c r="N172" s="509"/>
      <c r="O172" s="509"/>
      <c r="P172" s="509"/>
      <c r="Q172" s="509"/>
      <c r="R172" s="509"/>
      <c r="S172" s="509"/>
      <c r="T172" s="509"/>
      <c r="U172" s="509"/>
      <c r="V172" s="509"/>
      <c r="W172" s="509"/>
      <c r="X172" s="509"/>
      <c r="Y172" s="509"/>
      <c r="Z172" s="509"/>
    </row>
    <row r="173" spans="1:26" ht="16.5" customHeight="1" x14ac:dyDescent="0.3">
      <c r="A173" s="509"/>
      <c r="B173" s="509"/>
      <c r="C173" s="509"/>
      <c r="D173" s="509"/>
      <c r="E173" s="509"/>
      <c r="F173" s="509"/>
      <c r="G173" s="509"/>
      <c r="H173" s="509"/>
      <c r="I173" s="509"/>
      <c r="J173" s="509"/>
      <c r="K173" s="509"/>
      <c r="L173" s="509"/>
      <c r="M173" s="509"/>
      <c r="N173" s="509"/>
      <c r="O173" s="509"/>
      <c r="P173" s="509"/>
      <c r="Q173" s="509"/>
      <c r="R173" s="509"/>
      <c r="S173" s="509"/>
      <c r="T173" s="509"/>
      <c r="U173" s="509"/>
      <c r="V173" s="509"/>
      <c r="W173" s="509"/>
      <c r="X173" s="509"/>
      <c r="Y173" s="509"/>
      <c r="Z173" s="509"/>
    </row>
    <row r="174" spans="1:26" ht="16.5" customHeight="1" x14ac:dyDescent="0.3">
      <c r="A174" s="509"/>
      <c r="B174" s="509"/>
      <c r="C174" s="509"/>
      <c r="D174" s="509"/>
      <c r="E174" s="509"/>
      <c r="F174" s="509"/>
      <c r="G174" s="509"/>
      <c r="H174" s="509"/>
      <c r="I174" s="509"/>
      <c r="J174" s="509"/>
      <c r="K174" s="509"/>
      <c r="L174" s="509"/>
      <c r="M174" s="509"/>
      <c r="N174" s="509"/>
      <c r="O174" s="509"/>
      <c r="P174" s="509"/>
      <c r="Q174" s="509"/>
      <c r="R174" s="509"/>
      <c r="S174" s="509"/>
      <c r="T174" s="509"/>
      <c r="U174" s="509"/>
      <c r="V174" s="509"/>
      <c r="W174" s="509"/>
      <c r="X174" s="509"/>
      <c r="Y174" s="509"/>
      <c r="Z174" s="509"/>
    </row>
    <row r="175" spans="1:26" ht="16.5" customHeight="1" x14ac:dyDescent="0.3">
      <c r="A175" s="509"/>
      <c r="B175" s="509"/>
      <c r="C175" s="509"/>
      <c r="D175" s="509"/>
      <c r="E175" s="509"/>
      <c r="F175" s="509"/>
      <c r="G175" s="509"/>
      <c r="H175" s="509"/>
      <c r="I175" s="509"/>
      <c r="J175" s="509"/>
      <c r="K175" s="509"/>
      <c r="L175" s="509"/>
      <c r="M175" s="509"/>
      <c r="N175" s="509"/>
      <c r="O175" s="509"/>
      <c r="P175" s="509"/>
      <c r="Q175" s="509"/>
      <c r="R175" s="509"/>
      <c r="S175" s="509"/>
      <c r="T175" s="509"/>
      <c r="U175" s="509"/>
      <c r="V175" s="509"/>
      <c r="W175" s="509"/>
      <c r="X175" s="509"/>
      <c r="Y175" s="509"/>
      <c r="Z175" s="509"/>
    </row>
    <row r="176" spans="1:26" ht="16.5" customHeight="1" x14ac:dyDescent="0.3">
      <c r="A176" s="509"/>
      <c r="B176" s="509"/>
      <c r="C176" s="509"/>
      <c r="D176" s="509"/>
      <c r="E176" s="509"/>
      <c r="F176" s="509"/>
      <c r="G176" s="509"/>
      <c r="H176" s="509"/>
      <c r="I176" s="509"/>
      <c r="J176" s="509"/>
      <c r="K176" s="509"/>
      <c r="L176" s="509"/>
      <c r="M176" s="509"/>
      <c r="N176" s="509"/>
      <c r="O176" s="509"/>
      <c r="P176" s="509"/>
      <c r="Q176" s="509"/>
      <c r="R176" s="509"/>
      <c r="S176" s="509"/>
      <c r="T176" s="509"/>
      <c r="U176" s="509"/>
      <c r="V176" s="509"/>
      <c r="W176" s="509"/>
      <c r="X176" s="509"/>
      <c r="Y176" s="509"/>
      <c r="Z176" s="509"/>
    </row>
    <row r="177" spans="1:26" ht="16.5" customHeight="1" x14ac:dyDescent="0.3">
      <c r="A177" s="509"/>
      <c r="B177" s="509"/>
      <c r="C177" s="509"/>
      <c r="D177" s="509"/>
      <c r="E177" s="509"/>
      <c r="F177" s="509"/>
      <c r="G177" s="509"/>
      <c r="H177" s="509"/>
      <c r="I177" s="509"/>
      <c r="J177" s="509"/>
      <c r="K177" s="509"/>
      <c r="L177" s="509"/>
      <c r="M177" s="509"/>
      <c r="N177" s="509"/>
      <c r="O177" s="509"/>
      <c r="P177" s="509"/>
      <c r="Q177" s="509"/>
      <c r="R177" s="509"/>
      <c r="S177" s="509"/>
      <c r="T177" s="509"/>
      <c r="U177" s="509"/>
      <c r="V177" s="509"/>
      <c r="W177" s="509"/>
      <c r="X177" s="509"/>
      <c r="Y177" s="509"/>
      <c r="Z177" s="509"/>
    </row>
    <row r="178" spans="1:26" ht="16.5" customHeight="1" x14ac:dyDescent="0.3">
      <c r="A178" s="509"/>
      <c r="B178" s="509"/>
      <c r="C178" s="509"/>
      <c r="D178" s="509"/>
      <c r="E178" s="509"/>
      <c r="F178" s="509"/>
      <c r="G178" s="509"/>
      <c r="H178" s="509"/>
      <c r="I178" s="509"/>
      <c r="J178" s="509"/>
      <c r="K178" s="509"/>
      <c r="L178" s="509"/>
      <c r="M178" s="509"/>
      <c r="N178" s="509"/>
      <c r="O178" s="509"/>
      <c r="P178" s="509"/>
      <c r="Q178" s="509"/>
      <c r="R178" s="509"/>
      <c r="S178" s="509"/>
      <c r="T178" s="509"/>
      <c r="U178" s="509"/>
      <c r="V178" s="509"/>
      <c r="W178" s="509"/>
      <c r="X178" s="509"/>
      <c r="Y178" s="509"/>
      <c r="Z178" s="509"/>
    </row>
    <row r="179" spans="1:26" ht="16.5" customHeight="1" x14ac:dyDescent="0.3">
      <c r="A179" s="509"/>
      <c r="B179" s="509"/>
      <c r="C179" s="509"/>
      <c r="D179" s="509"/>
      <c r="E179" s="509"/>
      <c r="F179" s="509"/>
      <c r="G179" s="509"/>
      <c r="H179" s="509"/>
      <c r="I179" s="509"/>
      <c r="J179" s="509"/>
      <c r="K179" s="509"/>
      <c r="L179" s="509"/>
      <c r="M179" s="509"/>
      <c r="N179" s="509"/>
      <c r="O179" s="509"/>
      <c r="P179" s="509"/>
      <c r="Q179" s="509"/>
      <c r="R179" s="509"/>
      <c r="S179" s="509"/>
      <c r="T179" s="509"/>
      <c r="U179" s="509"/>
      <c r="V179" s="509"/>
      <c r="W179" s="509"/>
      <c r="X179" s="509"/>
      <c r="Y179" s="509"/>
      <c r="Z179" s="509"/>
    </row>
    <row r="180" spans="1:26" ht="16.5" customHeight="1" x14ac:dyDescent="0.3">
      <c r="A180" s="509"/>
      <c r="B180" s="509"/>
      <c r="C180" s="509"/>
      <c r="D180" s="509"/>
      <c r="E180" s="509"/>
      <c r="F180" s="509"/>
      <c r="G180" s="509"/>
      <c r="H180" s="509"/>
      <c r="I180" s="509"/>
      <c r="J180" s="509"/>
      <c r="K180" s="509"/>
      <c r="L180" s="509"/>
      <c r="M180" s="509"/>
      <c r="N180" s="509"/>
      <c r="O180" s="509"/>
      <c r="P180" s="509"/>
      <c r="Q180" s="509"/>
      <c r="R180" s="509"/>
      <c r="S180" s="509"/>
      <c r="T180" s="509"/>
      <c r="U180" s="509"/>
      <c r="V180" s="509"/>
      <c r="W180" s="509"/>
      <c r="X180" s="509"/>
      <c r="Y180" s="509"/>
      <c r="Z180" s="509"/>
    </row>
    <row r="181" spans="1:26" ht="16.5" customHeight="1" x14ac:dyDescent="0.3">
      <c r="A181" s="509"/>
      <c r="B181" s="509"/>
      <c r="C181" s="509"/>
      <c r="D181" s="509"/>
      <c r="E181" s="509"/>
      <c r="F181" s="509"/>
      <c r="G181" s="509"/>
      <c r="H181" s="509"/>
      <c r="I181" s="509"/>
      <c r="J181" s="509"/>
      <c r="K181" s="509"/>
      <c r="L181" s="509"/>
      <c r="M181" s="509"/>
      <c r="N181" s="509"/>
      <c r="O181" s="509"/>
      <c r="P181" s="509"/>
      <c r="Q181" s="509"/>
      <c r="R181" s="509"/>
      <c r="S181" s="509"/>
      <c r="T181" s="509"/>
      <c r="U181" s="509"/>
      <c r="V181" s="509"/>
      <c r="W181" s="509"/>
      <c r="X181" s="509"/>
      <c r="Y181" s="509"/>
      <c r="Z181" s="509"/>
    </row>
    <row r="182" spans="1:26" ht="16.5" customHeight="1" x14ac:dyDescent="0.3">
      <c r="A182" s="509"/>
      <c r="B182" s="509"/>
      <c r="C182" s="509"/>
      <c r="D182" s="509"/>
      <c r="E182" s="509"/>
      <c r="F182" s="509"/>
      <c r="G182" s="509"/>
      <c r="H182" s="509"/>
      <c r="I182" s="509"/>
      <c r="J182" s="509"/>
      <c r="K182" s="509"/>
      <c r="L182" s="509"/>
      <c r="M182" s="509"/>
      <c r="N182" s="509"/>
      <c r="O182" s="509"/>
      <c r="P182" s="509"/>
      <c r="Q182" s="509"/>
      <c r="R182" s="509"/>
      <c r="S182" s="509"/>
      <c r="T182" s="509"/>
      <c r="U182" s="509"/>
      <c r="V182" s="509"/>
      <c r="W182" s="509"/>
      <c r="X182" s="509"/>
      <c r="Y182" s="509"/>
      <c r="Z182" s="509"/>
    </row>
    <row r="183" spans="1:26" ht="16.5" customHeight="1" x14ac:dyDescent="0.3">
      <c r="A183" s="509"/>
      <c r="B183" s="509"/>
      <c r="C183" s="509"/>
      <c r="D183" s="509"/>
      <c r="E183" s="509"/>
      <c r="F183" s="509"/>
      <c r="G183" s="509"/>
      <c r="H183" s="509"/>
      <c r="I183" s="509"/>
      <c r="J183" s="509"/>
      <c r="K183" s="509"/>
      <c r="L183" s="509"/>
      <c r="M183" s="509"/>
      <c r="N183" s="509"/>
      <c r="O183" s="509"/>
      <c r="P183" s="509"/>
      <c r="Q183" s="509"/>
      <c r="R183" s="509"/>
      <c r="S183" s="509"/>
      <c r="T183" s="509"/>
      <c r="U183" s="509"/>
      <c r="V183" s="509"/>
      <c r="W183" s="509"/>
      <c r="X183" s="509"/>
      <c r="Y183" s="509"/>
      <c r="Z183" s="509"/>
    </row>
    <row r="184" spans="1:26" ht="16.5" customHeight="1" x14ac:dyDescent="0.3">
      <c r="A184" s="509"/>
      <c r="B184" s="509"/>
      <c r="C184" s="509"/>
      <c r="D184" s="509"/>
      <c r="E184" s="509"/>
      <c r="F184" s="509"/>
      <c r="G184" s="509"/>
      <c r="H184" s="509"/>
      <c r="I184" s="509"/>
      <c r="J184" s="509"/>
      <c r="K184" s="509"/>
      <c r="L184" s="509"/>
      <c r="M184" s="509"/>
      <c r="N184" s="509"/>
      <c r="O184" s="509"/>
      <c r="P184" s="509"/>
      <c r="Q184" s="509"/>
      <c r="R184" s="509"/>
      <c r="S184" s="509"/>
      <c r="T184" s="509"/>
      <c r="U184" s="509"/>
      <c r="V184" s="509"/>
      <c r="W184" s="509"/>
      <c r="X184" s="509"/>
      <c r="Y184" s="509"/>
      <c r="Z184" s="509"/>
    </row>
    <row r="185" spans="1:26" ht="16.5" customHeight="1" x14ac:dyDescent="0.3">
      <c r="A185" s="509"/>
      <c r="B185" s="509"/>
      <c r="C185" s="509"/>
      <c r="D185" s="509"/>
      <c r="E185" s="509"/>
      <c r="F185" s="509"/>
      <c r="G185" s="509"/>
      <c r="H185" s="509"/>
      <c r="I185" s="509"/>
      <c r="J185" s="509"/>
      <c r="K185" s="509"/>
      <c r="L185" s="509"/>
      <c r="M185" s="509"/>
      <c r="N185" s="509"/>
      <c r="O185" s="509"/>
      <c r="P185" s="509"/>
      <c r="Q185" s="509"/>
      <c r="R185" s="509"/>
      <c r="S185" s="509"/>
      <c r="T185" s="509"/>
      <c r="U185" s="509"/>
      <c r="V185" s="509"/>
      <c r="W185" s="509"/>
      <c r="X185" s="509"/>
      <c r="Y185" s="509"/>
      <c r="Z185" s="509"/>
    </row>
    <row r="186" spans="1:26" ht="16.5" customHeight="1" x14ac:dyDescent="0.3">
      <c r="A186" s="509"/>
      <c r="B186" s="509"/>
      <c r="C186" s="509"/>
      <c r="D186" s="509"/>
      <c r="E186" s="509"/>
      <c r="F186" s="509"/>
      <c r="G186" s="509"/>
      <c r="H186" s="509"/>
      <c r="I186" s="509"/>
      <c r="J186" s="509"/>
      <c r="K186" s="509"/>
      <c r="L186" s="509"/>
      <c r="M186" s="509"/>
      <c r="N186" s="509"/>
      <c r="O186" s="509"/>
      <c r="P186" s="509"/>
      <c r="Q186" s="509"/>
      <c r="R186" s="509"/>
      <c r="S186" s="509"/>
      <c r="T186" s="509"/>
      <c r="U186" s="509"/>
      <c r="V186" s="509"/>
      <c r="W186" s="509"/>
      <c r="X186" s="509"/>
      <c r="Y186" s="509"/>
      <c r="Z186" s="509"/>
    </row>
    <row r="187" spans="1:26" ht="16.5" customHeight="1" x14ac:dyDescent="0.3">
      <c r="A187" s="509"/>
      <c r="B187" s="509"/>
      <c r="C187" s="509"/>
      <c r="D187" s="509"/>
      <c r="E187" s="509"/>
      <c r="F187" s="509"/>
      <c r="G187" s="509"/>
      <c r="H187" s="509"/>
      <c r="I187" s="509"/>
      <c r="J187" s="509"/>
      <c r="K187" s="509"/>
      <c r="L187" s="509"/>
      <c r="M187" s="509"/>
      <c r="N187" s="509"/>
      <c r="O187" s="509"/>
      <c r="P187" s="509"/>
      <c r="Q187" s="509"/>
      <c r="R187" s="509"/>
      <c r="S187" s="509"/>
      <c r="T187" s="509"/>
      <c r="U187" s="509"/>
      <c r="V187" s="509"/>
      <c r="W187" s="509"/>
      <c r="X187" s="509"/>
      <c r="Y187" s="509"/>
      <c r="Z187" s="509"/>
    </row>
    <row r="188" spans="1:26" ht="16.5" customHeight="1" x14ac:dyDescent="0.3">
      <c r="A188" s="509"/>
      <c r="B188" s="509"/>
      <c r="C188" s="509"/>
      <c r="D188" s="509"/>
      <c r="E188" s="509"/>
      <c r="F188" s="509"/>
      <c r="G188" s="509"/>
      <c r="H188" s="509"/>
      <c r="I188" s="509"/>
      <c r="J188" s="509"/>
      <c r="K188" s="509"/>
      <c r="L188" s="509"/>
      <c r="M188" s="509"/>
      <c r="N188" s="509"/>
      <c r="O188" s="509"/>
      <c r="P188" s="509"/>
      <c r="Q188" s="509"/>
      <c r="R188" s="509"/>
      <c r="S188" s="509"/>
      <c r="T188" s="509"/>
      <c r="U188" s="509"/>
      <c r="V188" s="509"/>
      <c r="W188" s="509"/>
      <c r="X188" s="509"/>
      <c r="Y188" s="509"/>
      <c r="Z188" s="509"/>
    </row>
    <row r="189" spans="1:26" ht="16.5" customHeight="1" x14ac:dyDescent="0.3">
      <c r="A189" s="509"/>
      <c r="B189" s="509"/>
      <c r="C189" s="509"/>
      <c r="D189" s="509"/>
      <c r="E189" s="509"/>
      <c r="F189" s="509"/>
      <c r="G189" s="509"/>
      <c r="H189" s="509"/>
      <c r="I189" s="509"/>
      <c r="J189" s="509"/>
      <c r="K189" s="509"/>
      <c r="L189" s="509"/>
      <c r="M189" s="509"/>
      <c r="N189" s="509"/>
      <c r="O189" s="509"/>
      <c r="P189" s="509"/>
      <c r="Q189" s="509"/>
      <c r="R189" s="509"/>
      <c r="S189" s="509"/>
      <c r="T189" s="509"/>
      <c r="U189" s="509"/>
      <c r="V189" s="509"/>
      <c r="W189" s="509"/>
      <c r="X189" s="509"/>
      <c r="Y189" s="509"/>
      <c r="Z189" s="509"/>
    </row>
    <row r="190" spans="1:26" ht="16.5" customHeight="1" x14ac:dyDescent="0.3">
      <c r="A190" s="509"/>
      <c r="B190" s="509"/>
      <c r="C190" s="509"/>
      <c r="D190" s="509"/>
      <c r="E190" s="509"/>
      <c r="F190" s="509"/>
      <c r="G190" s="509"/>
      <c r="H190" s="509"/>
      <c r="I190" s="509"/>
      <c r="J190" s="509"/>
      <c r="K190" s="509"/>
      <c r="L190" s="509"/>
      <c r="M190" s="509"/>
      <c r="N190" s="509"/>
      <c r="O190" s="509"/>
      <c r="P190" s="509"/>
      <c r="Q190" s="509"/>
      <c r="R190" s="509"/>
      <c r="S190" s="509"/>
      <c r="T190" s="509"/>
      <c r="U190" s="509"/>
      <c r="V190" s="509"/>
      <c r="W190" s="509"/>
      <c r="X190" s="509"/>
      <c r="Y190" s="509"/>
      <c r="Z190" s="509"/>
    </row>
    <row r="191" spans="1:26" ht="16.5" customHeight="1" x14ac:dyDescent="0.3">
      <c r="A191" s="509"/>
      <c r="B191" s="509"/>
      <c r="C191" s="509"/>
      <c r="D191" s="509"/>
      <c r="E191" s="509"/>
      <c r="F191" s="509"/>
      <c r="G191" s="509"/>
      <c r="H191" s="509"/>
      <c r="I191" s="509"/>
      <c r="J191" s="509"/>
      <c r="K191" s="509"/>
      <c r="L191" s="509"/>
      <c r="M191" s="509"/>
      <c r="N191" s="509"/>
      <c r="O191" s="509"/>
      <c r="P191" s="509"/>
      <c r="Q191" s="509"/>
      <c r="R191" s="509"/>
      <c r="S191" s="509"/>
      <c r="T191" s="509"/>
      <c r="U191" s="509"/>
      <c r="V191" s="509"/>
      <c r="W191" s="509"/>
      <c r="X191" s="509"/>
      <c r="Y191" s="509"/>
      <c r="Z191" s="509"/>
    </row>
    <row r="192" spans="1:26" ht="16.5" customHeight="1" x14ac:dyDescent="0.3">
      <c r="A192" s="509"/>
      <c r="B192" s="509"/>
      <c r="C192" s="509"/>
      <c r="D192" s="509"/>
      <c r="E192" s="509"/>
      <c r="F192" s="509"/>
      <c r="G192" s="509"/>
      <c r="H192" s="509"/>
      <c r="I192" s="509"/>
      <c r="J192" s="509"/>
      <c r="K192" s="509"/>
      <c r="L192" s="509"/>
      <c r="M192" s="509"/>
      <c r="N192" s="509"/>
      <c r="O192" s="509"/>
      <c r="P192" s="509"/>
      <c r="Q192" s="509"/>
      <c r="R192" s="509"/>
      <c r="S192" s="509"/>
      <c r="T192" s="509"/>
      <c r="U192" s="509"/>
      <c r="V192" s="509"/>
      <c r="W192" s="509"/>
      <c r="X192" s="509"/>
      <c r="Y192" s="509"/>
      <c r="Z192" s="509"/>
    </row>
    <row r="193" spans="1:26" ht="16.5" customHeight="1" x14ac:dyDescent="0.3">
      <c r="A193" s="509"/>
      <c r="B193" s="509"/>
      <c r="C193" s="509"/>
      <c r="D193" s="509"/>
      <c r="E193" s="509"/>
      <c r="F193" s="509"/>
      <c r="G193" s="509"/>
      <c r="H193" s="509"/>
      <c r="I193" s="509"/>
      <c r="J193" s="509"/>
      <c r="K193" s="509"/>
      <c r="L193" s="509"/>
      <c r="M193" s="509"/>
      <c r="N193" s="509"/>
      <c r="O193" s="509"/>
      <c r="P193" s="509"/>
      <c r="Q193" s="509"/>
      <c r="R193" s="509"/>
      <c r="S193" s="509"/>
      <c r="T193" s="509"/>
      <c r="U193" s="509"/>
      <c r="V193" s="509"/>
      <c r="W193" s="509"/>
      <c r="X193" s="509"/>
      <c r="Y193" s="509"/>
      <c r="Z193" s="509"/>
    </row>
    <row r="194" spans="1:26" ht="16.5" customHeight="1" x14ac:dyDescent="0.3">
      <c r="A194" s="509"/>
      <c r="B194" s="509"/>
      <c r="C194" s="509"/>
      <c r="D194" s="509"/>
      <c r="E194" s="509"/>
      <c r="F194" s="509"/>
      <c r="G194" s="509"/>
      <c r="H194" s="509"/>
      <c r="I194" s="509"/>
      <c r="J194" s="509"/>
      <c r="K194" s="509"/>
      <c r="L194" s="509"/>
      <c r="M194" s="509"/>
      <c r="N194" s="509"/>
      <c r="O194" s="509"/>
      <c r="P194" s="509"/>
      <c r="Q194" s="509"/>
      <c r="R194" s="509"/>
      <c r="S194" s="509"/>
      <c r="T194" s="509"/>
      <c r="U194" s="509"/>
      <c r="V194" s="509"/>
      <c r="W194" s="509"/>
      <c r="X194" s="509"/>
      <c r="Y194" s="509"/>
      <c r="Z194" s="509"/>
    </row>
    <row r="195" spans="1:26" ht="16.5" customHeight="1" x14ac:dyDescent="0.3">
      <c r="A195" s="509"/>
      <c r="B195" s="509"/>
      <c r="C195" s="509"/>
      <c r="D195" s="509"/>
      <c r="E195" s="509"/>
      <c r="F195" s="509"/>
      <c r="G195" s="509"/>
      <c r="H195" s="509"/>
      <c r="I195" s="509"/>
      <c r="J195" s="509"/>
      <c r="K195" s="509"/>
      <c r="L195" s="509"/>
      <c r="M195" s="509"/>
      <c r="N195" s="509"/>
      <c r="O195" s="509"/>
      <c r="P195" s="509"/>
      <c r="Q195" s="509"/>
      <c r="R195" s="509"/>
      <c r="S195" s="509"/>
      <c r="T195" s="509"/>
      <c r="U195" s="509"/>
      <c r="V195" s="509"/>
      <c r="W195" s="509"/>
      <c r="X195" s="509"/>
      <c r="Y195" s="509"/>
      <c r="Z195" s="509"/>
    </row>
    <row r="196" spans="1:26" ht="16.5" customHeight="1" x14ac:dyDescent="0.3">
      <c r="A196" s="509"/>
      <c r="B196" s="509"/>
      <c r="C196" s="509"/>
      <c r="D196" s="509"/>
      <c r="E196" s="509"/>
      <c r="F196" s="509"/>
      <c r="G196" s="509"/>
      <c r="H196" s="509"/>
      <c r="I196" s="509"/>
      <c r="J196" s="509"/>
      <c r="K196" s="509"/>
      <c r="L196" s="509"/>
      <c r="M196" s="509"/>
      <c r="N196" s="509"/>
      <c r="O196" s="509"/>
      <c r="P196" s="509"/>
      <c r="Q196" s="509"/>
      <c r="R196" s="509"/>
      <c r="S196" s="509"/>
      <c r="T196" s="509"/>
      <c r="U196" s="509"/>
      <c r="V196" s="509"/>
      <c r="W196" s="509"/>
      <c r="X196" s="509"/>
      <c r="Y196" s="509"/>
      <c r="Z196" s="509"/>
    </row>
    <row r="197" spans="1:26" ht="16.5" customHeight="1" x14ac:dyDescent="0.3">
      <c r="A197" s="509"/>
      <c r="B197" s="509"/>
      <c r="C197" s="509"/>
      <c r="D197" s="509"/>
      <c r="E197" s="509"/>
      <c r="F197" s="509"/>
      <c r="G197" s="509"/>
      <c r="H197" s="509"/>
      <c r="I197" s="509"/>
      <c r="J197" s="509"/>
      <c r="K197" s="509"/>
      <c r="L197" s="509"/>
      <c r="M197" s="509"/>
      <c r="N197" s="509"/>
      <c r="O197" s="509"/>
      <c r="P197" s="509"/>
      <c r="Q197" s="509"/>
      <c r="R197" s="509"/>
      <c r="S197" s="509"/>
      <c r="T197" s="509"/>
      <c r="U197" s="509"/>
      <c r="V197" s="509"/>
      <c r="W197" s="509"/>
      <c r="X197" s="509"/>
      <c r="Y197" s="509"/>
      <c r="Z197" s="509"/>
    </row>
    <row r="198" spans="1:26" ht="16.5" customHeight="1" x14ac:dyDescent="0.3">
      <c r="A198" s="509"/>
      <c r="B198" s="509"/>
      <c r="C198" s="509"/>
      <c r="D198" s="509"/>
      <c r="E198" s="509"/>
      <c r="F198" s="509"/>
      <c r="G198" s="509"/>
      <c r="H198" s="509"/>
      <c r="I198" s="509"/>
      <c r="J198" s="509"/>
      <c r="K198" s="509"/>
      <c r="L198" s="509"/>
      <c r="M198" s="509"/>
      <c r="N198" s="509"/>
      <c r="O198" s="509"/>
      <c r="P198" s="509"/>
      <c r="Q198" s="509"/>
      <c r="R198" s="509"/>
      <c r="S198" s="509"/>
      <c r="T198" s="509"/>
      <c r="U198" s="509"/>
      <c r="V198" s="509"/>
      <c r="W198" s="509"/>
      <c r="X198" s="509"/>
      <c r="Y198" s="509"/>
      <c r="Z198" s="509"/>
    </row>
    <row r="199" spans="1:26" ht="16.5" customHeight="1" x14ac:dyDescent="0.3">
      <c r="A199" s="509"/>
      <c r="B199" s="509"/>
      <c r="C199" s="509"/>
      <c r="D199" s="509"/>
      <c r="E199" s="509"/>
      <c r="F199" s="509"/>
      <c r="G199" s="509"/>
      <c r="H199" s="509"/>
      <c r="I199" s="509"/>
      <c r="J199" s="509"/>
      <c r="K199" s="509"/>
      <c r="L199" s="509"/>
      <c r="M199" s="509"/>
      <c r="N199" s="509"/>
      <c r="O199" s="509"/>
      <c r="P199" s="509"/>
      <c r="Q199" s="509"/>
      <c r="R199" s="509"/>
      <c r="S199" s="509"/>
      <c r="T199" s="509"/>
      <c r="U199" s="509"/>
      <c r="V199" s="509"/>
      <c r="W199" s="509"/>
      <c r="X199" s="509"/>
      <c r="Y199" s="509"/>
      <c r="Z199" s="509"/>
    </row>
    <row r="200" spans="1:26" ht="16.5" customHeight="1" x14ac:dyDescent="0.3">
      <c r="A200" s="509"/>
      <c r="B200" s="509"/>
      <c r="C200" s="509"/>
      <c r="D200" s="509"/>
      <c r="E200" s="509"/>
      <c r="F200" s="509"/>
      <c r="G200" s="509"/>
      <c r="H200" s="509"/>
      <c r="I200" s="509"/>
      <c r="J200" s="509"/>
      <c r="K200" s="509"/>
      <c r="L200" s="509"/>
      <c r="M200" s="509"/>
      <c r="N200" s="509"/>
      <c r="O200" s="509"/>
      <c r="P200" s="509"/>
      <c r="Q200" s="509"/>
      <c r="R200" s="509"/>
      <c r="S200" s="509"/>
      <c r="T200" s="509"/>
      <c r="U200" s="509"/>
      <c r="V200" s="509"/>
      <c r="W200" s="509"/>
      <c r="X200" s="509"/>
      <c r="Y200" s="509"/>
      <c r="Z200" s="509"/>
    </row>
    <row r="201" spans="1:26" ht="16.5" customHeight="1" x14ac:dyDescent="0.3">
      <c r="A201" s="509"/>
      <c r="B201" s="509"/>
      <c r="C201" s="509"/>
      <c r="D201" s="509"/>
      <c r="E201" s="509"/>
      <c r="F201" s="509"/>
      <c r="G201" s="509"/>
      <c r="H201" s="509"/>
      <c r="I201" s="509"/>
      <c r="J201" s="509"/>
      <c r="K201" s="509"/>
      <c r="L201" s="509"/>
      <c r="M201" s="509"/>
      <c r="N201" s="509"/>
      <c r="O201" s="509"/>
      <c r="P201" s="509"/>
      <c r="Q201" s="509"/>
      <c r="R201" s="509"/>
      <c r="S201" s="509"/>
      <c r="T201" s="509"/>
      <c r="U201" s="509"/>
      <c r="V201" s="509"/>
      <c r="W201" s="509"/>
      <c r="X201" s="509"/>
      <c r="Y201" s="509"/>
      <c r="Z201" s="509"/>
    </row>
    <row r="202" spans="1:26" ht="16.5" customHeight="1" x14ac:dyDescent="0.3">
      <c r="A202" s="509"/>
      <c r="B202" s="509"/>
      <c r="C202" s="509"/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09"/>
      <c r="X202" s="509"/>
      <c r="Y202" s="509"/>
      <c r="Z202" s="509"/>
    </row>
    <row r="203" spans="1:26" ht="16.5" customHeight="1" x14ac:dyDescent="0.3">
      <c r="A203" s="509"/>
      <c r="B203" s="509"/>
      <c r="C203" s="509"/>
      <c r="D203" s="509"/>
      <c r="E203" s="509"/>
      <c r="F203" s="509"/>
      <c r="G203" s="509"/>
      <c r="H203" s="509"/>
      <c r="I203" s="509"/>
      <c r="J203" s="509"/>
      <c r="K203" s="509"/>
      <c r="L203" s="509"/>
      <c r="M203" s="509"/>
      <c r="N203" s="509"/>
      <c r="O203" s="509"/>
      <c r="P203" s="509"/>
      <c r="Q203" s="509"/>
      <c r="R203" s="509"/>
      <c r="S203" s="509"/>
      <c r="T203" s="509"/>
      <c r="U203" s="509"/>
      <c r="V203" s="509"/>
      <c r="W203" s="509"/>
      <c r="X203" s="509"/>
      <c r="Y203" s="509"/>
      <c r="Z203" s="509"/>
    </row>
    <row r="204" spans="1:26" ht="16.5" customHeight="1" x14ac:dyDescent="0.3">
      <c r="A204" s="509"/>
      <c r="B204" s="509"/>
      <c r="C204" s="509"/>
      <c r="D204" s="509"/>
      <c r="E204" s="509"/>
      <c r="F204" s="509"/>
      <c r="G204" s="509"/>
      <c r="H204" s="509"/>
      <c r="I204" s="509"/>
      <c r="J204" s="509"/>
      <c r="K204" s="509"/>
      <c r="L204" s="509"/>
      <c r="M204" s="509"/>
      <c r="N204" s="509"/>
      <c r="O204" s="509"/>
      <c r="P204" s="509"/>
      <c r="Q204" s="509"/>
      <c r="R204" s="509"/>
      <c r="S204" s="509"/>
      <c r="T204" s="509"/>
      <c r="U204" s="509"/>
      <c r="V204" s="509"/>
      <c r="W204" s="509"/>
      <c r="X204" s="509"/>
      <c r="Y204" s="509"/>
      <c r="Z204" s="509"/>
    </row>
    <row r="205" spans="1:26" ht="16.5" customHeight="1" x14ac:dyDescent="0.3">
      <c r="A205" s="509"/>
      <c r="B205" s="509"/>
      <c r="C205" s="509"/>
      <c r="D205" s="509"/>
      <c r="E205" s="509"/>
      <c r="F205" s="509"/>
      <c r="G205" s="509"/>
      <c r="H205" s="509"/>
      <c r="I205" s="509"/>
      <c r="J205" s="509"/>
      <c r="K205" s="509"/>
      <c r="L205" s="509"/>
      <c r="M205" s="509"/>
      <c r="N205" s="509"/>
      <c r="O205" s="509"/>
      <c r="P205" s="509"/>
      <c r="Q205" s="509"/>
      <c r="R205" s="509"/>
      <c r="S205" s="509"/>
      <c r="T205" s="509"/>
      <c r="U205" s="509"/>
      <c r="V205" s="509"/>
      <c r="W205" s="509"/>
      <c r="X205" s="509"/>
      <c r="Y205" s="509"/>
      <c r="Z205" s="509"/>
    </row>
    <row r="206" spans="1:26" ht="16.5" customHeight="1" x14ac:dyDescent="0.3">
      <c r="A206" s="509"/>
      <c r="B206" s="509"/>
      <c r="C206" s="509"/>
      <c r="D206" s="509"/>
      <c r="E206" s="509"/>
      <c r="F206" s="509"/>
      <c r="G206" s="509"/>
      <c r="H206" s="509"/>
      <c r="I206" s="509"/>
      <c r="J206" s="509"/>
      <c r="K206" s="509"/>
      <c r="L206" s="509"/>
      <c r="M206" s="509"/>
      <c r="N206" s="509"/>
      <c r="O206" s="509"/>
      <c r="P206" s="509"/>
      <c r="Q206" s="509"/>
      <c r="R206" s="509"/>
      <c r="S206" s="509"/>
      <c r="T206" s="509"/>
      <c r="U206" s="509"/>
      <c r="V206" s="509"/>
      <c r="W206" s="509"/>
      <c r="X206" s="509"/>
      <c r="Y206" s="509"/>
      <c r="Z206" s="509"/>
    </row>
    <row r="207" spans="1:26" ht="16.5" customHeight="1" x14ac:dyDescent="0.3">
      <c r="A207" s="509"/>
      <c r="B207" s="509"/>
      <c r="C207" s="509"/>
      <c r="D207" s="509"/>
      <c r="E207" s="509"/>
      <c r="F207" s="509"/>
      <c r="G207" s="509"/>
      <c r="H207" s="509"/>
      <c r="I207" s="509"/>
      <c r="J207" s="509"/>
      <c r="K207" s="509"/>
      <c r="L207" s="509"/>
      <c r="M207" s="509"/>
      <c r="N207" s="509"/>
      <c r="O207" s="509"/>
      <c r="P207" s="509"/>
      <c r="Q207" s="509"/>
      <c r="R207" s="509"/>
      <c r="S207" s="509"/>
      <c r="T207" s="509"/>
      <c r="U207" s="509"/>
      <c r="V207" s="509"/>
      <c r="W207" s="509"/>
      <c r="X207" s="509"/>
      <c r="Y207" s="509"/>
      <c r="Z207" s="509"/>
    </row>
    <row r="208" spans="1:26" ht="16.5" customHeight="1" x14ac:dyDescent="0.3">
      <c r="A208" s="509"/>
      <c r="B208" s="509"/>
      <c r="C208" s="509"/>
      <c r="D208" s="509"/>
      <c r="E208" s="509"/>
      <c r="F208" s="509"/>
      <c r="G208" s="509"/>
      <c r="H208" s="509"/>
      <c r="I208" s="509"/>
      <c r="J208" s="509"/>
      <c r="K208" s="509"/>
      <c r="L208" s="509"/>
      <c r="M208" s="509"/>
      <c r="N208" s="509"/>
      <c r="O208" s="509"/>
      <c r="P208" s="509"/>
      <c r="Q208" s="509"/>
      <c r="R208" s="509"/>
      <c r="S208" s="509"/>
      <c r="T208" s="509"/>
      <c r="U208" s="509"/>
      <c r="V208" s="509"/>
      <c r="W208" s="509"/>
      <c r="X208" s="509"/>
      <c r="Y208" s="509"/>
      <c r="Z208" s="509"/>
    </row>
    <row r="209" spans="1:26" ht="16.5" customHeight="1" x14ac:dyDescent="0.3">
      <c r="A209" s="509"/>
      <c r="B209" s="509"/>
      <c r="C209" s="509"/>
      <c r="D209" s="509"/>
      <c r="E209" s="509"/>
      <c r="F209" s="509"/>
      <c r="G209" s="509"/>
      <c r="H209" s="509"/>
      <c r="I209" s="509"/>
      <c r="J209" s="509"/>
      <c r="K209" s="509"/>
      <c r="L209" s="509"/>
      <c r="M209" s="509"/>
      <c r="N209" s="509"/>
      <c r="O209" s="509"/>
      <c r="P209" s="509"/>
      <c r="Q209" s="509"/>
      <c r="R209" s="509"/>
      <c r="S209" s="509"/>
      <c r="T209" s="509"/>
      <c r="U209" s="509"/>
      <c r="V209" s="509"/>
      <c r="W209" s="509"/>
      <c r="X209" s="509"/>
      <c r="Y209" s="509"/>
      <c r="Z209" s="509"/>
    </row>
    <row r="210" spans="1:26" ht="16.5" customHeight="1" x14ac:dyDescent="0.3">
      <c r="A210" s="509"/>
      <c r="B210" s="509"/>
      <c r="C210" s="509"/>
      <c r="D210" s="509"/>
      <c r="E210" s="509"/>
      <c r="F210" s="509"/>
      <c r="G210" s="509"/>
      <c r="H210" s="509"/>
      <c r="I210" s="509"/>
      <c r="J210" s="509"/>
      <c r="K210" s="509"/>
      <c r="L210" s="509"/>
      <c r="M210" s="509"/>
      <c r="N210" s="509"/>
      <c r="O210" s="509"/>
      <c r="P210" s="509"/>
      <c r="Q210" s="509"/>
      <c r="R210" s="509"/>
      <c r="S210" s="509"/>
      <c r="T210" s="509"/>
      <c r="U210" s="509"/>
      <c r="V210" s="509"/>
      <c r="W210" s="509"/>
      <c r="X210" s="509"/>
      <c r="Y210" s="509"/>
      <c r="Z210" s="509"/>
    </row>
    <row r="211" spans="1:26" ht="16.5" customHeight="1" x14ac:dyDescent="0.3">
      <c r="A211" s="509"/>
      <c r="B211" s="509"/>
      <c r="C211" s="509"/>
      <c r="D211" s="509"/>
      <c r="E211" s="509"/>
      <c r="F211" s="509"/>
      <c r="G211" s="509"/>
      <c r="H211" s="509"/>
      <c r="I211" s="509"/>
      <c r="J211" s="509"/>
      <c r="K211" s="509"/>
      <c r="L211" s="509"/>
      <c r="M211" s="509"/>
      <c r="N211" s="509"/>
      <c r="O211" s="509"/>
      <c r="P211" s="509"/>
      <c r="Q211" s="509"/>
      <c r="R211" s="509"/>
      <c r="S211" s="509"/>
      <c r="T211" s="509"/>
      <c r="U211" s="509"/>
      <c r="V211" s="509"/>
      <c r="W211" s="509"/>
      <c r="X211" s="509"/>
      <c r="Y211" s="509"/>
      <c r="Z211" s="509"/>
    </row>
    <row r="212" spans="1:26" ht="16.5" customHeight="1" x14ac:dyDescent="0.3">
      <c r="A212" s="509"/>
      <c r="B212" s="509"/>
      <c r="C212" s="509"/>
      <c r="D212" s="509"/>
      <c r="E212" s="509"/>
      <c r="F212" s="509"/>
      <c r="G212" s="509"/>
      <c r="H212" s="509"/>
      <c r="I212" s="509"/>
      <c r="J212" s="509"/>
      <c r="K212" s="509"/>
      <c r="L212" s="509"/>
      <c r="M212" s="509"/>
      <c r="N212" s="509"/>
      <c r="O212" s="509"/>
      <c r="P212" s="509"/>
      <c r="Q212" s="509"/>
      <c r="R212" s="509"/>
      <c r="S212" s="509"/>
      <c r="T212" s="509"/>
      <c r="U212" s="509"/>
      <c r="V212" s="509"/>
      <c r="W212" s="509"/>
      <c r="X212" s="509"/>
      <c r="Y212" s="509"/>
      <c r="Z212" s="509"/>
    </row>
    <row r="213" spans="1:26" ht="16.5" customHeight="1" x14ac:dyDescent="0.3">
      <c r="A213" s="509"/>
      <c r="B213" s="509"/>
      <c r="C213" s="509"/>
      <c r="D213" s="509"/>
      <c r="E213" s="509"/>
      <c r="F213" s="509"/>
      <c r="G213" s="509"/>
      <c r="H213" s="509"/>
      <c r="I213" s="509"/>
      <c r="J213" s="509"/>
      <c r="K213" s="509"/>
      <c r="L213" s="509"/>
      <c r="M213" s="509"/>
      <c r="N213" s="509"/>
      <c r="O213" s="509"/>
      <c r="P213" s="509"/>
      <c r="Q213" s="509"/>
      <c r="R213" s="509"/>
      <c r="S213" s="509"/>
      <c r="T213" s="509"/>
      <c r="U213" s="509"/>
      <c r="V213" s="509"/>
      <c r="W213" s="509"/>
      <c r="X213" s="509"/>
      <c r="Y213" s="509"/>
      <c r="Z213" s="509"/>
    </row>
    <row r="214" spans="1:26" ht="16.5" customHeight="1" x14ac:dyDescent="0.3">
      <c r="A214" s="509"/>
      <c r="B214" s="509"/>
      <c r="C214" s="509"/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09"/>
      <c r="X214" s="509"/>
      <c r="Y214" s="509"/>
      <c r="Z214" s="509"/>
    </row>
    <row r="215" spans="1:26" ht="16.5" customHeight="1" x14ac:dyDescent="0.3">
      <c r="A215" s="509"/>
      <c r="B215" s="509"/>
      <c r="C215" s="509"/>
      <c r="D215" s="509"/>
      <c r="E215" s="509"/>
      <c r="F215" s="509"/>
      <c r="G215" s="509"/>
      <c r="H215" s="509"/>
      <c r="I215" s="509"/>
      <c r="J215" s="509"/>
      <c r="K215" s="509"/>
      <c r="L215" s="509"/>
      <c r="M215" s="509"/>
      <c r="N215" s="509"/>
      <c r="O215" s="509"/>
      <c r="P215" s="509"/>
      <c r="Q215" s="509"/>
      <c r="R215" s="509"/>
      <c r="S215" s="509"/>
      <c r="T215" s="509"/>
      <c r="U215" s="509"/>
      <c r="V215" s="509"/>
      <c r="W215" s="509"/>
      <c r="X215" s="509"/>
      <c r="Y215" s="509"/>
      <c r="Z215" s="509"/>
    </row>
    <row r="216" spans="1:26" ht="16.5" customHeight="1" x14ac:dyDescent="0.3">
      <c r="A216" s="509"/>
      <c r="B216" s="509"/>
      <c r="C216" s="509"/>
      <c r="D216" s="509"/>
      <c r="E216" s="509"/>
      <c r="F216" s="509"/>
      <c r="G216" s="509"/>
      <c r="H216" s="509"/>
      <c r="I216" s="509"/>
      <c r="J216" s="509"/>
      <c r="K216" s="509"/>
      <c r="L216" s="509"/>
      <c r="M216" s="509"/>
      <c r="N216" s="509"/>
      <c r="O216" s="509"/>
      <c r="P216" s="509"/>
      <c r="Q216" s="509"/>
      <c r="R216" s="509"/>
      <c r="S216" s="509"/>
      <c r="T216" s="509"/>
      <c r="U216" s="509"/>
      <c r="V216" s="509"/>
      <c r="W216" s="509"/>
      <c r="X216" s="509"/>
      <c r="Y216" s="509"/>
      <c r="Z216" s="509"/>
    </row>
    <row r="217" spans="1:26" ht="16.5" customHeight="1" x14ac:dyDescent="0.3">
      <c r="A217" s="509"/>
      <c r="B217" s="509"/>
      <c r="C217" s="509"/>
      <c r="D217" s="509"/>
      <c r="E217" s="509"/>
      <c r="F217" s="509"/>
      <c r="G217" s="509"/>
      <c r="H217" s="509"/>
      <c r="I217" s="509"/>
      <c r="J217" s="509"/>
      <c r="K217" s="509"/>
      <c r="L217" s="509"/>
      <c r="M217" s="509"/>
      <c r="N217" s="509"/>
      <c r="O217" s="509"/>
      <c r="P217" s="509"/>
      <c r="Q217" s="509"/>
      <c r="R217" s="509"/>
      <c r="S217" s="509"/>
      <c r="T217" s="509"/>
      <c r="U217" s="509"/>
      <c r="V217" s="509"/>
      <c r="W217" s="509"/>
      <c r="X217" s="509"/>
      <c r="Y217" s="509"/>
      <c r="Z217" s="509"/>
    </row>
    <row r="218" spans="1:26" ht="16.5" customHeight="1" x14ac:dyDescent="0.3">
      <c r="A218" s="509"/>
      <c r="B218" s="509"/>
      <c r="C218" s="509"/>
      <c r="D218" s="509"/>
      <c r="E218" s="509"/>
      <c r="F218" s="509"/>
      <c r="G218" s="509"/>
      <c r="H218" s="509"/>
      <c r="I218" s="509"/>
      <c r="J218" s="509"/>
      <c r="K218" s="509"/>
      <c r="L218" s="509"/>
      <c r="M218" s="509"/>
      <c r="N218" s="509"/>
      <c r="O218" s="509"/>
      <c r="P218" s="509"/>
      <c r="Q218" s="509"/>
      <c r="R218" s="509"/>
      <c r="S218" s="509"/>
      <c r="T218" s="509"/>
      <c r="U218" s="509"/>
      <c r="V218" s="509"/>
      <c r="W218" s="509"/>
      <c r="X218" s="509"/>
      <c r="Y218" s="509"/>
      <c r="Z218" s="509"/>
    </row>
    <row r="219" spans="1:26" ht="16.5" customHeight="1" x14ac:dyDescent="0.3">
      <c r="A219" s="509"/>
      <c r="B219" s="509"/>
      <c r="C219" s="509"/>
      <c r="D219" s="509"/>
      <c r="E219" s="509"/>
      <c r="F219" s="509"/>
      <c r="G219" s="509"/>
      <c r="H219" s="509"/>
      <c r="I219" s="509"/>
      <c r="J219" s="509"/>
      <c r="K219" s="509"/>
      <c r="L219" s="509"/>
      <c r="M219" s="509"/>
      <c r="N219" s="509"/>
      <c r="O219" s="509"/>
      <c r="P219" s="509"/>
      <c r="Q219" s="509"/>
      <c r="R219" s="509"/>
      <c r="S219" s="509"/>
      <c r="T219" s="509"/>
      <c r="U219" s="509"/>
      <c r="V219" s="509"/>
      <c r="W219" s="509"/>
      <c r="X219" s="509"/>
      <c r="Y219" s="509"/>
      <c r="Z219" s="509"/>
    </row>
    <row r="220" spans="1:26" ht="16.5" customHeight="1" x14ac:dyDescent="0.3">
      <c r="A220" s="509"/>
      <c r="B220" s="509"/>
      <c r="C220" s="509"/>
      <c r="D220" s="509"/>
      <c r="E220" s="509"/>
      <c r="F220" s="509"/>
      <c r="G220" s="509"/>
      <c r="H220" s="509"/>
      <c r="I220" s="509"/>
      <c r="J220" s="509"/>
      <c r="K220" s="509"/>
      <c r="L220" s="509"/>
      <c r="M220" s="509"/>
      <c r="N220" s="509"/>
      <c r="O220" s="509"/>
      <c r="P220" s="509"/>
      <c r="Q220" s="509"/>
      <c r="R220" s="509"/>
      <c r="S220" s="509"/>
      <c r="T220" s="509"/>
      <c r="U220" s="509"/>
      <c r="V220" s="509"/>
      <c r="W220" s="509"/>
      <c r="X220" s="509"/>
      <c r="Y220" s="509"/>
      <c r="Z220" s="509"/>
    </row>
    <row r="221" spans="1:26" ht="16.5" customHeight="1" x14ac:dyDescent="0.3">
      <c r="A221" s="509"/>
      <c r="B221" s="509"/>
      <c r="C221" s="509"/>
      <c r="D221" s="509"/>
      <c r="E221" s="509"/>
      <c r="F221" s="509"/>
      <c r="G221" s="509"/>
      <c r="H221" s="509"/>
      <c r="I221" s="509"/>
      <c r="J221" s="509"/>
      <c r="K221" s="509"/>
      <c r="L221" s="509"/>
      <c r="M221" s="509"/>
      <c r="N221" s="509"/>
      <c r="O221" s="509"/>
      <c r="P221" s="509"/>
      <c r="Q221" s="509"/>
      <c r="R221" s="509"/>
      <c r="S221" s="509"/>
      <c r="T221" s="509"/>
      <c r="U221" s="509"/>
      <c r="V221" s="509"/>
      <c r="W221" s="509"/>
      <c r="X221" s="509"/>
      <c r="Y221" s="509"/>
      <c r="Z221" s="509"/>
    </row>
    <row r="222" spans="1:26" ht="16.5" customHeight="1" x14ac:dyDescent="0.3">
      <c r="A222" s="509"/>
      <c r="B222" s="509"/>
      <c r="C222" s="509"/>
      <c r="D222" s="509"/>
      <c r="E222" s="509"/>
      <c r="F222" s="509"/>
      <c r="G222" s="509"/>
      <c r="H222" s="509"/>
      <c r="I222" s="509"/>
      <c r="J222" s="509"/>
      <c r="K222" s="509"/>
      <c r="L222" s="509"/>
      <c r="M222" s="509"/>
      <c r="N222" s="509"/>
      <c r="O222" s="509"/>
      <c r="P222" s="509"/>
      <c r="Q222" s="509"/>
      <c r="R222" s="509"/>
      <c r="S222" s="509"/>
      <c r="T222" s="509"/>
      <c r="U222" s="509"/>
      <c r="V222" s="509"/>
      <c r="W222" s="509"/>
      <c r="X222" s="509"/>
      <c r="Y222" s="509"/>
      <c r="Z222" s="509"/>
    </row>
    <row r="223" spans="1:26" ht="16.5" customHeight="1" x14ac:dyDescent="0.3">
      <c r="A223" s="509"/>
      <c r="B223" s="509"/>
      <c r="C223" s="509"/>
      <c r="D223" s="509"/>
      <c r="E223" s="509"/>
      <c r="F223" s="509"/>
      <c r="G223" s="509"/>
      <c r="H223" s="509"/>
      <c r="I223" s="509"/>
      <c r="J223" s="509"/>
      <c r="K223" s="509"/>
      <c r="L223" s="509"/>
      <c r="M223" s="509"/>
      <c r="N223" s="509"/>
      <c r="O223" s="509"/>
      <c r="P223" s="509"/>
      <c r="Q223" s="509"/>
      <c r="R223" s="509"/>
      <c r="S223" s="509"/>
      <c r="T223" s="509"/>
      <c r="U223" s="509"/>
      <c r="V223" s="509"/>
      <c r="W223" s="509"/>
      <c r="X223" s="509"/>
      <c r="Y223" s="509"/>
      <c r="Z223" s="509"/>
    </row>
    <row r="224" spans="1:26" ht="16.5" customHeight="1" x14ac:dyDescent="0.3">
      <c r="A224" s="509"/>
      <c r="B224" s="509"/>
      <c r="C224" s="509"/>
      <c r="D224" s="509"/>
      <c r="E224" s="509"/>
      <c r="F224" s="509"/>
      <c r="G224" s="509"/>
      <c r="H224" s="509"/>
      <c r="I224" s="509"/>
      <c r="J224" s="509"/>
      <c r="K224" s="509"/>
      <c r="L224" s="509"/>
      <c r="M224" s="509"/>
      <c r="N224" s="509"/>
      <c r="O224" s="509"/>
      <c r="P224" s="509"/>
      <c r="Q224" s="509"/>
      <c r="R224" s="509"/>
      <c r="S224" s="509"/>
      <c r="T224" s="509"/>
      <c r="U224" s="509"/>
      <c r="V224" s="509"/>
      <c r="W224" s="509"/>
      <c r="X224" s="509"/>
      <c r="Y224" s="509"/>
      <c r="Z224" s="509"/>
    </row>
    <row r="225" spans="1:26" ht="16.5" customHeight="1" x14ac:dyDescent="0.3">
      <c r="A225" s="509"/>
      <c r="B225" s="509"/>
      <c r="C225" s="509"/>
      <c r="D225" s="509"/>
      <c r="E225" s="509"/>
      <c r="F225" s="509"/>
      <c r="G225" s="509"/>
      <c r="H225" s="509"/>
      <c r="I225" s="509"/>
      <c r="J225" s="509"/>
      <c r="K225" s="509"/>
      <c r="L225" s="509"/>
      <c r="M225" s="509"/>
      <c r="N225" s="509"/>
      <c r="O225" s="509"/>
      <c r="P225" s="509"/>
      <c r="Q225" s="509"/>
      <c r="R225" s="509"/>
      <c r="S225" s="509"/>
      <c r="T225" s="509"/>
      <c r="U225" s="509"/>
      <c r="V225" s="509"/>
      <c r="W225" s="509"/>
      <c r="X225" s="509"/>
      <c r="Y225" s="509"/>
      <c r="Z225" s="509"/>
    </row>
    <row r="226" spans="1:26" ht="16.5" customHeight="1" x14ac:dyDescent="0.3">
      <c r="A226" s="509"/>
      <c r="B226" s="509"/>
      <c r="C226" s="509"/>
      <c r="D226" s="509"/>
      <c r="E226" s="509"/>
      <c r="F226" s="509"/>
      <c r="G226" s="509"/>
      <c r="H226" s="509"/>
      <c r="I226" s="509"/>
      <c r="J226" s="509"/>
      <c r="K226" s="509"/>
      <c r="L226" s="509"/>
      <c r="M226" s="509"/>
      <c r="N226" s="509"/>
      <c r="O226" s="509"/>
      <c r="P226" s="509"/>
      <c r="Q226" s="509"/>
      <c r="R226" s="509"/>
      <c r="S226" s="509"/>
      <c r="T226" s="509"/>
      <c r="U226" s="509"/>
      <c r="V226" s="509"/>
      <c r="W226" s="509"/>
      <c r="X226" s="509"/>
      <c r="Y226" s="509"/>
      <c r="Z226" s="509"/>
    </row>
    <row r="227" spans="1:26" ht="16.5" customHeight="1" x14ac:dyDescent="0.3">
      <c r="A227" s="509"/>
      <c r="B227" s="509"/>
      <c r="C227" s="509"/>
      <c r="D227" s="509"/>
      <c r="E227" s="509"/>
      <c r="F227" s="509"/>
      <c r="G227" s="509"/>
      <c r="H227" s="509"/>
      <c r="I227" s="509"/>
      <c r="J227" s="509"/>
      <c r="K227" s="509"/>
      <c r="L227" s="509"/>
      <c r="M227" s="509"/>
      <c r="N227" s="509"/>
      <c r="O227" s="509"/>
      <c r="P227" s="509"/>
      <c r="Q227" s="509"/>
      <c r="R227" s="509"/>
      <c r="S227" s="509"/>
      <c r="T227" s="509"/>
      <c r="U227" s="509"/>
      <c r="V227" s="509"/>
      <c r="W227" s="509"/>
      <c r="X227" s="509"/>
      <c r="Y227" s="509"/>
      <c r="Z227" s="509"/>
    </row>
    <row r="228" spans="1:26" ht="16.5" customHeight="1" x14ac:dyDescent="0.3">
      <c r="A228" s="509"/>
      <c r="B228" s="509"/>
      <c r="C228" s="509"/>
      <c r="D228" s="509"/>
      <c r="E228" s="509"/>
      <c r="F228" s="509"/>
      <c r="G228" s="509"/>
      <c r="H228" s="509"/>
      <c r="I228" s="509"/>
      <c r="J228" s="509"/>
      <c r="K228" s="509"/>
      <c r="L228" s="509"/>
      <c r="M228" s="509"/>
      <c r="N228" s="509"/>
      <c r="O228" s="509"/>
      <c r="P228" s="509"/>
      <c r="Q228" s="509"/>
      <c r="R228" s="509"/>
      <c r="S228" s="509"/>
      <c r="T228" s="509"/>
      <c r="U228" s="509"/>
      <c r="V228" s="509"/>
      <c r="W228" s="509"/>
      <c r="X228" s="509"/>
      <c r="Y228" s="509"/>
      <c r="Z228" s="509"/>
    </row>
    <row r="229" spans="1:26" ht="16.5" customHeight="1" x14ac:dyDescent="0.3">
      <c r="A229" s="509"/>
      <c r="B229" s="509"/>
      <c r="C229" s="509"/>
      <c r="D229" s="509"/>
      <c r="E229" s="509"/>
      <c r="F229" s="509"/>
      <c r="G229" s="509"/>
      <c r="H229" s="509"/>
      <c r="I229" s="509"/>
      <c r="J229" s="509"/>
      <c r="K229" s="509"/>
      <c r="L229" s="509"/>
      <c r="M229" s="509"/>
      <c r="N229" s="509"/>
      <c r="O229" s="509"/>
      <c r="P229" s="509"/>
      <c r="Q229" s="509"/>
      <c r="R229" s="509"/>
      <c r="S229" s="509"/>
      <c r="T229" s="509"/>
      <c r="U229" s="509"/>
      <c r="V229" s="509"/>
      <c r="W229" s="509"/>
      <c r="X229" s="509"/>
      <c r="Y229" s="509"/>
      <c r="Z229" s="509"/>
    </row>
    <row r="230" spans="1:26" ht="16.5" customHeight="1" x14ac:dyDescent="0.3">
      <c r="A230" s="509"/>
      <c r="B230" s="509"/>
      <c r="C230" s="509"/>
      <c r="D230" s="509"/>
      <c r="E230" s="509"/>
      <c r="F230" s="509"/>
      <c r="G230" s="509"/>
      <c r="H230" s="509"/>
      <c r="I230" s="509"/>
      <c r="J230" s="509"/>
      <c r="K230" s="509"/>
      <c r="L230" s="509"/>
      <c r="M230" s="509"/>
      <c r="N230" s="509"/>
      <c r="O230" s="509"/>
      <c r="P230" s="509"/>
      <c r="Q230" s="509"/>
      <c r="R230" s="509"/>
      <c r="S230" s="509"/>
      <c r="T230" s="509"/>
      <c r="U230" s="509"/>
      <c r="V230" s="509"/>
      <c r="W230" s="509"/>
      <c r="X230" s="509"/>
      <c r="Y230" s="509"/>
      <c r="Z230" s="509"/>
    </row>
    <row r="231" spans="1:26" ht="16.5" customHeight="1" x14ac:dyDescent="0.3">
      <c r="A231" s="509"/>
      <c r="B231" s="509"/>
      <c r="C231" s="509"/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09"/>
      <c r="X231" s="509"/>
      <c r="Y231" s="509"/>
      <c r="Z231" s="509"/>
    </row>
    <row r="232" spans="1:26" ht="16.5" customHeight="1" x14ac:dyDescent="0.3">
      <c r="A232" s="509"/>
      <c r="B232" s="509"/>
      <c r="C232" s="509"/>
      <c r="D232" s="509"/>
      <c r="E232" s="509"/>
      <c r="F232" s="509"/>
      <c r="G232" s="509"/>
      <c r="H232" s="509"/>
      <c r="I232" s="509"/>
      <c r="J232" s="509"/>
      <c r="K232" s="509"/>
      <c r="L232" s="509"/>
      <c r="M232" s="509"/>
      <c r="N232" s="509"/>
      <c r="O232" s="509"/>
      <c r="P232" s="509"/>
      <c r="Q232" s="509"/>
      <c r="R232" s="509"/>
      <c r="S232" s="509"/>
      <c r="T232" s="509"/>
      <c r="U232" s="509"/>
      <c r="V232" s="509"/>
      <c r="W232" s="509"/>
      <c r="X232" s="509"/>
      <c r="Y232" s="509"/>
      <c r="Z232" s="509"/>
    </row>
    <row r="233" spans="1:26" ht="16.5" customHeight="1" x14ac:dyDescent="0.3">
      <c r="A233" s="509"/>
      <c r="B233" s="509"/>
      <c r="C233" s="509"/>
      <c r="D233" s="509"/>
      <c r="E233" s="509"/>
      <c r="F233" s="509"/>
      <c r="G233" s="509"/>
      <c r="H233" s="509"/>
      <c r="I233" s="509"/>
      <c r="J233" s="509"/>
      <c r="K233" s="509"/>
      <c r="L233" s="509"/>
      <c r="M233" s="509"/>
      <c r="N233" s="509"/>
      <c r="O233" s="509"/>
      <c r="P233" s="509"/>
      <c r="Q233" s="509"/>
      <c r="R233" s="509"/>
      <c r="S233" s="509"/>
      <c r="T233" s="509"/>
      <c r="U233" s="509"/>
      <c r="V233" s="509"/>
      <c r="W233" s="509"/>
      <c r="X233" s="509"/>
      <c r="Y233" s="509"/>
      <c r="Z233" s="509"/>
    </row>
    <row r="234" spans="1:26" ht="16.5" customHeight="1" x14ac:dyDescent="0.3">
      <c r="A234" s="509"/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09"/>
      <c r="M234" s="509"/>
      <c r="N234" s="509"/>
      <c r="O234" s="509"/>
      <c r="P234" s="509"/>
      <c r="Q234" s="509"/>
      <c r="R234" s="509"/>
      <c r="S234" s="509"/>
      <c r="T234" s="509"/>
      <c r="U234" s="509"/>
      <c r="V234" s="509"/>
      <c r="W234" s="509"/>
      <c r="X234" s="509"/>
      <c r="Y234" s="509"/>
      <c r="Z234" s="509"/>
    </row>
    <row r="235" spans="1:26" ht="16.5" customHeight="1" x14ac:dyDescent="0.3">
      <c r="A235" s="509"/>
      <c r="B235" s="509"/>
      <c r="C235" s="509"/>
      <c r="D235" s="509"/>
      <c r="E235" s="509"/>
      <c r="F235" s="509"/>
      <c r="G235" s="509"/>
      <c r="H235" s="509"/>
      <c r="I235" s="509"/>
      <c r="J235" s="509"/>
      <c r="K235" s="509"/>
      <c r="L235" s="509"/>
      <c r="M235" s="509"/>
      <c r="N235" s="509"/>
      <c r="O235" s="509"/>
      <c r="P235" s="509"/>
      <c r="Q235" s="509"/>
      <c r="R235" s="509"/>
      <c r="S235" s="509"/>
      <c r="T235" s="509"/>
      <c r="U235" s="509"/>
      <c r="V235" s="509"/>
      <c r="W235" s="509"/>
      <c r="X235" s="509"/>
      <c r="Y235" s="509"/>
      <c r="Z235" s="509"/>
    </row>
    <row r="236" spans="1:26" ht="16.5" customHeight="1" x14ac:dyDescent="0.3">
      <c r="A236" s="509"/>
      <c r="B236" s="509"/>
      <c r="C236" s="509"/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09"/>
      <c r="X236" s="509"/>
      <c r="Y236" s="509"/>
      <c r="Z236" s="509"/>
    </row>
    <row r="237" spans="1:26" ht="16.5" customHeight="1" x14ac:dyDescent="0.3">
      <c r="A237" s="509"/>
      <c r="B237" s="509"/>
      <c r="C237" s="509"/>
      <c r="D237" s="509"/>
      <c r="E237" s="509"/>
      <c r="F237" s="509"/>
      <c r="G237" s="509"/>
      <c r="H237" s="509"/>
      <c r="I237" s="509"/>
      <c r="J237" s="509"/>
      <c r="K237" s="509"/>
      <c r="L237" s="509"/>
      <c r="M237" s="509"/>
      <c r="N237" s="509"/>
      <c r="O237" s="509"/>
      <c r="P237" s="509"/>
      <c r="Q237" s="509"/>
      <c r="R237" s="509"/>
      <c r="S237" s="509"/>
      <c r="T237" s="509"/>
      <c r="U237" s="509"/>
      <c r="V237" s="509"/>
      <c r="W237" s="509"/>
      <c r="X237" s="509"/>
      <c r="Y237" s="509"/>
      <c r="Z237" s="509"/>
    </row>
    <row r="238" spans="1:26" ht="16.5" customHeight="1" x14ac:dyDescent="0.3">
      <c r="A238" s="509"/>
      <c r="B238" s="509"/>
      <c r="C238" s="509"/>
      <c r="D238" s="509"/>
      <c r="E238" s="509"/>
      <c r="F238" s="509"/>
      <c r="G238" s="509"/>
      <c r="H238" s="509"/>
      <c r="I238" s="509"/>
      <c r="J238" s="509"/>
      <c r="K238" s="509"/>
      <c r="L238" s="509"/>
      <c r="M238" s="509"/>
      <c r="N238" s="509"/>
      <c r="O238" s="509"/>
      <c r="P238" s="509"/>
      <c r="Q238" s="509"/>
      <c r="R238" s="509"/>
      <c r="S238" s="509"/>
      <c r="T238" s="509"/>
      <c r="U238" s="509"/>
      <c r="V238" s="509"/>
      <c r="W238" s="509"/>
      <c r="X238" s="509"/>
      <c r="Y238" s="509"/>
      <c r="Z238" s="509"/>
    </row>
    <row r="239" spans="1:26" ht="16.5" customHeight="1" x14ac:dyDescent="0.3">
      <c r="A239" s="509"/>
      <c r="B239" s="509"/>
      <c r="C239" s="509"/>
      <c r="D239" s="509"/>
      <c r="E239" s="509"/>
      <c r="F239" s="509"/>
      <c r="G239" s="509"/>
      <c r="H239" s="509"/>
      <c r="I239" s="509"/>
      <c r="J239" s="509"/>
      <c r="K239" s="509"/>
      <c r="L239" s="509"/>
      <c r="M239" s="509"/>
      <c r="N239" s="509"/>
      <c r="O239" s="509"/>
      <c r="P239" s="509"/>
      <c r="Q239" s="509"/>
      <c r="R239" s="509"/>
      <c r="S239" s="509"/>
      <c r="T239" s="509"/>
      <c r="U239" s="509"/>
      <c r="V239" s="509"/>
      <c r="W239" s="509"/>
      <c r="X239" s="509"/>
      <c r="Y239" s="509"/>
      <c r="Z239" s="509"/>
    </row>
    <row r="240" spans="1:26" ht="16.5" customHeight="1" x14ac:dyDescent="0.3">
      <c r="A240" s="509"/>
      <c r="B240" s="509"/>
      <c r="C240" s="509"/>
      <c r="D240" s="509"/>
      <c r="E240" s="509"/>
      <c r="F240" s="509"/>
      <c r="G240" s="509"/>
      <c r="H240" s="509"/>
      <c r="I240" s="509"/>
      <c r="J240" s="509"/>
      <c r="K240" s="509"/>
      <c r="L240" s="509"/>
      <c r="M240" s="509"/>
      <c r="N240" s="509"/>
      <c r="O240" s="509"/>
      <c r="P240" s="509"/>
      <c r="Q240" s="509"/>
      <c r="R240" s="509"/>
      <c r="S240" s="509"/>
      <c r="T240" s="509"/>
      <c r="U240" s="509"/>
      <c r="V240" s="509"/>
      <c r="W240" s="509"/>
      <c r="X240" s="509"/>
      <c r="Y240" s="509"/>
      <c r="Z240" s="509"/>
    </row>
    <row r="241" spans="1:26" ht="16.5" customHeight="1" x14ac:dyDescent="0.3">
      <c r="A241" s="509"/>
      <c r="B241" s="509"/>
      <c r="C241" s="509"/>
      <c r="D241" s="509"/>
      <c r="E241" s="509"/>
      <c r="F241" s="509"/>
      <c r="G241" s="509"/>
      <c r="H241" s="509"/>
      <c r="I241" s="509"/>
      <c r="J241" s="509"/>
      <c r="K241" s="509"/>
      <c r="L241" s="509"/>
      <c r="M241" s="509"/>
      <c r="N241" s="509"/>
      <c r="O241" s="509"/>
      <c r="P241" s="509"/>
      <c r="Q241" s="509"/>
      <c r="R241" s="509"/>
      <c r="S241" s="509"/>
      <c r="T241" s="509"/>
      <c r="U241" s="509"/>
      <c r="V241" s="509"/>
      <c r="W241" s="509"/>
      <c r="X241" s="509"/>
      <c r="Y241" s="509"/>
      <c r="Z241" s="509"/>
    </row>
    <row r="242" spans="1:26" ht="16.5" customHeight="1" x14ac:dyDescent="0.3">
      <c r="A242" s="509"/>
      <c r="B242" s="509"/>
      <c r="C242" s="509"/>
      <c r="D242" s="509"/>
      <c r="E242" s="509"/>
      <c r="F242" s="509"/>
      <c r="G242" s="509"/>
      <c r="H242" s="509"/>
      <c r="I242" s="509"/>
      <c r="J242" s="509"/>
      <c r="K242" s="509"/>
      <c r="L242" s="509"/>
      <c r="M242" s="509"/>
      <c r="N242" s="509"/>
      <c r="O242" s="509"/>
      <c r="P242" s="509"/>
      <c r="Q242" s="509"/>
      <c r="R242" s="509"/>
      <c r="S242" s="509"/>
      <c r="T242" s="509"/>
      <c r="U242" s="509"/>
      <c r="V242" s="509"/>
      <c r="W242" s="509"/>
      <c r="X242" s="509"/>
      <c r="Y242" s="509"/>
      <c r="Z242" s="509"/>
    </row>
    <row r="243" spans="1:26" ht="16.5" customHeight="1" x14ac:dyDescent="0.3">
      <c r="A243" s="509"/>
      <c r="B243" s="509"/>
      <c r="C243" s="509"/>
      <c r="D243" s="509"/>
      <c r="E243" s="509"/>
      <c r="F243" s="509"/>
      <c r="G243" s="509"/>
      <c r="H243" s="509"/>
      <c r="I243" s="509"/>
      <c r="J243" s="509"/>
      <c r="K243" s="509"/>
      <c r="L243" s="509"/>
      <c r="M243" s="509"/>
      <c r="N243" s="509"/>
      <c r="O243" s="509"/>
      <c r="P243" s="509"/>
      <c r="Q243" s="509"/>
      <c r="R243" s="509"/>
      <c r="S243" s="509"/>
      <c r="T243" s="509"/>
      <c r="U243" s="509"/>
      <c r="V243" s="509"/>
      <c r="W243" s="509"/>
      <c r="X243" s="509"/>
      <c r="Y243" s="509"/>
      <c r="Z243" s="509"/>
    </row>
    <row r="244" spans="1:26" ht="16.5" customHeight="1" x14ac:dyDescent="0.3">
      <c r="A244" s="509"/>
      <c r="B244" s="509"/>
      <c r="C244" s="509"/>
      <c r="D244" s="509"/>
      <c r="E244" s="509"/>
      <c r="F244" s="509"/>
      <c r="G244" s="509"/>
      <c r="H244" s="509"/>
      <c r="I244" s="509"/>
      <c r="J244" s="509"/>
      <c r="K244" s="509"/>
      <c r="L244" s="509"/>
      <c r="M244" s="509"/>
      <c r="N244" s="509"/>
      <c r="O244" s="509"/>
      <c r="P244" s="509"/>
      <c r="Q244" s="509"/>
      <c r="R244" s="509"/>
      <c r="S244" s="509"/>
      <c r="T244" s="509"/>
      <c r="U244" s="509"/>
      <c r="V244" s="509"/>
      <c r="W244" s="509"/>
      <c r="X244" s="509"/>
      <c r="Y244" s="509"/>
      <c r="Z244" s="509"/>
    </row>
    <row r="245" spans="1:26" ht="16.5" customHeight="1" x14ac:dyDescent="0.3">
      <c r="A245" s="509"/>
      <c r="B245" s="509"/>
      <c r="C245" s="509"/>
      <c r="D245" s="509"/>
      <c r="E245" s="509"/>
      <c r="F245" s="509"/>
      <c r="G245" s="509"/>
      <c r="H245" s="509"/>
      <c r="I245" s="509"/>
      <c r="J245" s="509"/>
      <c r="K245" s="509"/>
      <c r="L245" s="509"/>
      <c r="M245" s="509"/>
      <c r="N245" s="509"/>
      <c r="O245" s="509"/>
      <c r="P245" s="509"/>
      <c r="Q245" s="509"/>
      <c r="R245" s="509"/>
      <c r="S245" s="509"/>
      <c r="T245" s="509"/>
      <c r="U245" s="509"/>
      <c r="V245" s="509"/>
      <c r="W245" s="509"/>
      <c r="X245" s="509"/>
      <c r="Y245" s="509"/>
      <c r="Z245" s="509"/>
    </row>
    <row r="246" spans="1:26" ht="16.5" customHeight="1" x14ac:dyDescent="0.3">
      <c r="A246" s="509"/>
      <c r="B246" s="509"/>
      <c r="C246" s="509"/>
      <c r="D246" s="509"/>
      <c r="E246" s="509"/>
      <c r="F246" s="509"/>
      <c r="G246" s="509"/>
      <c r="H246" s="509"/>
      <c r="I246" s="509"/>
      <c r="J246" s="509"/>
      <c r="K246" s="509"/>
      <c r="L246" s="509"/>
      <c r="M246" s="509"/>
      <c r="N246" s="509"/>
      <c r="O246" s="509"/>
      <c r="P246" s="509"/>
      <c r="Q246" s="509"/>
      <c r="R246" s="509"/>
      <c r="S246" s="509"/>
      <c r="T246" s="509"/>
      <c r="U246" s="509"/>
      <c r="V246" s="509"/>
      <c r="W246" s="509"/>
      <c r="X246" s="509"/>
      <c r="Y246" s="509"/>
      <c r="Z246" s="509"/>
    </row>
    <row r="247" spans="1:26" ht="16.5" customHeight="1" x14ac:dyDescent="0.3">
      <c r="A247" s="509"/>
      <c r="B247" s="509"/>
      <c r="C247" s="509"/>
      <c r="D247" s="509"/>
      <c r="E247" s="509"/>
      <c r="F247" s="509"/>
      <c r="G247" s="509"/>
      <c r="H247" s="509"/>
      <c r="I247" s="509"/>
      <c r="J247" s="509"/>
      <c r="K247" s="509"/>
      <c r="L247" s="509"/>
      <c r="M247" s="509"/>
      <c r="N247" s="509"/>
      <c r="O247" s="509"/>
      <c r="P247" s="509"/>
      <c r="Q247" s="509"/>
      <c r="R247" s="509"/>
      <c r="S247" s="509"/>
      <c r="T247" s="509"/>
      <c r="U247" s="509"/>
      <c r="V247" s="509"/>
      <c r="W247" s="509"/>
      <c r="X247" s="509"/>
      <c r="Y247" s="509"/>
      <c r="Z247" s="509"/>
    </row>
    <row r="248" spans="1:26" ht="16.5" customHeight="1" x14ac:dyDescent="0.3">
      <c r="A248" s="509"/>
      <c r="B248" s="509"/>
      <c r="C248" s="509"/>
      <c r="D248" s="509"/>
      <c r="E248" s="509"/>
      <c r="F248" s="509"/>
      <c r="G248" s="509"/>
      <c r="H248" s="509"/>
      <c r="I248" s="509"/>
      <c r="J248" s="509"/>
      <c r="K248" s="509"/>
      <c r="L248" s="509"/>
      <c r="M248" s="509"/>
      <c r="N248" s="509"/>
      <c r="O248" s="509"/>
      <c r="P248" s="509"/>
      <c r="Q248" s="509"/>
      <c r="R248" s="509"/>
      <c r="S248" s="509"/>
      <c r="T248" s="509"/>
      <c r="U248" s="509"/>
      <c r="V248" s="509"/>
      <c r="W248" s="509"/>
      <c r="X248" s="509"/>
      <c r="Y248" s="509"/>
      <c r="Z248" s="509"/>
    </row>
    <row r="249" spans="1:26" ht="16.5" customHeight="1" x14ac:dyDescent="0.3">
      <c r="A249" s="509"/>
      <c r="B249" s="509"/>
      <c r="C249" s="509"/>
      <c r="D249" s="509"/>
      <c r="E249" s="509"/>
      <c r="F249" s="509"/>
      <c r="G249" s="509"/>
      <c r="H249" s="509"/>
      <c r="I249" s="509"/>
      <c r="J249" s="509"/>
      <c r="K249" s="509"/>
      <c r="L249" s="509"/>
      <c r="M249" s="509"/>
      <c r="N249" s="509"/>
      <c r="O249" s="509"/>
      <c r="P249" s="509"/>
      <c r="Q249" s="509"/>
      <c r="R249" s="509"/>
      <c r="S249" s="509"/>
      <c r="T249" s="509"/>
      <c r="U249" s="509"/>
      <c r="V249" s="509"/>
      <c r="W249" s="509"/>
      <c r="X249" s="509"/>
      <c r="Y249" s="509"/>
      <c r="Z249" s="509"/>
    </row>
    <row r="250" spans="1:26" ht="16.5" customHeight="1" x14ac:dyDescent="0.3">
      <c r="A250" s="509"/>
      <c r="B250" s="509"/>
      <c r="C250" s="509"/>
      <c r="D250" s="509"/>
      <c r="E250" s="509"/>
      <c r="F250" s="509"/>
      <c r="G250" s="509"/>
      <c r="H250" s="509"/>
      <c r="I250" s="509"/>
      <c r="J250" s="509"/>
      <c r="K250" s="509"/>
      <c r="L250" s="509"/>
      <c r="M250" s="509"/>
      <c r="N250" s="509"/>
      <c r="O250" s="509"/>
      <c r="P250" s="509"/>
      <c r="Q250" s="509"/>
      <c r="R250" s="509"/>
      <c r="S250" s="509"/>
      <c r="T250" s="509"/>
      <c r="U250" s="509"/>
      <c r="V250" s="509"/>
      <c r="W250" s="509"/>
      <c r="X250" s="509"/>
      <c r="Y250" s="509"/>
      <c r="Z250" s="509"/>
    </row>
    <row r="251" spans="1:26" ht="16.5" customHeight="1" x14ac:dyDescent="0.3">
      <c r="A251" s="509"/>
      <c r="B251" s="509"/>
      <c r="C251" s="509"/>
      <c r="D251" s="509"/>
      <c r="E251" s="509"/>
      <c r="F251" s="509"/>
      <c r="G251" s="509"/>
      <c r="H251" s="509"/>
      <c r="I251" s="509"/>
      <c r="J251" s="509"/>
      <c r="K251" s="509"/>
      <c r="L251" s="509"/>
      <c r="M251" s="509"/>
      <c r="N251" s="509"/>
      <c r="O251" s="509"/>
      <c r="P251" s="509"/>
      <c r="Q251" s="509"/>
      <c r="R251" s="509"/>
      <c r="S251" s="509"/>
      <c r="T251" s="509"/>
      <c r="U251" s="509"/>
      <c r="V251" s="509"/>
      <c r="W251" s="509"/>
      <c r="X251" s="509"/>
      <c r="Y251" s="509"/>
      <c r="Z251" s="509"/>
    </row>
    <row r="252" spans="1:26" ht="16.5" customHeight="1" x14ac:dyDescent="0.3">
      <c r="A252" s="509"/>
      <c r="B252" s="509"/>
      <c r="C252" s="509"/>
      <c r="D252" s="509"/>
      <c r="E252" s="509"/>
      <c r="F252" s="509"/>
      <c r="G252" s="509"/>
      <c r="H252" s="509"/>
      <c r="I252" s="509"/>
      <c r="J252" s="509"/>
      <c r="K252" s="509"/>
      <c r="L252" s="509"/>
      <c r="M252" s="509"/>
      <c r="N252" s="509"/>
      <c r="O252" s="509"/>
      <c r="P252" s="509"/>
      <c r="Q252" s="509"/>
      <c r="R252" s="509"/>
      <c r="S252" s="509"/>
      <c r="T252" s="509"/>
      <c r="U252" s="509"/>
      <c r="V252" s="509"/>
      <c r="W252" s="509"/>
      <c r="X252" s="509"/>
      <c r="Y252" s="509"/>
      <c r="Z252" s="509"/>
    </row>
    <row r="253" spans="1:26" ht="16.5" customHeight="1" x14ac:dyDescent="0.3">
      <c r="A253" s="509"/>
      <c r="B253" s="509"/>
      <c r="C253" s="509"/>
      <c r="D253" s="509"/>
      <c r="E253" s="509"/>
      <c r="F253" s="509"/>
      <c r="G253" s="509"/>
      <c r="H253" s="509"/>
      <c r="I253" s="509"/>
      <c r="J253" s="509"/>
      <c r="K253" s="509"/>
      <c r="L253" s="509"/>
      <c r="M253" s="509"/>
      <c r="N253" s="509"/>
      <c r="O253" s="509"/>
      <c r="P253" s="509"/>
      <c r="Q253" s="509"/>
      <c r="R253" s="509"/>
      <c r="S253" s="509"/>
      <c r="T253" s="509"/>
      <c r="U253" s="509"/>
      <c r="V253" s="509"/>
      <c r="W253" s="509"/>
      <c r="X253" s="509"/>
      <c r="Y253" s="509"/>
      <c r="Z253" s="509"/>
    </row>
    <row r="254" spans="1:26" ht="16.5" customHeight="1" x14ac:dyDescent="0.3">
      <c r="A254" s="509"/>
      <c r="B254" s="509"/>
      <c r="C254" s="509"/>
      <c r="D254" s="509"/>
      <c r="E254" s="509"/>
      <c r="F254" s="509"/>
      <c r="G254" s="509"/>
      <c r="H254" s="509"/>
      <c r="I254" s="509"/>
      <c r="J254" s="509"/>
      <c r="K254" s="509"/>
      <c r="L254" s="509"/>
      <c r="M254" s="509"/>
      <c r="N254" s="509"/>
      <c r="O254" s="509"/>
      <c r="P254" s="509"/>
      <c r="Q254" s="509"/>
      <c r="R254" s="509"/>
      <c r="S254" s="509"/>
      <c r="T254" s="509"/>
      <c r="U254" s="509"/>
      <c r="V254" s="509"/>
      <c r="W254" s="509"/>
      <c r="X254" s="509"/>
      <c r="Y254" s="509"/>
      <c r="Z254" s="509"/>
    </row>
    <row r="255" spans="1:26" ht="16.5" customHeight="1" x14ac:dyDescent="0.3">
      <c r="A255" s="509"/>
      <c r="B255" s="509"/>
      <c r="C255" s="509"/>
      <c r="D255" s="509"/>
      <c r="E255" s="509"/>
      <c r="F255" s="509"/>
      <c r="G255" s="509"/>
      <c r="H255" s="509"/>
      <c r="I255" s="509"/>
      <c r="J255" s="509"/>
      <c r="K255" s="509"/>
      <c r="L255" s="509"/>
      <c r="M255" s="509"/>
      <c r="N255" s="509"/>
      <c r="O255" s="509"/>
      <c r="P255" s="509"/>
      <c r="Q255" s="509"/>
      <c r="R255" s="509"/>
      <c r="S255" s="509"/>
      <c r="T255" s="509"/>
      <c r="U255" s="509"/>
      <c r="V255" s="509"/>
      <c r="W255" s="509"/>
      <c r="X255" s="509"/>
      <c r="Y255" s="509"/>
      <c r="Z255" s="509"/>
    </row>
    <row r="256" spans="1:26" ht="16.5" customHeight="1" x14ac:dyDescent="0.3">
      <c r="A256" s="509"/>
      <c r="B256" s="509"/>
      <c r="C256" s="509"/>
      <c r="D256" s="509"/>
      <c r="E256" s="509"/>
      <c r="F256" s="509"/>
      <c r="G256" s="509"/>
      <c r="H256" s="509"/>
      <c r="I256" s="509"/>
      <c r="J256" s="509"/>
      <c r="K256" s="509"/>
      <c r="L256" s="509"/>
      <c r="M256" s="509"/>
      <c r="N256" s="509"/>
      <c r="O256" s="509"/>
      <c r="P256" s="509"/>
      <c r="Q256" s="509"/>
      <c r="R256" s="509"/>
      <c r="S256" s="509"/>
      <c r="T256" s="509"/>
      <c r="U256" s="509"/>
      <c r="V256" s="509"/>
      <c r="W256" s="509"/>
      <c r="X256" s="509"/>
      <c r="Y256" s="509"/>
      <c r="Z256" s="509"/>
    </row>
    <row r="257" spans="1:26" ht="16.5" customHeight="1" x14ac:dyDescent="0.3">
      <c r="A257" s="509"/>
      <c r="B257" s="509"/>
      <c r="C257" s="509"/>
      <c r="D257" s="509"/>
      <c r="E257" s="509"/>
      <c r="F257" s="509"/>
      <c r="G257" s="509"/>
      <c r="H257" s="509"/>
      <c r="I257" s="509"/>
      <c r="J257" s="509"/>
      <c r="K257" s="509"/>
      <c r="L257" s="509"/>
      <c r="M257" s="509"/>
      <c r="N257" s="509"/>
      <c r="O257" s="509"/>
      <c r="P257" s="509"/>
      <c r="Q257" s="509"/>
      <c r="R257" s="509"/>
      <c r="S257" s="509"/>
      <c r="T257" s="509"/>
      <c r="U257" s="509"/>
      <c r="V257" s="509"/>
      <c r="W257" s="509"/>
      <c r="X257" s="509"/>
      <c r="Y257" s="509"/>
      <c r="Z257" s="509"/>
    </row>
    <row r="258" spans="1:26" ht="16.5" customHeight="1" x14ac:dyDescent="0.3">
      <c r="A258" s="509"/>
      <c r="B258" s="509"/>
      <c r="C258" s="509"/>
      <c r="D258" s="509"/>
      <c r="E258" s="509"/>
      <c r="F258" s="509"/>
      <c r="G258" s="509"/>
      <c r="H258" s="509"/>
      <c r="I258" s="509"/>
      <c r="J258" s="509"/>
      <c r="K258" s="509"/>
      <c r="L258" s="509"/>
      <c r="M258" s="509"/>
      <c r="N258" s="509"/>
      <c r="O258" s="509"/>
      <c r="P258" s="509"/>
      <c r="Q258" s="509"/>
      <c r="R258" s="509"/>
      <c r="S258" s="509"/>
      <c r="T258" s="509"/>
      <c r="U258" s="509"/>
      <c r="V258" s="509"/>
      <c r="W258" s="509"/>
      <c r="X258" s="509"/>
      <c r="Y258" s="509"/>
      <c r="Z258" s="509"/>
    </row>
    <row r="259" spans="1:26" ht="16.5" customHeight="1" x14ac:dyDescent="0.3">
      <c r="A259" s="509"/>
      <c r="B259" s="509"/>
      <c r="C259" s="509"/>
      <c r="D259" s="509"/>
      <c r="E259" s="509"/>
      <c r="F259" s="509"/>
      <c r="G259" s="509"/>
      <c r="H259" s="509"/>
      <c r="I259" s="509"/>
      <c r="J259" s="509"/>
      <c r="K259" s="509"/>
      <c r="L259" s="509"/>
      <c r="M259" s="509"/>
      <c r="N259" s="509"/>
      <c r="O259" s="509"/>
      <c r="P259" s="509"/>
      <c r="Q259" s="509"/>
      <c r="R259" s="509"/>
      <c r="S259" s="509"/>
      <c r="T259" s="509"/>
      <c r="U259" s="509"/>
      <c r="V259" s="509"/>
      <c r="W259" s="509"/>
      <c r="X259" s="509"/>
      <c r="Y259" s="509"/>
      <c r="Z259" s="509"/>
    </row>
    <row r="260" spans="1:26" ht="16.5" customHeight="1" x14ac:dyDescent="0.3">
      <c r="A260" s="509"/>
      <c r="B260" s="509"/>
      <c r="C260" s="509"/>
      <c r="D260" s="509"/>
      <c r="E260" s="509"/>
      <c r="F260" s="509"/>
      <c r="G260" s="509"/>
      <c r="H260" s="509"/>
      <c r="I260" s="509"/>
      <c r="J260" s="509"/>
      <c r="K260" s="509"/>
      <c r="L260" s="509"/>
      <c r="M260" s="509"/>
      <c r="N260" s="509"/>
      <c r="O260" s="509"/>
      <c r="P260" s="509"/>
      <c r="Q260" s="509"/>
      <c r="R260" s="509"/>
      <c r="S260" s="509"/>
      <c r="T260" s="509"/>
      <c r="U260" s="509"/>
      <c r="V260" s="509"/>
      <c r="W260" s="509"/>
      <c r="X260" s="509"/>
      <c r="Y260" s="509"/>
      <c r="Z260" s="509"/>
    </row>
    <row r="261" spans="1:26" ht="16.5" customHeight="1" x14ac:dyDescent="0.3">
      <c r="A261" s="509"/>
      <c r="B261" s="509"/>
      <c r="C261" s="509"/>
      <c r="D261" s="509"/>
      <c r="E261" s="509"/>
      <c r="F261" s="509"/>
      <c r="G261" s="509"/>
      <c r="H261" s="509"/>
      <c r="I261" s="509"/>
      <c r="J261" s="509"/>
      <c r="K261" s="509"/>
      <c r="L261" s="509"/>
      <c r="M261" s="509"/>
      <c r="N261" s="509"/>
      <c r="O261" s="509"/>
      <c r="P261" s="509"/>
      <c r="Q261" s="509"/>
      <c r="R261" s="509"/>
      <c r="S261" s="509"/>
      <c r="T261" s="509"/>
      <c r="U261" s="509"/>
      <c r="V261" s="509"/>
      <c r="W261" s="509"/>
      <c r="X261" s="509"/>
      <c r="Y261" s="509"/>
      <c r="Z261" s="509"/>
    </row>
    <row r="262" spans="1:26" ht="16.5" customHeight="1" x14ac:dyDescent="0.3">
      <c r="A262" s="509"/>
      <c r="B262" s="509"/>
      <c r="C262" s="509"/>
      <c r="D262" s="509"/>
      <c r="E262" s="509"/>
      <c r="F262" s="509"/>
      <c r="G262" s="509"/>
      <c r="H262" s="509"/>
      <c r="I262" s="509"/>
      <c r="J262" s="509"/>
      <c r="K262" s="509"/>
      <c r="L262" s="509"/>
      <c r="M262" s="509"/>
      <c r="N262" s="509"/>
      <c r="O262" s="509"/>
      <c r="P262" s="509"/>
      <c r="Q262" s="509"/>
      <c r="R262" s="509"/>
      <c r="S262" s="509"/>
      <c r="T262" s="509"/>
      <c r="U262" s="509"/>
      <c r="V262" s="509"/>
      <c r="W262" s="509"/>
      <c r="X262" s="509"/>
      <c r="Y262" s="509"/>
      <c r="Z262" s="509"/>
    </row>
    <row r="263" spans="1:26" ht="16.5" customHeight="1" x14ac:dyDescent="0.3">
      <c r="A263" s="509"/>
      <c r="B263" s="509"/>
      <c r="C263" s="509"/>
      <c r="D263" s="509"/>
      <c r="E263" s="509"/>
      <c r="F263" s="509"/>
      <c r="G263" s="509"/>
      <c r="H263" s="509"/>
      <c r="I263" s="509"/>
      <c r="J263" s="509"/>
      <c r="K263" s="509"/>
      <c r="L263" s="509"/>
      <c r="M263" s="509"/>
      <c r="N263" s="509"/>
      <c r="O263" s="509"/>
      <c r="P263" s="509"/>
      <c r="Q263" s="509"/>
      <c r="R263" s="509"/>
      <c r="S263" s="509"/>
      <c r="T263" s="509"/>
      <c r="U263" s="509"/>
      <c r="V263" s="509"/>
      <c r="W263" s="509"/>
      <c r="X263" s="509"/>
      <c r="Y263" s="509"/>
      <c r="Z263" s="509"/>
    </row>
    <row r="264" spans="1:26" ht="16.5" customHeight="1" x14ac:dyDescent="0.3">
      <c r="A264" s="509"/>
      <c r="B264" s="509"/>
      <c r="C264" s="509"/>
      <c r="D264" s="509"/>
      <c r="E264" s="509"/>
      <c r="F264" s="509"/>
      <c r="G264" s="509"/>
      <c r="H264" s="509"/>
      <c r="I264" s="509"/>
      <c r="J264" s="509"/>
      <c r="K264" s="509"/>
      <c r="L264" s="509"/>
      <c r="M264" s="509"/>
      <c r="N264" s="509"/>
      <c r="O264" s="509"/>
      <c r="P264" s="509"/>
      <c r="Q264" s="509"/>
      <c r="R264" s="509"/>
      <c r="S264" s="509"/>
      <c r="T264" s="509"/>
      <c r="U264" s="509"/>
      <c r="V264" s="509"/>
      <c r="W264" s="509"/>
      <c r="X264" s="509"/>
      <c r="Y264" s="509"/>
      <c r="Z264" s="509"/>
    </row>
    <row r="265" spans="1:26" ht="16.5" customHeight="1" x14ac:dyDescent="0.3">
      <c r="A265" s="509"/>
      <c r="B265" s="509"/>
      <c r="C265" s="509"/>
      <c r="D265" s="509"/>
      <c r="E265" s="509"/>
      <c r="F265" s="509"/>
      <c r="G265" s="509"/>
      <c r="H265" s="509"/>
      <c r="I265" s="509"/>
      <c r="J265" s="509"/>
      <c r="K265" s="509"/>
      <c r="L265" s="509"/>
      <c r="M265" s="509"/>
      <c r="N265" s="509"/>
      <c r="O265" s="509"/>
      <c r="P265" s="509"/>
      <c r="Q265" s="509"/>
      <c r="R265" s="509"/>
      <c r="S265" s="509"/>
      <c r="T265" s="509"/>
      <c r="U265" s="509"/>
      <c r="V265" s="509"/>
      <c r="W265" s="509"/>
      <c r="X265" s="509"/>
      <c r="Y265" s="509"/>
      <c r="Z265" s="509"/>
    </row>
    <row r="266" spans="1:26" ht="16.5" customHeight="1" x14ac:dyDescent="0.3">
      <c r="A266" s="509"/>
      <c r="B266" s="509"/>
      <c r="C266" s="509"/>
      <c r="D266" s="509"/>
      <c r="E266" s="509"/>
      <c r="F266" s="509"/>
      <c r="G266" s="509"/>
      <c r="H266" s="509"/>
      <c r="I266" s="509"/>
      <c r="J266" s="509"/>
      <c r="K266" s="509"/>
      <c r="L266" s="509"/>
      <c r="M266" s="509"/>
      <c r="N266" s="509"/>
      <c r="O266" s="509"/>
      <c r="P266" s="509"/>
      <c r="Q266" s="509"/>
      <c r="R266" s="509"/>
      <c r="S266" s="509"/>
      <c r="T266" s="509"/>
      <c r="U266" s="509"/>
      <c r="V266" s="509"/>
      <c r="W266" s="509"/>
      <c r="X266" s="509"/>
      <c r="Y266" s="509"/>
      <c r="Z266" s="509"/>
    </row>
    <row r="267" spans="1:26" ht="16.5" customHeight="1" x14ac:dyDescent="0.3">
      <c r="A267" s="509"/>
      <c r="B267" s="509"/>
      <c r="C267" s="509"/>
      <c r="D267" s="509"/>
      <c r="E267" s="509"/>
      <c r="F267" s="509"/>
      <c r="G267" s="509"/>
      <c r="H267" s="509"/>
      <c r="I267" s="509"/>
      <c r="J267" s="509"/>
      <c r="K267" s="509"/>
      <c r="L267" s="509"/>
      <c r="M267" s="509"/>
      <c r="N267" s="509"/>
      <c r="O267" s="509"/>
      <c r="P267" s="509"/>
      <c r="Q267" s="509"/>
      <c r="R267" s="509"/>
      <c r="S267" s="509"/>
      <c r="T267" s="509"/>
      <c r="U267" s="509"/>
      <c r="V267" s="509"/>
      <c r="W267" s="509"/>
      <c r="X267" s="509"/>
      <c r="Y267" s="509"/>
      <c r="Z267" s="509"/>
    </row>
    <row r="268" spans="1:26" ht="16.5" customHeight="1" x14ac:dyDescent="0.3">
      <c r="A268" s="509"/>
      <c r="B268" s="509"/>
      <c r="C268" s="509"/>
      <c r="D268" s="509"/>
      <c r="E268" s="509"/>
      <c r="F268" s="509"/>
      <c r="G268" s="509"/>
      <c r="H268" s="509"/>
      <c r="I268" s="509"/>
      <c r="J268" s="509"/>
      <c r="K268" s="509"/>
      <c r="L268" s="509"/>
      <c r="M268" s="509"/>
      <c r="N268" s="509"/>
      <c r="O268" s="509"/>
      <c r="P268" s="509"/>
      <c r="Q268" s="509"/>
      <c r="R268" s="509"/>
      <c r="S268" s="509"/>
      <c r="T268" s="509"/>
      <c r="U268" s="509"/>
      <c r="V268" s="509"/>
      <c r="W268" s="509"/>
      <c r="X268" s="509"/>
      <c r="Y268" s="509"/>
      <c r="Z268" s="509"/>
    </row>
    <row r="269" spans="1:26" ht="16.5" customHeight="1" x14ac:dyDescent="0.3">
      <c r="A269" s="509"/>
      <c r="B269" s="509"/>
      <c r="C269" s="509"/>
      <c r="D269" s="509"/>
      <c r="E269" s="509"/>
      <c r="F269" s="509"/>
      <c r="G269" s="509"/>
      <c r="H269" s="509"/>
      <c r="I269" s="509"/>
      <c r="J269" s="509"/>
      <c r="K269" s="509"/>
      <c r="L269" s="509"/>
      <c r="M269" s="509"/>
      <c r="N269" s="509"/>
      <c r="O269" s="509"/>
      <c r="P269" s="509"/>
      <c r="Q269" s="509"/>
      <c r="R269" s="509"/>
      <c r="S269" s="509"/>
      <c r="T269" s="509"/>
      <c r="U269" s="509"/>
      <c r="V269" s="509"/>
      <c r="W269" s="509"/>
      <c r="X269" s="509"/>
      <c r="Y269" s="509"/>
      <c r="Z269" s="509"/>
    </row>
    <row r="270" spans="1:26" ht="16.5" customHeight="1" x14ac:dyDescent="0.3">
      <c r="A270" s="509"/>
      <c r="B270" s="509"/>
      <c r="C270" s="509"/>
      <c r="D270" s="509"/>
      <c r="E270" s="509"/>
      <c r="F270" s="509"/>
      <c r="G270" s="509"/>
      <c r="H270" s="509"/>
      <c r="I270" s="509"/>
      <c r="J270" s="509"/>
      <c r="K270" s="509"/>
      <c r="L270" s="509"/>
      <c r="M270" s="509"/>
      <c r="N270" s="509"/>
      <c r="O270" s="509"/>
      <c r="P270" s="509"/>
      <c r="Q270" s="509"/>
      <c r="R270" s="509"/>
      <c r="S270" s="509"/>
      <c r="T270" s="509"/>
      <c r="U270" s="509"/>
      <c r="V270" s="509"/>
      <c r="W270" s="509"/>
      <c r="X270" s="509"/>
      <c r="Y270" s="509"/>
      <c r="Z270" s="509"/>
    </row>
    <row r="271" spans="1:26" ht="16.5" customHeight="1" x14ac:dyDescent="0.3">
      <c r="A271" s="509"/>
      <c r="B271" s="509"/>
      <c r="C271" s="509"/>
      <c r="D271" s="509"/>
      <c r="E271" s="509"/>
      <c r="F271" s="509"/>
      <c r="G271" s="509"/>
      <c r="H271" s="509"/>
      <c r="I271" s="509"/>
      <c r="J271" s="509"/>
      <c r="K271" s="509"/>
      <c r="L271" s="509"/>
      <c r="M271" s="509"/>
      <c r="N271" s="509"/>
      <c r="O271" s="509"/>
      <c r="P271" s="509"/>
      <c r="Q271" s="509"/>
      <c r="R271" s="509"/>
      <c r="S271" s="509"/>
      <c r="T271" s="509"/>
      <c r="U271" s="509"/>
      <c r="V271" s="509"/>
      <c r="W271" s="509"/>
      <c r="X271" s="509"/>
      <c r="Y271" s="509"/>
      <c r="Z271" s="509"/>
    </row>
    <row r="272" spans="1:26" ht="16.5" customHeight="1" x14ac:dyDescent="0.3">
      <c r="A272" s="509"/>
      <c r="B272" s="509"/>
      <c r="C272" s="509"/>
      <c r="D272" s="509"/>
      <c r="E272" s="509"/>
      <c r="F272" s="509"/>
      <c r="G272" s="509"/>
      <c r="H272" s="509"/>
      <c r="I272" s="509"/>
      <c r="J272" s="509"/>
      <c r="K272" s="509"/>
      <c r="L272" s="509"/>
      <c r="M272" s="509"/>
      <c r="N272" s="509"/>
      <c r="O272" s="509"/>
      <c r="P272" s="509"/>
      <c r="Q272" s="509"/>
      <c r="R272" s="509"/>
      <c r="S272" s="509"/>
      <c r="T272" s="509"/>
      <c r="U272" s="509"/>
      <c r="V272" s="509"/>
      <c r="W272" s="509"/>
      <c r="X272" s="509"/>
      <c r="Y272" s="509"/>
      <c r="Z272" s="509"/>
    </row>
    <row r="273" spans="1:26" ht="16.5" customHeight="1" x14ac:dyDescent="0.3">
      <c r="A273" s="509"/>
      <c r="B273" s="509"/>
      <c r="C273" s="509"/>
      <c r="D273" s="509"/>
      <c r="E273" s="509"/>
      <c r="F273" s="509"/>
      <c r="G273" s="509"/>
      <c r="H273" s="509"/>
      <c r="I273" s="509"/>
      <c r="J273" s="509"/>
      <c r="K273" s="509"/>
      <c r="L273" s="509"/>
      <c r="M273" s="509"/>
      <c r="N273" s="509"/>
      <c r="O273" s="509"/>
      <c r="P273" s="509"/>
      <c r="Q273" s="509"/>
      <c r="R273" s="509"/>
      <c r="S273" s="509"/>
      <c r="T273" s="509"/>
      <c r="U273" s="509"/>
      <c r="V273" s="509"/>
      <c r="W273" s="509"/>
      <c r="X273" s="509"/>
      <c r="Y273" s="509"/>
      <c r="Z273" s="509"/>
    </row>
    <row r="274" spans="1:26" ht="16.5" customHeight="1" x14ac:dyDescent="0.3">
      <c r="A274" s="509"/>
      <c r="B274" s="509"/>
      <c r="C274" s="509"/>
      <c r="D274" s="509"/>
      <c r="E274" s="509"/>
      <c r="F274" s="509"/>
      <c r="G274" s="509"/>
      <c r="H274" s="509"/>
      <c r="I274" s="509"/>
      <c r="J274" s="509"/>
      <c r="K274" s="509"/>
      <c r="L274" s="509"/>
      <c r="M274" s="509"/>
      <c r="N274" s="509"/>
      <c r="O274" s="509"/>
      <c r="P274" s="509"/>
      <c r="Q274" s="509"/>
      <c r="R274" s="509"/>
      <c r="S274" s="509"/>
      <c r="T274" s="509"/>
      <c r="U274" s="509"/>
      <c r="V274" s="509"/>
      <c r="W274" s="509"/>
      <c r="X274" s="509"/>
      <c r="Y274" s="509"/>
      <c r="Z274" s="509"/>
    </row>
    <row r="275" spans="1:26" ht="16.5" customHeight="1" x14ac:dyDescent="0.3">
      <c r="A275" s="509"/>
      <c r="B275" s="509"/>
      <c r="C275" s="509"/>
      <c r="D275" s="509"/>
      <c r="E275" s="509"/>
      <c r="F275" s="509"/>
      <c r="G275" s="509"/>
      <c r="H275" s="509"/>
      <c r="I275" s="509"/>
      <c r="J275" s="509"/>
      <c r="K275" s="509"/>
      <c r="L275" s="509"/>
      <c r="M275" s="509"/>
      <c r="N275" s="509"/>
      <c r="O275" s="509"/>
      <c r="P275" s="509"/>
      <c r="Q275" s="509"/>
      <c r="R275" s="509"/>
      <c r="S275" s="509"/>
      <c r="T275" s="509"/>
      <c r="U275" s="509"/>
      <c r="V275" s="509"/>
      <c r="W275" s="509"/>
      <c r="X275" s="509"/>
      <c r="Y275" s="509"/>
      <c r="Z275" s="509"/>
    </row>
    <row r="276" spans="1:26" ht="16.5" customHeight="1" x14ac:dyDescent="0.3">
      <c r="A276" s="509"/>
      <c r="B276" s="509"/>
      <c r="C276" s="509"/>
      <c r="D276" s="509"/>
      <c r="E276" s="509"/>
      <c r="F276" s="509"/>
      <c r="G276" s="509"/>
      <c r="H276" s="509"/>
      <c r="I276" s="509"/>
      <c r="J276" s="509"/>
      <c r="K276" s="509"/>
      <c r="L276" s="509"/>
      <c r="M276" s="509"/>
      <c r="N276" s="509"/>
      <c r="O276" s="509"/>
      <c r="P276" s="509"/>
      <c r="Q276" s="509"/>
      <c r="R276" s="509"/>
      <c r="S276" s="509"/>
      <c r="T276" s="509"/>
      <c r="U276" s="509"/>
      <c r="V276" s="509"/>
      <c r="W276" s="509"/>
      <c r="X276" s="509"/>
      <c r="Y276" s="509"/>
      <c r="Z276" s="509"/>
    </row>
    <row r="277" spans="1:26" ht="16.5" customHeight="1" x14ac:dyDescent="0.3">
      <c r="A277" s="509"/>
      <c r="B277" s="509"/>
      <c r="C277" s="509"/>
      <c r="D277" s="509"/>
      <c r="E277" s="509"/>
      <c r="F277" s="509"/>
      <c r="G277" s="509"/>
      <c r="H277" s="509"/>
      <c r="I277" s="509"/>
      <c r="J277" s="509"/>
      <c r="K277" s="509"/>
      <c r="L277" s="509"/>
      <c r="M277" s="509"/>
      <c r="N277" s="509"/>
      <c r="O277" s="509"/>
      <c r="P277" s="509"/>
      <c r="Q277" s="509"/>
      <c r="R277" s="509"/>
      <c r="S277" s="509"/>
      <c r="T277" s="509"/>
      <c r="U277" s="509"/>
      <c r="V277" s="509"/>
      <c r="W277" s="509"/>
      <c r="X277" s="509"/>
      <c r="Y277" s="509"/>
      <c r="Z277" s="509"/>
    </row>
    <row r="278" spans="1:26" ht="16.5" customHeight="1" x14ac:dyDescent="0.3">
      <c r="A278" s="509"/>
      <c r="B278" s="509"/>
      <c r="C278" s="509"/>
      <c r="D278" s="509"/>
      <c r="E278" s="509"/>
      <c r="F278" s="509"/>
      <c r="G278" s="509"/>
      <c r="H278" s="509"/>
      <c r="I278" s="509"/>
      <c r="J278" s="509"/>
      <c r="K278" s="509"/>
      <c r="L278" s="509"/>
      <c r="M278" s="509"/>
      <c r="N278" s="509"/>
      <c r="O278" s="509"/>
      <c r="P278" s="509"/>
      <c r="Q278" s="509"/>
      <c r="R278" s="509"/>
      <c r="S278" s="509"/>
      <c r="T278" s="509"/>
      <c r="U278" s="509"/>
      <c r="V278" s="509"/>
      <c r="W278" s="509"/>
      <c r="X278" s="509"/>
      <c r="Y278" s="509"/>
      <c r="Z278" s="509"/>
    </row>
    <row r="279" spans="1:26" ht="16.5" customHeight="1" x14ac:dyDescent="0.3">
      <c r="A279" s="509"/>
      <c r="B279" s="509"/>
      <c r="C279" s="509"/>
      <c r="D279" s="509"/>
      <c r="E279" s="509"/>
      <c r="F279" s="509"/>
      <c r="G279" s="509"/>
      <c r="H279" s="509"/>
      <c r="I279" s="509"/>
      <c r="J279" s="509"/>
      <c r="K279" s="509"/>
      <c r="L279" s="509"/>
      <c r="M279" s="509"/>
      <c r="N279" s="509"/>
      <c r="O279" s="509"/>
      <c r="P279" s="509"/>
      <c r="Q279" s="509"/>
      <c r="R279" s="509"/>
      <c r="S279" s="509"/>
      <c r="T279" s="509"/>
      <c r="U279" s="509"/>
      <c r="V279" s="509"/>
      <c r="W279" s="509"/>
      <c r="X279" s="509"/>
      <c r="Y279" s="509"/>
      <c r="Z279" s="509"/>
    </row>
    <row r="280" spans="1:26" ht="16.5" customHeight="1" x14ac:dyDescent="0.3">
      <c r="A280" s="509"/>
      <c r="B280" s="509"/>
      <c r="C280" s="509"/>
      <c r="D280" s="509"/>
      <c r="E280" s="509"/>
      <c r="F280" s="509"/>
      <c r="G280" s="509"/>
      <c r="H280" s="509"/>
      <c r="I280" s="509"/>
      <c r="J280" s="509"/>
      <c r="K280" s="509"/>
      <c r="L280" s="509"/>
      <c r="M280" s="509"/>
      <c r="N280" s="509"/>
      <c r="O280" s="509"/>
      <c r="P280" s="509"/>
      <c r="Q280" s="509"/>
      <c r="R280" s="509"/>
      <c r="S280" s="509"/>
      <c r="T280" s="509"/>
      <c r="U280" s="509"/>
      <c r="V280" s="509"/>
      <c r="W280" s="509"/>
      <c r="X280" s="509"/>
      <c r="Y280" s="509"/>
      <c r="Z280" s="509"/>
    </row>
    <row r="281" spans="1:26" ht="16.5" customHeight="1" x14ac:dyDescent="0.3">
      <c r="A281" s="509"/>
      <c r="B281" s="509"/>
      <c r="C281" s="509"/>
      <c r="D281" s="509"/>
      <c r="E281" s="509"/>
      <c r="F281" s="509"/>
      <c r="G281" s="509"/>
      <c r="H281" s="509"/>
      <c r="I281" s="509"/>
      <c r="J281" s="509"/>
      <c r="K281" s="509"/>
      <c r="L281" s="509"/>
      <c r="M281" s="509"/>
      <c r="N281" s="509"/>
      <c r="O281" s="509"/>
      <c r="P281" s="509"/>
      <c r="Q281" s="509"/>
      <c r="R281" s="509"/>
      <c r="S281" s="509"/>
      <c r="T281" s="509"/>
      <c r="U281" s="509"/>
      <c r="V281" s="509"/>
      <c r="W281" s="509"/>
      <c r="X281" s="509"/>
      <c r="Y281" s="509"/>
      <c r="Z281" s="509"/>
    </row>
    <row r="282" spans="1:26" ht="16.5" customHeight="1" x14ac:dyDescent="0.3">
      <c r="A282" s="509"/>
      <c r="B282" s="509"/>
      <c r="C282" s="509"/>
      <c r="D282" s="509"/>
      <c r="E282" s="509"/>
      <c r="F282" s="509"/>
      <c r="G282" s="509"/>
      <c r="H282" s="509"/>
      <c r="I282" s="509"/>
      <c r="J282" s="509"/>
      <c r="K282" s="509"/>
      <c r="L282" s="509"/>
      <c r="M282" s="509"/>
      <c r="N282" s="509"/>
      <c r="O282" s="509"/>
      <c r="P282" s="509"/>
      <c r="Q282" s="509"/>
      <c r="R282" s="509"/>
      <c r="S282" s="509"/>
      <c r="T282" s="509"/>
      <c r="U282" s="509"/>
      <c r="V282" s="509"/>
      <c r="W282" s="509"/>
      <c r="X282" s="509"/>
      <c r="Y282" s="509"/>
      <c r="Z282" s="509"/>
    </row>
    <row r="283" spans="1:26" ht="16.5" customHeight="1" x14ac:dyDescent="0.3">
      <c r="A283" s="509"/>
      <c r="B283" s="509"/>
      <c r="C283" s="509"/>
      <c r="D283" s="509"/>
      <c r="E283" s="509"/>
      <c r="F283" s="509"/>
      <c r="G283" s="509"/>
      <c r="H283" s="509"/>
      <c r="I283" s="509"/>
      <c r="J283" s="509"/>
      <c r="K283" s="509"/>
      <c r="L283" s="509"/>
      <c r="M283" s="509"/>
      <c r="N283" s="509"/>
      <c r="O283" s="509"/>
      <c r="P283" s="509"/>
      <c r="Q283" s="509"/>
      <c r="R283" s="509"/>
      <c r="S283" s="509"/>
      <c r="T283" s="509"/>
      <c r="U283" s="509"/>
      <c r="V283" s="509"/>
      <c r="W283" s="509"/>
      <c r="X283" s="509"/>
      <c r="Y283" s="509"/>
      <c r="Z283" s="509"/>
    </row>
    <row r="284" spans="1:26" ht="16.5" customHeight="1" x14ac:dyDescent="0.3">
      <c r="A284" s="509"/>
      <c r="B284" s="509"/>
      <c r="C284" s="509"/>
      <c r="D284" s="509"/>
      <c r="E284" s="509"/>
      <c r="F284" s="509"/>
      <c r="G284" s="509"/>
      <c r="H284" s="509"/>
      <c r="I284" s="509"/>
      <c r="J284" s="509"/>
      <c r="K284" s="509"/>
      <c r="L284" s="509"/>
      <c r="M284" s="509"/>
      <c r="N284" s="509"/>
      <c r="O284" s="509"/>
      <c r="P284" s="509"/>
      <c r="Q284" s="509"/>
      <c r="R284" s="509"/>
      <c r="S284" s="509"/>
      <c r="T284" s="509"/>
      <c r="U284" s="509"/>
      <c r="V284" s="509"/>
      <c r="W284" s="509"/>
      <c r="X284" s="509"/>
      <c r="Y284" s="509"/>
      <c r="Z284" s="509"/>
    </row>
    <row r="285" spans="1:26" ht="16.5" customHeight="1" x14ac:dyDescent="0.3">
      <c r="A285" s="509"/>
      <c r="B285" s="509"/>
      <c r="C285" s="509"/>
      <c r="D285" s="509"/>
      <c r="E285" s="509"/>
      <c r="F285" s="509"/>
      <c r="G285" s="509"/>
      <c r="H285" s="509"/>
      <c r="I285" s="509"/>
      <c r="J285" s="509"/>
      <c r="K285" s="509"/>
      <c r="L285" s="509"/>
      <c r="M285" s="509"/>
      <c r="N285" s="509"/>
      <c r="O285" s="509"/>
      <c r="P285" s="509"/>
      <c r="Q285" s="509"/>
      <c r="R285" s="509"/>
      <c r="S285" s="509"/>
      <c r="T285" s="509"/>
      <c r="U285" s="509"/>
      <c r="V285" s="509"/>
      <c r="W285" s="509"/>
      <c r="X285" s="509"/>
      <c r="Y285" s="509"/>
      <c r="Z285" s="509"/>
    </row>
    <row r="286" spans="1:26" ht="16.5" customHeight="1" x14ac:dyDescent="0.3">
      <c r="A286" s="509"/>
      <c r="B286" s="509"/>
      <c r="C286" s="509"/>
      <c r="D286" s="509"/>
      <c r="E286" s="509"/>
      <c r="F286" s="509"/>
      <c r="G286" s="509"/>
      <c r="H286" s="509"/>
      <c r="I286" s="509"/>
      <c r="J286" s="509"/>
      <c r="K286" s="509"/>
      <c r="L286" s="509"/>
      <c r="M286" s="509"/>
      <c r="N286" s="509"/>
      <c r="O286" s="509"/>
      <c r="P286" s="509"/>
      <c r="Q286" s="509"/>
      <c r="R286" s="509"/>
      <c r="S286" s="509"/>
      <c r="T286" s="509"/>
      <c r="U286" s="509"/>
      <c r="V286" s="509"/>
      <c r="W286" s="509"/>
      <c r="X286" s="509"/>
      <c r="Y286" s="509"/>
      <c r="Z286" s="509"/>
    </row>
    <row r="287" spans="1:26" ht="16.5" customHeight="1" x14ac:dyDescent="0.3">
      <c r="A287" s="509"/>
      <c r="B287" s="509"/>
      <c r="C287" s="509"/>
      <c r="D287" s="509"/>
      <c r="E287" s="509"/>
      <c r="F287" s="509"/>
      <c r="G287" s="509"/>
      <c r="H287" s="509"/>
      <c r="I287" s="509"/>
      <c r="J287" s="509"/>
      <c r="K287" s="509"/>
      <c r="L287" s="509"/>
      <c r="M287" s="509"/>
      <c r="N287" s="509"/>
      <c r="O287" s="509"/>
      <c r="P287" s="509"/>
      <c r="Q287" s="509"/>
      <c r="R287" s="509"/>
      <c r="S287" s="509"/>
      <c r="T287" s="509"/>
      <c r="U287" s="509"/>
      <c r="V287" s="509"/>
      <c r="W287" s="509"/>
      <c r="X287" s="509"/>
      <c r="Y287" s="509"/>
      <c r="Z287" s="509"/>
    </row>
    <row r="288" spans="1:26" ht="16.5" customHeight="1" x14ac:dyDescent="0.3">
      <c r="A288" s="509"/>
      <c r="B288" s="509"/>
      <c r="C288" s="509"/>
      <c r="D288" s="509"/>
      <c r="E288" s="509"/>
      <c r="F288" s="509"/>
      <c r="G288" s="509"/>
      <c r="H288" s="509"/>
      <c r="I288" s="509"/>
      <c r="J288" s="509"/>
      <c r="K288" s="509"/>
      <c r="L288" s="509"/>
      <c r="M288" s="509"/>
      <c r="N288" s="509"/>
      <c r="O288" s="509"/>
      <c r="P288" s="509"/>
      <c r="Q288" s="509"/>
      <c r="R288" s="509"/>
      <c r="S288" s="509"/>
      <c r="T288" s="509"/>
      <c r="U288" s="509"/>
      <c r="V288" s="509"/>
      <c r="W288" s="509"/>
      <c r="X288" s="509"/>
      <c r="Y288" s="509"/>
      <c r="Z288" s="509"/>
    </row>
    <row r="289" spans="1:26" ht="16.5" customHeight="1" x14ac:dyDescent="0.3">
      <c r="A289" s="509"/>
      <c r="B289" s="509"/>
      <c r="C289" s="509"/>
      <c r="D289" s="509"/>
      <c r="E289" s="509"/>
      <c r="F289" s="509"/>
      <c r="G289" s="509"/>
      <c r="H289" s="509"/>
      <c r="I289" s="509"/>
      <c r="J289" s="509"/>
      <c r="K289" s="509"/>
      <c r="L289" s="509"/>
      <c r="M289" s="509"/>
      <c r="N289" s="509"/>
      <c r="O289" s="509"/>
      <c r="P289" s="509"/>
      <c r="Q289" s="509"/>
      <c r="R289" s="509"/>
      <c r="S289" s="509"/>
      <c r="T289" s="509"/>
      <c r="U289" s="509"/>
      <c r="V289" s="509"/>
      <c r="W289" s="509"/>
      <c r="X289" s="509"/>
      <c r="Y289" s="509"/>
      <c r="Z289" s="509"/>
    </row>
    <row r="290" spans="1:26" ht="16.5" customHeight="1" x14ac:dyDescent="0.3">
      <c r="A290" s="509"/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09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</row>
    <row r="291" spans="1:26" ht="16.5" customHeight="1" x14ac:dyDescent="0.3">
      <c r="A291" s="509"/>
      <c r="B291" s="509"/>
      <c r="C291" s="509"/>
      <c r="D291" s="509"/>
      <c r="E291" s="509"/>
      <c r="F291" s="509"/>
      <c r="G291" s="509"/>
      <c r="H291" s="509"/>
      <c r="I291" s="509"/>
      <c r="J291" s="509"/>
      <c r="K291" s="509"/>
      <c r="L291" s="509"/>
      <c r="M291" s="509"/>
      <c r="N291" s="509"/>
      <c r="O291" s="509"/>
      <c r="P291" s="509"/>
      <c r="Q291" s="509"/>
      <c r="R291" s="509"/>
      <c r="S291" s="509"/>
      <c r="T291" s="509"/>
      <c r="U291" s="509"/>
      <c r="V291" s="509"/>
      <c r="W291" s="509"/>
      <c r="X291" s="509"/>
      <c r="Y291" s="509"/>
      <c r="Z291" s="509"/>
    </row>
    <row r="292" spans="1:26" ht="16.5" customHeight="1" x14ac:dyDescent="0.3">
      <c r="A292" s="509"/>
      <c r="B292" s="509"/>
      <c r="C292" s="509"/>
      <c r="D292" s="509"/>
      <c r="E292" s="509"/>
      <c r="F292" s="509"/>
      <c r="G292" s="509"/>
      <c r="H292" s="509"/>
      <c r="I292" s="509"/>
      <c r="J292" s="509"/>
      <c r="K292" s="509"/>
      <c r="L292" s="509"/>
      <c r="M292" s="509"/>
      <c r="N292" s="509"/>
      <c r="O292" s="509"/>
      <c r="P292" s="509"/>
      <c r="Q292" s="509"/>
      <c r="R292" s="509"/>
      <c r="S292" s="509"/>
      <c r="T292" s="509"/>
      <c r="U292" s="509"/>
      <c r="V292" s="509"/>
      <c r="W292" s="509"/>
      <c r="X292" s="509"/>
      <c r="Y292" s="509"/>
      <c r="Z292" s="509"/>
    </row>
    <row r="293" spans="1:26" ht="16.5" customHeight="1" x14ac:dyDescent="0.3">
      <c r="A293" s="509"/>
      <c r="B293" s="509"/>
      <c r="C293" s="509"/>
      <c r="D293" s="509"/>
      <c r="E293" s="509"/>
      <c r="F293" s="509"/>
      <c r="G293" s="509"/>
      <c r="H293" s="509"/>
      <c r="I293" s="509"/>
      <c r="J293" s="509"/>
      <c r="K293" s="509"/>
      <c r="L293" s="509"/>
      <c r="M293" s="509"/>
      <c r="N293" s="509"/>
      <c r="O293" s="509"/>
      <c r="P293" s="509"/>
      <c r="Q293" s="509"/>
      <c r="R293" s="509"/>
      <c r="S293" s="509"/>
      <c r="T293" s="509"/>
      <c r="U293" s="509"/>
      <c r="V293" s="509"/>
      <c r="W293" s="509"/>
      <c r="X293" s="509"/>
      <c r="Y293" s="509"/>
      <c r="Z293" s="509"/>
    </row>
    <row r="294" spans="1:26" ht="16.5" customHeight="1" x14ac:dyDescent="0.3">
      <c r="A294" s="509"/>
      <c r="B294" s="509"/>
      <c r="C294" s="509"/>
      <c r="D294" s="509"/>
      <c r="E294" s="509"/>
      <c r="F294" s="509"/>
      <c r="G294" s="509"/>
      <c r="H294" s="509"/>
      <c r="I294" s="509"/>
      <c r="J294" s="509"/>
      <c r="K294" s="509"/>
      <c r="L294" s="509"/>
      <c r="M294" s="509"/>
      <c r="N294" s="509"/>
      <c r="O294" s="509"/>
      <c r="P294" s="509"/>
      <c r="Q294" s="509"/>
      <c r="R294" s="509"/>
      <c r="S294" s="509"/>
      <c r="T294" s="509"/>
      <c r="U294" s="509"/>
      <c r="V294" s="509"/>
      <c r="W294" s="509"/>
      <c r="X294" s="509"/>
      <c r="Y294" s="509"/>
      <c r="Z294" s="509"/>
    </row>
    <row r="295" spans="1:26" ht="16.5" customHeight="1" x14ac:dyDescent="0.3">
      <c r="A295" s="509"/>
      <c r="B295" s="509"/>
      <c r="C295" s="509"/>
      <c r="D295" s="509"/>
      <c r="E295" s="509"/>
      <c r="F295" s="509"/>
      <c r="G295" s="509"/>
      <c r="H295" s="509"/>
      <c r="I295" s="509"/>
      <c r="J295" s="509"/>
      <c r="K295" s="509"/>
      <c r="L295" s="509"/>
      <c r="M295" s="509"/>
      <c r="N295" s="509"/>
      <c r="O295" s="509"/>
      <c r="P295" s="509"/>
      <c r="Q295" s="509"/>
      <c r="R295" s="509"/>
      <c r="S295" s="509"/>
      <c r="T295" s="509"/>
      <c r="U295" s="509"/>
      <c r="V295" s="509"/>
      <c r="W295" s="509"/>
      <c r="X295" s="509"/>
      <c r="Y295" s="509"/>
      <c r="Z295" s="509"/>
    </row>
    <row r="296" spans="1:26" ht="16.5" customHeight="1" x14ac:dyDescent="0.3">
      <c r="A296" s="509"/>
      <c r="B296" s="509"/>
      <c r="C296" s="509"/>
      <c r="D296" s="509"/>
      <c r="E296" s="509"/>
      <c r="F296" s="509"/>
      <c r="G296" s="509"/>
      <c r="H296" s="509"/>
      <c r="I296" s="509"/>
      <c r="J296" s="509"/>
      <c r="K296" s="509"/>
      <c r="L296" s="509"/>
      <c r="M296" s="509"/>
      <c r="N296" s="509"/>
      <c r="O296" s="509"/>
      <c r="P296" s="509"/>
      <c r="Q296" s="509"/>
      <c r="R296" s="509"/>
      <c r="S296" s="509"/>
      <c r="T296" s="509"/>
      <c r="U296" s="509"/>
      <c r="V296" s="509"/>
      <c r="W296" s="509"/>
      <c r="X296" s="509"/>
      <c r="Y296" s="509"/>
      <c r="Z296" s="509"/>
    </row>
    <row r="297" spans="1:26" ht="16.5" customHeight="1" x14ac:dyDescent="0.3">
      <c r="A297" s="509"/>
      <c r="B297" s="509"/>
      <c r="C297" s="509"/>
      <c r="D297" s="509"/>
      <c r="E297" s="509"/>
      <c r="F297" s="509"/>
      <c r="G297" s="509"/>
      <c r="H297" s="509"/>
      <c r="I297" s="509"/>
      <c r="J297" s="509"/>
      <c r="K297" s="509"/>
      <c r="L297" s="509"/>
      <c r="M297" s="509"/>
      <c r="N297" s="509"/>
      <c r="O297" s="509"/>
      <c r="P297" s="509"/>
      <c r="Q297" s="509"/>
      <c r="R297" s="509"/>
      <c r="S297" s="509"/>
      <c r="T297" s="509"/>
      <c r="U297" s="509"/>
      <c r="V297" s="509"/>
      <c r="W297" s="509"/>
      <c r="X297" s="509"/>
      <c r="Y297" s="509"/>
      <c r="Z297" s="509"/>
    </row>
    <row r="298" spans="1:26" ht="16.5" customHeight="1" x14ac:dyDescent="0.3">
      <c r="A298" s="509"/>
      <c r="B298" s="509"/>
      <c r="C298" s="509"/>
      <c r="D298" s="509"/>
      <c r="E298" s="509"/>
      <c r="F298" s="509"/>
      <c r="G298" s="509"/>
      <c r="H298" s="509"/>
      <c r="I298" s="509"/>
      <c r="J298" s="509"/>
      <c r="K298" s="509"/>
      <c r="L298" s="509"/>
      <c r="M298" s="509"/>
      <c r="N298" s="509"/>
      <c r="O298" s="509"/>
      <c r="P298" s="509"/>
      <c r="Q298" s="509"/>
      <c r="R298" s="509"/>
      <c r="S298" s="509"/>
      <c r="T298" s="509"/>
      <c r="U298" s="509"/>
      <c r="V298" s="509"/>
      <c r="W298" s="509"/>
      <c r="X298" s="509"/>
      <c r="Y298" s="509"/>
      <c r="Z298" s="509"/>
    </row>
    <row r="299" spans="1:26" ht="16.5" customHeight="1" x14ac:dyDescent="0.3">
      <c r="A299" s="509"/>
      <c r="B299" s="509"/>
      <c r="C299" s="509"/>
      <c r="D299" s="509"/>
      <c r="E299" s="509"/>
      <c r="F299" s="509"/>
      <c r="G299" s="509"/>
      <c r="H299" s="509"/>
      <c r="I299" s="509"/>
      <c r="J299" s="509"/>
      <c r="K299" s="509"/>
      <c r="L299" s="509"/>
      <c r="M299" s="509"/>
      <c r="N299" s="509"/>
      <c r="O299" s="509"/>
      <c r="P299" s="509"/>
      <c r="Q299" s="509"/>
      <c r="R299" s="509"/>
      <c r="S299" s="509"/>
      <c r="T299" s="509"/>
      <c r="U299" s="509"/>
      <c r="V299" s="509"/>
      <c r="W299" s="509"/>
      <c r="X299" s="509"/>
      <c r="Y299" s="509"/>
      <c r="Z299" s="509"/>
    </row>
    <row r="300" spans="1:26" ht="16.5" customHeight="1" x14ac:dyDescent="0.3">
      <c r="A300" s="509"/>
      <c r="B300" s="509"/>
      <c r="C300" s="509"/>
      <c r="D300" s="509"/>
      <c r="E300" s="509"/>
      <c r="F300" s="509"/>
      <c r="G300" s="509"/>
      <c r="H300" s="509"/>
      <c r="I300" s="509"/>
      <c r="J300" s="509"/>
      <c r="K300" s="509"/>
      <c r="L300" s="509"/>
      <c r="M300" s="509"/>
      <c r="N300" s="509"/>
      <c r="O300" s="509"/>
      <c r="P300" s="509"/>
      <c r="Q300" s="509"/>
      <c r="R300" s="509"/>
      <c r="S300" s="509"/>
      <c r="T300" s="509"/>
      <c r="U300" s="509"/>
      <c r="V300" s="509"/>
      <c r="W300" s="509"/>
      <c r="X300" s="509"/>
      <c r="Y300" s="509"/>
      <c r="Z300" s="509"/>
    </row>
    <row r="301" spans="1:26" ht="16.5" customHeight="1" x14ac:dyDescent="0.3">
      <c r="A301" s="509"/>
      <c r="B301" s="509"/>
      <c r="C301" s="509"/>
      <c r="D301" s="509"/>
      <c r="E301" s="509"/>
      <c r="F301" s="509"/>
      <c r="G301" s="509"/>
      <c r="H301" s="509"/>
      <c r="I301" s="509"/>
      <c r="J301" s="509"/>
      <c r="K301" s="509"/>
      <c r="L301" s="509"/>
      <c r="M301" s="509"/>
      <c r="N301" s="509"/>
      <c r="O301" s="509"/>
      <c r="P301" s="509"/>
      <c r="Q301" s="509"/>
      <c r="R301" s="509"/>
      <c r="S301" s="509"/>
      <c r="T301" s="509"/>
      <c r="U301" s="509"/>
      <c r="V301" s="509"/>
      <c r="W301" s="509"/>
      <c r="X301" s="509"/>
      <c r="Y301" s="509"/>
      <c r="Z301" s="509"/>
    </row>
    <row r="302" spans="1:26" ht="16.5" customHeight="1" x14ac:dyDescent="0.3">
      <c r="A302" s="509"/>
      <c r="B302" s="509"/>
      <c r="C302" s="509"/>
      <c r="D302" s="509"/>
      <c r="E302" s="509"/>
      <c r="F302" s="509"/>
      <c r="G302" s="509"/>
      <c r="H302" s="509"/>
      <c r="I302" s="509"/>
      <c r="J302" s="509"/>
      <c r="K302" s="509"/>
      <c r="L302" s="509"/>
      <c r="M302" s="509"/>
      <c r="N302" s="509"/>
      <c r="O302" s="509"/>
      <c r="P302" s="509"/>
      <c r="Q302" s="509"/>
      <c r="R302" s="509"/>
      <c r="S302" s="509"/>
      <c r="T302" s="509"/>
      <c r="U302" s="509"/>
      <c r="V302" s="509"/>
      <c r="W302" s="509"/>
      <c r="X302" s="509"/>
      <c r="Y302" s="509"/>
      <c r="Z302" s="509"/>
    </row>
    <row r="303" spans="1:26" ht="16.5" customHeight="1" x14ac:dyDescent="0.3">
      <c r="A303" s="509"/>
      <c r="B303" s="509"/>
      <c r="C303" s="509"/>
      <c r="D303" s="509"/>
      <c r="E303" s="509"/>
      <c r="F303" s="509"/>
      <c r="G303" s="509"/>
      <c r="H303" s="509"/>
      <c r="I303" s="509"/>
      <c r="J303" s="509"/>
      <c r="K303" s="509"/>
      <c r="L303" s="509"/>
      <c r="M303" s="509"/>
      <c r="N303" s="509"/>
      <c r="O303" s="509"/>
      <c r="P303" s="509"/>
      <c r="Q303" s="509"/>
      <c r="R303" s="509"/>
      <c r="S303" s="509"/>
      <c r="T303" s="509"/>
      <c r="U303" s="509"/>
      <c r="V303" s="509"/>
      <c r="W303" s="509"/>
      <c r="X303" s="509"/>
      <c r="Y303" s="509"/>
      <c r="Z303" s="509"/>
    </row>
    <row r="304" spans="1:26" ht="16.5" customHeight="1" x14ac:dyDescent="0.3">
      <c r="A304" s="509"/>
      <c r="B304" s="509"/>
      <c r="C304" s="509"/>
      <c r="D304" s="509"/>
      <c r="E304" s="509"/>
      <c r="F304" s="509"/>
      <c r="G304" s="509"/>
      <c r="H304" s="509"/>
      <c r="I304" s="509"/>
      <c r="J304" s="509"/>
      <c r="K304" s="509"/>
      <c r="L304" s="509"/>
      <c r="M304" s="509"/>
      <c r="N304" s="509"/>
      <c r="O304" s="509"/>
      <c r="P304" s="509"/>
      <c r="Q304" s="509"/>
      <c r="R304" s="509"/>
      <c r="S304" s="509"/>
      <c r="T304" s="509"/>
      <c r="U304" s="509"/>
      <c r="V304" s="509"/>
      <c r="W304" s="509"/>
      <c r="X304" s="509"/>
      <c r="Y304" s="509"/>
      <c r="Z304" s="509"/>
    </row>
    <row r="305" spans="1:26" ht="16.5" customHeight="1" x14ac:dyDescent="0.3">
      <c r="A305" s="509"/>
      <c r="B305" s="509"/>
      <c r="C305" s="509"/>
      <c r="D305" s="509"/>
      <c r="E305" s="509"/>
      <c r="F305" s="509"/>
      <c r="G305" s="509"/>
      <c r="H305" s="509"/>
      <c r="I305" s="509"/>
      <c r="J305" s="509"/>
      <c r="K305" s="509"/>
      <c r="L305" s="509"/>
      <c r="M305" s="509"/>
      <c r="N305" s="509"/>
      <c r="O305" s="509"/>
      <c r="P305" s="509"/>
      <c r="Q305" s="509"/>
      <c r="R305" s="509"/>
      <c r="S305" s="509"/>
      <c r="T305" s="509"/>
      <c r="U305" s="509"/>
      <c r="V305" s="509"/>
      <c r="W305" s="509"/>
      <c r="X305" s="509"/>
      <c r="Y305" s="509"/>
      <c r="Z305" s="509"/>
    </row>
    <row r="306" spans="1:26" ht="16.5" customHeight="1" x14ac:dyDescent="0.3">
      <c r="A306" s="509"/>
      <c r="B306" s="509"/>
      <c r="C306" s="509"/>
      <c r="D306" s="509"/>
      <c r="E306" s="509"/>
      <c r="F306" s="509"/>
      <c r="G306" s="509"/>
      <c r="H306" s="509"/>
      <c r="I306" s="509"/>
      <c r="J306" s="509"/>
      <c r="K306" s="509"/>
      <c r="L306" s="509"/>
      <c r="M306" s="509"/>
      <c r="N306" s="509"/>
      <c r="O306" s="509"/>
      <c r="P306" s="509"/>
      <c r="Q306" s="509"/>
      <c r="R306" s="509"/>
      <c r="S306" s="509"/>
      <c r="T306" s="509"/>
      <c r="U306" s="509"/>
      <c r="V306" s="509"/>
      <c r="W306" s="509"/>
      <c r="X306" s="509"/>
      <c r="Y306" s="509"/>
      <c r="Z306" s="509"/>
    </row>
    <row r="307" spans="1:26" ht="16.5" customHeight="1" x14ac:dyDescent="0.3">
      <c r="A307" s="509"/>
      <c r="B307" s="509"/>
      <c r="C307" s="509"/>
      <c r="D307" s="509"/>
      <c r="E307" s="509"/>
      <c r="F307" s="509"/>
      <c r="G307" s="509"/>
      <c r="H307" s="509"/>
      <c r="I307" s="509"/>
      <c r="J307" s="509"/>
      <c r="K307" s="509"/>
      <c r="L307" s="509"/>
      <c r="M307" s="509"/>
      <c r="N307" s="509"/>
      <c r="O307" s="509"/>
      <c r="P307" s="509"/>
      <c r="Q307" s="509"/>
      <c r="R307" s="509"/>
      <c r="S307" s="509"/>
      <c r="T307" s="509"/>
      <c r="U307" s="509"/>
      <c r="V307" s="509"/>
      <c r="W307" s="509"/>
      <c r="X307" s="509"/>
      <c r="Y307" s="509"/>
      <c r="Z307" s="509"/>
    </row>
    <row r="308" spans="1:26" ht="16.5" customHeight="1" x14ac:dyDescent="0.3">
      <c r="A308" s="509"/>
      <c r="B308" s="509"/>
      <c r="C308" s="509"/>
      <c r="D308" s="509"/>
      <c r="E308" s="509"/>
      <c r="F308" s="509"/>
      <c r="G308" s="509"/>
      <c r="H308" s="509"/>
      <c r="I308" s="509"/>
      <c r="J308" s="509"/>
      <c r="K308" s="509"/>
      <c r="L308" s="509"/>
      <c r="M308" s="509"/>
      <c r="N308" s="509"/>
      <c r="O308" s="509"/>
      <c r="P308" s="509"/>
      <c r="Q308" s="509"/>
      <c r="R308" s="509"/>
      <c r="S308" s="509"/>
      <c r="T308" s="509"/>
      <c r="U308" s="509"/>
      <c r="V308" s="509"/>
      <c r="W308" s="509"/>
      <c r="X308" s="509"/>
      <c r="Y308" s="509"/>
      <c r="Z308" s="509"/>
    </row>
    <row r="309" spans="1:26" ht="16.5" customHeight="1" x14ac:dyDescent="0.3">
      <c r="A309" s="509"/>
      <c r="B309" s="509"/>
      <c r="C309" s="509"/>
      <c r="D309" s="509"/>
      <c r="E309" s="509"/>
      <c r="F309" s="509"/>
      <c r="G309" s="509"/>
      <c r="H309" s="509"/>
      <c r="I309" s="509"/>
      <c r="J309" s="509"/>
      <c r="K309" s="509"/>
      <c r="L309" s="509"/>
      <c r="M309" s="509"/>
      <c r="N309" s="509"/>
      <c r="O309" s="509"/>
      <c r="P309" s="509"/>
      <c r="Q309" s="509"/>
      <c r="R309" s="509"/>
      <c r="S309" s="509"/>
      <c r="T309" s="509"/>
      <c r="U309" s="509"/>
      <c r="V309" s="509"/>
      <c r="W309" s="509"/>
      <c r="X309" s="509"/>
      <c r="Y309" s="509"/>
      <c r="Z309" s="509"/>
    </row>
    <row r="310" spans="1:26" ht="16.5" customHeight="1" x14ac:dyDescent="0.3">
      <c r="A310" s="509"/>
      <c r="B310" s="509"/>
      <c r="C310" s="509"/>
      <c r="D310" s="509"/>
      <c r="E310" s="509"/>
      <c r="F310" s="509"/>
      <c r="G310" s="509"/>
      <c r="H310" s="509"/>
      <c r="I310" s="509"/>
      <c r="J310" s="509"/>
      <c r="K310" s="509"/>
      <c r="L310" s="509"/>
      <c r="M310" s="509"/>
      <c r="N310" s="509"/>
      <c r="O310" s="509"/>
      <c r="P310" s="509"/>
      <c r="Q310" s="509"/>
      <c r="R310" s="509"/>
      <c r="S310" s="509"/>
      <c r="T310" s="509"/>
      <c r="U310" s="509"/>
      <c r="V310" s="509"/>
      <c r="W310" s="509"/>
      <c r="X310" s="509"/>
      <c r="Y310" s="509"/>
      <c r="Z310" s="509"/>
    </row>
    <row r="311" spans="1:26" ht="16.5" customHeight="1" x14ac:dyDescent="0.3">
      <c r="A311" s="509"/>
      <c r="B311" s="509"/>
      <c r="C311" s="509"/>
      <c r="D311" s="509"/>
      <c r="E311" s="509"/>
      <c r="F311" s="509"/>
      <c r="G311" s="509"/>
      <c r="H311" s="509"/>
      <c r="I311" s="509"/>
      <c r="J311" s="509"/>
      <c r="K311" s="509"/>
      <c r="L311" s="509"/>
      <c r="M311" s="509"/>
      <c r="N311" s="509"/>
      <c r="O311" s="509"/>
      <c r="P311" s="509"/>
      <c r="Q311" s="509"/>
      <c r="R311" s="509"/>
      <c r="S311" s="509"/>
      <c r="T311" s="509"/>
      <c r="U311" s="509"/>
      <c r="V311" s="509"/>
      <c r="W311" s="509"/>
      <c r="X311" s="509"/>
      <c r="Y311" s="509"/>
      <c r="Z311" s="509"/>
    </row>
    <row r="312" spans="1:26" ht="16.5" customHeight="1" x14ac:dyDescent="0.3">
      <c r="A312" s="509"/>
      <c r="B312" s="509"/>
      <c r="C312" s="509"/>
      <c r="D312" s="509"/>
      <c r="E312" s="509"/>
      <c r="F312" s="509"/>
      <c r="G312" s="509"/>
      <c r="H312" s="509"/>
      <c r="I312" s="509"/>
      <c r="J312" s="509"/>
      <c r="K312" s="509"/>
      <c r="L312" s="509"/>
      <c r="M312" s="509"/>
      <c r="N312" s="509"/>
      <c r="O312" s="509"/>
      <c r="P312" s="509"/>
      <c r="Q312" s="509"/>
      <c r="R312" s="509"/>
      <c r="S312" s="509"/>
      <c r="T312" s="509"/>
      <c r="U312" s="509"/>
      <c r="V312" s="509"/>
      <c r="W312" s="509"/>
      <c r="X312" s="509"/>
      <c r="Y312" s="509"/>
      <c r="Z312" s="509"/>
    </row>
    <row r="313" spans="1:26" ht="16.5" customHeight="1" x14ac:dyDescent="0.3">
      <c r="A313" s="509"/>
      <c r="B313" s="509"/>
      <c r="C313" s="509"/>
      <c r="D313" s="509"/>
      <c r="E313" s="509"/>
      <c r="F313" s="509"/>
      <c r="G313" s="509"/>
      <c r="H313" s="509"/>
      <c r="I313" s="509"/>
      <c r="J313" s="509"/>
      <c r="K313" s="509"/>
      <c r="L313" s="509"/>
      <c r="M313" s="509"/>
      <c r="N313" s="509"/>
      <c r="O313" s="509"/>
      <c r="P313" s="509"/>
      <c r="Q313" s="509"/>
      <c r="R313" s="509"/>
      <c r="S313" s="509"/>
      <c r="T313" s="509"/>
      <c r="U313" s="509"/>
      <c r="V313" s="509"/>
      <c r="W313" s="509"/>
      <c r="X313" s="509"/>
      <c r="Y313" s="509"/>
      <c r="Z313" s="509"/>
    </row>
    <row r="314" spans="1:26" ht="16.5" customHeight="1" x14ac:dyDescent="0.3">
      <c r="A314" s="509"/>
      <c r="B314" s="509"/>
      <c r="C314" s="509"/>
      <c r="D314" s="509"/>
      <c r="E314" s="509"/>
      <c r="F314" s="509"/>
      <c r="G314" s="509"/>
      <c r="H314" s="509"/>
      <c r="I314" s="509"/>
      <c r="J314" s="509"/>
      <c r="K314" s="509"/>
      <c r="L314" s="509"/>
      <c r="M314" s="509"/>
      <c r="N314" s="509"/>
      <c r="O314" s="509"/>
      <c r="P314" s="509"/>
      <c r="Q314" s="509"/>
      <c r="R314" s="509"/>
      <c r="S314" s="509"/>
      <c r="T314" s="509"/>
      <c r="U314" s="509"/>
      <c r="V314" s="509"/>
      <c r="W314" s="509"/>
      <c r="X314" s="509"/>
      <c r="Y314" s="509"/>
      <c r="Z314" s="509"/>
    </row>
    <row r="315" spans="1:26" ht="16.5" customHeight="1" x14ac:dyDescent="0.3">
      <c r="A315" s="509"/>
      <c r="B315" s="509"/>
      <c r="C315" s="509"/>
      <c r="D315" s="509"/>
      <c r="E315" s="509"/>
      <c r="F315" s="509"/>
      <c r="G315" s="509"/>
      <c r="H315" s="509"/>
      <c r="I315" s="509"/>
      <c r="J315" s="509"/>
      <c r="K315" s="509"/>
      <c r="L315" s="509"/>
      <c r="M315" s="509"/>
      <c r="N315" s="509"/>
      <c r="O315" s="509"/>
      <c r="P315" s="509"/>
      <c r="Q315" s="509"/>
      <c r="R315" s="509"/>
      <c r="S315" s="509"/>
      <c r="T315" s="509"/>
      <c r="U315" s="509"/>
      <c r="V315" s="509"/>
      <c r="W315" s="509"/>
      <c r="X315" s="509"/>
      <c r="Y315" s="509"/>
      <c r="Z315" s="509"/>
    </row>
    <row r="316" spans="1:26" ht="16.5" customHeight="1" x14ac:dyDescent="0.3">
      <c r="A316" s="509"/>
      <c r="B316" s="509"/>
      <c r="C316" s="509"/>
      <c r="D316" s="509"/>
      <c r="E316" s="509"/>
      <c r="F316" s="509"/>
      <c r="G316" s="509"/>
      <c r="H316" s="509"/>
      <c r="I316" s="509"/>
      <c r="J316" s="509"/>
      <c r="K316" s="509"/>
      <c r="L316" s="509"/>
      <c r="M316" s="509"/>
      <c r="N316" s="509"/>
      <c r="O316" s="509"/>
      <c r="P316" s="509"/>
      <c r="Q316" s="509"/>
      <c r="R316" s="509"/>
      <c r="S316" s="509"/>
      <c r="T316" s="509"/>
      <c r="U316" s="509"/>
      <c r="V316" s="509"/>
      <c r="W316" s="509"/>
      <c r="X316" s="509"/>
      <c r="Y316" s="509"/>
      <c r="Z316" s="509"/>
    </row>
    <row r="317" spans="1:26" ht="16.5" customHeight="1" x14ac:dyDescent="0.3">
      <c r="A317" s="509"/>
      <c r="B317" s="509"/>
      <c r="C317" s="509"/>
      <c r="D317" s="509"/>
      <c r="E317" s="509"/>
      <c r="F317" s="509"/>
      <c r="G317" s="509"/>
      <c r="H317" s="509"/>
      <c r="I317" s="509"/>
      <c r="J317" s="509"/>
      <c r="K317" s="509"/>
      <c r="L317" s="509"/>
      <c r="M317" s="509"/>
      <c r="N317" s="509"/>
      <c r="O317" s="509"/>
      <c r="P317" s="509"/>
      <c r="Q317" s="509"/>
      <c r="R317" s="509"/>
      <c r="S317" s="509"/>
      <c r="T317" s="509"/>
      <c r="U317" s="509"/>
      <c r="V317" s="509"/>
      <c r="W317" s="509"/>
      <c r="X317" s="509"/>
      <c r="Y317" s="509"/>
      <c r="Z317" s="509"/>
    </row>
    <row r="318" spans="1:26" ht="16.5" customHeight="1" x14ac:dyDescent="0.3">
      <c r="A318" s="509"/>
      <c r="B318" s="509"/>
      <c r="C318" s="509"/>
      <c r="D318" s="509"/>
      <c r="E318" s="509"/>
      <c r="F318" s="509"/>
      <c r="G318" s="509"/>
      <c r="H318" s="509"/>
      <c r="I318" s="509"/>
      <c r="J318" s="509"/>
      <c r="K318" s="509"/>
      <c r="L318" s="509"/>
      <c r="M318" s="509"/>
      <c r="N318" s="509"/>
      <c r="O318" s="509"/>
      <c r="P318" s="509"/>
      <c r="Q318" s="509"/>
      <c r="R318" s="509"/>
      <c r="S318" s="509"/>
      <c r="T318" s="509"/>
      <c r="U318" s="509"/>
      <c r="V318" s="509"/>
      <c r="W318" s="509"/>
      <c r="X318" s="509"/>
      <c r="Y318" s="509"/>
      <c r="Z318" s="509"/>
    </row>
    <row r="319" spans="1:26" ht="16.5" customHeight="1" x14ac:dyDescent="0.3">
      <c r="A319" s="509"/>
      <c r="B319" s="509"/>
      <c r="C319" s="509"/>
      <c r="D319" s="509"/>
      <c r="E319" s="509"/>
      <c r="F319" s="509"/>
      <c r="G319" s="509"/>
      <c r="H319" s="509"/>
      <c r="I319" s="509"/>
      <c r="J319" s="509"/>
      <c r="K319" s="509"/>
      <c r="L319" s="509"/>
      <c r="M319" s="509"/>
      <c r="N319" s="509"/>
      <c r="O319" s="509"/>
      <c r="P319" s="509"/>
      <c r="Q319" s="509"/>
      <c r="R319" s="509"/>
      <c r="S319" s="509"/>
      <c r="T319" s="509"/>
      <c r="U319" s="509"/>
      <c r="V319" s="509"/>
      <c r="W319" s="509"/>
      <c r="X319" s="509"/>
      <c r="Y319" s="509"/>
      <c r="Z319" s="509"/>
    </row>
    <row r="320" spans="1:26" ht="16.5" customHeight="1" x14ac:dyDescent="0.3">
      <c r="A320" s="509"/>
      <c r="B320" s="509"/>
      <c r="C320" s="509"/>
      <c r="D320" s="509"/>
      <c r="E320" s="509"/>
      <c r="F320" s="509"/>
      <c r="G320" s="509"/>
      <c r="H320" s="509"/>
      <c r="I320" s="509"/>
      <c r="J320" s="509"/>
      <c r="K320" s="509"/>
      <c r="L320" s="509"/>
      <c r="M320" s="509"/>
      <c r="N320" s="509"/>
      <c r="O320" s="509"/>
      <c r="P320" s="509"/>
      <c r="Q320" s="509"/>
      <c r="R320" s="509"/>
      <c r="S320" s="509"/>
      <c r="T320" s="509"/>
      <c r="U320" s="509"/>
      <c r="V320" s="509"/>
      <c r="W320" s="509"/>
      <c r="X320" s="509"/>
      <c r="Y320" s="509"/>
      <c r="Z320" s="509"/>
    </row>
    <row r="321" spans="1:26" ht="16.5" customHeight="1" x14ac:dyDescent="0.3">
      <c r="A321" s="509"/>
      <c r="B321" s="509"/>
      <c r="C321" s="509"/>
      <c r="D321" s="509"/>
      <c r="E321" s="509"/>
      <c r="F321" s="509"/>
      <c r="G321" s="509"/>
      <c r="H321" s="509"/>
      <c r="I321" s="509"/>
      <c r="J321" s="509"/>
      <c r="K321" s="509"/>
      <c r="L321" s="509"/>
      <c r="M321" s="509"/>
      <c r="N321" s="509"/>
      <c r="O321" s="509"/>
      <c r="P321" s="509"/>
      <c r="Q321" s="509"/>
      <c r="R321" s="509"/>
      <c r="S321" s="509"/>
      <c r="T321" s="509"/>
      <c r="U321" s="509"/>
      <c r="V321" s="509"/>
      <c r="W321" s="509"/>
      <c r="X321" s="509"/>
      <c r="Y321" s="509"/>
      <c r="Z321" s="509"/>
    </row>
    <row r="322" spans="1:26" ht="16.5" customHeight="1" x14ac:dyDescent="0.3">
      <c r="A322" s="509"/>
      <c r="B322" s="509"/>
      <c r="C322" s="509"/>
      <c r="D322" s="509"/>
      <c r="E322" s="509"/>
      <c r="F322" s="509"/>
      <c r="G322" s="509"/>
      <c r="H322" s="509"/>
      <c r="I322" s="509"/>
      <c r="J322" s="509"/>
      <c r="K322" s="509"/>
      <c r="L322" s="509"/>
      <c r="M322" s="509"/>
      <c r="N322" s="509"/>
      <c r="O322" s="509"/>
      <c r="P322" s="509"/>
      <c r="Q322" s="509"/>
      <c r="R322" s="509"/>
      <c r="S322" s="509"/>
      <c r="T322" s="509"/>
      <c r="U322" s="509"/>
      <c r="V322" s="509"/>
      <c r="W322" s="509"/>
      <c r="X322" s="509"/>
      <c r="Y322" s="509"/>
      <c r="Z322" s="509"/>
    </row>
    <row r="323" spans="1:26" ht="16.5" customHeight="1" x14ac:dyDescent="0.3">
      <c r="A323" s="509"/>
      <c r="B323" s="509"/>
      <c r="C323" s="509"/>
      <c r="D323" s="509"/>
      <c r="E323" s="509"/>
      <c r="F323" s="509"/>
      <c r="G323" s="509"/>
      <c r="H323" s="509"/>
      <c r="I323" s="509"/>
      <c r="J323" s="509"/>
      <c r="K323" s="509"/>
      <c r="L323" s="509"/>
      <c r="M323" s="509"/>
      <c r="N323" s="509"/>
      <c r="O323" s="509"/>
      <c r="P323" s="509"/>
      <c r="Q323" s="509"/>
      <c r="R323" s="509"/>
      <c r="S323" s="509"/>
      <c r="T323" s="509"/>
      <c r="U323" s="509"/>
      <c r="V323" s="509"/>
      <c r="W323" s="509"/>
      <c r="X323" s="509"/>
      <c r="Y323" s="509"/>
      <c r="Z323" s="509"/>
    </row>
    <row r="324" spans="1:26" ht="16.5" customHeight="1" x14ac:dyDescent="0.3">
      <c r="A324" s="509"/>
      <c r="B324" s="509"/>
      <c r="C324" s="509"/>
      <c r="D324" s="509"/>
      <c r="E324" s="509"/>
      <c r="F324" s="509"/>
      <c r="G324" s="509"/>
      <c r="H324" s="509"/>
      <c r="I324" s="509"/>
      <c r="J324" s="509"/>
      <c r="K324" s="509"/>
      <c r="L324" s="509"/>
      <c r="M324" s="509"/>
      <c r="N324" s="509"/>
      <c r="O324" s="509"/>
      <c r="P324" s="509"/>
      <c r="Q324" s="509"/>
      <c r="R324" s="509"/>
      <c r="S324" s="509"/>
      <c r="T324" s="509"/>
      <c r="U324" s="509"/>
      <c r="V324" s="509"/>
      <c r="W324" s="509"/>
      <c r="X324" s="509"/>
      <c r="Y324" s="509"/>
      <c r="Z324" s="509"/>
    </row>
    <row r="325" spans="1:26" ht="16.5" customHeight="1" x14ac:dyDescent="0.3">
      <c r="A325" s="509"/>
      <c r="B325" s="509"/>
      <c r="C325" s="509"/>
      <c r="D325" s="509"/>
      <c r="E325" s="509"/>
      <c r="F325" s="509"/>
      <c r="G325" s="509"/>
      <c r="H325" s="509"/>
      <c r="I325" s="509"/>
      <c r="J325" s="509"/>
      <c r="K325" s="509"/>
      <c r="L325" s="509"/>
      <c r="M325" s="509"/>
      <c r="N325" s="509"/>
      <c r="O325" s="509"/>
      <c r="P325" s="509"/>
      <c r="Q325" s="509"/>
      <c r="R325" s="509"/>
      <c r="S325" s="509"/>
      <c r="T325" s="509"/>
      <c r="U325" s="509"/>
      <c r="V325" s="509"/>
      <c r="W325" s="509"/>
      <c r="X325" s="509"/>
      <c r="Y325" s="509"/>
      <c r="Z325" s="509"/>
    </row>
    <row r="326" spans="1:26" ht="16.5" customHeight="1" x14ac:dyDescent="0.3">
      <c r="A326" s="509"/>
      <c r="B326" s="509"/>
      <c r="C326" s="509"/>
      <c r="D326" s="509"/>
      <c r="E326" s="509"/>
      <c r="F326" s="509"/>
      <c r="G326" s="509"/>
      <c r="H326" s="509"/>
      <c r="I326" s="509"/>
      <c r="J326" s="509"/>
      <c r="K326" s="509"/>
      <c r="L326" s="509"/>
      <c r="M326" s="509"/>
      <c r="N326" s="509"/>
      <c r="O326" s="509"/>
      <c r="P326" s="509"/>
      <c r="Q326" s="509"/>
      <c r="R326" s="509"/>
      <c r="S326" s="509"/>
      <c r="T326" s="509"/>
      <c r="U326" s="509"/>
      <c r="V326" s="509"/>
      <c r="W326" s="509"/>
      <c r="X326" s="509"/>
      <c r="Y326" s="509"/>
      <c r="Z326" s="509"/>
    </row>
    <row r="327" spans="1:26" ht="16.5" customHeight="1" x14ac:dyDescent="0.3">
      <c r="A327" s="509"/>
      <c r="B327" s="509"/>
      <c r="C327" s="509"/>
      <c r="D327" s="509"/>
      <c r="E327" s="509"/>
      <c r="F327" s="509"/>
      <c r="G327" s="509"/>
      <c r="H327" s="509"/>
      <c r="I327" s="509"/>
      <c r="J327" s="509"/>
      <c r="K327" s="509"/>
      <c r="L327" s="509"/>
      <c r="M327" s="509"/>
      <c r="N327" s="509"/>
      <c r="O327" s="509"/>
      <c r="P327" s="509"/>
      <c r="Q327" s="509"/>
      <c r="R327" s="509"/>
      <c r="S327" s="509"/>
      <c r="T327" s="509"/>
      <c r="U327" s="509"/>
      <c r="V327" s="509"/>
      <c r="W327" s="509"/>
      <c r="X327" s="509"/>
      <c r="Y327" s="509"/>
      <c r="Z327" s="509"/>
    </row>
    <row r="328" spans="1:26" ht="16.5" customHeight="1" x14ac:dyDescent="0.3">
      <c r="A328" s="509"/>
      <c r="B328" s="509"/>
      <c r="C328" s="509"/>
      <c r="D328" s="509"/>
      <c r="E328" s="509"/>
      <c r="F328" s="509"/>
      <c r="G328" s="509"/>
      <c r="H328" s="509"/>
      <c r="I328" s="509"/>
      <c r="J328" s="509"/>
      <c r="K328" s="509"/>
      <c r="L328" s="509"/>
      <c r="M328" s="509"/>
      <c r="N328" s="509"/>
      <c r="O328" s="509"/>
      <c r="P328" s="509"/>
      <c r="Q328" s="509"/>
      <c r="R328" s="509"/>
      <c r="S328" s="509"/>
      <c r="T328" s="509"/>
      <c r="U328" s="509"/>
      <c r="V328" s="509"/>
      <c r="W328" s="509"/>
      <c r="X328" s="509"/>
      <c r="Y328" s="509"/>
      <c r="Z328" s="509"/>
    </row>
    <row r="329" spans="1:26" ht="16.5" customHeight="1" x14ac:dyDescent="0.3">
      <c r="A329" s="509"/>
      <c r="B329" s="509"/>
      <c r="C329" s="509"/>
      <c r="D329" s="509"/>
      <c r="E329" s="509"/>
      <c r="F329" s="509"/>
      <c r="G329" s="509"/>
      <c r="H329" s="509"/>
      <c r="I329" s="509"/>
      <c r="J329" s="509"/>
      <c r="K329" s="509"/>
      <c r="L329" s="509"/>
      <c r="M329" s="509"/>
      <c r="N329" s="509"/>
      <c r="O329" s="509"/>
      <c r="P329" s="509"/>
      <c r="Q329" s="509"/>
      <c r="R329" s="509"/>
      <c r="S329" s="509"/>
      <c r="T329" s="509"/>
      <c r="U329" s="509"/>
      <c r="V329" s="509"/>
      <c r="W329" s="509"/>
      <c r="X329" s="509"/>
      <c r="Y329" s="509"/>
      <c r="Z329" s="509"/>
    </row>
    <row r="330" spans="1:26" ht="16.5" customHeight="1" x14ac:dyDescent="0.3">
      <c r="A330" s="509"/>
      <c r="B330" s="509"/>
      <c r="C330" s="509"/>
      <c r="D330" s="509"/>
      <c r="E330" s="509"/>
      <c r="F330" s="509"/>
      <c r="G330" s="509"/>
      <c r="H330" s="509"/>
      <c r="I330" s="509"/>
      <c r="J330" s="509"/>
      <c r="K330" s="509"/>
      <c r="L330" s="509"/>
      <c r="M330" s="509"/>
      <c r="N330" s="509"/>
      <c r="O330" s="509"/>
      <c r="P330" s="509"/>
      <c r="Q330" s="509"/>
      <c r="R330" s="509"/>
      <c r="S330" s="509"/>
      <c r="T330" s="509"/>
      <c r="U330" s="509"/>
      <c r="V330" s="509"/>
      <c r="W330" s="509"/>
      <c r="X330" s="509"/>
      <c r="Y330" s="509"/>
      <c r="Z330" s="509"/>
    </row>
    <row r="331" spans="1:26" ht="16.5" customHeight="1" x14ac:dyDescent="0.3">
      <c r="A331" s="509"/>
      <c r="B331" s="509"/>
      <c r="C331" s="509"/>
      <c r="D331" s="509"/>
      <c r="E331" s="509"/>
      <c r="F331" s="509"/>
      <c r="G331" s="509"/>
      <c r="H331" s="509"/>
      <c r="I331" s="509"/>
      <c r="J331" s="509"/>
      <c r="K331" s="509"/>
      <c r="L331" s="509"/>
      <c r="M331" s="509"/>
      <c r="N331" s="509"/>
      <c r="O331" s="509"/>
      <c r="P331" s="509"/>
      <c r="Q331" s="509"/>
      <c r="R331" s="509"/>
      <c r="S331" s="509"/>
      <c r="T331" s="509"/>
      <c r="U331" s="509"/>
      <c r="V331" s="509"/>
      <c r="W331" s="509"/>
      <c r="X331" s="509"/>
      <c r="Y331" s="509"/>
      <c r="Z331" s="509"/>
    </row>
    <row r="332" spans="1:26" ht="16.5" customHeight="1" x14ac:dyDescent="0.3">
      <c r="A332" s="509"/>
      <c r="B332" s="509"/>
      <c r="C332" s="509"/>
      <c r="D332" s="509"/>
      <c r="E332" s="509"/>
      <c r="F332" s="509"/>
      <c r="G332" s="509"/>
      <c r="H332" s="509"/>
      <c r="I332" s="509"/>
      <c r="J332" s="509"/>
      <c r="K332" s="509"/>
      <c r="L332" s="509"/>
      <c r="M332" s="509"/>
      <c r="N332" s="509"/>
      <c r="O332" s="509"/>
      <c r="P332" s="509"/>
      <c r="Q332" s="509"/>
      <c r="R332" s="509"/>
      <c r="S332" s="509"/>
      <c r="T332" s="509"/>
      <c r="U332" s="509"/>
      <c r="V332" s="509"/>
      <c r="W332" s="509"/>
      <c r="X332" s="509"/>
      <c r="Y332" s="509"/>
      <c r="Z332" s="509"/>
    </row>
    <row r="333" spans="1:26" ht="16.5" customHeight="1" x14ac:dyDescent="0.3">
      <c r="A333" s="509"/>
      <c r="B333" s="509"/>
      <c r="C333" s="509"/>
      <c r="D333" s="509"/>
      <c r="E333" s="509"/>
      <c r="F333" s="509"/>
      <c r="G333" s="509"/>
      <c r="H333" s="509"/>
      <c r="I333" s="509"/>
      <c r="J333" s="509"/>
      <c r="K333" s="509"/>
      <c r="L333" s="509"/>
      <c r="M333" s="509"/>
      <c r="N333" s="509"/>
      <c r="O333" s="509"/>
      <c r="P333" s="509"/>
      <c r="Q333" s="509"/>
      <c r="R333" s="509"/>
      <c r="S333" s="509"/>
      <c r="T333" s="509"/>
      <c r="U333" s="509"/>
      <c r="V333" s="509"/>
      <c r="W333" s="509"/>
      <c r="X333" s="509"/>
      <c r="Y333" s="509"/>
      <c r="Z333" s="509"/>
    </row>
    <row r="334" spans="1:26" ht="16.5" customHeight="1" x14ac:dyDescent="0.3">
      <c r="A334" s="509"/>
      <c r="B334" s="509"/>
      <c r="C334" s="509"/>
      <c r="D334" s="509"/>
      <c r="E334" s="509"/>
      <c r="F334" s="509"/>
      <c r="G334" s="509"/>
      <c r="H334" s="509"/>
      <c r="I334" s="509"/>
      <c r="J334" s="509"/>
      <c r="K334" s="509"/>
      <c r="L334" s="509"/>
      <c r="M334" s="509"/>
      <c r="N334" s="509"/>
      <c r="O334" s="509"/>
      <c r="P334" s="509"/>
      <c r="Q334" s="509"/>
      <c r="R334" s="509"/>
      <c r="S334" s="509"/>
      <c r="T334" s="509"/>
      <c r="U334" s="509"/>
      <c r="V334" s="509"/>
      <c r="W334" s="509"/>
      <c r="X334" s="509"/>
      <c r="Y334" s="509"/>
      <c r="Z334" s="509"/>
    </row>
    <row r="335" spans="1:26" ht="16.5" customHeight="1" x14ac:dyDescent="0.3">
      <c r="A335" s="509"/>
      <c r="B335" s="509"/>
      <c r="C335" s="509"/>
      <c r="D335" s="509"/>
      <c r="E335" s="509"/>
      <c r="F335" s="509"/>
      <c r="G335" s="509"/>
      <c r="H335" s="509"/>
      <c r="I335" s="509"/>
      <c r="J335" s="509"/>
      <c r="K335" s="509"/>
      <c r="L335" s="509"/>
      <c r="M335" s="509"/>
      <c r="N335" s="509"/>
      <c r="O335" s="509"/>
      <c r="P335" s="509"/>
      <c r="Q335" s="509"/>
      <c r="R335" s="509"/>
      <c r="S335" s="509"/>
      <c r="T335" s="509"/>
      <c r="U335" s="509"/>
      <c r="V335" s="509"/>
      <c r="W335" s="509"/>
      <c r="X335" s="509"/>
      <c r="Y335" s="509"/>
      <c r="Z335" s="509"/>
    </row>
    <row r="336" spans="1:26" ht="16.5" customHeight="1" x14ac:dyDescent="0.3">
      <c r="A336" s="509"/>
      <c r="B336" s="509"/>
      <c r="C336" s="509"/>
      <c r="D336" s="509"/>
      <c r="E336" s="509"/>
      <c r="F336" s="509"/>
      <c r="G336" s="509"/>
      <c r="H336" s="509"/>
      <c r="I336" s="509"/>
      <c r="J336" s="509"/>
      <c r="K336" s="509"/>
      <c r="L336" s="509"/>
      <c r="M336" s="509"/>
      <c r="N336" s="509"/>
      <c r="O336" s="509"/>
      <c r="P336" s="509"/>
      <c r="Q336" s="509"/>
      <c r="R336" s="509"/>
      <c r="S336" s="509"/>
      <c r="T336" s="509"/>
      <c r="U336" s="509"/>
      <c r="V336" s="509"/>
      <c r="W336" s="509"/>
      <c r="X336" s="509"/>
      <c r="Y336" s="509"/>
      <c r="Z336" s="509"/>
    </row>
    <row r="337" spans="1:26" ht="16.5" customHeight="1" x14ac:dyDescent="0.3">
      <c r="A337" s="509"/>
      <c r="B337" s="509"/>
      <c r="C337" s="509"/>
      <c r="D337" s="509"/>
      <c r="E337" s="509"/>
      <c r="F337" s="509"/>
      <c r="G337" s="509"/>
      <c r="H337" s="509"/>
      <c r="I337" s="509"/>
      <c r="J337" s="509"/>
      <c r="K337" s="509"/>
      <c r="L337" s="509"/>
      <c r="M337" s="509"/>
      <c r="N337" s="509"/>
      <c r="O337" s="509"/>
      <c r="P337" s="509"/>
      <c r="Q337" s="509"/>
      <c r="R337" s="509"/>
      <c r="S337" s="509"/>
      <c r="T337" s="509"/>
      <c r="U337" s="509"/>
      <c r="V337" s="509"/>
      <c r="W337" s="509"/>
      <c r="X337" s="509"/>
      <c r="Y337" s="509"/>
      <c r="Z337" s="509"/>
    </row>
    <row r="338" spans="1:26" ht="16.5" customHeight="1" x14ac:dyDescent="0.3">
      <c r="A338" s="509"/>
      <c r="B338" s="509"/>
      <c r="C338" s="509"/>
      <c r="D338" s="509"/>
      <c r="E338" s="509"/>
      <c r="F338" s="509"/>
      <c r="G338" s="509"/>
      <c r="H338" s="509"/>
      <c r="I338" s="509"/>
      <c r="J338" s="509"/>
      <c r="K338" s="509"/>
      <c r="L338" s="509"/>
      <c r="M338" s="509"/>
      <c r="N338" s="509"/>
      <c r="O338" s="509"/>
      <c r="P338" s="509"/>
      <c r="Q338" s="509"/>
      <c r="R338" s="509"/>
      <c r="S338" s="509"/>
      <c r="T338" s="509"/>
      <c r="U338" s="509"/>
      <c r="V338" s="509"/>
      <c r="W338" s="509"/>
      <c r="X338" s="509"/>
      <c r="Y338" s="509"/>
      <c r="Z338" s="509"/>
    </row>
    <row r="339" spans="1:26" ht="16.5" customHeight="1" x14ac:dyDescent="0.3">
      <c r="A339" s="509"/>
      <c r="B339" s="509"/>
      <c r="C339" s="509"/>
      <c r="D339" s="509"/>
      <c r="E339" s="509"/>
      <c r="F339" s="509"/>
      <c r="G339" s="509"/>
      <c r="H339" s="509"/>
      <c r="I339" s="509"/>
      <c r="J339" s="509"/>
      <c r="K339" s="509"/>
      <c r="L339" s="509"/>
      <c r="M339" s="509"/>
      <c r="N339" s="509"/>
      <c r="O339" s="509"/>
      <c r="P339" s="509"/>
      <c r="Q339" s="509"/>
      <c r="R339" s="509"/>
      <c r="S339" s="509"/>
      <c r="T339" s="509"/>
      <c r="U339" s="509"/>
      <c r="V339" s="509"/>
      <c r="W339" s="509"/>
      <c r="X339" s="509"/>
      <c r="Y339" s="509"/>
      <c r="Z339" s="509"/>
    </row>
    <row r="340" spans="1:26" ht="16.5" customHeight="1" x14ac:dyDescent="0.3">
      <c r="A340" s="509"/>
      <c r="B340" s="509"/>
      <c r="C340" s="509"/>
      <c r="D340" s="509"/>
      <c r="E340" s="509"/>
      <c r="F340" s="509"/>
      <c r="G340" s="509"/>
      <c r="H340" s="509"/>
      <c r="I340" s="509"/>
      <c r="J340" s="509"/>
      <c r="K340" s="509"/>
      <c r="L340" s="509"/>
      <c r="M340" s="509"/>
      <c r="N340" s="509"/>
      <c r="O340" s="509"/>
      <c r="P340" s="509"/>
      <c r="Q340" s="509"/>
      <c r="R340" s="509"/>
      <c r="S340" s="509"/>
      <c r="T340" s="509"/>
      <c r="U340" s="509"/>
      <c r="V340" s="509"/>
      <c r="W340" s="509"/>
      <c r="X340" s="509"/>
      <c r="Y340" s="509"/>
      <c r="Z340" s="509"/>
    </row>
    <row r="341" spans="1:26" ht="16.5" customHeight="1" x14ac:dyDescent="0.3">
      <c r="A341" s="509"/>
      <c r="B341" s="509"/>
      <c r="C341" s="509"/>
      <c r="D341" s="509"/>
      <c r="E341" s="509"/>
      <c r="F341" s="509"/>
      <c r="G341" s="509"/>
      <c r="H341" s="509"/>
      <c r="I341" s="509"/>
      <c r="J341" s="509"/>
      <c r="K341" s="509"/>
      <c r="L341" s="509"/>
      <c r="M341" s="509"/>
      <c r="N341" s="509"/>
      <c r="O341" s="509"/>
      <c r="P341" s="509"/>
      <c r="Q341" s="509"/>
      <c r="R341" s="509"/>
      <c r="S341" s="509"/>
      <c r="T341" s="509"/>
      <c r="U341" s="509"/>
      <c r="V341" s="509"/>
      <c r="W341" s="509"/>
      <c r="X341" s="509"/>
      <c r="Y341" s="509"/>
      <c r="Z341" s="509"/>
    </row>
    <row r="342" spans="1:26" ht="16.5" customHeight="1" x14ac:dyDescent="0.3">
      <c r="A342" s="509"/>
      <c r="B342" s="509"/>
      <c r="C342" s="509"/>
      <c r="D342" s="509"/>
      <c r="E342" s="509"/>
      <c r="F342" s="509"/>
      <c r="G342" s="509"/>
      <c r="H342" s="509"/>
      <c r="I342" s="509"/>
      <c r="J342" s="509"/>
      <c r="K342" s="509"/>
      <c r="L342" s="509"/>
      <c r="M342" s="509"/>
      <c r="N342" s="509"/>
      <c r="O342" s="509"/>
      <c r="P342" s="509"/>
      <c r="Q342" s="509"/>
      <c r="R342" s="509"/>
      <c r="S342" s="509"/>
      <c r="T342" s="509"/>
      <c r="U342" s="509"/>
      <c r="V342" s="509"/>
      <c r="W342" s="509"/>
      <c r="X342" s="509"/>
      <c r="Y342" s="509"/>
      <c r="Z342" s="509"/>
    </row>
    <row r="343" spans="1:26" ht="16.5" customHeight="1" x14ac:dyDescent="0.3">
      <c r="A343" s="509"/>
      <c r="B343" s="509"/>
      <c r="C343" s="509"/>
      <c r="D343" s="509"/>
      <c r="E343" s="509"/>
      <c r="F343" s="509"/>
      <c r="G343" s="509"/>
      <c r="H343" s="509"/>
      <c r="I343" s="509"/>
      <c r="J343" s="509"/>
      <c r="K343" s="509"/>
      <c r="L343" s="509"/>
      <c r="M343" s="509"/>
      <c r="N343" s="509"/>
      <c r="O343" s="509"/>
      <c r="P343" s="509"/>
      <c r="Q343" s="509"/>
      <c r="R343" s="509"/>
      <c r="S343" s="509"/>
      <c r="T343" s="509"/>
      <c r="U343" s="509"/>
      <c r="V343" s="509"/>
      <c r="W343" s="509"/>
      <c r="X343" s="509"/>
      <c r="Y343" s="509"/>
      <c r="Z343" s="509"/>
    </row>
    <row r="344" spans="1:26" ht="16.5" customHeight="1" x14ac:dyDescent="0.3">
      <c r="A344" s="509"/>
      <c r="B344" s="509"/>
      <c r="C344" s="509"/>
      <c r="D344" s="509"/>
      <c r="E344" s="509"/>
      <c r="F344" s="509"/>
      <c r="G344" s="509"/>
      <c r="H344" s="509"/>
      <c r="I344" s="509"/>
      <c r="J344" s="509"/>
      <c r="K344" s="509"/>
      <c r="L344" s="509"/>
      <c r="M344" s="509"/>
      <c r="N344" s="509"/>
      <c r="O344" s="509"/>
      <c r="P344" s="509"/>
      <c r="Q344" s="509"/>
      <c r="R344" s="509"/>
      <c r="S344" s="509"/>
      <c r="T344" s="509"/>
      <c r="U344" s="509"/>
      <c r="V344" s="509"/>
      <c r="W344" s="509"/>
      <c r="X344" s="509"/>
      <c r="Y344" s="509"/>
      <c r="Z344" s="509"/>
    </row>
    <row r="345" spans="1:26" ht="16.5" customHeight="1" x14ac:dyDescent="0.3">
      <c r="A345" s="509"/>
      <c r="B345" s="509"/>
      <c r="C345" s="509"/>
      <c r="D345" s="509"/>
      <c r="E345" s="509"/>
      <c r="F345" s="509"/>
      <c r="G345" s="509"/>
      <c r="H345" s="509"/>
      <c r="I345" s="509"/>
      <c r="J345" s="509"/>
      <c r="K345" s="509"/>
      <c r="L345" s="509"/>
      <c r="M345" s="509"/>
      <c r="N345" s="509"/>
      <c r="O345" s="509"/>
      <c r="P345" s="509"/>
      <c r="Q345" s="509"/>
      <c r="R345" s="509"/>
      <c r="S345" s="509"/>
      <c r="T345" s="509"/>
      <c r="U345" s="509"/>
      <c r="V345" s="509"/>
      <c r="W345" s="509"/>
      <c r="X345" s="509"/>
      <c r="Y345" s="509"/>
      <c r="Z345" s="509"/>
    </row>
    <row r="346" spans="1:26" ht="16.5" customHeight="1" x14ac:dyDescent="0.3">
      <c r="A346" s="509"/>
      <c r="B346" s="509"/>
      <c r="C346" s="509"/>
      <c r="D346" s="509"/>
      <c r="E346" s="509"/>
      <c r="F346" s="509"/>
      <c r="G346" s="509"/>
      <c r="H346" s="509"/>
      <c r="I346" s="509"/>
      <c r="J346" s="509"/>
      <c r="K346" s="509"/>
      <c r="L346" s="509"/>
      <c r="M346" s="509"/>
      <c r="N346" s="509"/>
      <c r="O346" s="509"/>
      <c r="P346" s="509"/>
      <c r="Q346" s="509"/>
      <c r="R346" s="509"/>
      <c r="S346" s="509"/>
      <c r="T346" s="509"/>
      <c r="U346" s="509"/>
      <c r="V346" s="509"/>
      <c r="W346" s="509"/>
      <c r="X346" s="509"/>
      <c r="Y346" s="509"/>
      <c r="Z346" s="509"/>
    </row>
    <row r="347" spans="1:26" ht="16.5" customHeight="1" x14ac:dyDescent="0.3">
      <c r="A347" s="509"/>
      <c r="B347" s="509"/>
      <c r="C347" s="509"/>
      <c r="D347" s="509"/>
      <c r="E347" s="509"/>
      <c r="F347" s="509"/>
      <c r="G347" s="509"/>
      <c r="H347" s="509"/>
      <c r="I347" s="509"/>
      <c r="J347" s="509"/>
      <c r="K347" s="509"/>
      <c r="L347" s="509"/>
      <c r="M347" s="509"/>
      <c r="N347" s="509"/>
      <c r="O347" s="509"/>
      <c r="P347" s="509"/>
      <c r="Q347" s="509"/>
      <c r="R347" s="509"/>
      <c r="S347" s="509"/>
      <c r="T347" s="509"/>
      <c r="U347" s="509"/>
      <c r="V347" s="509"/>
      <c r="W347" s="509"/>
      <c r="X347" s="509"/>
      <c r="Y347" s="509"/>
      <c r="Z347" s="509"/>
    </row>
    <row r="348" spans="1:26" ht="16.5" customHeight="1" x14ac:dyDescent="0.3">
      <c r="A348" s="509"/>
      <c r="B348" s="509"/>
      <c r="C348" s="509"/>
      <c r="D348" s="509"/>
      <c r="E348" s="509"/>
      <c r="F348" s="509"/>
      <c r="G348" s="509"/>
      <c r="H348" s="509"/>
      <c r="I348" s="509"/>
      <c r="J348" s="509"/>
      <c r="K348" s="509"/>
      <c r="L348" s="509"/>
      <c r="M348" s="509"/>
      <c r="N348" s="509"/>
      <c r="O348" s="509"/>
      <c r="P348" s="509"/>
      <c r="Q348" s="509"/>
      <c r="R348" s="509"/>
      <c r="S348" s="509"/>
      <c r="T348" s="509"/>
      <c r="U348" s="509"/>
      <c r="V348" s="509"/>
      <c r="W348" s="509"/>
      <c r="X348" s="509"/>
      <c r="Y348" s="509"/>
      <c r="Z348" s="509"/>
    </row>
    <row r="349" spans="1:26" ht="16.5" customHeight="1" x14ac:dyDescent="0.3">
      <c r="A349" s="509"/>
      <c r="B349" s="509"/>
      <c r="C349" s="509"/>
      <c r="D349" s="509"/>
      <c r="E349" s="509"/>
      <c r="F349" s="509"/>
      <c r="G349" s="509"/>
      <c r="H349" s="509"/>
      <c r="I349" s="509"/>
      <c r="J349" s="509"/>
      <c r="K349" s="509"/>
      <c r="L349" s="509"/>
      <c r="M349" s="509"/>
      <c r="N349" s="509"/>
      <c r="O349" s="509"/>
      <c r="P349" s="509"/>
      <c r="Q349" s="509"/>
      <c r="R349" s="509"/>
      <c r="S349" s="509"/>
      <c r="T349" s="509"/>
      <c r="U349" s="509"/>
      <c r="V349" s="509"/>
      <c r="W349" s="509"/>
      <c r="X349" s="509"/>
      <c r="Y349" s="509"/>
      <c r="Z349" s="509"/>
    </row>
    <row r="350" spans="1:26" ht="16.5" customHeight="1" x14ac:dyDescent="0.3">
      <c r="A350" s="509"/>
      <c r="B350" s="509"/>
      <c r="C350" s="509"/>
      <c r="D350" s="509"/>
      <c r="E350" s="509"/>
      <c r="F350" s="509"/>
      <c r="G350" s="509"/>
      <c r="H350" s="509"/>
      <c r="I350" s="509"/>
      <c r="J350" s="509"/>
      <c r="K350" s="509"/>
      <c r="L350" s="509"/>
      <c r="M350" s="509"/>
      <c r="N350" s="509"/>
      <c r="O350" s="509"/>
      <c r="P350" s="509"/>
      <c r="Q350" s="509"/>
      <c r="R350" s="509"/>
      <c r="S350" s="509"/>
      <c r="T350" s="509"/>
      <c r="U350" s="509"/>
      <c r="V350" s="509"/>
      <c r="W350" s="509"/>
      <c r="X350" s="509"/>
      <c r="Y350" s="509"/>
      <c r="Z350" s="509"/>
    </row>
    <row r="351" spans="1:26" ht="16.5" customHeight="1" x14ac:dyDescent="0.3">
      <c r="A351" s="509"/>
      <c r="B351" s="509"/>
      <c r="C351" s="509"/>
      <c r="D351" s="509"/>
      <c r="E351" s="509"/>
      <c r="F351" s="509"/>
      <c r="G351" s="509"/>
      <c r="H351" s="509"/>
      <c r="I351" s="509"/>
      <c r="J351" s="509"/>
      <c r="K351" s="509"/>
      <c r="L351" s="509"/>
      <c r="M351" s="509"/>
      <c r="N351" s="509"/>
      <c r="O351" s="509"/>
      <c r="P351" s="509"/>
      <c r="Q351" s="509"/>
      <c r="R351" s="509"/>
      <c r="S351" s="509"/>
      <c r="T351" s="509"/>
      <c r="U351" s="509"/>
      <c r="V351" s="509"/>
      <c r="W351" s="509"/>
      <c r="X351" s="509"/>
      <c r="Y351" s="509"/>
      <c r="Z351" s="509"/>
    </row>
    <row r="352" spans="1:26" ht="16.5" customHeight="1" x14ac:dyDescent="0.3">
      <c r="A352" s="509"/>
      <c r="B352" s="509"/>
      <c r="C352" s="509"/>
      <c r="D352" s="509"/>
      <c r="E352" s="509"/>
      <c r="F352" s="509"/>
      <c r="G352" s="509"/>
      <c r="H352" s="509"/>
      <c r="I352" s="509"/>
      <c r="J352" s="509"/>
      <c r="K352" s="509"/>
      <c r="L352" s="509"/>
      <c r="M352" s="509"/>
      <c r="N352" s="509"/>
      <c r="O352" s="509"/>
      <c r="P352" s="509"/>
      <c r="Q352" s="509"/>
      <c r="R352" s="509"/>
      <c r="S352" s="509"/>
      <c r="T352" s="509"/>
      <c r="U352" s="509"/>
      <c r="V352" s="509"/>
      <c r="W352" s="509"/>
      <c r="X352" s="509"/>
      <c r="Y352" s="509"/>
      <c r="Z352" s="509"/>
    </row>
    <row r="353" spans="1:26" ht="16.5" customHeight="1" x14ac:dyDescent="0.3">
      <c r="A353" s="509"/>
      <c r="B353" s="509"/>
      <c r="C353" s="509"/>
      <c r="D353" s="509"/>
      <c r="E353" s="509"/>
      <c r="F353" s="509"/>
      <c r="G353" s="509"/>
      <c r="H353" s="509"/>
      <c r="I353" s="509"/>
      <c r="J353" s="509"/>
      <c r="K353" s="509"/>
      <c r="L353" s="509"/>
      <c r="M353" s="509"/>
      <c r="N353" s="509"/>
      <c r="O353" s="509"/>
      <c r="P353" s="509"/>
      <c r="Q353" s="509"/>
      <c r="R353" s="509"/>
      <c r="S353" s="509"/>
      <c r="T353" s="509"/>
      <c r="U353" s="509"/>
      <c r="V353" s="509"/>
      <c r="W353" s="509"/>
      <c r="X353" s="509"/>
      <c r="Y353" s="509"/>
      <c r="Z353" s="509"/>
    </row>
    <row r="354" spans="1:26" ht="16.5" customHeight="1" x14ac:dyDescent="0.3">
      <c r="A354" s="509"/>
      <c r="B354" s="509"/>
      <c r="C354" s="509"/>
      <c r="D354" s="509"/>
      <c r="E354" s="509"/>
      <c r="F354" s="509"/>
      <c r="G354" s="509"/>
      <c r="H354" s="509"/>
      <c r="I354" s="509"/>
      <c r="J354" s="509"/>
      <c r="K354" s="509"/>
      <c r="L354" s="509"/>
      <c r="M354" s="509"/>
      <c r="N354" s="509"/>
      <c r="O354" s="509"/>
      <c r="P354" s="509"/>
      <c r="Q354" s="509"/>
      <c r="R354" s="509"/>
      <c r="S354" s="509"/>
      <c r="T354" s="509"/>
      <c r="U354" s="509"/>
      <c r="V354" s="509"/>
      <c r="W354" s="509"/>
      <c r="X354" s="509"/>
      <c r="Y354" s="509"/>
      <c r="Z354" s="509"/>
    </row>
    <row r="355" spans="1:26" ht="16.5" customHeight="1" x14ac:dyDescent="0.3">
      <c r="A355" s="509"/>
      <c r="B355" s="509"/>
      <c r="C355" s="509"/>
      <c r="D355" s="509"/>
      <c r="E355" s="509"/>
      <c r="F355" s="509"/>
      <c r="G355" s="509"/>
      <c r="H355" s="509"/>
      <c r="I355" s="509"/>
      <c r="J355" s="509"/>
      <c r="K355" s="509"/>
      <c r="L355" s="509"/>
      <c r="M355" s="509"/>
      <c r="N355" s="509"/>
      <c r="O355" s="509"/>
      <c r="P355" s="509"/>
      <c r="Q355" s="509"/>
      <c r="R355" s="509"/>
      <c r="S355" s="509"/>
      <c r="T355" s="509"/>
      <c r="U355" s="509"/>
      <c r="V355" s="509"/>
      <c r="W355" s="509"/>
      <c r="X355" s="509"/>
      <c r="Y355" s="509"/>
      <c r="Z355" s="509"/>
    </row>
    <row r="356" spans="1:26" ht="16.5" customHeight="1" x14ac:dyDescent="0.3">
      <c r="A356" s="509"/>
      <c r="B356" s="509"/>
      <c r="C356" s="509"/>
      <c r="D356" s="509"/>
      <c r="E356" s="509"/>
      <c r="F356" s="509"/>
      <c r="G356" s="509"/>
      <c r="H356" s="509"/>
      <c r="I356" s="509"/>
      <c r="J356" s="509"/>
      <c r="K356" s="509"/>
      <c r="L356" s="509"/>
      <c r="M356" s="509"/>
      <c r="N356" s="509"/>
      <c r="O356" s="509"/>
      <c r="P356" s="509"/>
      <c r="Q356" s="509"/>
      <c r="R356" s="509"/>
      <c r="S356" s="509"/>
      <c r="T356" s="509"/>
      <c r="U356" s="509"/>
      <c r="V356" s="509"/>
      <c r="W356" s="509"/>
      <c r="X356" s="509"/>
      <c r="Y356" s="509"/>
      <c r="Z356" s="509"/>
    </row>
    <row r="357" spans="1:26" ht="16.5" customHeight="1" x14ac:dyDescent="0.3">
      <c r="A357" s="509"/>
      <c r="B357" s="509"/>
      <c r="C357" s="509"/>
      <c r="D357" s="509"/>
      <c r="E357" s="509"/>
      <c r="F357" s="509"/>
      <c r="G357" s="509"/>
      <c r="H357" s="509"/>
      <c r="I357" s="509"/>
      <c r="J357" s="509"/>
      <c r="K357" s="509"/>
      <c r="L357" s="509"/>
      <c r="M357" s="509"/>
      <c r="N357" s="509"/>
      <c r="O357" s="509"/>
      <c r="P357" s="509"/>
      <c r="Q357" s="509"/>
      <c r="R357" s="509"/>
      <c r="S357" s="509"/>
      <c r="T357" s="509"/>
      <c r="U357" s="509"/>
      <c r="V357" s="509"/>
      <c r="W357" s="509"/>
      <c r="X357" s="509"/>
      <c r="Y357" s="509"/>
      <c r="Z357" s="509"/>
    </row>
    <row r="358" spans="1:26" ht="16.5" customHeight="1" x14ac:dyDescent="0.3">
      <c r="A358" s="509"/>
      <c r="B358" s="509"/>
      <c r="C358" s="509"/>
      <c r="D358" s="509"/>
      <c r="E358" s="509"/>
      <c r="F358" s="509"/>
      <c r="G358" s="509"/>
      <c r="H358" s="509"/>
      <c r="I358" s="509"/>
      <c r="J358" s="509"/>
      <c r="K358" s="509"/>
      <c r="L358" s="509"/>
      <c r="M358" s="509"/>
      <c r="N358" s="509"/>
      <c r="O358" s="509"/>
      <c r="P358" s="509"/>
      <c r="Q358" s="509"/>
      <c r="R358" s="509"/>
      <c r="S358" s="509"/>
      <c r="T358" s="509"/>
      <c r="U358" s="509"/>
      <c r="V358" s="509"/>
      <c r="W358" s="509"/>
      <c r="X358" s="509"/>
      <c r="Y358" s="509"/>
      <c r="Z358" s="509"/>
    </row>
    <row r="359" spans="1:26" ht="16.5" customHeight="1" x14ac:dyDescent="0.3">
      <c r="A359" s="509"/>
      <c r="B359" s="509"/>
      <c r="C359" s="509"/>
      <c r="D359" s="509"/>
      <c r="E359" s="509"/>
      <c r="F359" s="509"/>
      <c r="G359" s="509"/>
      <c r="H359" s="509"/>
      <c r="I359" s="509"/>
      <c r="J359" s="509"/>
      <c r="K359" s="509"/>
      <c r="L359" s="509"/>
      <c r="M359" s="509"/>
      <c r="N359" s="509"/>
      <c r="O359" s="509"/>
      <c r="P359" s="509"/>
      <c r="Q359" s="509"/>
      <c r="R359" s="509"/>
      <c r="S359" s="509"/>
      <c r="T359" s="509"/>
      <c r="U359" s="509"/>
      <c r="V359" s="509"/>
      <c r="W359" s="509"/>
      <c r="X359" s="509"/>
      <c r="Y359" s="509"/>
      <c r="Z359" s="509"/>
    </row>
    <row r="360" spans="1:26" ht="16.5" customHeight="1" x14ac:dyDescent="0.3">
      <c r="A360" s="509"/>
      <c r="B360" s="509"/>
      <c r="C360" s="509"/>
      <c r="D360" s="509"/>
      <c r="E360" s="509"/>
      <c r="F360" s="509"/>
      <c r="G360" s="509"/>
      <c r="H360" s="509"/>
      <c r="I360" s="509"/>
      <c r="J360" s="509"/>
      <c r="K360" s="509"/>
      <c r="L360" s="509"/>
      <c r="M360" s="509"/>
      <c r="N360" s="509"/>
      <c r="O360" s="509"/>
      <c r="P360" s="509"/>
      <c r="Q360" s="509"/>
      <c r="R360" s="509"/>
      <c r="S360" s="509"/>
      <c r="T360" s="509"/>
      <c r="U360" s="509"/>
      <c r="V360" s="509"/>
      <c r="W360" s="509"/>
      <c r="X360" s="509"/>
      <c r="Y360" s="509"/>
      <c r="Z360" s="509"/>
    </row>
    <row r="361" spans="1:26" ht="16.5" customHeight="1" x14ac:dyDescent="0.3">
      <c r="A361" s="509"/>
      <c r="B361" s="509"/>
      <c r="C361" s="509"/>
      <c r="D361" s="509"/>
      <c r="E361" s="509"/>
      <c r="F361" s="509"/>
      <c r="G361" s="509"/>
      <c r="H361" s="509"/>
      <c r="I361" s="509"/>
      <c r="J361" s="509"/>
      <c r="K361" s="509"/>
      <c r="L361" s="509"/>
      <c r="M361" s="509"/>
      <c r="N361" s="509"/>
      <c r="O361" s="509"/>
      <c r="P361" s="509"/>
      <c r="Q361" s="509"/>
      <c r="R361" s="509"/>
      <c r="S361" s="509"/>
      <c r="T361" s="509"/>
      <c r="U361" s="509"/>
      <c r="V361" s="509"/>
      <c r="W361" s="509"/>
      <c r="X361" s="509"/>
      <c r="Y361" s="509"/>
      <c r="Z361" s="509"/>
    </row>
    <row r="362" spans="1:26" ht="16.5" customHeight="1" x14ac:dyDescent="0.3">
      <c r="A362" s="509"/>
      <c r="B362" s="509"/>
      <c r="C362" s="509"/>
      <c r="D362" s="509"/>
      <c r="E362" s="509"/>
      <c r="F362" s="509"/>
      <c r="G362" s="509"/>
      <c r="H362" s="509"/>
      <c r="I362" s="509"/>
      <c r="J362" s="509"/>
      <c r="K362" s="509"/>
      <c r="L362" s="509"/>
      <c r="M362" s="509"/>
      <c r="N362" s="509"/>
      <c r="O362" s="509"/>
      <c r="P362" s="509"/>
      <c r="Q362" s="509"/>
      <c r="R362" s="509"/>
      <c r="S362" s="509"/>
      <c r="T362" s="509"/>
      <c r="U362" s="509"/>
      <c r="V362" s="509"/>
      <c r="W362" s="509"/>
      <c r="X362" s="509"/>
      <c r="Y362" s="509"/>
      <c r="Z362" s="509"/>
    </row>
    <row r="363" spans="1:26" ht="16.5" customHeight="1" x14ac:dyDescent="0.3">
      <c r="A363" s="509"/>
      <c r="B363" s="509"/>
      <c r="C363" s="509"/>
      <c r="D363" s="509"/>
      <c r="E363" s="509"/>
      <c r="F363" s="509"/>
      <c r="G363" s="509"/>
      <c r="H363" s="509"/>
      <c r="I363" s="509"/>
      <c r="J363" s="509"/>
      <c r="K363" s="509"/>
      <c r="L363" s="509"/>
      <c r="M363" s="509"/>
      <c r="N363" s="509"/>
      <c r="O363" s="509"/>
      <c r="P363" s="509"/>
      <c r="Q363" s="509"/>
      <c r="R363" s="509"/>
      <c r="S363" s="509"/>
      <c r="T363" s="509"/>
      <c r="U363" s="509"/>
      <c r="V363" s="509"/>
      <c r="W363" s="509"/>
      <c r="X363" s="509"/>
      <c r="Y363" s="509"/>
      <c r="Z363" s="509"/>
    </row>
    <row r="364" spans="1:26" ht="16.5" customHeight="1" x14ac:dyDescent="0.3">
      <c r="A364" s="509"/>
      <c r="B364" s="509"/>
      <c r="C364" s="509"/>
      <c r="D364" s="509"/>
      <c r="E364" s="509"/>
      <c r="F364" s="509"/>
      <c r="G364" s="509"/>
      <c r="H364" s="509"/>
      <c r="I364" s="509"/>
      <c r="J364" s="509"/>
      <c r="K364" s="509"/>
      <c r="L364" s="509"/>
      <c r="M364" s="509"/>
      <c r="N364" s="509"/>
      <c r="O364" s="509"/>
      <c r="P364" s="509"/>
      <c r="Q364" s="509"/>
      <c r="R364" s="509"/>
      <c r="S364" s="509"/>
      <c r="T364" s="509"/>
      <c r="U364" s="509"/>
      <c r="V364" s="509"/>
      <c r="W364" s="509"/>
      <c r="X364" s="509"/>
      <c r="Y364" s="509"/>
      <c r="Z364" s="509"/>
    </row>
    <row r="365" spans="1:26" ht="16.5" customHeight="1" x14ac:dyDescent="0.3">
      <c r="A365" s="509"/>
      <c r="B365" s="509"/>
      <c r="C365" s="509"/>
      <c r="D365" s="509"/>
      <c r="E365" s="509"/>
      <c r="F365" s="509"/>
      <c r="G365" s="509"/>
      <c r="H365" s="509"/>
      <c r="I365" s="509"/>
      <c r="J365" s="509"/>
      <c r="K365" s="509"/>
      <c r="L365" s="509"/>
      <c r="M365" s="509"/>
      <c r="N365" s="509"/>
      <c r="O365" s="509"/>
      <c r="P365" s="509"/>
      <c r="Q365" s="509"/>
      <c r="R365" s="509"/>
      <c r="S365" s="509"/>
      <c r="T365" s="509"/>
      <c r="U365" s="509"/>
      <c r="V365" s="509"/>
      <c r="W365" s="509"/>
      <c r="X365" s="509"/>
      <c r="Y365" s="509"/>
      <c r="Z365" s="509"/>
    </row>
    <row r="366" spans="1:26" ht="16.5" customHeight="1" x14ac:dyDescent="0.3">
      <c r="A366" s="509"/>
      <c r="B366" s="509"/>
      <c r="C366" s="509"/>
      <c r="D366" s="509"/>
      <c r="E366" s="509"/>
      <c r="F366" s="509"/>
      <c r="G366" s="509"/>
      <c r="H366" s="509"/>
      <c r="I366" s="509"/>
      <c r="J366" s="509"/>
      <c r="K366" s="509"/>
      <c r="L366" s="509"/>
      <c r="M366" s="509"/>
      <c r="N366" s="509"/>
      <c r="O366" s="509"/>
      <c r="P366" s="509"/>
      <c r="Q366" s="509"/>
      <c r="R366" s="509"/>
      <c r="S366" s="509"/>
      <c r="T366" s="509"/>
      <c r="U366" s="509"/>
      <c r="V366" s="509"/>
      <c r="W366" s="509"/>
      <c r="X366" s="509"/>
      <c r="Y366" s="509"/>
      <c r="Z366" s="509"/>
    </row>
    <row r="367" spans="1:26" ht="16.5" customHeight="1" x14ac:dyDescent="0.3">
      <c r="A367" s="509"/>
      <c r="B367" s="509"/>
      <c r="C367" s="509"/>
      <c r="D367" s="509"/>
      <c r="E367" s="509"/>
      <c r="F367" s="509"/>
      <c r="G367" s="509"/>
      <c r="H367" s="509"/>
      <c r="I367" s="509"/>
      <c r="J367" s="509"/>
      <c r="K367" s="509"/>
      <c r="L367" s="509"/>
      <c r="M367" s="509"/>
      <c r="N367" s="509"/>
      <c r="O367" s="509"/>
      <c r="P367" s="509"/>
      <c r="Q367" s="509"/>
      <c r="R367" s="509"/>
      <c r="S367" s="509"/>
      <c r="T367" s="509"/>
      <c r="U367" s="509"/>
      <c r="V367" s="509"/>
      <c r="W367" s="509"/>
      <c r="X367" s="509"/>
      <c r="Y367" s="509"/>
      <c r="Z367" s="509"/>
    </row>
    <row r="368" spans="1:26" ht="16.5" customHeight="1" x14ac:dyDescent="0.3">
      <c r="A368" s="509"/>
      <c r="B368" s="509"/>
      <c r="C368" s="509"/>
      <c r="D368" s="509"/>
      <c r="E368" s="509"/>
      <c r="F368" s="509"/>
      <c r="G368" s="509"/>
      <c r="H368" s="509"/>
      <c r="I368" s="509"/>
      <c r="J368" s="509"/>
      <c r="K368" s="509"/>
      <c r="L368" s="509"/>
      <c r="M368" s="509"/>
      <c r="N368" s="509"/>
      <c r="O368" s="509"/>
      <c r="P368" s="509"/>
      <c r="Q368" s="509"/>
      <c r="R368" s="509"/>
      <c r="S368" s="509"/>
      <c r="T368" s="509"/>
      <c r="U368" s="509"/>
      <c r="V368" s="509"/>
      <c r="W368" s="509"/>
      <c r="X368" s="509"/>
      <c r="Y368" s="509"/>
      <c r="Z368" s="509"/>
    </row>
    <row r="369" spans="1:26" ht="16.5" customHeight="1" x14ac:dyDescent="0.3">
      <c r="A369" s="509"/>
      <c r="B369" s="509"/>
      <c r="C369" s="509"/>
      <c r="D369" s="509"/>
      <c r="E369" s="509"/>
      <c r="F369" s="509"/>
      <c r="G369" s="509"/>
      <c r="H369" s="509"/>
      <c r="I369" s="509"/>
      <c r="J369" s="509"/>
      <c r="K369" s="509"/>
      <c r="L369" s="509"/>
      <c r="M369" s="509"/>
      <c r="N369" s="509"/>
      <c r="O369" s="509"/>
      <c r="P369" s="509"/>
      <c r="Q369" s="509"/>
      <c r="R369" s="509"/>
      <c r="S369" s="509"/>
      <c r="T369" s="509"/>
      <c r="U369" s="509"/>
      <c r="V369" s="509"/>
      <c r="W369" s="509"/>
      <c r="X369" s="509"/>
      <c r="Y369" s="509"/>
      <c r="Z369" s="509"/>
    </row>
    <row r="370" spans="1:26" ht="16.5" customHeight="1" x14ac:dyDescent="0.3">
      <c r="A370" s="509"/>
      <c r="B370" s="509"/>
      <c r="C370" s="509"/>
      <c r="D370" s="509"/>
      <c r="E370" s="509"/>
      <c r="F370" s="509"/>
      <c r="G370" s="509"/>
      <c r="H370" s="509"/>
      <c r="I370" s="509"/>
      <c r="J370" s="509"/>
      <c r="K370" s="509"/>
      <c r="L370" s="509"/>
      <c r="M370" s="509"/>
      <c r="N370" s="509"/>
      <c r="O370" s="509"/>
      <c r="P370" s="509"/>
      <c r="Q370" s="509"/>
      <c r="R370" s="509"/>
      <c r="S370" s="509"/>
      <c r="T370" s="509"/>
      <c r="U370" s="509"/>
      <c r="V370" s="509"/>
      <c r="W370" s="509"/>
      <c r="X370" s="509"/>
      <c r="Y370" s="509"/>
      <c r="Z370" s="509"/>
    </row>
    <row r="371" spans="1:26" ht="16.5" customHeight="1" x14ac:dyDescent="0.3">
      <c r="A371" s="509"/>
      <c r="B371" s="509"/>
      <c r="C371" s="509"/>
      <c r="D371" s="509"/>
      <c r="E371" s="509"/>
      <c r="F371" s="509"/>
      <c r="G371" s="509"/>
      <c r="H371" s="509"/>
      <c r="I371" s="509"/>
      <c r="J371" s="509"/>
      <c r="K371" s="509"/>
      <c r="L371" s="509"/>
      <c r="M371" s="509"/>
      <c r="N371" s="509"/>
      <c r="O371" s="509"/>
      <c r="P371" s="509"/>
      <c r="Q371" s="509"/>
      <c r="R371" s="509"/>
      <c r="S371" s="509"/>
      <c r="T371" s="509"/>
      <c r="U371" s="509"/>
      <c r="V371" s="509"/>
      <c r="W371" s="509"/>
      <c r="X371" s="509"/>
      <c r="Y371" s="509"/>
      <c r="Z371" s="509"/>
    </row>
    <row r="372" spans="1:26" ht="16.5" customHeight="1" x14ac:dyDescent="0.3">
      <c r="A372" s="509"/>
      <c r="B372" s="509"/>
      <c r="C372" s="509"/>
      <c r="D372" s="509"/>
      <c r="E372" s="509"/>
      <c r="F372" s="509"/>
      <c r="G372" s="509"/>
      <c r="H372" s="509"/>
      <c r="I372" s="509"/>
      <c r="J372" s="509"/>
      <c r="K372" s="509"/>
      <c r="L372" s="509"/>
      <c r="M372" s="509"/>
      <c r="N372" s="509"/>
      <c r="O372" s="509"/>
      <c r="P372" s="509"/>
      <c r="Q372" s="509"/>
      <c r="R372" s="509"/>
      <c r="S372" s="509"/>
      <c r="T372" s="509"/>
      <c r="U372" s="509"/>
      <c r="V372" s="509"/>
      <c r="W372" s="509"/>
      <c r="X372" s="509"/>
      <c r="Y372" s="509"/>
      <c r="Z372" s="509"/>
    </row>
    <row r="373" spans="1:26" ht="16.5" customHeight="1" x14ac:dyDescent="0.3">
      <c r="A373" s="509"/>
      <c r="B373" s="509"/>
      <c r="C373" s="509"/>
      <c r="D373" s="509"/>
      <c r="E373" s="509"/>
      <c r="F373" s="509"/>
      <c r="G373" s="509"/>
      <c r="H373" s="509"/>
      <c r="I373" s="509"/>
      <c r="J373" s="509"/>
      <c r="K373" s="509"/>
      <c r="L373" s="509"/>
      <c r="M373" s="509"/>
      <c r="N373" s="509"/>
      <c r="O373" s="509"/>
      <c r="P373" s="509"/>
      <c r="Q373" s="509"/>
      <c r="R373" s="509"/>
      <c r="S373" s="509"/>
      <c r="T373" s="509"/>
      <c r="U373" s="509"/>
      <c r="V373" s="509"/>
      <c r="W373" s="509"/>
      <c r="X373" s="509"/>
      <c r="Y373" s="509"/>
      <c r="Z373" s="509"/>
    </row>
    <row r="374" spans="1:26" ht="16.5" customHeight="1" x14ac:dyDescent="0.3">
      <c r="A374" s="509"/>
      <c r="B374" s="509"/>
      <c r="C374" s="509"/>
      <c r="D374" s="509"/>
      <c r="E374" s="509"/>
      <c r="F374" s="509"/>
      <c r="G374" s="509"/>
      <c r="H374" s="509"/>
      <c r="I374" s="509"/>
      <c r="J374" s="509"/>
      <c r="K374" s="509"/>
      <c r="L374" s="509"/>
      <c r="M374" s="509"/>
      <c r="N374" s="509"/>
      <c r="O374" s="509"/>
      <c r="P374" s="509"/>
      <c r="Q374" s="509"/>
      <c r="R374" s="509"/>
      <c r="S374" s="509"/>
      <c r="T374" s="509"/>
      <c r="U374" s="509"/>
      <c r="V374" s="509"/>
      <c r="W374" s="509"/>
      <c r="X374" s="509"/>
      <c r="Y374" s="509"/>
      <c r="Z374" s="509"/>
    </row>
    <row r="375" spans="1:26" ht="16.5" customHeight="1" x14ac:dyDescent="0.3">
      <c r="A375" s="509"/>
      <c r="B375" s="509"/>
      <c r="C375" s="509"/>
      <c r="D375" s="509"/>
      <c r="E375" s="509"/>
      <c r="F375" s="509"/>
      <c r="G375" s="509"/>
      <c r="H375" s="509"/>
      <c r="I375" s="509"/>
      <c r="J375" s="509"/>
      <c r="K375" s="509"/>
      <c r="L375" s="509"/>
      <c r="M375" s="509"/>
      <c r="N375" s="509"/>
      <c r="O375" s="509"/>
      <c r="P375" s="509"/>
      <c r="Q375" s="509"/>
      <c r="R375" s="509"/>
      <c r="S375" s="509"/>
      <c r="T375" s="509"/>
      <c r="U375" s="509"/>
      <c r="V375" s="509"/>
      <c r="W375" s="509"/>
      <c r="X375" s="509"/>
      <c r="Y375" s="509"/>
      <c r="Z375" s="509"/>
    </row>
    <row r="376" spans="1:26" ht="16.5" customHeight="1" x14ac:dyDescent="0.3">
      <c r="A376" s="509"/>
      <c r="B376" s="509"/>
      <c r="C376" s="509"/>
      <c r="D376" s="509"/>
      <c r="E376" s="509"/>
      <c r="F376" s="509"/>
      <c r="G376" s="509"/>
      <c r="H376" s="509"/>
      <c r="I376" s="509"/>
      <c r="J376" s="509"/>
      <c r="K376" s="509"/>
      <c r="L376" s="509"/>
      <c r="M376" s="509"/>
      <c r="N376" s="509"/>
      <c r="O376" s="509"/>
      <c r="P376" s="509"/>
      <c r="Q376" s="509"/>
      <c r="R376" s="509"/>
      <c r="S376" s="509"/>
      <c r="T376" s="509"/>
      <c r="U376" s="509"/>
      <c r="V376" s="509"/>
      <c r="W376" s="509"/>
      <c r="X376" s="509"/>
      <c r="Y376" s="509"/>
      <c r="Z376" s="509"/>
    </row>
    <row r="377" spans="1:26" ht="16.5" customHeight="1" x14ac:dyDescent="0.3">
      <c r="A377" s="509"/>
      <c r="B377" s="509"/>
      <c r="C377" s="509"/>
      <c r="D377" s="509"/>
      <c r="E377" s="509"/>
      <c r="F377" s="509"/>
      <c r="G377" s="509"/>
      <c r="H377" s="509"/>
      <c r="I377" s="509"/>
      <c r="J377" s="509"/>
      <c r="K377" s="509"/>
      <c r="L377" s="509"/>
      <c r="M377" s="509"/>
      <c r="N377" s="509"/>
      <c r="O377" s="509"/>
      <c r="P377" s="509"/>
      <c r="Q377" s="509"/>
      <c r="R377" s="509"/>
      <c r="S377" s="509"/>
      <c r="T377" s="509"/>
      <c r="U377" s="509"/>
      <c r="V377" s="509"/>
      <c r="W377" s="509"/>
      <c r="X377" s="509"/>
      <c r="Y377" s="509"/>
      <c r="Z377" s="509"/>
    </row>
    <row r="378" spans="1:26" ht="16.5" customHeight="1" x14ac:dyDescent="0.3">
      <c r="A378" s="509"/>
      <c r="B378" s="509"/>
      <c r="C378" s="509"/>
      <c r="D378" s="509"/>
      <c r="E378" s="509"/>
      <c r="F378" s="509"/>
      <c r="G378" s="509"/>
      <c r="H378" s="509"/>
      <c r="I378" s="509"/>
      <c r="J378" s="509"/>
      <c r="K378" s="509"/>
      <c r="L378" s="509"/>
      <c r="M378" s="509"/>
      <c r="N378" s="509"/>
      <c r="O378" s="509"/>
      <c r="P378" s="509"/>
      <c r="Q378" s="509"/>
      <c r="R378" s="509"/>
      <c r="S378" s="509"/>
      <c r="T378" s="509"/>
      <c r="U378" s="509"/>
      <c r="V378" s="509"/>
      <c r="W378" s="509"/>
      <c r="X378" s="509"/>
      <c r="Y378" s="509"/>
      <c r="Z378" s="509"/>
    </row>
    <row r="379" spans="1:26" ht="16.5" customHeight="1" x14ac:dyDescent="0.3">
      <c r="A379" s="509"/>
      <c r="B379" s="509"/>
      <c r="C379" s="509"/>
      <c r="D379" s="509"/>
      <c r="E379" s="509"/>
      <c r="F379" s="509"/>
      <c r="G379" s="509"/>
      <c r="H379" s="509"/>
      <c r="I379" s="509"/>
      <c r="J379" s="509"/>
      <c r="K379" s="509"/>
      <c r="L379" s="509"/>
      <c r="M379" s="509"/>
      <c r="N379" s="509"/>
      <c r="O379" s="509"/>
      <c r="P379" s="509"/>
      <c r="Q379" s="509"/>
      <c r="R379" s="509"/>
      <c r="S379" s="509"/>
      <c r="T379" s="509"/>
      <c r="U379" s="509"/>
      <c r="V379" s="509"/>
      <c r="W379" s="509"/>
      <c r="X379" s="509"/>
      <c r="Y379" s="509"/>
      <c r="Z379" s="509"/>
    </row>
    <row r="380" spans="1:26" ht="16.5" customHeight="1" x14ac:dyDescent="0.3">
      <c r="A380" s="509"/>
      <c r="B380" s="509"/>
      <c r="C380" s="509"/>
      <c r="D380" s="509"/>
      <c r="E380" s="509"/>
      <c r="F380" s="509"/>
      <c r="G380" s="509"/>
      <c r="H380" s="509"/>
      <c r="I380" s="509"/>
      <c r="J380" s="509"/>
      <c r="K380" s="509"/>
      <c r="L380" s="509"/>
      <c r="M380" s="509"/>
      <c r="N380" s="509"/>
      <c r="O380" s="509"/>
      <c r="P380" s="509"/>
      <c r="Q380" s="509"/>
      <c r="R380" s="509"/>
      <c r="S380" s="509"/>
      <c r="T380" s="509"/>
      <c r="U380" s="509"/>
      <c r="V380" s="509"/>
      <c r="W380" s="509"/>
      <c r="X380" s="509"/>
      <c r="Y380" s="509"/>
      <c r="Z380" s="509"/>
    </row>
    <row r="381" spans="1:26" ht="16.5" customHeight="1" x14ac:dyDescent="0.3">
      <c r="A381" s="509"/>
      <c r="B381" s="509"/>
      <c r="C381" s="509"/>
      <c r="D381" s="509"/>
      <c r="E381" s="509"/>
      <c r="F381" s="509"/>
      <c r="G381" s="509"/>
      <c r="H381" s="509"/>
      <c r="I381" s="509"/>
      <c r="J381" s="509"/>
      <c r="K381" s="509"/>
      <c r="L381" s="509"/>
      <c r="M381" s="509"/>
      <c r="N381" s="509"/>
      <c r="O381" s="509"/>
      <c r="P381" s="509"/>
      <c r="Q381" s="509"/>
      <c r="R381" s="509"/>
      <c r="S381" s="509"/>
      <c r="T381" s="509"/>
      <c r="U381" s="509"/>
      <c r="V381" s="509"/>
      <c r="W381" s="509"/>
      <c r="X381" s="509"/>
      <c r="Y381" s="509"/>
      <c r="Z381" s="509"/>
    </row>
    <row r="382" spans="1:26" ht="16.5" customHeight="1" x14ac:dyDescent="0.3">
      <c r="A382" s="509"/>
      <c r="B382" s="509"/>
      <c r="C382" s="509"/>
      <c r="D382" s="509"/>
      <c r="E382" s="509"/>
      <c r="F382" s="509"/>
      <c r="G382" s="509"/>
      <c r="H382" s="509"/>
      <c r="I382" s="509"/>
      <c r="J382" s="509"/>
      <c r="K382" s="509"/>
      <c r="L382" s="509"/>
      <c r="M382" s="509"/>
      <c r="N382" s="509"/>
      <c r="O382" s="509"/>
      <c r="P382" s="509"/>
      <c r="Q382" s="509"/>
      <c r="R382" s="509"/>
      <c r="S382" s="509"/>
      <c r="T382" s="509"/>
      <c r="U382" s="509"/>
      <c r="V382" s="509"/>
      <c r="W382" s="509"/>
      <c r="X382" s="509"/>
      <c r="Y382" s="509"/>
      <c r="Z382" s="509"/>
    </row>
    <row r="383" spans="1:26" ht="16.5" customHeight="1" x14ac:dyDescent="0.3">
      <c r="A383" s="509"/>
      <c r="B383" s="509"/>
      <c r="C383" s="509"/>
      <c r="D383" s="509"/>
      <c r="E383" s="509"/>
      <c r="F383" s="509"/>
      <c r="G383" s="509"/>
      <c r="H383" s="509"/>
      <c r="I383" s="509"/>
      <c r="J383" s="509"/>
      <c r="K383" s="509"/>
      <c r="L383" s="509"/>
      <c r="M383" s="509"/>
      <c r="N383" s="509"/>
      <c r="O383" s="509"/>
      <c r="P383" s="509"/>
      <c r="Q383" s="509"/>
      <c r="R383" s="509"/>
      <c r="S383" s="509"/>
      <c r="T383" s="509"/>
      <c r="U383" s="509"/>
      <c r="V383" s="509"/>
      <c r="W383" s="509"/>
      <c r="X383" s="509"/>
      <c r="Y383" s="509"/>
      <c r="Z383" s="509"/>
    </row>
    <row r="384" spans="1:26" ht="16.5" customHeight="1" x14ac:dyDescent="0.3">
      <c r="A384" s="509"/>
      <c r="B384" s="509"/>
      <c r="C384" s="509"/>
      <c r="D384" s="509"/>
      <c r="E384" s="509"/>
      <c r="F384" s="509"/>
      <c r="G384" s="509"/>
      <c r="H384" s="509"/>
      <c r="I384" s="509"/>
      <c r="J384" s="509"/>
      <c r="K384" s="509"/>
      <c r="L384" s="509"/>
      <c r="M384" s="509"/>
      <c r="N384" s="509"/>
      <c r="O384" s="509"/>
      <c r="P384" s="509"/>
      <c r="Q384" s="509"/>
      <c r="R384" s="509"/>
      <c r="S384" s="509"/>
      <c r="T384" s="509"/>
      <c r="U384" s="509"/>
      <c r="V384" s="509"/>
      <c r="W384" s="509"/>
      <c r="X384" s="509"/>
      <c r="Y384" s="509"/>
      <c r="Z384" s="509"/>
    </row>
    <row r="385" spans="1:26" ht="16.5" customHeight="1" x14ac:dyDescent="0.3">
      <c r="A385" s="509"/>
      <c r="B385" s="509"/>
      <c r="C385" s="509"/>
      <c r="D385" s="509"/>
      <c r="E385" s="509"/>
      <c r="F385" s="509"/>
      <c r="G385" s="509"/>
      <c r="H385" s="509"/>
      <c r="I385" s="509"/>
      <c r="J385" s="509"/>
      <c r="K385" s="509"/>
      <c r="L385" s="509"/>
      <c r="M385" s="509"/>
      <c r="N385" s="509"/>
      <c r="O385" s="509"/>
      <c r="P385" s="509"/>
      <c r="Q385" s="509"/>
      <c r="R385" s="509"/>
      <c r="S385" s="509"/>
      <c r="T385" s="509"/>
      <c r="U385" s="509"/>
      <c r="V385" s="509"/>
      <c r="W385" s="509"/>
      <c r="X385" s="509"/>
      <c r="Y385" s="509"/>
      <c r="Z385" s="509"/>
    </row>
    <row r="386" spans="1:26" ht="16.5" customHeight="1" x14ac:dyDescent="0.3">
      <c r="A386" s="509"/>
      <c r="B386" s="509"/>
      <c r="C386" s="509"/>
      <c r="D386" s="509"/>
      <c r="E386" s="509"/>
      <c r="F386" s="509"/>
      <c r="G386" s="509"/>
      <c r="H386" s="509"/>
      <c r="I386" s="509"/>
      <c r="J386" s="509"/>
      <c r="K386" s="509"/>
      <c r="L386" s="509"/>
      <c r="M386" s="509"/>
      <c r="N386" s="509"/>
      <c r="O386" s="509"/>
      <c r="P386" s="509"/>
      <c r="Q386" s="509"/>
      <c r="R386" s="509"/>
      <c r="S386" s="509"/>
      <c r="T386" s="509"/>
      <c r="U386" s="509"/>
      <c r="V386" s="509"/>
      <c r="W386" s="509"/>
      <c r="X386" s="509"/>
      <c r="Y386" s="509"/>
      <c r="Z386" s="509"/>
    </row>
    <row r="387" spans="1:26" ht="16.5" customHeight="1" x14ac:dyDescent="0.3">
      <c r="A387" s="509"/>
      <c r="B387" s="509"/>
      <c r="C387" s="509"/>
      <c r="D387" s="509"/>
      <c r="E387" s="509"/>
      <c r="F387" s="509"/>
      <c r="G387" s="509"/>
      <c r="H387" s="509"/>
      <c r="I387" s="509"/>
      <c r="J387" s="509"/>
      <c r="K387" s="509"/>
      <c r="L387" s="509"/>
      <c r="M387" s="509"/>
      <c r="N387" s="509"/>
      <c r="O387" s="509"/>
      <c r="P387" s="509"/>
      <c r="Q387" s="509"/>
      <c r="R387" s="509"/>
      <c r="S387" s="509"/>
      <c r="T387" s="509"/>
      <c r="U387" s="509"/>
      <c r="V387" s="509"/>
      <c r="W387" s="509"/>
      <c r="X387" s="509"/>
      <c r="Y387" s="509"/>
      <c r="Z387" s="509"/>
    </row>
    <row r="388" spans="1:26" ht="16.5" customHeight="1" x14ac:dyDescent="0.3">
      <c r="A388" s="509"/>
      <c r="B388" s="509"/>
      <c r="C388" s="509"/>
      <c r="D388" s="509"/>
      <c r="E388" s="509"/>
      <c r="F388" s="509"/>
      <c r="G388" s="509"/>
      <c r="H388" s="509"/>
      <c r="I388" s="509"/>
      <c r="J388" s="509"/>
      <c r="K388" s="509"/>
      <c r="L388" s="509"/>
      <c r="M388" s="509"/>
      <c r="N388" s="509"/>
      <c r="O388" s="509"/>
      <c r="P388" s="509"/>
      <c r="Q388" s="509"/>
      <c r="R388" s="509"/>
      <c r="S388" s="509"/>
      <c r="T388" s="509"/>
      <c r="U388" s="509"/>
      <c r="V388" s="509"/>
      <c r="W388" s="509"/>
      <c r="X388" s="509"/>
      <c r="Y388" s="509"/>
      <c r="Z388" s="509"/>
    </row>
    <row r="389" spans="1:26" ht="16.5" customHeight="1" x14ac:dyDescent="0.3">
      <c r="A389" s="509"/>
      <c r="B389" s="509"/>
      <c r="C389" s="509"/>
      <c r="D389" s="509"/>
      <c r="E389" s="509"/>
      <c r="F389" s="509"/>
      <c r="G389" s="509"/>
      <c r="H389" s="509"/>
      <c r="I389" s="509"/>
      <c r="J389" s="509"/>
      <c r="K389" s="509"/>
      <c r="L389" s="509"/>
      <c r="M389" s="509"/>
      <c r="N389" s="509"/>
      <c r="O389" s="509"/>
      <c r="P389" s="509"/>
      <c r="Q389" s="509"/>
      <c r="R389" s="509"/>
      <c r="S389" s="509"/>
      <c r="T389" s="509"/>
      <c r="U389" s="509"/>
      <c r="V389" s="509"/>
      <c r="W389" s="509"/>
      <c r="X389" s="509"/>
      <c r="Y389" s="509"/>
      <c r="Z389" s="509"/>
    </row>
    <row r="390" spans="1:26" ht="16.5" customHeight="1" x14ac:dyDescent="0.3">
      <c r="A390" s="509"/>
      <c r="B390" s="509"/>
      <c r="C390" s="509"/>
      <c r="D390" s="509"/>
      <c r="E390" s="509"/>
      <c r="F390" s="509"/>
      <c r="G390" s="509"/>
      <c r="H390" s="509"/>
      <c r="I390" s="509"/>
      <c r="J390" s="509"/>
      <c r="K390" s="509"/>
      <c r="L390" s="509"/>
      <c r="M390" s="509"/>
      <c r="N390" s="509"/>
      <c r="O390" s="509"/>
      <c r="P390" s="509"/>
      <c r="Q390" s="509"/>
      <c r="R390" s="509"/>
      <c r="S390" s="509"/>
      <c r="T390" s="509"/>
      <c r="U390" s="509"/>
      <c r="V390" s="509"/>
      <c r="W390" s="509"/>
      <c r="X390" s="509"/>
      <c r="Y390" s="509"/>
      <c r="Z390" s="509"/>
    </row>
    <row r="391" spans="1:26" ht="16.5" customHeight="1" x14ac:dyDescent="0.3">
      <c r="A391" s="509"/>
      <c r="B391" s="509"/>
      <c r="C391" s="509"/>
      <c r="D391" s="509"/>
      <c r="E391" s="509"/>
      <c r="F391" s="509"/>
      <c r="G391" s="509"/>
      <c r="H391" s="509"/>
      <c r="I391" s="509"/>
      <c r="J391" s="509"/>
      <c r="K391" s="509"/>
      <c r="L391" s="509"/>
      <c r="M391" s="509"/>
      <c r="N391" s="509"/>
      <c r="O391" s="509"/>
      <c r="P391" s="509"/>
      <c r="Q391" s="509"/>
      <c r="R391" s="509"/>
      <c r="S391" s="509"/>
      <c r="T391" s="509"/>
      <c r="U391" s="509"/>
      <c r="V391" s="509"/>
      <c r="W391" s="509"/>
      <c r="X391" s="509"/>
      <c r="Y391" s="509"/>
      <c r="Z391" s="509"/>
    </row>
    <row r="392" spans="1:26" ht="16.5" customHeight="1" x14ac:dyDescent="0.3">
      <c r="A392" s="509"/>
      <c r="B392" s="509"/>
      <c r="C392" s="509"/>
      <c r="D392" s="509"/>
      <c r="E392" s="509"/>
      <c r="F392" s="509"/>
      <c r="G392" s="509"/>
      <c r="H392" s="509"/>
      <c r="I392" s="509"/>
      <c r="J392" s="509"/>
      <c r="K392" s="509"/>
      <c r="L392" s="509"/>
      <c r="M392" s="509"/>
      <c r="N392" s="509"/>
      <c r="O392" s="509"/>
      <c r="P392" s="509"/>
      <c r="Q392" s="509"/>
      <c r="R392" s="509"/>
      <c r="S392" s="509"/>
      <c r="T392" s="509"/>
      <c r="U392" s="509"/>
      <c r="V392" s="509"/>
      <c r="W392" s="509"/>
      <c r="X392" s="509"/>
      <c r="Y392" s="509"/>
      <c r="Z392" s="509"/>
    </row>
    <row r="393" spans="1:26" ht="16.5" customHeight="1" x14ac:dyDescent="0.3">
      <c r="A393" s="509"/>
      <c r="B393" s="509"/>
      <c r="C393" s="509"/>
      <c r="D393" s="509"/>
      <c r="E393" s="509"/>
      <c r="F393" s="509"/>
      <c r="G393" s="509"/>
      <c r="H393" s="509"/>
      <c r="I393" s="509"/>
      <c r="J393" s="509"/>
      <c r="K393" s="509"/>
      <c r="L393" s="509"/>
      <c r="M393" s="509"/>
      <c r="N393" s="509"/>
      <c r="O393" s="509"/>
      <c r="P393" s="509"/>
      <c r="Q393" s="509"/>
      <c r="R393" s="509"/>
      <c r="S393" s="509"/>
      <c r="T393" s="509"/>
      <c r="U393" s="509"/>
      <c r="V393" s="509"/>
      <c r="W393" s="509"/>
      <c r="X393" s="509"/>
      <c r="Y393" s="509"/>
      <c r="Z393" s="509"/>
    </row>
    <row r="394" spans="1:26" ht="16.5" customHeight="1" x14ac:dyDescent="0.3">
      <c r="A394" s="509"/>
      <c r="B394" s="509"/>
      <c r="C394" s="509"/>
      <c r="D394" s="509"/>
      <c r="E394" s="509"/>
      <c r="F394" s="509"/>
      <c r="G394" s="509"/>
      <c r="H394" s="509"/>
      <c r="I394" s="509"/>
      <c r="J394" s="509"/>
      <c r="K394" s="509"/>
      <c r="L394" s="509"/>
      <c r="M394" s="509"/>
      <c r="N394" s="509"/>
      <c r="O394" s="509"/>
      <c r="P394" s="509"/>
      <c r="Q394" s="509"/>
      <c r="R394" s="509"/>
      <c r="S394" s="509"/>
      <c r="T394" s="509"/>
      <c r="U394" s="509"/>
      <c r="V394" s="509"/>
      <c r="W394" s="509"/>
      <c r="X394" s="509"/>
      <c r="Y394" s="509"/>
      <c r="Z394" s="509"/>
    </row>
    <row r="395" spans="1:26" ht="16.5" customHeight="1" x14ac:dyDescent="0.3">
      <c r="A395" s="509"/>
      <c r="B395" s="509"/>
      <c r="C395" s="509"/>
      <c r="D395" s="509"/>
      <c r="E395" s="509"/>
      <c r="F395" s="509"/>
      <c r="G395" s="509"/>
      <c r="H395" s="509"/>
      <c r="I395" s="509"/>
      <c r="J395" s="509"/>
      <c r="K395" s="509"/>
      <c r="L395" s="509"/>
      <c r="M395" s="509"/>
      <c r="N395" s="509"/>
      <c r="O395" s="509"/>
      <c r="P395" s="509"/>
      <c r="Q395" s="509"/>
      <c r="R395" s="509"/>
      <c r="S395" s="509"/>
      <c r="T395" s="509"/>
      <c r="U395" s="509"/>
      <c r="V395" s="509"/>
      <c r="W395" s="509"/>
      <c r="X395" s="509"/>
      <c r="Y395" s="509"/>
      <c r="Z395" s="509"/>
    </row>
    <row r="396" spans="1:26" ht="16.5" customHeight="1" x14ac:dyDescent="0.3">
      <c r="A396" s="509"/>
      <c r="B396" s="509"/>
      <c r="C396" s="509"/>
      <c r="D396" s="509"/>
      <c r="E396" s="509"/>
      <c r="F396" s="509"/>
      <c r="G396" s="509"/>
      <c r="H396" s="509"/>
      <c r="I396" s="509"/>
      <c r="J396" s="509"/>
      <c r="K396" s="509"/>
      <c r="L396" s="509"/>
      <c r="M396" s="509"/>
      <c r="N396" s="509"/>
      <c r="O396" s="509"/>
      <c r="P396" s="509"/>
      <c r="Q396" s="509"/>
      <c r="R396" s="509"/>
      <c r="S396" s="509"/>
      <c r="T396" s="509"/>
      <c r="U396" s="509"/>
      <c r="V396" s="509"/>
      <c r="W396" s="509"/>
      <c r="X396" s="509"/>
      <c r="Y396" s="509"/>
      <c r="Z396" s="509"/>
    </row>
    <row r="397" spans="1:26" ht="16.5" customHeight="1" x14ac:dyDescent="0.3">
      <c r="A397" s="509"/>
      <c r="B397" s="509"/>
      <c r="C397" s="509"/>
      <c r="D397" s="509"/>
      <c r="E397" s="509"/>
      <c r="F397" s="509"/>
      <c r="G397" s="509"/>
      <c r="H397" s="509"/>
      <c r="I397" s="509"/>
      <c r="J397" s="509"/>
      <c r="K397" s="509"/>
      <c r="L397" s="509"/>
      <c r="M397" s="509"/>
      <c r="N397" s="509"/>
      <c r="O397" s="509"/>
      <c r="P397" s="509"/>
      <c r="Q397" s="509"/>
      <c r="R397" s="509"/>
      <c r="S397" s="509"/>
      <c r="T397" s="509"/>
      <c r="U397" s="509"/>
      <c r="V397" s="509"/>
      <c r="W397" s="509"/>
      <c r="X397" s="509"/>
      <c r="Y397" s="509"/>
      <c r="Z397" s="509"/>
    </row>
    <row r="398" spans="1:26" ht="16.5" customHeight="1" x14ac:dyDescent="0.3">
      <c r="A398" s="509"/>
      <c r="B398" s="509"/>
      <c r="C398" s="509"/>
      <c r="D398" s="509"/>
      <c r="E398" s="509"/>
      <c r="F398" s="509"/>
      <c r="G398" s="509"/>
      <c r="H398" s="509"/>
      <c r="I398" s="509"/>
      <c r="J398" s="509"/>
      <c r="K398" s="509"/>
      <c r="L398" s="509"/>
      <c r="M398" s="509"/>
      <c r="N398" s="509"/>
      <c r="O398" s="509"/>
      <c r="P398" s="509"/>
      <c r="Q398" s="509"/>
      <c r="R398" s="509"/>
      <c r="S398" s="509"/>
      <c r="T398" s="509"/>
      <c r="U398" s="509"/>
      <c r="V398" s="509"/>
      <c r="W398" s="509"/>
      <c r="X398" s="509"/>
      <c r="Y398" s="509"/>
      <c r="Z398" s="509"/>
    </row>
    <row r="399" spans="1:26" ht="16.5" customHeight="1" x14ac:dyDescent="0.3">
      <c r="A399" s="509"/>
      <c r="B399" s="509"/>
      <c r="C399" s="509"/>
      <c r="D399" s="509"/>
      <c r="E399" s="509"/>
      <c r="F399" s="509"/>
      <c r="G399" s="509"/>
      <c r="H399" s="509"/>
      <c r="I399" s="509"/>
      <c r="J399" s="509"/>
      <c r="K399" s="509"/>
      <c r="L399" s="509"/>
      <c r="M399" s="509"/>
      <c r="N399" s="509"/>
      <c r="O399" s="509"/>
      <c r="P399" s="509"/>
      <c r="Q399" s="509"/>
      <c r="R399" s="509"/>
      <c r="S399" s="509"/>
      <c r="T399" s="509"/>
      <c r="U399" s="509"/>
      <c r="V399" s="509"/>
      <c r="W399" s="509"/>
      <c r="X399" s="509"/>
      <c r="Y399" s="509"/>
      <c r="Z399" s="509"/>
    </row>
    <row r="400" spans="1:26" ht="16.5" customHeight="1" x14ac:dyDescent="0.3">
      <c r="A400" s="509"/>
      <c r="B400" s="509"/>
      <c r="C400" s="509"/>
      <c r="D400" s="509"/>
      <c r="E400" s="509"/>
      <c r="F400" s="509"/>
      <c r="G400" s="509"/>
      <c r="H400" s="509"/>
      <c r="I400" s="509"/>
      <c r="J400" s="509"/>
      <c r="K400" s="509"/>
      <c r="L400" s="509"/>
      <c r="M400" s="509"/>
      <c r="N400" s="509"/>
      <c r="O400" s="509"/>
      <c r="P400" s="509"/>
      <c r="Q400" s="509"/>
      <c r="R400" s="509"/>
      <c r="S400" s="509"/>
      <c r="T400" s="509"/>
      <c r="U400" s="509"/>
      <c r="V400" s="509"/>
      <c r="W400" s="509"/>
      <c r="X400" s="509"/>
      <c r="Y400" s="509"/>
      <c r="Z400" s="509"/>
    </row>
    <row r="401" spans="1:26" ht="16.5" customHeight="1" x14ac:dyDescent="0.3">
      <c r="A401" s="509"/>
      <c r="B401" s="509"/>
      <c r="C401" s="509"/>
      <c r="D401" s="509"/>
      <c r="E401" s="509"/>
      <c r="F401" s="509"/>
      <c r="G401" s="509"/>
      <c r="H401" s="509"/>
      <c r="I401" s="509"/>
      <c r="J401" s="509"/>
      <c r="K401" s="509"/>
      <c r="L401" s="509"/>
      <c r="M401" s="509"/>
      <c r="N401" s="509"/>
      <c r="O401" s="509"/>
      <c r="P401" s="509"/>
      <c r="Q401" s="509"/>
      <c r="R401" s="509"/>
      <c r="S401" s="509"/>
      <c r="T401" s="509"/>
      <c r="U401" s="509"/>
      <c r="V401" s="509"/>
      <c r="W401" s="509"/>
      <c r="X401" s="509"/>
      <c r="Y401" s="509"/>
      <c r="Z401" s="509"/>
    </row>
    <row r="402" spans="1:26" ht="16.5" customHeight="1" x14ac:dyDescent="0.3">
      <c r="A402" s="509"/>
      <c r="B402" s="509"/>
      <c r="C402" s="509"/>
      <c r="D402" s="509"/>
      <c r="E402" s="509"/>
      <c r="F402" s="509"/>
      <c r="G402" s="509"/>
      <c r="H402" s="509"/>
      <c r="I402" s="509"/>
      <c r="J402" s="509"/>
      <c r="K402" s="509"/>
      <c r="L402" s="509"/>
      <c r="M402" s="509"/>
      <c r="N402" s="509"/>
      <c r="O402" s="509"/>
      <c r="P402" s="509"/>
      <c r="Q402" s="509"/>
      <c r="R402" s="509"/>
      <c r="S402" s="509"/>
      <c r="T402" s="509"/>
      <c r="U402" s="509"/>
      <c r="V402" s="509"/>
      <c r="W402" s="509"/>
      <c r="X402" s="509"/>
      <c r="Y402" s="509"/>
      <c r="Z402" s="509"/>
    </row>
    <row r="403" spans="1:26" ht="16.5" customHeight="1" x14ac:dyDescent="0.3">
      <c r="A403" s="509"/>
      <c r="B403" s="509"/>
      <c r="C403" s="509"/>
      <c r="D403" s="509"/>
      <c r="E403" s="509"/>
      <c r="F403" s="509"/>
      <c r="G403" s="509"/>
      <c r="H403" s="509"/>
      <c r="I403" s="509"/>
      <c r="J403" s="509"/>
      <c r="K403" s="509"/>
      <c r="L403" s="509"/>
      <c r="M403" s="509"/>
      <c r="N403" s="509"/>
      <c r="O403" s="509"/>
      <c r="P403" s="509"/>
      <c r="Q403" s="509"/>
      <c r="R403" s="509"/>
      <c r="S403" s="509"/>
      <c r="T403" s="509"/>
      <c r="U403" s="509"/>
      <c r="V403" s="509"/>
      <c r="W403" s="509"/>
      <c r="X403" s="509"/>
      <c r="Y403" s="509"/>
      <c r="Z403" s="509"/>
    </row>
    <row r="404" spans="1:26" ht="16.5" customHeight="1" x14ac:dyDescent="0.3">
      <c r="A404" s="509"/>
      <c r="B404" s="509"/>
      <c r="C404" s="509"/>
      <c r="D404" s="509"/>
      <c r="E404" s="509"/>
      <c r="F404" s="509"/>
      <c r="G404" s="509"/>
      <c r="H404" s="509"/>
      <c r="I404" s="509"/>
      <c r="J404" s="509"/>
      <c r="K404" s="509"/>
      <c r="L404" s="509"/>
      <c r="M404" s="509"/>
      <c r="N404" s="509"/>
      <c r="O404" s="509"/>
      <c r="P404" s="509"/>
      <c r="Q404" s="509"/>
      <c r="R404" s="509"/>
      <c r="S404" s="509"/>
      <c r="T404" s="509"/>
      <c r="U404" s="509"/>
      <c r="V404" s="509"/>
      <c r="W404" s="509"/>
      <c r="X404" s="509"/>
      <c r="Y404" s="509"/>
      <c r="Z404" s="509"/>
    </row>
    <row r="405" spans="1:26" ht="16.5" customHeight="1" x14ac:dyDescent="0.3">
      <c r="A405" s="509"/>
      <c r="B405" s="509"/>
      <c r="C405" s="509"/>
      <c r="D405" s="509"/>
      <c r="E405" s="509"/>
      <c r="F405" s="509"/>
      <c r="G405" s="509"/>
      <c r="H405" s="509"/>
      <c r="I405" s="509"/>
      <c r="J405" s="509"/>
      <c r="K405" s="509"/>
      <c r="L405" s="509"/>
      <c r="M405" s="509"/>
      <c r="N405" s="509"/>
      <c r="O405" s="509"/>
      <c r="P405" s="509"/>
      <c r="Q405" s="509"/>
      <c r="R405" s="509"/>
      <c r="S405" s="509"/>
      <c r="T405" s="509"/>
      <c r="U405" s="509"/>
      <c r="V405" s="509"/>
      <c r="W405" s="509"/>
      <c r="X405" s="509"/>
      <c r="Y405" s="509"/>
      <c r="Z405" s="509"/>
    </row>
    <row r="406" spans="1:26" ht="16.5" customHeight="1" x14ac:dyDescent="0.3">
      <c r="A406" s="509"/>
      <c r="B406" s="509"/>
      <c r="C406" s="509"/>
      <c r="D406" s="509"/>
      <c r="E406" s="509"/>
      <c r="F406" s="509"/>
      <c r="G406" s="509"/>
      <c r="H406" s="509"/>
      <c r="I406" s="509"/>
      <c r="J406" s="509"/>
      <c r="K406" s="509"/>
      <c r="L406" s="509"/>
      <c r="M406" s="509"/>
      <c r="N406" s="509"/>
      <c r="O406" s="509"/>
      <c r="P406" s="509"/>
      <c r="Q406" s="509"/>
      <c r="R406" s="509"/>
      <c r="S406" s="509"/>
      <c r="T406" s="509"/>
      <c r="U406" s="509"/>
      <c r="V406" s="509"/>
      <c r="W406" s="509"/>
      <c r="X406" s="509"/>
      <c r="Y406" s="509"/>
      <c r="Z406" s="509"/>
    </row>
    <row r="407" spans="1:26" ht="16.5" customHeight="1" x14ac:dyDescent="0.3">
      <c r="A407" s="509"/>
      <c r="B407" s="509"/>
      <c r="C407" s="509"/>
      <c r="D407" s="509"/>
      <c r="E407" s="509"/>
      <c r="F407" s="509"/>
      <c r="G407" s="509"/>
      <c r="H407" s="509"/>
      <c r="I407" s="509"/>
      <c r="J407" s="509"/>
      <c r="K407" s="509"/>
      <c r="L407" s="509"/>
      <c r="M407" s="509"/>
      <c r="N407" s="509"/>
      <c r="O407" s="509"/>
      <c r="P407" s="509"/>
      <c r="Q407" s="509"/>
      <c r="R407" s="509"/>
      <c r="S407" s="509"/>
      <c r="T407" s="509"/>
      <c r="U407" s="509"/>
      <c r="V407" s="509"/>
      <c r="W407" s="509"/>
      <c r="X407" s="509"/>
      <c r="Y407" s="509"/>
      <c r="Z407" s="509"/>
    </row>
    <row r="408" spans="1:26" ht="16.5" customHeight="1" x14ac:dyDescent="0.3">
      <c r="A408" s="509"/>
      <c r="B408" s="509"/>
      <c r="C408" s="509"/>
      <c r="D408" s="509"/>
      <c r="E408" s="509"/>
      <c r="F408" s="509"/>
      <c r="G408" s="509"/>
      <c r="H408" s="509"/>
      <c r="I408" s="509"/>
      <c r="J408" s="509"/>
      <c r="K408" s="509"/>
      <c r="L408" s="509"/>
      <c r="M408" s="509"/>
      <c r="N408" s="509"/>
      <c r="O408" s="509"/>
      <c r="P408" s="509"/>
      <c r="Q408" s="509"/>
      <c r="R408" s="509"/>
      <c r="S408" s="509"/>
      <c r="T408" s="509"/>
      <c r="U408" s="509"/>
      <c r="V408" s="509"/>
      <c r="W408" s="509"/>
      <c r="X408" s="509"/>
      <c r="Y408" s="509"/>
      <c r="Z408" s="509"/>
    </row>
    <row r="409" spans="1:26" ht="16.5" customHeight="1" x14ac:dyDescent="0.3">
      <c r="A409" s="509"/>
      <c r="B409" s="509"/>
      <c r="C409" s="509"/>
      <c r="D409" s="509"/>
      <c r="E409" s="509"/>
      <c r="F409" s="509"/>
      <c r="G409" s="509"/>
      <c r="H409" s="509"/>
      <c r="I409" s="509"/>
      <c r="J409" s="509"/>
      <c r="K409" s="509"/>
      <c r="L409" s="509"/>
      <c r="M409" s="509"/>
      <c r="N409" s="509"/>
      <c r="O409" s="509"/>
      <c r="P409" s="509"/>
      <c r="Q409" s="509"/>
      <c r="R409" s="509"/>
      <c r="S409" s="509"/>
      <c r="T409" s="509"/>
      <c r="U409" s="509"/>
      <c r="V409" s="509"/>
      <c r="W409" s="509"/>
      <c r="X409" s="509"/>
      <c r="Y409" s="509"/>
      <c r="Z409" s="509"/>
    </row>
    <row r="410" spans="1:26" ht="16.5" customHeight="1" x14ac:dyDescent="0.3">
      <c r="A410" s="509"/>
      <c r="B410" s="509"/>
      <c r="C410" s="509"/>
      <c r="D410" s="509"/>
      <c r="E410" s="509"/>
      <c r="F410" s="509"/>
      <c r="G410" s="509"/>
      <c r="H410" s="509"/>
      <c r="I410" s="509"/>
      <c r="J410" s="509"/>
      <c r="K410" s="509"/>
      <c r="L410" s="509"/>
      <c r="M410" s="509"/>
      <c r="N410" s="509"/>
      <c r="O410" s="509"/>
      <c r="P410" s="509"/>
      <c r="Q410" s="509"/>
      <c r="R410" s="509"/>
      <c r="S410" s="509"/>
      <c r="T410" s="509"/>
      <c r="U410" s="509"/>
      <c r="V410" s="509"/>
      <c r="W410" s="509"/>
      <c r="X410" s="509"/>
      <c r="Y410" s="509"/>
      <c r="Z410" s="509"/>
    </row>
    <row r="411" spans="1:26" ht="16.5" customHeight="1" x14ac:dyDescent="0.3">
      <c r="A411" s="509"/>
      <c r="B411" s="509"/>
      <c r="C411" s="509"/>
      <c r="D411" s="509"/>
      <c r="E411" s="509"/>
      <c r="F411" s="509"/>
      <c r="G411" s="509"/>
      <c r="H411" s="509"/>
      <c r="I411" s="509"/>
      <c r="J411" s="509"/>
      <c r="K411" s="509"/>
      <c r="L411" s="509"/>
      <c r="M411" s="509"/>
      <c r="N411" s="509"/>
      <c r="O411" s="509"/>
      <c r="P411" s="509"/>
      <c r="Q411" s="509"/>
      <c r="R411" s="509"/>
      <c r="S411" s="509"/>
      <c r="T411" s="509"/>
      <c r="U411" s="509"/>
      <c r="V411" s="509"/>
      <c r="W411" s="509"/>
      <c r="X411" s="509"/>
      <c r="Y411" s="509"/>
      <c r="Z411" s="509"/>
    </row>
    <row r="412" spans="1:26" ht="16.5" customHeight="1" x14ac:dyDescent="0.3">
      <c r="A412" s="509"/>
      <c r="B412" s="509"/>
      <c r="C412" s="509"/>
      <c r="D412" s="509"/>
      <c r="E412" s="509"/>
      <c r="F412" s="509"/>
      <c r="G412" s="509"/>
      <c r="H412" s="509"/>
      <c r="I412" s="509"/>
      <c r="J412" s="509"/>
      <c r="K412" s="509"/>
      <c r="L412" s="509"/>
      <c r="M412" s="509"/>
      <c r="N412" s="509"/>
      <c r="O412" s="509"/>
      <c r="P412" s="509"/>
      <c r="Q412" s="509"/>
      <c r="R412" s="509"/>
      <c r="S412" s="509"/>
      <c r="T412" s="509"/>
      <c r="U412" s="509"/>
      <c r="V412" s="509"/>
      <c r="W412" s="509"/>
      <c r="X412" s="509"/>
      <c r="Y412" s="509"/>
      <c r="Z412" s="509"/>
    </row>
    <row r="413" spans="1:26" ht="16.5" customHeight="1" x14ac:dyDescent="0.3">
      <c r="A413" s="509"/>
      <c r="B413" s="509"/>
      <c r="C413" s="509"/>
      <c r="D413" s="509"/>
      <c r="E413" s="509"/>
      <c r="F413" s="509"/>
      <c r="G413" s="509"/>
      <c r="H413" s="509"/>
      <c r="I413" s="509"/>
      <c r="J413" s="509"/>
      <c r="K413" s="509"/>
      <c r="L413" s="509"/>
      <c r="M413" s="509"/>
      <c r="N413" s="509"/>
      <c r="O413" s="509"/>
      <c r="P413" s="509"/>
      <c r="Q413" s="509"/>
      <c r="R413" s="509"/>
      <c r="S413" s="509"/>
      <c r="T413" s="509"/>
      <c r="U413" s="509"/>
      <c r="V413" s="509"/>
      <c r="W413" s="509"/>
      <c r="X413" s="509"/>
      <c r="Y413" s="509"/>
      <c r="Z413" s="509"/>
    </row>
    <row r="414" spans="1:26" ht="16.5" customHeight="1" x14ac:dyDescent="0.3">
      <c r="A414" s="509"/>
      <c r="B414" s="509"/>
      <c r="C414" s="509"/>
      <c r="D414" s="509"/>
      <c r="E414" s="509"/>
      <c r="F414" s="509"/>
      <c r="G414" s="509"/>
      <c r="H414" s="509"/>
      <c r="I414" s="509"/>
      <c r="J414" s="509"/>
      <c r="K414" s="509"/>
      <c r="L414" s="509"/>
      <c r="M414" s="509"/>
      <c r="N414" s="509"/>
      <c r="O414" s="509"/>
      <c r="P414" s="509"/>
      <c r="Q414" s="509"/>
      <c r="R414" s="509"/>
      <c r="S414" s="509"/>
      <c r="T414" s="509"/>
      <c r="U414" s="509"/>
      <c r="V414" s="509"/>
      <c r="W414" s="509"/>
      <c r="X414" s="509"/>
      <c r="Y414" s="509"/>
      <c r="Z414" s="509"/>
    </row>
    <row r="415" spans="1:26" ht="16.5" customHeight="1" x14ac:dyDescent="0.3">
      <c r="A415" s="509"/>
      <c r="B415" s="509"/>
      <c r="C415" s="509"/>
      <c r="D415" s="509"/>
      <c r="E415" s="509"/>
      <c r="F415" s="509"/>
      <c r="G415" s="509"/>
      <c r="H415" s="509"/>
      <c r="I415" s="509"/>
      <c r="J415" s="509"/>
      <c r="K415" s="509"/>
      <c r="L415" s="509"/>
      <c r="M415" s="509"/>
      <c r="N415" s="509"/>
      <c r="O415" s="509"/>
      <c r="P415" s="509"/>
      <c r="Q415" s="509"/>
      <c r="R415" s="509"/>
      <c r="S415" s="509"/>
      <c r="T415" s="509"/>
      <c r="U415" s="509"/>
      <c r="V415" s="509"/>
      <c r="W415" s="509"/>
      <c r="X415" s="509"/>
      <c r="Y415" s="509"/>
      <c r="Z415" s="509"/>
    </row>
    <row r="416" spans="1:26" ht="16.5" customHeight="1" x14ac:dyDescent="0.3">
      <c r="A416" s="509"/>
      <c r="B416" s="509"/>
      <c r="C416" s="509"/>
      <c r="D416" s="509"/>
      <c r="E416" s="509"/>
      <c r="F416" s="509"/>
      <c r="G416" s="509"/>
      <c r="H416" s="509"/>
      <c r="I416" s="509"/>
      <c r="J416" s="509"/>
      <c r="K416" s="509"/>
      <c r="L416" s="509"/>
      <c r="M416" s="509"/>
      <c r="N416" s="509"/>
      <c r="O416" s="509"/>
      <c r="P416" s="509"/>
      <c r="Q416" s="509"/>
      <c r="R416" s="509"/>
      <c r="S416" s="509"/>
      <c r="T416" s="509"/>
      <c r="U416" s="509"/>
      <c r="V416" s="509"/>
      <c r="W416" s="509"/>
      <c r="X416" s="509"/>
      <c r="Y416" s="509"/>
      <c r="Z416" s="509"/>
    </row>
    <row r="417" spans="1:26" ht="16.5" customHeight="1" x14ac:dyDescent="0.3">
      <c r="A417" s="509"/>
      <c r="B417" s="509"/>
      <c r="C417" s="509"/>
      <c r="D417" s="509"/>
      <c r="E417" s="509"/>
      <c r="F417" s="509"/>
      <c r="G417" s="509"/>
      <c r="H417" s="509"/>
      <c r="I417" s="509"/>
      <c r="J417" s="509"/>
      <c r="K417" s="509"/>
      <c r="L417" s="509"/>
      <c r="M417" s="509"/>
      <c r="N417" s="509"/>
      <c r="O417" s="509"/>
      <c r="P417" s="509"/>
      <c r="Q417" s="509"/>
      <c r="R417" s="509"/>
      <c r="S417" s="509"/>
      <c r="T417" s="509"/>
      <c r="U417" s="509"/>
      <c r="V417" s="509"/>
      <c r="W417" s="509"/>
      <c r="X417" s="509"/>
      <c r="Y417" s="509"/>
      <c r="Z417" s="509"/>
    </row>
    <row r="418" spans="1:26" ht="16.5" customHeight="1" x14ac:dyDescent="0.3">
      <c r="A418" s="509"/>
      <c r="B418" s="509"/>
      <c r="C418" s="509"/>
      <c r="D418" s="509"/>
      <c r="E418" s="509"/>
      <c r="F418" s="509"/>
      <c r="G418" s="509"/>
      <c r="H418" s="509"/>
      <c r="I418" s="509"/>
      <c r="J418" s="509"/>
      <c r="K418" s="509"/>
      <c r="L418" s="509"/>
      <c r="M418" s="509"/>
      <c r="N418" s="509"/>
      <c r="O418" s="509"/>
      <c r="P418" s="509"/>
      <c r="Q418" s="509"/>
      <c r="R418" s="509"/>
      <c r="S418" s="509"/>
      <c r="T418" s="509"/>
      <c r="U418" s="509"/>
      <c r="V418" s="509"/>
      <c r="W418" s="509"/>
      <c r="X418" s="509"/>
      <c r="Y418" s="509"/>
      <c r="Z418" s="509"/>
    </row>
    <row r="419" spans="1:26" ht="16.5" customHeight="1" x14ac:dyDescent="0.3">
      <c r="A419" s="509"/>
      <c r="B419" s="509"/>
      <c r="C419" s="509"/>
      <c r="D419" s="509"/>
      <c r="E419" s="509"/>
      <c r="F419" s="509"/>
      <c r="G419" s="509"/>
      <c r="H419" s="509"/>
      <c r="I419" s="509"/>
      <c r="J419" s="509"/>
      <c r="K419" s="509"/>
      <c r="L419" s="509"/>
      <c r="M419" s="509"/>
      <c r="N419" s="509"/>
      <c r="O419" s="509"/>
      <c r="P419" s="509"/>
      <c r="Q419" s="509"/>
      <c r="R419" s="509"/>
      <c r="S419" s="509"/>
      <c r="T419" s="509"/>
      <c r="U419" s="509"/>
      <c r="V419" s="509"/>
      <c r="W419" s="509"/>
      <c r="X419" s="509"/>
      <c r="Y419" s="509"/>
      <c r="Z419" s="509"/>
    </row>
    <row r="420" spans="1:26" ht="16.5" customHeight="1" x14ac:dyDescent="0.3">
      <c r="A420" s="509"/>
      <c r="B420" s="509"/>
      <c r="C420" s="509"/>
      <c r="D420" s="509"/>
      <c r="E420" s="509"/>
      <c r="F420" s="509"/>
      <c r="G420" s="509"/>
      <c r="H420" s="509"/>
      <c r="I420" s="509"/>
      <c r="J420" s="509"/>
      <c r="K420" s="509"/>
      <c r="L420" s="509"/>
      <c r="M420" s="509"/>
      <c r="N420" s="509"/>
      <c r="O420" s="509"/>
      <c r="P420" s="509"/>
      <c r="Q420" s="509"/>
      <c r="R420" s="509"/>
      <c r="S420" s="509"/>
      <c r="T420" s="509"/>
      <c r="U420" s="509"/>
      <c r="V420" s="509"/>
      <c r="W420" s="509"/>
      <c r="X420" s="509"/>
      <c r="Y420" s="509"/>
      <c r="Z420" s="509"/>
    </row>
    <row r="421" spans="1:26" ht="16.5" customHeight="1" x14ac:dyDescent="0.3">
      <c r="A421" s="509"/>
      <c r="B421" s="509"/>
      <c r="C421" s="509"/>
      <c r="D421" s="509"/>
      <c r="E421" s="509"/>
      <c r="F421" s="509"/>
      <c r="G421" s="509"/>
      <c r="H421" s="509"/>
      <c r="I421" s="509"/>
      <c r="J421" s="509"/>
      <c r="K421" s="509"/>
      <c r="L421" s="509"/>
      <c r="M421" s="509"/>
      <c r="N421" s="509"/>
      <c r="O421" s="509"/>
      <c r="P421" s="509"/>
      <c r="Q421" s="509"/>
      <c r="R421" s="509"/>
      <c r="S421" s="509"/>
      <c r="T421" s="509"/>
      <c r="U421" s="509"/>
      <c r="V421" s="509"/>
      <c r="W421" s="509"/>
      <c r="X421" s="509"/>
      <c r="Y421" s="509"/>
      <c r="Z421" s="509"/>
    </row>
    <row r="422" spans="1:26" ht="16.5" customHeight="1" x14ac:dyDescent="0.3">
      <c r="A422" s="509"/>
      <c r="B422" s="509"/>
      <c r="C422" s="509"/>
      <c r="D422" s="509"/>
      <c r="E422" s="509"/>
      <c r="F422" s="509"/>
      <c r="G422" s="509"/>
      <c r="H422" s="509"/>
      <c r="I422" s="509"/>
      <c r="J422" s="509"/>
      <c r="K422" s="509"/>
      <c r="L422" s="509"/>
      <c r="M422" s="509"/>
      <c r="N422" s="509"/>
      <c r="O422" s="509"/>
      <c r="P422" s="509"/>
      <c r="Q422" s="509"/>
      <c r="R422" s="509"/>
      <c r="S422" s="509"/>
      <c r="T422" s="509"/>
      <c r="U422" s="509"/>
      <c r="V422" s="509"/>
      <c r="W422" s="509"/>
      <c r="X422" s="509"/>
      <c r="Y422" s="509"/>
      <c r="Z422" s="509"/>
    </row>
    <row r="423" spans="1:26" ht="16.5" customHeight="1" x14ac:dyDescent="0.3">
      <c r="A423" s="509"/>
      <c r="B423" s="509"/>
      <c r="C423" s="509"/>
      <c r="D423" s="509"/>
      <c r="E423" s="509"/>
      <c r="F423" s="509"/>
      <c r="G423" s="509"/>
      <c r="H423" s="509"/>
      <c r="I423" s="509"/>
      <c r="J423" s="509"/>
      <c r="K423" s="509"/>
      <c r="L423" s="509"/>
      <c r="M423" s="509"/>
      <c r="N423" s="509"/>
      <c r="O423" s="509"/>
      <c r="P423" s="509"/>
      <c r="Q423" s="509"/>
      <c r="R423" s="509"/>
      <c r="S423" s="509"/>
      <c r="T423" s="509"/>
      <c r="U423" s="509"/>
      <c r="V423" s="509"/>
      <c r="W423" s="509"/>
      <c r="X423" s="509"/>
      <c r="Y423" s="509"/>
      <c r="Z423" s="509"/>
    </row>
    <row r="424" spans="1:26" ht="16.5" customHeight="1" x14ac:dyDescent="0.3">
      <c r="A424" s="509"/>
      <c r="B424" s="509"/>
      <c r="C424" s="509"/>
      <c r="D424" s="509"/>
      <c r="E424" s="509"/>
      <c r="F424" s="509"/>
      <c r="G424" s="509"/>
      <c r="H424" s="509"/>
      <c r="I424" s="509"/>
      <c r="J424" s="509"/>
      <c r="K424" s="509"/>
      <c r="L424" s="509"/>
      <c r="M424" s="509"/>
      <c r="N424" s="509"/>
      <c r="O424" s="509"/>
      <c r="P424" s="509"/>
      <c r="Q424" s="509"/>
      <c r="R424" s="509"/>
      <c r="S424" s="509"/>
      <c r="T424" s="509"/>
      <c r="U424" s="509"/>
      <c r="V424" s="509"/>
      <c r="W424" s="509"/>
      <c r="X424" s="509"/>
      <c r="Y424" s="509"/>
      <c r="Z424" s="509"/>
    </row>
    <row r="425" spans="1:26" ht="16.5" customHeight="1" x14ac:dyDescent="0.3">
      <c r="A425" s="509"/>
      <c r="B425" s="509"/>
      <c r="C425" s="509"/>
      <c r="D425" s="509"/>
      <c r="E425" s="509"/>
      <c r="F425" s="509"/>
      <c r="G425" s="509"/>
      <c r="H425" s="509"/>
      <c r="I425" s="509"/>
      <c r="J425" s="509"/>
      <c r="K425" s="509"/>
      <c r="L425" s="509"/>
      <c r="M425" s="509"/>
      <c r="N425" s="509"/>
      <c r="O425" s="509"/>
      <c r="P425" s="509"/>
      <c r="Q425" s="509"/>
      <c r="R425" s="509"/>
      <c r="S425" s="509"/>
      <c r="T425" s="509"/>
      <c r="U425" s="509"/>
      <c r="V425" s="509"/>
      <c r="W425" s="509"/>
      <c r="X425" s="509"/>
      <c r="Y425" s="509"/>
      <c r="Z425" s="509"/>
    </row>
    <row r="426" spans="1:26" ht="16.5" customHeight="1" x14ac:dyDescent="0.3">
      <c r="A426" s="509"/>
      <c r="B426" s="509"/>
      <c r="C426" s="509"/>
      <c r="D426" s="509"/>
      <c r="E426" s="509"/>
      <c r="F426" s="509"/>
      <c r="G426" s="509"/>
      <c r="H426" s="509"/>
      <c r="I426" s="509"/>
      <c r="J426" s="509"/>
      <c r="K426" s="509"/>
      <c r="L426" s="509"/>
      <c r="M426" s="509"/>
      <c r="N426" s="509"/>
      <c r="O426" s="509"/>
      <c r="P426" s="509"/>
      <c r="Q426" s="509"/>
      <c r="R426" s="509"/>
      <c r="S426" s="509"/>
      <c r="T426" s="509"/>
      <c r="U426" s="509"/>
      <c r="V426" s="509"/>
      <c r="W426" s="509"/>
      <c r="X426" s="509"/>
      <c r="Y426" s="509"/>
      <c r="Z426" s="509"/>
    </row>
    <row r="427" spans="1:26" ht="16.5" customHeight="1" x14ac:dyDescent="0.3">
      <c r="A427" s="509"/>
      <c r="B427" s="509"/>
      <c r="C427" s="509"/>
      <c r="D427" s="509"/>
      <c r="E427" s="509"/>
      <c r="F427" s="509"/>
      <c r="G427" s="509"/>
      <c r="H427" s="509"/>
      <c r="I427" s="509"/>
      <c r="J427" s="509"/>
      <c r="K427" s="509"/>
      <c r="L427" s="509"/>
      <c r="M427" s="509"/>
      <c r="N427" s="509"/>
      <c r="O427" s="509"/>
      <c r="P427" s="509"/>
      <c r="Q427" s="509"/>
      <c r="R427" s="509"/>
      <c r="S427" s="509"/>
      <c r="T427" s="509"/>
      <c r="U427" s="509"/>
      <c r="V427" s="509"/>
      <c r="W427" s="509"/>
      <c r="X427" s="509"/>
      <c r="Y427" s="509"/>
      <c r="Z427" s="509"/>
    </row>
    <row r="428" spans="1:26" ht="16.5" customHeight="1" x14ac:dyDescent="0.3">
      <c r="A428" s="509"/>
      <c r="B428" s="509"/>
      <c r="C428" s="509"/>
      <c r="D428" s="509"/>
      <c r="E428" s="509"/>
      <c r="F428" s="509"/>
      <c r="G428" s="509"/>
      <c r="H428" s="509"/>
      <c r="I428" s="509"/>
      <c r="J428" s="509"/>
      <c r="K428" s="509"/>
      <c r="L428" s="509"/>
      <c r="M428" s="509"/>
      <c r="N428" s="509"/>
      <c r="O428" s="509"/>
      <c r="P428" s="509"/>
      <c r="Q428" s="509"/>
      <c r="R428" s="509"/>
      <c r="S428" s="509"/>
      <c r="T428" s="509"/>
      <c r="U428" s="509"/>
      <c r="V428" s="509"/>
      <c r="W428" s="509"/>
      <c r="X428" s="509"/>
      <c r="Y428" s="509"/>
      <c r="Z428" s="509"/>
    </row>
    <row r="429" spans="1:26" ht="16.5" customHeight="1" x14ac:dyDescent="0.3">
      <c r="A429" s="509"/>
      <c r="B429" s="509"/>
      <c r="C429" s="509"/>
      <c r="D429" s="509"/>
      <c r="E429" s="509"/>
      <c r="F429" s="509"/>
      <c r="G429" s="509"/>
      <c r="H429" s="509"/>
      <c r="I429" s="509"/>
      <c r="J429" s="509"/>
      <c r="K429" s="509"/>
      <c r="L429" s="509"/>
      <c r="M429" s="509"/>
      <c r="N429" s="509"/>
      <c r="O429" s="509"/>
      <c r="P429" s="509"/>
      <c r="Q429" s="509"/>
      <c r="R429" s="509"/>
      <c r="S429" s="509"/>
      <c r="T429" s="509"/>
      <c r="U429" s="509"/>
      <c r="V429" s="509"/>
      <c r="W429" s="509"/>
      <c r="X429" s="509"/>
      <c r="Y429" s="509"/>
      <c r="Z429" s="509"/>
    </row>
    <row r="430" spans="1:26" ht="16.5" customHeight="1" x14ac:dyDescent="0.3">
      <c r="A430" s="509"/>
      <c r="B430" s="509"/>
      <c r="C430" s="509"/>
      <c r="D430" s="509"/>
      <c r="E430" s="509"/>
      <c r="F430" s="509"/>
      <c r="G430" s="509"/>
      <c r="H430" s="509"/>
      <c r="I430" s="509"/>
      <c r="J430" s="509"/>
      <c r="K430" s="509"/>
      <c r="L430" s="509"/>
      <c r="M430" s="509"/>
      <c r="N430" s="509"/>
      <c r="O430" s="509"/>
      <c r="P430" s="509"/>
      <c r="Q430" s="509"/>
      <c r="R430" s="509"/>
      <c r="S430" s="509"/>
      <c r="T430" s="509"/>
      <c r="U430" s="509"/>
      <c r="V430" s="509"/>
      <c r="W430" s="509"/>
      <c r="X430" s="509"/>
      <c r="Y430" s="509"/>
      <c r="Z430" s="509"/>
    </row>
    <row r="431" spans="1:26" ht="16.5" customHeight="1" x14ac:dyDescent="0.3">
      <c r="A431" s="509"/>
      <c r="B431" s="509"/>
      <c r="C431" s="509"/>
      <c r="D431" s="509"/>
      <c r="E431" s="509"/>
      <c r="F431" s="509"/>
      <c r="G431" s="509"/>
      <c r="H431" s="509"/>
      <c r="I431" s="509"/>
      <c r="J431" s="509"/>
      <c r="K431" s="509"/>
      <c r="L431" s="509"/>
      <c r="M431" s="509"/>
      <c r="N431" s="509"/>
      <c r="O431" s="509"/>
      <c r="P431" s="509"/>
      <c r="Q431" s="509"/>
      <c r="R431" s="509"/>
      <c r="S431" s="509"/>
      <c r="T431" s="509"/>
      <c r="U431" s="509"/>
      <c r="V431" s="509"/>
      <c r="W431" s="509"/>
      <c r="X431" s="509"/>
      <c r="Y431" s="509"/>
      <c r="Z431" s="509"/>
    </row>
    <row r="432" spans="1:26" ht="16.5" customHeight="1" x14ac:dyDescent="0.3">
      <c r="A432" s="509"/>
      <c r="B432" s="509"/>
      <c r="C432" s="509"/>
      <c r="D432" s="509"/>
      <c r="E432" s="509"/>
      <c r="F432" s="509"/>
      <c r="G432" s="509"/>
      <c r="H432" s="509"/>
      <c r="I432" s="509"/>
      <c r="J432" s="509"/>
      <c r="K432" s="509"/>
      <c r="L432" s="509"/>
      <c r="M432" s="509"/>
      <c r="N432" s="509"/>
      <c r="O432" s="509"/>
      <c r="P432" s="509"/>
      <c r="Q432" s="509"/>
      <c r="R432" s="509"/>
      <c r="S432" s="509"/>
      <c r="T432" s="509"/>
      <c r="U432" s="509"/>
      <c r="V432" s="509"/>
      <c r="W432" s="509"/>
      <c r="X432" s="509"/>
      <c r="Y432" s="509"/>
      <c r="Z432" s="509"/>
    </row>
    <row r="433" spans="1:26" ht="16.5" customHeight="1" x14ac:dyDescent="0.3">
      <c r="A433" s="509"/>
      <c r="B433" s="509"/>
      <c r="C433" s="509"/>
      <c r="D433" s="509"/>
      <c r="E433" s="509"/>
      <c r="F433" s="509"/>
      <c r="G433" s="509"/>
      <c r="H433" s="509"/>
      <c r="I433" s="509"/>
      <c r="J433" s="509"/>
      <c r="K433" s="509"/>
      <c r="L433" s="509"/>
      <c r="M433" s="509"/>
      <c r="N433" s="509"/>
      <c r="O433" s="509"/>
      <c r="P433" s="509"/>
      <c r="Q433" s="509"/>
      <c r="R433" s="509"/>
      <c r="S433" s="509"/>
      <c r="T433" s="509"/>
      <c r="U433" s="509"/>
      <c r="V433" s="509"/>
      <c r="W433" s="509"/>
      <c r="X433" s="509"/>
      <c r="Y433" s="509"/>
      <c r="Z433" s="509"/>
    </row>
    <row r="434" spans="1:26" ht="16.5" customHeight="1" x14ac:dyDescent="0.3">
      <c r="A434" s="509"/>
      <c r="B434" s="509"/>
      <c r="C434" s="509"/>
      <c r="D434" s="509"/>
      <c r="E434" s="509"/>
      <c r="F434" s="509"/>
      <c r="G434" s="509"/>
      <c r="H434" s="509"/>
      <c r="I434" s="509"/>
      <c r="J434" s="509"/>
      <c r="K434" s="509"/>
      <c r="L434" s="509"/>
      <c r="M434" s="509"/>
      <c r="N434" s="509"/>
      <c r="O434" s="509"/>
      <c r="P434" s="509"/>
      <c r="Q434" s="509"/>
      <c r="R434" s="509"/>
      <c r="S434" s="509"/>
      <c r="T434" s="509"/>
      <c r="U434" s="509"/>
      <c r="V434" s="509"/>
      <c r="W434" s="509"/>
      <c r="X434" s="509"/>
      <c r="Y434" s="509"/>
      <c r="Z434" s="509"/>
    </row>
    <row r="435" spans="1:26" ht="16.5" customHeight="1" x14ac:dyDescent="0.3">
      <c r="A435" s="509"/>
      <c r="B435" s="509"/>
      <c r="C435" s="509"/>
      <c r="D435" s="509"/>
      <c r="E435" s="509"/>
      <c r="F435" s="509"/>
      <c r="G435" s="509"/>
      <c r="H435" s="509"/>
      <c r="I435" s="509"/>
      <c r="J435" s="509"/>
      <c r="K435" s="509"/>
      <c r="L435" s="509"/>
      <c r="M435" s="509"/>
      <c r="N435" s="509"/>
      <c r="O435" s="509"/>
      <c r="P435" s="509"/>
      <c r="Q435" s="509"/>
      <c r="R435" s="509"/>
      <c r="S435" s="509"/>
      <c r="T435" s="509"/>
      <c r="U435" s="509"/>
      <c r="V435" s="509"/>
      <c r="W435" s="509"/>
      <c r="X435" s="509"/>
      <c r="Y435" s="509"/>
      <c r="Z435" s="509"/>
    </row>
    <row r="436" spans="1:26" ht="16.5" customHeight="1" x14ac:dyDescent="0.3">
      <c r="A436" s="509"/>
      <c r="B436" s="509"/>
      <c r="C436" s="509"/>
      <c r="D436" s="509"/>
      <c r="E436" s="509"/>
      <c r="F436" s="509"/>
      <c r="G436" s="509"/>
      <c r="H436" s="509"/>
      <c r="I436" s="509"/>
      <c r="J436" s="509"/>
      <c r="K436" s="509"/>
      <c r="L436" s="509"/>
      <c r="M436" s="509"/>
      <c r="N436" s="509"/>
      <c r="O436" s="509"/>
      <c r="P436" s="509"/>
      <c r="Q436" s="509"/>
      <c r="R436" s="509"/>
      <c r="S436" s="509"/>
      <c r="T436" s="509"/>
      <c r="U436" s="509"/>
      <c r="V436" s="509"/>
      <c r="W436" s="509"/>
      <c r="X436" s="509"/>
      <c r="Y436" s="509"/>
      <c r="Z436" s="509"/>
    </row>
    <row r="437" spans="1:26" ht="16.5" customHeight="1" x14ac:dyDescent="0.3">
      <c r="A437" s="509"/>
      <c r="B437" s="509"/>
      <c r="C437" s="509"/>
      <c r="D437" s="509"/>
      <c r="E437" s="509"/>
      <c r="F437" s="509"/>
      <c r="G437" s="509"/>
      <c r="H437" s="509"/>
      <c r="I437" s="509"/>
      <c r="J437" s="509"/>
      <c r="K437" s="509"/>
      <c r="L437" s="509"/>
      <c r="M437" s="509"/>
      <c r="N437" s="509"/>
      <c r="O437" s="509"/>
      <c r="P437" s="509"/>
      <c r="Q437" s="509"/>
      <c r="R437" s="509"/>
      <c r="S437" s="509"/>
      <c r="T437" s="509"/>
      <c r="U437" s="509"/>
      <c r="V437" s="509"/>
      <c r="W437" s="509"/>
      <c r="X437" s="509"/>
      <c r="Y437" s="509"/>
      <c r="Z437" s="509"/>
    </row>
    <row r="438" spans="1:26" ht="16.5" customHeight="1" x14ac:dyDescent="0.3">
      <c r="A438" s="509"/>
      <c r="B438" s="509"/>
      <c r="C438" s="509"/>
      <c r="D438" s="509"/>
      <c r="E438" s="509"/>
      <c r="F438" s="509"/>
      <c r="G438" s="509"/>
      <c r="H438" s="509"/>
      <c r="I438" s="509"/>
      <c r="J438" s="509"/>
      <c r="K438" s="509"/>
      <c r="L438" s="509"/>
      <c r="M438" s="509"/>
      <c r="N438" s="509"/>
      <c r="O438" s="509"/>
      <c r="P438" s="509"/>
      <c r="Q438" s="509"/>
      <c r="R438" s="509"/>
      <c r="S438" s="509"/>
      <c r="T438" s="509"/>
      <c r="U438" s="509"/>
      <c r="V438" s="509"/>
      <c r="W438" s="509"/>
      <c r="X438" s="509"/>
      <c r="Y438" s="509"/>
      <c r="Z438" s="509"/>
    </row>
    <row r="439" spans="1:26" ht="16.5" customHeight="1" x14ac:dyDescent="0.3">
      <c r="A439" s="509"/>
      <c r="B439" s="509"/>
      <c r="C439" s="509"/>
      <c r="D439" s="509"/>
      <c r="E439" s="509"/>
      <c r="F439" s="509"/>
      <c r="G439" s="509"/>
      <c r="H439" s="509"/>
      <c r="I439" s="509"/>
      <c r="J439" s="509"/>
      <c r="K439" s="509"/>
      <c r="L439" s="509"/>
      <c r="M439" s="509"/>
      <c r="N439" s="509"/>
      <c r="O439" s="509"/>
      <c r="P439" s="509"/>
      <c r="Q439" s="509"/>
      <c r="R439" s="509"/>
      <c r="S439" s="509"/>
      <c r="T439" s="509"/>
      <c r="U439" s="509"/>
      <c r="V439" s="509"/>
      <c r="W439" s="509"/>
      <c r="X439" s="509"/>
      <c r="Y439" s="509"/>
      <c r="Z439" s="509"/>
    </row>
    <row r="440" spans="1:26" ht="16.5" customHeight="1" x14ac:dyDescent="0.3">
      <c r="A440" s="509"/>
      <c r="B440" s="509"/>
      <c r="C440" s="509"/>
      <c r="D440" s="509"/>
      <c r="E440" s="509"/>
      <c r="F440" s="509"/>
      <c r="G440" s="509"/>
      <c r="H440" s="509"/>
      <c r="I440" s="509"/>
      <c r="J440" s="509"/>
      <c r="K440" s="509"/>
      <c r="L440" s="509"/>
      <c r="M440" s="509"/>
      <c r="N440" s="509"/>
      <c r="O440" s="509"/>
      <c r="P440" s="509"/>
      <c r="Q440" s="509"/>
      <c r="R440" s="509"/>
      <c r="S440" s="509"/>
      <c r="T440" s="509"/>
      <c r="U440" s="509"/>
      <c r="V440" s="509"/>
      <c r="W440" s="509"/>
      <c r="X440" s="509"/>
      <c r="Y440" s="509"/>
      <c r="Z440" s="509"/>
    </row>
    <row r="441" spans="1:26" ht="16.5" customHeight="1" x14ac:dyDescent="0.3">
      <c r="A441" s="509"/>
      <c r="B441" s="509"/>
      <c r="C441" s="509"/>
      <c r="D441" s="509"/>
      <c r="E441" s="509"/>
      <c r="F441" s="509"/>
      <c r="G441" s="509"/>
      <c r="H441" s="509"/>
      <c r="I441" s="509"/>
      <c r="J441" s="509"/>
      <c r="K441" s="509"/>
      <c r="L441" s="509"/>
      <c r="M441" s="509"/>
      <c r="N441" s="509"/>
      <c r="O441" s="509"/>
      <c r="P441" s="509"/>
      <c r="Q441" s="509"/>
      <c r="R441" s="509"/>
      <c r="S441" s="509"/>
      <c r="T441" s="509"/>
      <c r="U441" s="509"/>
      <c r="V441" s="509"/>
      <c r="W441" s="509"/>
      <c r="X441" s="509"/>
      <c r="Y441" s="509"/>
      <c r="Z441" s="509"/>
    </row>
    <row r="442" spans="1:26" ht="16.5" customHeight="1" x14ac:dyDescent="0.3">
      <c r="A442" s="509"/>
      <c r="B442" s="509"/>
      <c r="C442" s="509"/>
      <c r="D442" s="509"/>
      <c r="E442" s="509"/>
      <c r="F442" s="509"/>
      <c r="G442" s="509"/>
      <c r="H442" s="509"/>
      <c r="I442" s="509"/>
      <c r="J442" s="509"/>
      <c r="K442" s="509"/>
      <c r="L442" s="509"/>
      <c r="M442" s="509"/>
      <c r="N442" s="509"/>
      <c r="O442" s="509"/>
      <c r="P442" s="509"/>
      <c r="Q442" s="509"/>
      <c r="R442" s="509"/>
      <c r="S442" s="509"/>
      <c r="T442" s="509"/>
      <c r="U442" s="509"/>
      <c r="V442" s="509"/>
      <c r="W442" s="509"/>
      <c r="X442" s="509"/>
      <c r="Y442" s="509"/>
      <c r="Z442" s="509"/>
    </row>
    <row r="443" spans="1:26" ht="16.5" customHeight="1" x14ac:dyDescent="0.3">
      <c r="A443" s="509"/>
      <c r="B443" s="509"/>
      <c r="C443" s="509"/>
      <c r="D443" s="509"/>
      <c r="E443" s="509"/>
      <c r="F443" s="509"/>
      <c r="G443" s="509"/>
      <c r="H443" s="509"/>
      <c r="I443" s="509"/>
      <c r="J443" s="509"/>
      <c r="K443" s="509"/>
      <c r="L443" s="509"/>
      <c r="M443" s="509"/>
      <c r="N443" s="509"/>
      <c r="O443" s="509"/>
      <c r="P443" s="509"/>
      <c r="Q443" s="509"/>
      <c r="R443" s="509"/>
      <c r="S443" s="509"/>
      <c r="T443" s="509"/>
      <c r="U443" s="509"/>
      <c r="V443" s="509"/>
      <c r="W443" s="509"/>
      <c r="X443" s="509"/>
      <c r="Y443" s="509"/>
      <c r="Z443" s="509"/>
    </row>
    <row r="444" spans="1:26" ht="16.5" customHeight="1" x14ac:dyDescent="0.3">
      <c r="A444" s="509"/>
      <c r="B444" s="509"/>
      <c r="C444" s="509"/>
      <c r="D444" s="509"/>
      <c r="E444" s="509"/>
      <c r="F444" s="509"/>
      <c r="G444" s="509"/>
      <c r="H444" s="509"/>
      <c r="I444" s="509"/>
      <c r="J444" s="509"/>
      <c r="K444" s="509"/>
      <c r="L444" s="509"/>
      <c r="M444" s="509"/>
      <c r="N444" s="509"/>
      <c r="O444" s="509"/>
      <c r="P444" s="509"/>
      <c r="Q444" s="509"/>
      <c r="R444" s="509"/>
      <c r="S444" s="509"/>
      <c r="T444" s="509"/>
      <c r="U444" s="509"/>
      <c r="V444" s="509"/>
      <c r="W444" s="509"/>
      <c r="X444" s="509"/>
      <c r="Y444" s="509"/>
      <c r="Z444" s="509"/>
    </row>
    <row r="445" spans="1:26" ht="16.5" customHeight="1" x14ac:dyDescent="0.3">
      <c r="A445" s="509"/>
      <c r="B445" s="509"/>
      <c r="C445" s="509"/>
      <c r="D445" s="509"/>
      <c r="E445" s="509"/>
      <c r="F445" s="509"/>
      <c r="G445" s="509"/>
      <c r="H445" s="509"/>
      <c r="I445" s="509"/>
      <c r="J445" s="509"/>
      <c r="K445" s="509"/>
      <c r="L445" s="509"/>
      <c r="M445" s="509"/>
      <c r="N445" s="509"/>
      <c r="O445" s="509"/>
      <c r="P445" s="509"/>
      <c r="Q445" s="509"/>
      <c r="R445" s="509"/>
      <c r="S445" s="509"/>
      <c r="T445" s="509"/>
      <c r="U445" s="509"/>
      <c r="V445" s="509"/>
      <c r="W445" s="509"/>
      <c r="X445" s="509"/>
      <c r="Y445" s="509"/>
      <c r="Z445" s="509"/>
    </row>
    <row r="446" spans="1:26" ht="16.5" customHeight="1" x14ac:dyDescent="0.3">
      <c r="A446" s="509"/>
      <c r="B446" s="509"/>
      <c r="C446" s="509"/>
      <c r="D446" s="509"/>
      <c r="E446" s="509"/>
      <c r="F446" s="509"/>
      <c r="G446" s="509"/>
      <c r="H446" s="509"/>
      <c r="I446" s="509"/>
      <c r="J446" s="509"/>
      <c r="K446" s="509"/>
      <c r="L446" s="509"/>
      <c r="M446" s="509"/>
      <c r="N446" s="509"/>
      <c r="O446" s="509"/>
      <c r="P446" s="509"/>
      <c r="Q446" s="509"/>
      <c r="R446" s="509"/>
      <c r="S446" s="509"/>
      <c r="T446" s="509"/>
      <c r="U446" s="509"/>
      <c r="V446" s="509"/>
      <c r="W446" s="509"/>
      <c r="X446" s="509"/>
      <c r="Y446" s="509"/>
      <c r="Z446" s="509"/>
    </row>
    <row r="447" spans="1:26" ht="16.5" customHeight="1" x14ac:dyDescent="0.3">
      <c r="A447" s="509"/>
      <c r="B447" s="509"/>
      <c r="C447" s="509"/>
      <c r="D447" s="509"/>
      <c r="E447" s="509"/>
      <c r="F447" s="509"/>
      <c r="G447" s="509"/>
      <c r="H447" s="509"/>
      <c r="I447" s="509"/>
      <c r="J447" s="509"/>
      <c r="K447" s="509"/>
      <c r="L447" s="509"/>
      <c r="M447" s="509"/>
      <c r="N447" s="509"/>
      <c r="O447" s="509"/>
      <c r="P447" s="509"/>
      <c r="Q447" s="509"/>
      <c r="R447" s="509"/>
      <c r="S447" s="509"/>
      <c r="T447" s="509"/>
      <c r="U447" s="509"/>
      <c r="V447" s="509"/>
      <c r="W447" s="509"/>
      <c r="X447" s="509"/>
      <c r="Y447" s="509"/>
      <c r="Z447" s="509"/>
    </row>
    <row r="448" spans="1:26" ht="16.5" customHeight="1" x14ac:dyDescent="0.3">
      <c r="A448" s="509"/>
      <c r="B448" s="509"/>
      <c r="C448" s="509"/>
      <c r="D448" s="509"/>
      <c r="E448" s="509"/>
      <c r="F448" s="509"/>
      <c r="G448" s="509"/>
      <c r="H448" s="509"/>
      <c r="I448" s="509"/>
      <c r="J448" s="509"/>
      <c r="K448" s="509"/>
      <c r="L448" s="509"/>
      <c r="M448" s="509"/>
      <c r="N448" s="509"/>
      <c r="O448" s="509"/>
      <c r="P448" s="509"/>
      <c r="Q448" s="509"/>
      <c r="R448" s="509"/>
      <c r="S448" s="509"/>
      <c r="T448" s="509"/>
      <c r="U448" s="509"/>
      <c r="V448" s="509"/>
      <c r="W448" s="509"/>
      <c r="X448" s="509"/>
      <c r="Y448" s="509"/>
      <c r="Z448" s="509"/>
    </row>
    <row r="449" spans="1:26" ht="16.5" customHeight="1" x14ac:dyDescent="0.3">
      <c r="A449" s="509"/>
      <c r="B449" s="509"/>
      <c r="C449" s="509"/>
      <c r="D449" s="509"/>
      <c r="E449" s="509"/>
      <c r="F449" s="509"/>
      <c r="G449" s="509"/>
      <c r="H449" s="509"/>
      <c r="I449" s="509"/>
      <c r="J449" s="509"/>
      <c r="K449" s="509"/>
      <c r="L449" s="509"/>
      <c r="M449" s="509"/>
      <c r="N449" s="509"/>
      <c r="O449" s="509"/>
      <c r="P449" s="509"/>
      <c r="Q449" s="509"/>
      <c r="R449" s="509"/>
      <c r="S449" s="509"/>
      <c r="T449" s="509"/>
      <c r="U449" s="509"/>
      <c r="V449" s="509"/>
      <c r="W449" s="509"/>
      <c r="X449" s="509"/>
      <c r="Y449" s="509"/>
      <c r="Z449" s="509"/>
    </row>
    <row r="450" spans="1:26" ht="16.5" customHeight="1" x14ac:dyDescent="0.3">
      <c r="A450" s="509"/>
      <c r="B450" s="509"/>
      <c r="C450" s="509"/>
      <c r="D450" s="509"/>
      <c r="E450" s="509"/>
      <c r="F450" s="509"/>
      <c r="G450" s="509"/>
      <c r="H450" s="509"/>
      <c r="I450" s="509"/>
      <c r="J450" s="509"/>
      <c r="K450" s="509"/>
      <c r="L450" s="509"/>
      <c r="M450" s="509"/>
      <c r="N450" s="509"/>
      <c r="O450" s="509"/>
      <c r="P450" s="509"/>
      <c r="Q450" s="509"/>
      <c r="R450" s="509"/>
      <c r="S450" s="509"/>
      <c r="T450" s="509"/>
      <c r="U450" s="509"/>
      <c r="V450" s="509"/>
      <c r="W450" s="509"/>
      <c r="X450" s="509"/>
      <c r="Y450" s="509"/>
      <c r="Z450" s="509"/>
    </row>
    <row r="451" spans="1:26" ht="16.5" customHeight="1" x14ac:dyDescent="0.3">
      <c r="A451" s="509"/>
      <c r="B451" s="509"/>
      <c r="C451" s="509"/>
      <c r="D451" s="509"/>
      <c r="E451" s="509"/>
      <c r="F451" s="509"/>
      <c r="G451" s="509"/>
      <c r="H451" s="509"/>
      <c r="I451" s="509"/>
      <c r="J451" s="509"/>
      <c r="K451" s="509"/>
      <c r="L451" s="509"/>
      <c r="M451" s="509"/>
      <c r="N451" s="509"/>
      <c r="O451" s="509"/>
      <c r="P451" s="509"/>
      <c r="Q451" s="509"/>
      <c r="R451" s="509"/>
      <c r="S451" s="509"/>
      <c r="T451" s="509"/>
      <c r="U451" s="509"/>
      <c r="V451" s="509"/>
      <c r="W451" s="509"/>
      <c r="X451" s="509"/>
      <c r="Y451" s="509"/>
      <c r="Z451" s="509"/>
    </row>
    <row r="452" spans="1:26" ht="16.5" customHeight="1" x14ac:dyDescent="0.3">
      <c r="A452" s="509"/>
      <c r="B452" s="509"/>
      <c r="C452" s="509"/>
      <c r="D452" s="509"/>
      <c r="E452" s="509"/>
      <c r="F452" s="509"/>
      <c r="G452" s="509"/>
      <c r="H452" s="509"/>
      <c r="I452" s="509"/>
      <c r="J452" s="509"/>
      <c r="K452" s="509"/>
      <c r="L452" s="509"/>
      <c r="M452" s="509"/>
      <c r="N452" s="509"/>
      <c r="O452" s="509"/>
      <c r="P452" s="509"/>
      <c r="Q452" s="509"/>
      <c r="R452" s="509"/>
      <c r="S452" s="509"/>
      <c r="T452" s="509"/>
      <c r="U452" s="509"/>
      <c r="V452" s="509"/>
      <c r="W452" s="509"/>
      <c r="X452" s="509"/>
      <c r="Y452" s="509"/>
      <c r="Z452" s="509"/>
    </row>
    <row r="453" spans="1:26" ht="16.5" customHeight="1" x14ac:dyDescent="0.3">
      <c r="A453" s="509"/>
      <c r="B453" s="509"/>
      <c r="C453" s="509"/>
      <c r="D453" s="509"/>
      <c r="E453" s="509"/>
      <c r="F453" s="509"/>
      <c r="G453" s="509"/>
      <c r="H453" s="509"/>
      <c r="I453" s="509"/>
      <c r="J453" s="509"/>
      <c r="K453" s="509"/>
      <c r="L453" s="509"/>
      <c r="M453" s="509"/>
      <c r="N453" s="509"/>
      <c r="O453" s="509"/>
      <c r="P453" s="509"/>
      <c r="Q453" s="509"/>
      <c r="R453" s="509"/>
      <c r="S453" s="509"/>
      <c r="T453" s="509"/>
      <c r="U453" s="509"/>
      <c r="V453" s="509"/>
      <c r="W453" s="509"/>
      <c r="X453" s="509"/>
      <c r="Y453" s="509"/>
      <c r="Z453" s="509"/>
    </row>
    <row r="454" spans="1:26" ht="16.5" customHeight="1" x14ac:dyDescent="0.3">
      <c r="A454" s="509"/>
      <c r="B454" s="509"/>
      <c r="C454" s="509"/>
      <c r="D454" s="509"/>
      <c r="E454" s="509"/>
      <c r="F454" s="509"/>
      <c r="G454" s="509"/>
      <c r="H454" s="509"/>
      <c r="I454" s="509"/>
      <c r="J454" s="509"/>
      <c r="K454" s="509"/>
      <c r="L454" s="509"/>
      <c r="M454" s="509"/>
      <c r="N454" s="509"/>
      <c r="O454" s="509"/>
      <c r="P454" s="509"/>
      <c r="Q454" s="509"/>
      <c r="R454" s="509"/>
      <c r="S454" s="509"/>
      <c r="T454" s="509"/>
      <c r="U454" s="509"/>
      <c r="V454" s="509"/>
      <c r="W454" s="509"/>
      <c r="X454" s="509"/>
      <c r="Y454" s="509"/>
      <c r="Z454" s="509"/>
    </row>
    <row r="455" spans="1:26" ht="16.5" customHeight="1" x14ac:dyDescent="0.3">
      <c r="A455" s="509"/>
      <c r="B455" s="509"/>
      <c r="C455" s="509"/>
      <c r="D455" s="509"/>
      <c r="E455" s="509"/>
      <c r="F455" s="509"/>
      <c r="G455" s="509"/>
      <c r="H455" s="509"/>
      <c r="I455" s="509"/>
      <c r="J455" s="509"/>
      <c r="K455" s="509"/>
      <c r="L455" s="509"/>
      <c r="M455" s="509"/>
      <c r="N455" s="509"/>
      <c r="O455" s="509"/>
      <c r="P455" s="509"/>
      <c r="Q455" s="509"/>
      <c r="R455" s="509"/>
      <c r="S455" s="509"/>
      <c r="T455" s="509"/>
      <c r="U455" s="509"/>
      <c r="V455" s="509"/>
      <c r="W455" s="509"/>
      <c r="X455" s="509"/>
      <c r="Y455" s="509"/>
      <c r="Z455" s="509"/>
    </row>
    <row r="456" spans="1:26" ht="16.5" customHeight="1" x14ac:dyDescent="0.3">
      <c r="A456" s="509"/>
      <c r="B456" s="509"/>
      <c r="C456" s="509"/>
      <c r="D456" s="509"/>
      <c r="E456" s="509"/>
      <c r="F456" s="509"/>
      <c r="G456" s="509"/>
      <c r="H456" s="509"/>
      <c r="I456" s="509"/>
      <c r="J456" s="509"/>
      <c r="K456" s="509"/>
      <c r="L456" s="509"/>
      <c r="M456" s="509"/>
      <c r="N456" s="509"/>
      <c r="O456" s="509"/>
      <c r="P456" s="509"/>
      <c r="Q456" s="509"/>
      <c r="R456" s="509"/>
      <c r="S456" s="509"/>
      <c r="T456" s="509"/>
      <c r="U456" s="509"/>
      <c r="V456" s="509"/>
      <c r="W456" s="509"/>
      <c r="X456" s="509"/>
      <c r="Y456" s="509"/>
      <c r="Z456" s="509"/>
    </row>
    <row r="457" spans="1:26" ht="16.5" customHeight="1" x14ac:dyDescent="0.3">
      <c r="A457" s="509"/>
      <c r="B457" s="509"/>
      <c r="C457" s="509"/>
      <c r="D457" s="509"/>
      <c r="E457" s="509"/>
      <c r="F457" s="509"/>
      <c r="G457" s="509"/>
      <c r="H457" s="509"/>
      <c r="I457" s="509"/>
      <c r="J457" s="509"/>
      <c r="K457" s="509"/>
      <c r="L457" s="509"/>
      <c r="M457" s="509"/>
      <c r="N457" s="509"/>
      <c r="O457" s="509"/>
      <c r="P457" s="509"/>
      <c r="Q457" s="509"/>
      <c r="R457" s="509"/>
      <c r="S457" s="509"/>
      <c r="T457" s="509"/>
      <c r="U457" s="509"/>
      <c r="V457" s="509"/>
      <c r="W457" s="509"/>
      <c r="X457" s="509"/>
      <c r="Y457" s="509"/>
      <c r="Z457" s="509"/>
    </row>
    <row r="458" spans="1:26" ht="16.5" customHeight="1" x14ac:dyDescent="0.3">
      <c r="A458" s="509"/>
      <c r="B458" s="509"/>
      <c r="C458" s="509"/>
      <c r="D458" s="509"/>
      <c r="E458" s="509"/>
      <c r="F458" s="509"/>
      <c r="G458" s="509"/>
      <c r="H458" s="509"/>
      <c r="I458" s="509"/>
      <c r="J458" s="509"/>
      <c r="K458" s="509"/>
      <c r="L458" s="509"/>
      <c r="M458" s="509"/>
      <c r="N458" s="509"/>
      <c r="O458" s="509"/>
      <c r="P458" s="509"/>
      <c r="Q458" s="509"/>
      <c r="R458" s="509"/>
      <c r="S458" s="509"/>
      <c r="T458" s="509"/>
      <c r="U458" s="509"/>
      <c r="V458" s="509"/>
      <c r="W458" s="509"/>
      <c r="X458" s="509"/>
      <c r="Y458" s="509"/>
      <c r="Z458" s="509"/>
    </row>
    <row r="459" spans="1:26" ht="16.5" customHeight="1" x14ac:dyDescent="0.3">
      <c r="A459" s="509"/>
      <c r="B459" s="509"/>
      <c r="C459" s="509"/>
      <c r="D459" s="509"/>
      <c r="E459" s="509"/>
      <c r="F459" s="509"/>
      <c r="G459" s="509"/>
      <c r="H459" s="509"/>
      <c r="I459" s="509"/>
      <c r="J459" s="509"/>
      <c r="K459" s="509"/>
      <c r="L459" s="509"/>
      <c r="M459" s="509"/>
      <c r="N459" s="509"/>
      <c r="O459" s="509"/>
      <c r="P459" s="509"/>
      <c r="Q459" s="509"/>
      <c r="R459" s="509"/>
      <c r="S459" s="509"/>
      <c r="T459" s="509"/>
      <c r="U459" s="509"/>
      <c r="V459" s="509"/>
      <c r="W459" s="509"/>
      <c r="X459" s="509"/>
      <c r="Y459" s="509"/>
      <c r="Z459" s="509"/>
    </row>
    <row r="460" spans="1:26" ht="16.5" customHeight="1" x14ac:dyDescent="0.3">
      <c r="A460" s="509"/>
      <c r="B460" s="509"/>
      <c r="C460" s="509"/>
      <c r="D460" s="509"/>
      <c r="E460" s="509"/>
      <c r="F460" s="509"/>
      <c r="G460" s="509"/>
      <c r="H460" s="509"/>
      <c r="I460" s="509"/>
      <c r="J460" s="509"/>
      <c r="K460" s="509"/>
      <c r="L460" s="509"/>
      <c r="M460" s="509"/>
      <c r="N460" s="509"/>
      <c r="O460" s="509"/>
      <c r="P460" s="509"/>
      <c r="Q460" s="509"/>
      <c r="R460" s="509"/>
      <c r="S460" s="509"/>
      <c r="T460" s="509"/>
      <c r="U460" s="509"/>
      <c r="V460" s="509"/>
      <c r="W460" s="509"/>
      <c r="X460" s="509"/>
      <c r="Y460" s="509"/>
      <c r="Z460" s="509"/>
    </row>
    <row r="461" spans="1:26" ht="16.5" customHeight="1" x14ac:dyDescent="0.3">
      <c r="A461" s="509"/>
      <c r="B461" s="509"/>
      <c r="C461" s="509"/>
      <c r="D461" s="509"/>
      <c r="E461" s="509"/>
      <c r="F461" s="509"/>
      <c r="G461" s="509"/>
      <c r="H461" s="509"/>
      <c r="I461" s="509"/>
      <c r="J461" s="509"/>
      <c r="K461" s="509"/>
      <c r="L461" s="509"/>
      <c r="M461" s="509"/>
      <c r="N461" s="509"/>
      <c r="O461" s="509"/>
      <c r="P461" s="509"/>
      <c r="Q461" s="509"/>
      <c r="R461" s="509"/>
      <c r="S461" s="509"/>
      <c r="T461" s="509"/>
      <c r="U461" s="509"/>
      <c r="V461" s="509"/>
      <c r="W461" s="509"/>
      <c r="X461" s="509"/>
      <c r="Y461" s="509"/>
      <c r="Z461" s="509"/>
    </row>
    <row r="462" spans="1:26" ht="16.5" customHeight="1" x14ac:dyDescent="0.3">
      <c r="A462" s="509"/>
      <c r="B462" s="509"/>
      <c r="C462" s="509"/>
      <c r="D462" s="509"/>
      <c r="E462" s="509"/>
      <c r="F462" s="509"/>
      <c r="G462" s="509"/>
      <c r="H462" s="509"/>
      <c r="I462" s="509"/>
      <c r="J462" s="509"/>
      <c r="K462" s="509"/>
      <c r="L462" s="509"/>
      <c r="M462" s="509"/>
      <c r="N462" s="509"/>
      <c r="O462" s="509"/>
      <c r="P462" s="509"/>
      <c r="Q462" s="509"/>
      <c r="R462" s="509"/>
      <c r="S462" s="509"/>
      <c r="T462" s="509"/>
      <c r="U462" s="509"/>
      <c r="V462" s="509"/>
      <c r="W462" s="509"/>
      <c r="X462" s="509"/>
      <c r="Y462" s="509"/>
      <c r="Z462" s="509"/>
    </row>
    <row r="463" spans="1:26" ht="16.5" customHeight="1" x14ac:dyDescent="0.3">
      <c r="A463" s="509"/>
      <c r="B463" s="509"/>
      <c r="C463" s="509"/>
      <c r="D463" s="509"/>
      <c r="E463" s="509"/>
      <c r="F463" s="509"/>
      <c r="G463" s="509"/>
      <c r="H463" s="509"/>
      <c r="I463" s="509"/>
      <c r="J463" s="509"/>
      <c r="K463" s="509"/>
      <c r="L463" s="509"/>
      <c r="M463" s="509"/>
      <c r="N463" s="509"/>
      <c r="O463" s="509"/>
      <c r="P463" s="509"/>
      <c r="Q463" s="509"/>
      <c r="R463" s="509"/>
      <c r="S463" s="509"/>
      <c r="T463" s="509"/>
      <c r="U463" s="509"/>
      <c r="V463" s="509"/>
      <c r="W463" s="509"/>
      <c r="X463" s="509"/>
      <c r="Y463" s="509"/>
      <c r="Z463" s="509"/>
    </row>
    <row r="464" spans="1:26" ht="16.5" customHeight="1" x14ac:dyDescent="0.3">
      <c r="A464" s="509"/>
      <c r="B464" s="509"/>
      <c r="C464" s="509"/>
      <c r="D464" s="509"/>
      <c r="E464" s="509"/>
      <c r="F464" s="509"/>
      <c r="G464" s="509"/>
      <c r="H464" s="509"/>
      <c r="I464" s="509"/>
      <c r="J464" s="509"/>
      <c r="K464" s="509"/>
      <c r="L464" s="509"/>
      <c r="M464" s="509"/>
      <c r="N464" s="509"/>
      <c r="O464" s="509"/>
      <c r="P464" s="509"/>
      <c r="Q464" s="509"/>
      <c r="R464" s="509"/>
      <c r="S464" s="509"/>
      <c r="T464" s="509"/>
      <c r="U464" s="509"/>
      <c r="V464" s="509"/>
      <c r="W464" s="509"/>
      <c r="X464" s="509"/>
      <c r="Y464" s="509"/>
      <c r="Z464" s="509"/>
    </row>
    <row r="465" spans="1:26" ht="16.5" customHeight="1" x14ac:dyDescent="0.3">
      <c r="A465" s="509"/>
      <c r="B465" s="509"/>
      <c r="C465" s="509"/>
      <c r="D465" s="509"/>
      <c r="E465" s="509"/>
      <c r="F465" s="509"/>
      <c r="G465" s="509"/>
      <c r="H465" s="509"/>
      <c r="I465" s="509"/>
      <c r="J465" s="509"/>
      <c r="K465" s="509"/>
      <c r="L465" s="509"/>
      <c r="M465" s="509"/>
      <c r="N465" s="509"/>
      <c r="O465" s="509"/>
      <c r="P465" s="509"/>
      <c r="Q465" s="509"/>
      <c r="R465" s="509"/>
      <c r="S465" s="509"/>
      <c r="T465" s="509"/>
      <c r="U465" s="509"/>
      <c r="V465" s="509"/>
      <c r="W465" s="509"/>
      <c r="X465" s="509"/>
      <c r="Y465" s="509"/>
      <c r="Z465" s="509"/>
    </row>
    <row r="466" spans="1:26" ht="16.5" customHeight="1" x14ac:dyDescent="0.3">
      <c r="A466" s="509"/>
      <c r="B466" s="509"/>
      <c r="C466" s="509"/>
      <c r="D466" s="509"/>
      <c r="E466" s="509"/>
      <c r="F466" s="509"/>
      <c r="G466" s="509"/>
      <c r="H466" s="509"/>
      <c r="I466" s="509"/>
      <c r="J466" s="509"/>
      <c r="K466" s="509"/>
      <c r="L466" s="509"/>
      <c r="M466" s="509"/>
      <c r="N466" s="509"/>
      <c r="O466" s="509"/>
      <c r="P466" s="509"/>
      <c r="Q466" s="509"/>
      <c r="R466" s="509"/>
      <c r="S466" s="509"/>
      <c r="T466" s="509"/>
      <c r="U466" s="509"/>
      <c r="V466" s="509"/>
      <c r="W466" s="509"/>
      <c r="X466" s="509"/>
      <c r="Y466" s="509"/>
      <c r="Z466" s="509"/>
    </row>
    <row r="467" spans="1:26" ht="16.5" customHeight="1" x14ac:dyDescent="0.3">
      <c r="A467" s="509"/>
      <c r="B467" s="509"/>
      <c r="C467" s="509"/>
      <c r="D467" s="509"/>
      <c r="E467" s="509"/>
      <c r="F467" s="509"/>
      <c r="G467" s="509"/>
      <c r="H467" s="509"/>
      <c r="I467" s="509"/>
      <c r="J467" s="509"/>
      <c r="K467" s="509"/>
      <c r="L467" s="509"/>
      <c r="M467" s="509"/>
      <c r="N467" s="509"/>
      <c r="O467" s="509"/>
      <c r="P467" s="509"/>
      <c r="Q467" s="509"/>
      <c r="R467" s="509"/>
      <c r="S467" s="509"/>
      <c r="T467" s="509"/>
      <c r="U467" s="509"/>
      <c r="V467" s="509"/>
      <c r="W467" s="509"/>
      <c r="X467" s="509"/>
      <c r="Y467" s="509"/>
      <c r="Z467" s="509"/>
    </row>
    <row r="468" spans="1:26" ht="16.5" customHeight="1" x14ac:dyDescent="0.3">
      <c r="A468" s="509"/>
      <c r="B468" s="509"/>
      <c r="C468" s="509"/>
      <c r="D468" s="509"/>
      <c r="E468" s="509"/>
      <c r="F468" s="509"/>
      <c r="G468" s="509"/>
      <c r="H468" s="509"/>
      <c r="I468" s="509"/>
      <c r="J468" s="509"/>
      <c r="K468" s="509"/>
      <c r="L468" s="509"/>
      <c r="M468" s="509"/>
      <c r="N468" s="509"/>
      <c r="O468" s="509"/>
      <c r="P468" s="509"/>
      <c r="Q468" s="509"/>
      <c r="R468" s="509"/>
      <c r="S468" s="509"/>
      <c r="T468" s="509"/>
      <c r="U468" s="509"/>
      <c r="V468" s="509"/>
      <c r="W468" s="509"/>
      <c r="X468" s="509"/>
      <c r="Y468" s="509"/>
      <c r="Z468" s="509"/>
    </row>
    <row r="469" spans="1:26" ht="16.5" customHeight="1" x14ac:dyDescent="0.3">
      <c r="A469" s="509"/>
      <c r="B469" s="509"/>
      <c r="C469" s="509"/>
      <c r="D469" s="509"/>
      <c r="E469" s="509"/>
      <c r="F469" s="509"/>
      <c r="G469" s="509"/>
      <c r="H469" s="509"/>
      <c r="I469" s="509"/>
      <c r="J469" s="509"/>
      <c r="K469" s="509"/>
      <c r="L469" s="509"/>
      <c r="M469" s="509"/>
      <c r="N469" s="509"/>
      <c r="O469" s="509"/>
      <c r="P469" s="509"/>
      <c r="Q469" s="509"/>
      <c r="R469" s="509"/>
      <c r="S469" s="509"/>
      <c r="T469" s="509"/>
      <c r="U469" s="509"/>
      <c r="V469" s="509"/>
      <c r="W469" s="509"/>
      <c r="X469" s="509"/>
      <c r="Y469" s="509"/>
      <c r="Z469" s="509"/>
    </row>
    <row r="470" spans="1:26" ht="16.5" customHeight="1" x14ac:dyDescent="0.3">
      <c r="A470" s="509"/>
      <c r="B470" s="509"/>
      <c r="C470" s="509"/>
      <c r="D470" s="509"/>
      <c r="E470" s="509"/>
      <c r="F470" s="509"/>
      <c r="G470" s="509"/>
      <c r="H470" s="509"/>
      <c r="I470" s="509"/>
      <c r="J470" s="509"/>
      <c r="K470" s="509"/>
      <c r="L470" s="509"/>
      <c r="M470" s="509"/>
      <c r="N470" s="509"/>
      <c r="O470" s="509"/>
      <c r="P470" s="509"/>
      <c r="Q470" s="509"/>
      <c r="R470" s="509"/>
      <c r="S470" s="509"/>
      <c r="T470" s="509"/>
      <c r="U470" s="509"/>
      <c r="V470" s="509"/>
      <c r="W470" s="509"/>
      <c r="X470" s="509"/>
      <c r="Y470" s="509"/>
      <c r="Z470" s="509"/>
    </row>
    <row r="471" spans="1:26" ht="16.5" customHeight="1" x14ac:dyDescent="0.3">
      <c r="A471" s="509"/>
      <c r="B471" s="509"/>
      <c r="C471" s="509"/>
      <c r="D471" s="509"/>
      <c r="E471" s="509"/>
      <c r="F471" s="509"/>
      <c r="G471" s="509"/>
      <c r="H471" s="509"/>
      <c r="I471" s="509"/>
      <c r="J471" s="509"/>
      <c r="K471" s="509"/>
      <c r="L471" s="509"/>
      <c r="M471" s="509"/>
      <c r="N471" s="509"/>
      <c r="O471" s="509"/>
      <c r="P471" s="509"/>
      <c r="Q471" s="509"/>
      <c r="R471" s="509"/>
      <c r="S471" s="509"/>
      <c r="T471" s="509"/>
      <c r="U471" s="509"/>
      <c r="V471" s="509"/>
      <c r="W471" s="509"/>
      <c r="X471" s="509"/>
      <c r="Y471" s="509"/>
      <c r="Z471" s="509"/>
    </row>
    <row r="472" spans="1:26" ht="16.5" customHeight="1" x14ac:dyDescent="0.3">
      <c r="A472" s="509"/>
      <c r="B472" s="509"/>
      <c r="C472" s="509"/>
      <c r="D472" s="509"/>
      <c r="E472" s="509"/>
      <c r="F472" s="509"/>
      <c r="G472" s="509"/>
      <c r="H472" s="509"/>
      <c r="I472" s="509"/>
      <c r="J472" s="509"/>
      <c r="K472" s="509"/>
      <c r="L472" s="509"/>
      <c r="M472" s="509"/>
      <c r="N472" s="509"/>
      <c r="O472" s="509"/>
      <c r="P472" s="509"/>
      <c r="Q472" s="509"/>
      <c r="R472" s="509"/>
      <c r="S472" s="509"/>
      <c r="T472" s="509"/>
      <c r="U472" s="509"/>
      <c r="V472" s="509"/>
      <c r="W472" s="509"/>
      <c r="X472" s="509"/>
      <c r="Y472" s="509"/>
      <c r="Z472" s="509"/>
    </row>
    <row r="473" spans="1:26" ht="16.5" customHeight="1" x14ac:dyDescent="0.3">
      <c r="A473" s="509"/>
      <c r="B473" s="509"/>
      <c r="C473" s="509"/>
      <c r="D473" s="509"/>
      <c r="E473" s="509"/>
      <c r="F473" s="509"/>
      <c r="G473" s="509"/>
      <c r="H473" s="509"/>
      <c r="I473" s="509"/>
      <c r="J473" s="509"/>
      <c r="K473" s="509"/>
      <c r="L473" s="509"/>
      <c r="M473" s="509"/>
      <c r="N473" s="509"/>
      <c r="O473" s="509"/>
      <c r="P473" s="509"/>
      <c r="Q473" s="509"/>
      <c r="R473" s="509"/>
      <c r="S473" s="509"/>
      <c r="T473" s="509"/>
      <c r="U473" s="509"/>
      <c r="V473" s="509"/>
      <c r="W473" s="509"/>
      <c r="X473" s="509"/>
      <c r="Y473" s="509"/>
      <c r="Z473" s="509"/>
    </row>
    <row r="474" spans="1:26" ht="16.5" customHeight="1" x14ac:dyDescent="0.3">
      <c r="A474" s="509"/>
      <c r="B474" s="509"/>
      <c r="C474" s="509"/>
      <c r="D474" s="509"/>
      <c r="E474" s="509"/>
      <c r="F474" s="509"/>
      <c r="G474" s="509"/>
      <c r="H474" s="509"/>
      <c r="I474" s="509"/>
      <c r="J474" s="509"/>
      <c r="K474" s="509"/>
      <c r="L474" s="509"/>
      <c r="M474" s="509"/>
      <c r="N474" s="509"/>
      <c r="O474" s="509"/>
      <c r="P474" s="509"/>
      <c r="Q474" s="509"/>
      <c r="R474" s="509"/>
      <c r="S474" s="509"/>
      <c r="T474" s="509"/>
      <c r="U474" s="509"/>
      <c r="V474" s="509"/>
      <c r="W474" s="509"/>
      <c r="X474" s="509"/>
      <c r="Y474" s="509"/>
      <c r="Z474" s="509"/>
    </row>
    <row r="475" spans="1:26" ht="16.5" customHeight="1" x14ac:dyDescent="0.3">
      <c r="A475" s="509"/>
      <c r="B475" s="509"/>
      <c r="C475" s="509"/>
      <c r="D475" s="509"/>
      <c r="E475" s="509"/>
      <c r="F475" s="509"/>
      <c r="G475" s="509"/>
      <c r="H475" s="509"/>
      <c r="I475" s="509"/>
      <c r="J475" s="509"/>
      <c r="K475" s="509"/>
      <c r="L475" s="509"/>
      <c r="M475" s="509"/>
      <c r="N475" s="509"/>
      <c r="O475" s="509"/>
      <c r="P475" s="509"/>
      <c r="Q475" s="509"/>
      <c r="R475" s="509"/>
      <c r="S475" s="509"/>
      <c r="T475" s="509"/>
      <c r="U475" s="509"/>
      <c r="V475" s="509"/>
      <c r="W475" s="509"/>
      <c r="X475" s="509"/>
      <c r="Y475" s="509"/>
      <c r="Z475" s="509"/>
    </row>
    <row r="476" spans="1:26" ht="16.5" customHeight="1" x14ac:dyDescent="0.3">
      <c r="A476" s="509"/>
      <c r="B476" s="509"/>
      <c r="C476" s="509"/>
      <c r="D476" s="509"/>
      <c r="E476" s="509"/>
      <c r="F476" s="509"/>
      <c r="G476" s="509"/>
      <c r="H476" s="509"/>
      <c r="I476" s="509"/>
      <c r="J476" s="509"/>
      <c r="K476" s="509"/>
      <c r="L476" s="509"/>
      <c r="M476" s="509"/>
      <c r="N476" s="509"/>
      <c r="O476" s="509"/>
      <c r="P476" s="509"/>
      <c r="Q476" s="509"/>
      <c r="R476" s="509"/>
      <c r="S476" s="509"/>
      <c r="T476" s="509"/>
      <c r="U476" s="509"/>
      <c r="V476" s="509"/>
      <c r="W476" s="509"/>
      <c r="X476" s="509"/>
      <c r="Y476" s="509"/>
      <c r="Z476" s="509"/>
    </row>
    <row r="477" spans="1:26" ht="16.5" customHeight="1" x14ac:dyDescent="0.3">
      <c r="A477" s="509"/>
      <c r="B477" s="509"/>
      <c r="C477" s="509"/>
      <c r="D477" s="509"/>
      <c r="E477" s="509"/>
      <c r="F477" s="509"/>
      <c r="G477" s="509"/>
      <c r="H477" s="509"/>
      <c r="I477" s="509"/>
      <c r="J477" s="509"/>
      <c r="K477" s="509"/>
      <c r="L477" s="509"/>
      <c r="M477" s="509"/>
      <c r="N477" s="509"/>
      <c r="O477" s="509"/>
      <c r="P477" s="509"/>
      <c r="Q477" s="509"/>
      <c r="R477" s="509"/>
      <c r="S477" s="509"/>
      <c r="T477" s="509"/>
      <c r="U477" s="509"/>
      <c r="V477" s="509"/>
      <c r="W477" s="509"/>
      <c r="X477" s="509"/>
      <c r="Y477" s="509"/>
      <c r="Z477" s="509"/>
    </row>
    <row r="478" spans="1:26" ht="16.5" customHeight="1" x14ac:dyDescent="0.3">
      <c r="A478" s="509"/>
      <c r="B478" s="509"/>
      <c r="C478" s="509"/>
      <c r="D478" s="509"/>
      <c r="E478" s="509"/>
      <c r="F478" s="509"/>
      <c r="G478" s="509"/>
      <c r="H478" s="509"/>
      <c r="I478" s="509"/>
      <c r="J478" s="509"/>
      <c r="K478" s="509"/>
      <c r="L478" s="509"/>
      <c r="M478" s="509"/>
      <c r="N478" s="509"/>
      <c r="O478" s="509"/>
      <c r="P478" s="509"/>
      <c r="Q478" s="509"/>
      <c r="R478" s="509"/>
      <c r="S478" s="509"/>
      <c r="T478" s="509"/>
      <c r="U478" s="509"/>
      <c r="V478" s="509"/>
      <c r="W478" s="509"/>
      <c r="X478" s="509"/>
      <c r="Y478" s="509"/>
      <c r="Z478" s="509"/>
    </row>
    <row r="479" spans="1:26" ht="16.5" customHeight="1" x14ac:dyDescent="0.3">
      <c r="A479" s="509"/>
      <c r="B479" s="509"/>
      <c r="C479" s="509"/>
      <c r="D479" s="509"/>
      <c r="E479" s="509"/>
      <c r="F479" s="509"/>
      <c r="G479" s="509"/>
      <c r="H479" s="509"/>
      <c r="I479" s="509"/>
      <c r="J479" s="509"/>
      <c r="K479" s="509"/>
      <c r="L479" s="509"/>
      <c r="M479" s="509"/>
      <c r="N479" s="509"/>
      <c r="O479" s="509"/>
      <c r="P479" s="509"/>
      <c r="Q479" s="509"/>
      <c r="R479" s="509"/>
      <c r="S479" s="509"/>
      <c r="T479" s="509"/>
      <c r="U479" s="509"/>
      <c r="V479" s="509"/>
      <c r="W479" s="509"/>
      <c r="X479" s="509"/>
      <c r="Y479" s="509"/>
      <c r="Z479" s="509"/>
    </row>
    <row r="480" spans="1:26" ht="16.5" customHeight="1" x14ac:dyDescent="0.3">
      <c r="A480" s="509"/>
      <c r="B480" s="509"/>
      <c r="C480" s="509"/>
      <c r="D480" s="509"/>
      <c r="E480" s="509"/>
      <c r="F480" s="509"/>
      <c r="G480" s="509"/>
      <c r="H480" s="509"/>
      <c r="I480" s="509"/>
      <c r="J480" s="509"/>
      <c r="K480" s="509"/>
      <c r="L480" s="509"/>
      <c r="M480" s="509"/>
      <c r="N480" s="509"/>
      <c r="O480" s="509"/>
      <c r="P480" s="509"/>
      <c r="Q480" s="509"/>
      <c r="R480" s="509"/>
      <c r="S480" s="509"/>
      <c r="T480" s="509"/>
      <c r="U480" s="509"/>
      <c r="V480" s="509"/>
      <c r="W480" s="509"/>
      <c r="X480" s="509"/>
      <c r="Y480" s="509"/>
      <c r="Z480" s="509"/>
    </row>
    <row r="481" spans="1:26" ht="16.5" customHeight="1" x14ac:dyDescent="0.3">
      <c r="A481" s="509"/>
      <c r="B481" s="509"/>
      <c r="C481" s="509"/>
      <c r="D481" s="509"/>
      <c r="E481" s="509"/>
      <c r="F481" s="509"/>
      <c r="G481" s="509"/>
      <c r="H481" s="509"/>
      <c r="I481" s="509"/>
      <c r="J481" s="509"/>
      <c r="K481" s="509"/>
      <c r="L481" s="509"/>
      <c r="M481" s="509"/>
      <c r="N481" s="509"/>
      <c r="O481" s="509"/>
      <c r="P481" s="509"/>
      <c r="Q481" s="509"/>
      <c r="R481" s="509"/>
      <c r="S481" s="509"/>
      <c r="T481" s="509"/>
      <c r="U481" s="509"/>
      <c r="V481" s="509"/>
      <c r="W481" s="509"/>
      <c r="X481" s="509"/>
      <c r="Y481" s="509"/>
      <c r="Z481" s="509"/>
    </row>
    <row r="482" spans="1:26" ht="16.5" customHeight="1" x14ac:dyDescent="0.3">
      <c r="A482" s="509"/>
      <c r="B482" s="509"/>
      <c r="C482" s="509"/>
      <c r="D482" s="509"/>
      <c r="E482" s="509"/>
      <c r="F482" s="509"/>
      <c r="G482" s="509"/>
      <c r="H482" s="509"/>
      <c r="I482" s="509"/>
      <c r="J482" s="509"/>
      <c r="K482" s="509"/>
      <c r="L482" s="509"/>
      <c r="M482" s="509"/>
      <c r="N482" s="509"/>
      <c r="O482" s="509"/>
      <c r="P482" s="509"/>
      <c r="Q482" s="509"/>
      <c r="R482" s="509"/>
      <c r="S482" s="509"/>
      <c r="T482" s="509"/>
      <c r="U482" s="509"/>
      <c r="V482" s="509"/>
      <c r="W482" s="509"/>
      <c r="X482" s="509"/>
      <c r="Y482" s="509"/>
      <c r="Z482" s="509"/>
    </row>
    <row r="483" spans="1:26" ht="16.5" customHeight="1" x14ac:dyDescent="0.3">
      <c r="A483" s="509"/>
      <c r="B483" s="509"/>
      <c r="C483" s="509"/>
      <c r="D483" s="509"/>
      <c r="E483" s="509"/>
      <c r="F483" s="509"/>
      <c r="G483" s="509"/>
      <c r="H483" s="509"/>
      <c r="I483" s="509"/>
      <c r="J483" s="509"/>
      <c r="K483" s="509"/>
      <c r="L483" s="509"/>
      <c r="M483" s="509"/>
      <c r="N483" s="509"/>
      <c r="O483" s="509"/>
      <c r="P483" s="509"/>
      <c r="Q483" s="509"/>
      <c r="R483" s="509"/>
      <c r="S483" s="509"/>
      <c r="T483" s="509"/>
      <c r="U483" s="509"/>
      <c r="V483" s="509"/>
      <c r="W483" s="509"/>
      <c r="X483" s="509"/>
      <c r="Y483" s="509"/>
      <c r="Z483" s="509"/>
    </row>
    <row r="484" spans="1:26" ht="16.5" customHeight="1" x14ac:dyDescent="0.3">
      <c r="A484" s="509"/>
      <c r="B484" s="509"/>
      <c r="C484" s="509"/>
      <c r="D484" s="509"/>
      <c r="E484" s="509"/>
      <c r="F484" s="509"/>
      <c r="G484" s="509"/>
      <c r="H484" s="509"/>
      <c r="I484" s="509"/>
      <c r="J484" s="509"/>
      <c r="K484" s="509"/>
      <c r="L484" s="509"/>
      <c r="M484" s="509"/>
      <c r="N484" s="509"/>
      <c r="O484" s="509"/>
      <c r="P484" s="509"/>
      <c r="Q484" s="509"/>
      <c r="R484" s="509"/>
      <c r="S484" s="509"/>
      <c r="T484" s="509"/>
      <c r="U484" s="509"/>
      <c r="V484" s="509"/>
      <c r="W484" s="509"/>
      <c r="X484" s="509"/>
      <c r="Y484" s="509"/>
      <c r="Z484" s="509"/>
    </row>
    <row r="485" spans="1:26" ht="16.5" customHeight="1" x14ac:dyDescent="0.3">
      <c r="A485" s="509"/>
      <c r="B485" s="509"/>
      <c r="C485" s="509"/>
      <c r="D485" s="509"/>
      <c r="E485" s="509"/>
      <c r="F485" s="509"/>
      <c r="G485" s="509"/>
      <c r="H485" s="509"/>
      <c r="I485" s="509"/>
      <c r="J485" s="509"/>
      <c r="K485" s="509"/>
      <c r="L485" s="509"/>
      <c r="M485" s="509"/>
      <c r="N485" s="509"/>
      <c r="O485" s="509"/>
      <c r="P485" s="509"/>
      <c r="Q485" s="509"/>
      <c r="R485" s="509"/>
      <c r="S485" s="509"/>
      <c r="T485" s="509"/>
      <c r="U485" s="509"/>
      <c r="V485" s="509"/>
      <c r="W485" s="509"/>
      <c r="X485" s="509"/>
      <c r="Y485" s="509"/>
      <c r="Z485" s="509"/>
    </row>
    <row r="486" spans="1:26" ht="16.5" customHeight="1" x14ac:dyDescent="0.3">
      <c r="A486" s="509"/>
      <c r="B486" s="509"/>
      <c r="C486" s="509"/>
      <c r="D486" s="509"/>
      <c r="E486" s="509"/>
      <c r="F486" s="509"/>
      <c r="G486" s="509"/>
      <c r="H486" s="509"/>
      <c r="I486" s="509"/>
      <c r="J486" s="509"/>
      <c r="K486" s="509"/>
      <c r="L486" s="509"/>
      <c r="M486" s="509"/>
      <c r="N486" s="509"/>
      <c r="O486" s="509"/>
      <c r="P486" s="509"/>
      <c r="Q486" s="509"/>
      <c r="R486" s="509"/>
      <c r="S486" s="509"/>
      <c r="T486" s="509"/>
      <c r="U486" s="509"/>
      <c r="V486" s="509"/>
      <c r="W486" s="509"/>
      <c r="X486" s="509"/>
      <c r="Y486" s="509"/>
      <c r="Z486" s="509"/>
    </row>
    <row r="487" spans="1:26" ht="16.5" customHeight="1" x14ac:dyDescent="0.3">
      <c r="A487" s="509"/>
      <c r="B487" s="509"/>
      <c r="C487" s="509"/>
      <c r="D487" s="509"/>
      <c r="E487" s="509"/>
      <c r="F487" s="509"/>
      <c r="G487" s="509"/>
      <c r="H487" s="509"/>
      <c r="I487" s="509"/>
      <c r="J487" s="509"/>
      <c r="K487" s="509"/>
      <c r="L487" s="509"/>
      <c r="M487" s="509"/>
      <c r="N487" s="509"/>
      <c r="O487" s="509"/>
      <c r="P487" s="509"/>
      <c r="Q487" s="509"/>
      <c r="R487" s="509"/>
      <c r="S487" s="509"/>
      <c r="T487" s="509"/>
      <c r="U487" s="509"/>
      <c r="V487" s="509"/>
      <c r="W487" s="509"/>
      <c r="X487" s="509"/>
      <c r="Y487" s="509"/>
      <c r="Z487" s="509"/>
    </row>
    <row r="488" spans="1:26" ht="16.5" customHeight="1" x14ac:dyDescent="0.3">
      <c r="A488" s="509"/>
      <c r="B488" s="509"/>
      <c r="C488" s="509"/>
      <c r="D488" s="509"/>
      <c r="E488" s="509"/>
      <c r="F488" s="509"/>
      <c r="G488" s="509"/>
      <c r="H488" s="509"/>
      <c r="I488" s="509"/>
      <c r="J488" s="509"/>
      <c r="K488" s="509"/>
      <c r="L488" s="509"/>
      <c r="M488" s="509"/>
      <c r="N488" s="509"/>
      <c r="O488" s="509"/>
      <c r="P488" s="509"/>
      <c r="Q488" s="509"/>
      <c r="R488" s="509"/>
      <c r="S488" s="509"/>
      <c r="T488" s="509"/>
      <c r="U488" s="509"/>
      <c r="V488" s="509"/>
      <c r="W488" s="509"/>
      <c r="X488" s="509"/>
      <c r="Y488" s="509"/>
      <c r="Z488" s="509"/>
    </row>
    <row r="489" spans="1:26" ht="16.5" customHeight="1" x14ac:dyDescent="0.3">
      <c r="A489" s="509"/>
      <c r="B489" s="509"/>
      <c r="C489" s="509"/>
      <c r="D489" s="509"/>
      <c r="E489" s="509"/>
      <c r="F489" s="509"/>
      <c r="G489" s="509"/>
      <c r="H489" s="509"/>
      <c r="I489" s="509"/>
      <c r="J489" s="509"/>
      <c r="K489" s="509"/>
      <c r="L489" s="509"/>
      <c r="M489" s="509"/>
      <c r="N489" s="509"/>
      <c r="O489" s="509"/>
      <c r="P489" s="509"/>
      <c r="Q489" s="509"/>
      <c r="R489" s="509"/>
      <c r="S489" s="509"/>
      <c r="T489" s="509"/>
      <c r="U489" s="509"/>
      <c r="V489" s="509"/>
      <c r="W489" s="509"/>
      <c r="X489" s="509"/>
      <c r="Y489" s="509"/>
      <c r="Z489" s="509"/>
    </row>
    <row r="490" spans="1:26" ht="16.5" customHeight="1" x14ac:dyDescent="0.3">
      <c r="A490" s="509"/>
      <c r="B490" s="509"/>
      <c r="C490" s="509"/>
      <c r="D490" s="509"/>
      <c r="E490" s="509"/>
      <c r="F490" s="509"/>
      <c r="G490" s="509"/>
      <c r="H490" s="509"/>
      <c r="I490" s="509"/>
      <c r="J490" s="509"/>
      <c r="K490" s="509"/>
      <c r="L490" s="509"/>
      <c r="M490" s="509"/>
      <c r="N490" s="509"/>
      <c r="O490" s="509"/>
      <c r="P490" s="509"/>
      <c r="Q490" s="509"/>
      <c r="R490" s="509"/>
      <c r="S490" s="509"/>
      <c r="T490" s="509"/>
      <c r="U490" s="509"/>
      <c r="V490" s="509"/>
      <c r="W490" s="509"/>
      <c r="X490" s="509"/>
      <c r="Y490" s="509"/>
      <c r="Z490" s="509"/>
    </row>
    <row r="491" spans="1:26" ht="16.5" customHeight="1" x14ac:dyDescent="0.3">
      <c r="A491" s="509"/>
      <c r="B491" s="509"/>
      <c r="C491" s="509"/>
      <c r="D491" s="509"/>
      <c r="E491" s="509"/>
      <c r="F491" s="509"/>
      <c r="G491" s="509"/>
      <c r="H491" s="509"/>
      <c r="I491" s="509"/>
      <c r="J491" s="509"/>
      <c r="K491" s="509"/>
      <c r="L491" s="509"/>
      <c r="M491" s="509"/>
      <c r="N491" s="509"/>
      <c r="O491" s="509"/>
      <c r="P491" s="509"/>
      <c r="Q491" s="509"/>
      <c r="R491" s="509"/>
      <c r="S491" s="509"/>
      <c r="T491" s="509"/>
      <c r="U491" s="509"/>
      <c r="V491" s="509"/>
      <c r="W491" s="509"/>
      <c r="X491" s="509"/>
      <c r="Y491" s="509"/>
      <c r="Z491" s="509"/>
    </row>
    <row r="492" spans="1:26" ht="16.5" customHeight="1" x14ac:dyDescent="0.3">
      <c r="A492" s="509"/>
      <c r="B492" s="509"/>
      <c r="C492" s="509"/>
      <c r="D492" s="509"/>
      <c r="E492" s="509"/>
      <c r="F492" s="509"/>
      <c r="G492" s="509"/>
      <c r="H492" s="509"/>
      <c r="I492" s="509"/>
      <c r="J492" s="509"/>
      <c r="K492" s="509"/>
      <c r="L492" s="509"/>
      <c r="M492" s="509"/>
      <c r="N492" s="509"/>
      <c r="O492" s="509"/>
      <c r="P492" s="509"/>
      <c r="Q492" s="509"/>
      <c r="R492" s="509"/>
      <c r="S492" s="509"/>
      <c r="T492" s="509"/>
      <c r="U492" s="509"/>
      <c r="V492" s="509"/>
      <c r="W492" s="509"/>
      <c r="X492" s="509"/>
      <c r="Y492" s="509"/>
      <c r="Z492" s="509"/>
    </row>
    <row r="493" spans="1:26" ht="16.5" customHeight="1" x14ac:dyDescent="0.3">
      <c r="A493" s="509"/>
      <c r="B493" s="509"/>
      <c r="C493" s="509"/>
      <c r="D493" s="509"/>
      <c r="E493" s="509"/>
      <c r="F493" s="509"/>
      <c r="G493" s="509"/>
      <c r="H493" s="509"/>
      <c r="I493" s="509"/>
      <c r="J493" s="509"/>
      <c r="K493" s="509"/>
      <c r="L493" s="509"/>
      <c r="M493" s="509"/>
      <c r="N493" s="509"/>
      <c r="O493" s="509"/>
      <c r="P493" s="509"/>
      <c r="Q493" s="509"/>
      <c r="R493" s="509"/>
      <c r="S493" s="509"/>
      <c r="T493" s="509"/>
      <c r="U493" s="509"/>
      <c r="V493" s="509"/>
      <c r="W493" s="509"/>
      <c r="X493" s="509"/>
      <c r="Y493" s="509"/>
      <c r="Z493" s="509"/>
    </row>
    <row r="494" spans="1:26" ht="16.5" customHeight="1" x14ac:dyDescent="0.3">
      <c r="A494" s="509"/>
      <c r="B494" s="509"/>
      <c r="C494" s="509"/>
      <c r="D494" s="509"/>
      <c r="E494" s="509"/>
      <c r="F494" s="509"/>
      <c r="G494" s="509"/>
      <c r="H494" s="509"/>
      <c r="I494" s="509"/>
      <c r="J494" s="509"/>
      <c r="K494" s="509"/>
      <c r="L494" s="509"/>
      <c r="M494" s="509"/>
      <c r="N494" s="509"/>
      <c r="O494" s="509"/>
      <c r="P494" s="509"/>
      <c r="Q494" s="509"/>
      <c r="R494" s="509"/>
      <c r="S494" s="509"/>
      <c r="T494" s="509"/>
      <c r="U494" s="509"/>
      <c r="V494" s="509"/>
      <c r="W494" s="509"/>
      <c r="X494" s="509"/>
      <c r="Y494" s="509"/>
      <c r="Z494" s="509"/>
    </row>
    <row r="495" spans="1:26" ht="16.5" customHeight="1" x14ac:dyDescent="0.3">
      <c r="A495" s="509"/>
      <c r="B495" s="509"/>
      <c r="C495" s="509"/>
      <c r="D495" s="509"/>
      <c r="E495" s="509"/>
      <c r="F495" s="509"/>
      <c r="G495" s="509"/>
      <c r="H495" s="509"/>
      <c r="I495" s="509"/>
      <c r="J495" s="509"/>
      <c r="K495" s="509"/>
      <c r="L495" s="509"/>
      <c r="M495" s="509"/>
      <c r="N495" s="509"/>
      <c r="O495" s="509"/>
      <c r="P495" s="509"/>
      <c r="Q495" s="509"/>
      <c r="R495" s="509"/>
      <c r="S495" s="509"/>
      <c r="T495" s="509"/>
      <c r="U495" s="509"/>
      <c r="V495" s="509"/>
      <c r="W495" s="509"/>
      <c r="X495" s="509"/>
      <c r="Y495" s="509"/>
      <c r="Z495" s="509"/>
    </row>
    <row r="496" spans="1:26" ht="16.5" customHeight="1" x14ac:dyDescent="0.3">
      <c r="A496" s="509"/>
      <c r="B496" s="509"/>
      <c r="C496" s="509"/>
      <c r="D496" s="509"/>
      <c r="E496" s="509"/>
      <c r="F496" s="509"/>
      <c r="G496" s="509"/>
      <c r="H496" s="509"/>
      <c r="I496" s="509"/>
      <c r="J496" s="509"/>
      <c r="K496" s="509"/>
      <c r="L496" s="509"/>
      <c r="M496" s="509"/>
      <c r="N496" s="509"/>
      <c r="O496" s="509"/>
      <c r="P496" s="509"/>
      <c r="Q496" s="509"/>
      <c r="R496" s="509"/>
      <c r="S496" s="509"/>
      <c r="T496" s="509"/>
      <c r="U496" s="509"/>
      <c r="V496" s="509"/>
      <c r="W496" s="509"/>
      <c r="X496" s="509"/>
      <c r="Y496" s="509"/>
      <c r="Z496" s="509"/>
    </row>
    <row r="497" spans="1:26" ht="16.5" customHeight="1" x14ac:dyDescent="0.3">
      <c r="A497" s="509"/>
      <c r="B497" s="509"/>
      <c r="C497" s="509"/>
      <c r="D497" s="509"/>
      <c r="E497" s="509"/>
      <c r="F497" s="509"/>
      <c r="G497" s="509"/>
      <c r="H497" s="509"/>
      <c r="I497" s="509"/>
      <c r="J497" s="509"/>
      <c r="K497" s="509"/>
      <c r="L497" s="509"/>
      <c r="M497" s="509"/>
      <c r="N497" s="509"/>
      <c r="O497" s="509"/>
      <c r="P497" s="509"/>
      <c r="Q497" s="509"/>
      <c r="R497" s="509"/>
      <c r="S497" s="509"/>
      <c r="T497" s="509"/>
      <c r="U497" s="509"/>
      <c r="V497" s="509"/>
      <c r="W497" s="509"/>
      <c r="X497" s="509"/>
      <c r="Y497" s="509"/>
      <c r="Z497" s="509"/>
    </row>
    <row r="498" spans="1:26" ht="16.5" customHeight="1" x14ac:dyDescent="0.3">
      <c r="A498" s="509"/>
      <c r="B498" s="509"/>
      <c r="C498" s="509"/>
      <c r="D498" s="509"/>
      <c r="E498" s="509"/>
      <c r="F498" s="509"/>
      <c r="G498" s="509"/>
      <c r="H498" s="509"/>
      <c r="I498" s="509"/>
      <c r="J498" s="509"/>
      <c r="K498" s="509"/>
      <c r="L498" s="509"/>
      <c r="M498" s="509"/>
      <c r="N498" s="509"/>
      <c r="O498" s="509"/>
      <c r="P498" s="509"/>
      <c r="Q498" s="509"/>
      <c r="R498" s="509"/>
      <c r="S498" s="509"/>
      <c r="T498" s="509"/>
      <c r="U498" s="509"/>
      <c r="V498" s="509"/>
      <c r="W498" s="509"/>
      <c r="X498" s="509"/>
      <c r="Y498" s="509"/>
      <c r="Z498" s="509"/>
    </row>
    <row r="499" spans="1:26" ht="16.5" customHeight="1" x14ac:dyDescent="0.3">
      <c r="A499" s="509"/>
      <c r="B499" s="509"/>
      <c r="C499" s="509"/>
      <c r="D499" s="509"/>
      <c r="E499" s="509"/>
      <c r="F499" s="509"/>
      <c r="G499" s="509"/>
      <c r="H499" s="509"/>
      <c r="I499" s="509"/>
      <c r="J499" s="509"/>
      <c r="K499" s="509"/>
      <c r="L499" s="509"/>
      <c r="M499" s="509"/>
      <c r="N499" s="509"/>
      <c r="O499" s="509"/>
      <c r="P499" s="509"/>
      <c r="Q499" s="509"/>
      <c r="R499" s="509"/>
      <c r="S499" s="509"/>
      <c r="T499" s="509"/>
      <c r="U499" s="509"/>
      <c r="V499" s="509"/>
      <c r="W499" s="509"/>
      <c r="X499" s="509"/>
      <c r="Y499" s="509"/>
      <c r="Z499" s="509"/>
    </row>
    <row r="500" spans="1:26" ht="16.5" customHeight="1" x14ac:dyDescent="0.3">
      <c r="A500" s="509"/>
      <c r="B500" s="509"/>
      <c r="C500" s="509"/>
      <c r="D500" s="509"/>
      <c r="E500" s="509"/>
      <c r="F500" s="509"/>
      <c r="G500" s="509"/>
      <c r="H500" s="509"/>
      <c r="I500" s="509"/>
      <c r="J500" s="509"/>
      <c r="K500" s="509"/>
      <c r="L500" s="509"/>
      <c r="M500" s="509"/>
      <c r="N500" s="509"/>
      <c r="O500" s="509"/>
      <c r="P500" s="509"/>
      <c r="Q500" s="509"/>
      <c r="R500" s="509"/>
      <c r="S500" s="509"/>
      <c r="T500" s="509"/>
      <c r="U500" s="509"/>
      <c r="V500" s="509"/>
      <c r="W500" s="509"/>
      <c r="X500" s="509"/>
      <c r="Y500" s="509"/>
      <c r="Z500" s="509"/>
    </row>
    <row r="501" spans="1:26" ht="16.5" customHeight="1" x14ac:dyDescent="0.3">
      <c r="A501" s="509"/>
      <c r="B501" s="509"/>
      <c r="C501" s="509"/>
      <c r="D501" s="509"/>
      <c r="E501" s="509"/>
      <c r="F501" s="509"/>
      <c r="G501" s="509"/>
      <c r="H501" s="509"/>
      <c r="I501" s="509"/>
      <c r="J501" s="509"/>
      <c r="K501" s="509"/>
      <c r="L501" s="509"/>
      <c r="M501" s="509"/>
      <c r="N501" s="509"/>
      <c r="O501" s="509"/>
      <c r="P501" s="509"/>
      <c r="Q501" s="509"/>
      <c r="R501" s="509"/>
      <c r="S501" s="509"/>
      <c r="T501" s="509"/>
      <c r="U501" s="509"/>
      <c r="V501" s="509"/>
      <c r="W501" s="509"/>
      <c r="X501" s="509"/>
      <c r="Y501" s="509"/>
      <c r="Z501" s="509"/>
    </row>
    <row r="502" spans="1:26" ht="16.5" customHeight="1" x14ac:dyDescent="0.3">
      <c r="A502" s="509"/>
      <c r="B502" s="509"/>
      <c r="C502" s="509"/>
      <c r="D502" s="509"/>
      <c r="E502" s="509"/>
      <c r="F502" s="509"/>
      <c r="G502" s="509"/>
      <c r="H502" s="509"/>
      <c r="I502" s="509"/>
      <c r="J502" s="509"/>
      <c r="K502" s="509"/>
      <c r="L502" s="509"/>
      <c r="M502" s="509"/>
      <c r="N502" s="509"/>
      <c r="O502" s="509"/>
      <c r="P502" s="509"/>
      <c r="Q502" s="509"/>
      <c r="R502" s="509"/>
      <c r="S502" s="509"/>
      <c r="T502" s="509"/>
      <c r="U502" s="509"/>
      <c r="V502" s="509"/>
      <c r="W502" s="509"/>
      <c r="X502" s="509"/>
      <c r="Y502" s="509"/>
      <c r="Z502" s="509"/>
    </row>
    <row r="503" spans="1:26" ht="16.5" customHeight="1" x14ac:dyDescent="0.3">
      <c r="A503" s="509"/>
      <c r="B503" s="509"/>
      <c r="C503" s="509"/>
      <c r="D503" s="509"/>
      <c r="E503" s="509"/>
      <c r="F503" s="509"/>
      <c r="G503" s="509"/>
      <c r="H503" s="509"/>
      <c r="I503" s="509"/>
      <c r="J503" s="509"/>
      <c r="K503" s="509"/>
      <c r="L503" s="509"/>
      <c r="M503" s="509"/>
      <c r="N503" s="509"/>
      <c r="O503" s="509"/>
      <c r="P503" s="509"/>
      <c r="Q503" s="509"/>
      <c r="R503" s="509"/>
      <c r="S503" s="509"/>
      <c r="T503" s="509"/>
      <c r="U503" s="509"/>
      <c r="V503" s="509"/>
      <c r="W503" s="509"/>
      <c r="X503" s="509"/>
      <c r="Y503" s="509"/>
      <c r="Z503" s="509"/>
    </row>
    <row r="504" spans="1:26" ht="16.5" customHeight="1" x14ac:dyDescent="0.3">
      <c r="A504" s="509"/>
      <c r="B504" s="509"/>
      <c r="C504" s="509"/>
      <c r="D504" s="509"/>
      <c r="E504" s="509"/>
      <c r="F504" s="509"/>
      <c r="G504" s="509"/>
      <c r="H504" s="509"/>
      <c r="I504" s="509"/>
      <c r="J504" s="509"/>
      <c r="K504" s="509"/>
      <c r="L504" s="509"/>
      <c r="M504" s="509"/>
      <c r="N504" s="509"/>
      <c r="O504" s="509"/>
      <c r="P504" s="509"/>
      <c r="Q504" s="509"/>
      <c r="R504" s="509"/>
      <c r="S504" s="509"/>
      <c r="T504" s="509"/>
      <c r="U504" s="509"/>
      <c r="V504" s="509"/>
      <c r="W504" s="509"/>
      <c r="X504" s="509"/>
      <c r="Y504" s="509"/>
      <c r="Z504" s="509"/>
    </row>
    <row r="505" spans="1:26" ht="16.5" customHeight="1" x14ac:dyDescent="0.3">
      <c r="A505" s="509"/>
      <c r="B505" s="509"/>
      <c r="C505" s="509"/>
      <c r="D505" s="509"/>
      <c r="E505" s="509"/>
      <c r="F505" s="509"/>
      <c r="G505" s="509"/>
      <c r="H505" s="509"/>
      <c r="I505" s="509"/>
      <c r="J505" s="509"/>
      <c r="K505" s="509"/>
      <c r="L505" s="509"/>
      <c r="M505" s="509"/>
      <c r="N505" s="509"/>
      <c r="O505" s="509"/>
      <c r="P505" s="509"/>
      <c r="Q505" s="509"/>
      <c r="R505" s="509"/>
      <c r="S505" s="509"/>
      <c r="T505" s="509"/>
      <c r="U505" s="509"/>
      <c r="V505" s="509"/>
      <c r="W505" s="509"/>
      <c r="X505" s="509"/>
      <c r="Y505" s="509"/>
      <c r="Z505" s="509"/>
    </row>
    <row r="506" spans="1:26" ht="16.5" customHeight="1" x14ac:dyDescent="0.3">
      <c r="A506" s="509"/>
      <c r="B506" s="509"/>
      <c r="C506" s="509"/>
      <c r="D506" s="509"/>
      <c r="E506" s="509"/>
      <c r="F506" s="509"/>
      <c r="G506" s="509"/>
      <c r="H506" s="509"/>
      <c r="I506" s="509"/>
      <c r="J506" s="509"/>
      <c r="K506" s="509"/>
      <c r="L506" s="509"/>
      <c r="M506" s="509"/>
      <c r="N506" s="509"/>
      <c r="O506" s="509"/>
      <c r="P506" s="509"/>
      <c r="Q506" s="509"/>
      <c r="R506" s="509"/>
      <c r="S506" s="509"/>
      <c r="T506" s="509"/>
      <c r="U506" s="509"/>
      <c r="V506" s="509"/>
      <c r="W506" s="509"/>
      <c r="X506" s="509"/>
      <c r="Y506" s="509"/>
      <c r="Z506" s="509"/>
    </row>
    <row r="507" spans="1:26" ht="16.5" customHeight="1" x14ac:dyDescent="0.3">
      <c r="A507" s="509"/>
      <c r="B507" s="509"/>
      <c r="C507" s="509"/>
      <c r="D507" s="509"/>
      <c r="E507" s="509"/>
      <c r="F507" s="509"/>
      <c r="G507" s="509"/>
      <c r="H507" s="509"/>
      <c r="I507" s="509"/>
      <c r="J507" s="509"/>
      <c r="K507" s="509"/>
      <c r="L507" s="509"/>
      <c r="M507" s="509"/>
      <c r="N507" s="509"/>
      <c r="O507" s="509"/>
      <c r="P507" s="509"/>
      <c r="Q507" s="509"/>
      <c r="R507" s="509"/>
      <c r="S507" s="509"/>
      <c r="T507" s="509"/>
      <c r="U507" s="509"/>
      <c r="V507" s="509"/>
      <c r="W507" s="509"/>
      <c r="X507" s="509"/>
      <c r="Y507" s="509"/>
      <c r="Z507" s="509"/>
    </row>
    <row r="508" spans="1:26" ht="16.5" customHeight="1" x14ac:dyDescent="0.3">
      <c r="A508" s="509"/>
      <c r="B508" s="509"/>
      <c r="C508" s="509"/>
      <c r="D508" s="509"/>
      <c r="E508" s="509"/>
      <c r="F508" s="509"/>
      <c r="G508" s="509"/>
      <c r="H508" s="509"/>
      <c r="I508" s="509"/>
      <c r="J508" s="509"/>
      <c r="K508" s="509"/>
      <c r="L508" s="509"/>
      <c r="M508" s="509"/>
      <c r="N508" s="509"/>
      <c r="O508" s="509"/>
      <c r="P508" s="509"/>
      <c r="Q508" s="509"/>
      <c r="R508" s="509"/>
      <c r="S508" s="509"/>
      <c r="T508" s="509"/>
      <c r="U508" s="509"/>
      <c r="V508" s="509"/>
      <c r="W508" s="509"/>
      <c r="X508" s="509"/>
      <c r="Y508" s="509"/>
      <c r="Z508" s="509"/>
    </row>
    <row r="509" spans="1:26" ht="16.5" customHeight="1" x14ac:dyDescent="0.3">
      <c r="A509" s="509"/>
      <c r="B509" s="509"/>
      <c r="C509" s="509"/>
      <c r="D509" s="509"/>
      <c r="E509" s="509"/>
      <c r="F509" s="509"/>
      <c r="G509" s="509"/>
      <c r="H509" s="509"/>
      <c r="I509" s="509"/>
      <c r="J509" s="509"/>
      <c r="K509" s="509"/>
      <c r="L509" s="509"/>
      <c r="M509" s="509"/>
      <c r="N509" s="509"/>
      <c r="O509" s="509"/>
      <c r="P509" s="509"/>
      <c r="Q509" s="509"/>
      <c r="R509" s="509"/>
      <c r="S509" s="509"/>
      <c r="T509" s="509"/>
      <c r="U509" s="509"/>
      <c r="V509" s="509"/>
      <c r="W509" s="509"/>
      <c r="X509" s="509"/>
      <c r="Y509" s="509"/>
      <c r="Z509" s="509"/>
    </row>
    <row r="510" spans="1:26" ht="16.5" customHeight="1" x14ac:dyDescent="0.3">
      <c r="A510" s="509"/>
      <c r="B510" s="509"/>
      <c r="C510" s="509"/>
      <c r="D510" s="509"/>
      <c r="E510" s="509"/>
      <c r="F510" s="509"/>
      <c r="G510" s="509"/>
      <c r="H510" s="509"/>
      <c r="I510" s="509"/>
      <c r="J510" s="509"/>
      <c r="K510" s="509"/>
      <c r="L510" s="509"/>
      <c r="M510" s="509"/>
      <c r="N510" s="509"/>
      <c r="O510" s="509"/>
      <c r="P510" s="509"/>
      <c r="Q510" s="509"/>
      <c r="R510" s="509"/>
      <c r="S510" s="509"/>
      <c r="T510" s="509"/>
      <c r="U510" s="509"/>
      <c r="V510" s="509"/>
      <c r="W510" s="509"/>
      <c r="X510" s="509"/>
      <c r="Y510" s="509"/>
      <c r="Z510" s="509"/>
    </row>
    <row r="511" spans="1:26" ht="16.5" customHeight="1" x14ac:dyDescent="0.3">
      <c r="A511" s="509"/>
      <c r="B511" s="509"/>
      <c r="C511" s="509"/>
      <c r="D511" s="509"/>
      <c r="E511" s="509"/>
      <c r="F511" s="509"/>
      <c r="G511" s="509"/>
      <c r="H511" s="509"/>
      <c r="I511" s="509"/>
      <c r="J511" s="509"/>
      <c r="K511" s="509"/>
      <c r="L511" s="509"/>
      <c r="M511" s="509"/>
      <c r="N511" s="509"/>
      <c r="O511" s="509"/>
      <c r="P511" s="509"/>
      <c r="Q511" s="509"/>
      <c r="R511" s="509"/>
      <c r="S511" s="509"/>
      <c r="T511" s="509"/>
      <c r="U511" s="509"/>
      <c r="V511" s="509"/>
      <c r="W511" s="509"/>
      <c r="X511" s="509"/>
      <c r="Y511" s="509"/>
      <c r="Z511" s="509"/>
    </row>
    <row r="512" spans="1:26" ht="16.5" customHeight="1" x14ac:dyDescent="0.3">
      <c r="A512" s="509"/>
      <c r="B512" s="509"/>
      <c r="C512" s="509"/>
      <c r="D512" s="509"/>
      <c r="E512" s="509"/>
      <c r="F512" s="509"/>
      <c r="G512" s="509"/>
      <c r="H512" s="509"/>
      <c r="I512" s="509"/>
      <c r="J512" s="509"/>
      <c r="K512" s="509"/>
      <c r="L512" s="509"/>
      <c r="M512" s="509"/>
      <c r="N512" s="509"/>
      <c r="O512" s="509"/>
      <c r="P512" s="509"/>
      <c r="Q512" s="509"/>
      <c r="R512" s="509"/>
      <c r="S512" s="509"/>
      <c r="T512" s="509"/>
      <c r="U512" s="509"/>
      <c r="V512" s="509"/>
      <c r="W512" s="509"/>
      <c r="X512" s="509"/>
      <c r="Y512" s="509"/>
      <c r="Z512" s="509"/>
    </row>
    <row r="513" spans="1:26" ht="16.5" customHeight="1" x14ac:dyDescent="0.3">
      <c r="A513" s="509"/>
      <c r="B513" s="509"/>
      <c r="C513" s="509"/>
      <c r="D513" s="509"/>
      <c r="E513" s="509"/>
      <c r="F513" s="509"/>
      <c r="G513" s="509"/>
      <c r="H513" s="509"/>
      <c r="I513" s="509"/>
      <c r="J513" s="509"/>
      <c r="K513" s="509"/>
      <c r="L513" s="509"/>
      <c r="M513" s="509"/>
      <c r="N513" s="509"/>
      <c r="O513" s="509"/>
      <c r="P513" s="509"/>
      <c r="Q513" s="509"/>
      <c r="R513" s="509"/>
      <c r="S513" s="509"/>
      <c r="T513" s="509"/>
      <c r="U513" s="509"/>
      <c r="V513" s="509"/>
      <c r="W513" s="509"/>
      <c r="X513" s="509"/>
      <c r="Y513" s="509"/>
      <c r="Z513" s="509"/>
    </row>
    <row r="514" spans="1:26" ht="16.5" customHeight="1" x14ac:dyDescent="0.3">
      <c r="A514" s="509"/>
      <c r="B514" s="509"/>
      <c r="C514" s="509"/>
      <c r="D514" s="509"/>
      <c r="E514" s="509"/>
      <c r="F514" s="509"/>
      <c r="G514" s="509"/>
      <c r="H514" s="509"/>
      <c r="I514" s="509"/>
      <c r="J514" s="509"/>
      <c r="K514" s="509"/>
      <c r="L514" s="509"/>
      <c r="M514" s="509"/>
      <c r="N514" s="509"/>
      <c r="O514" s="509"/>
      <c r="P514" s="509"/>
      <c r="Q514" s="509"/>
      <c r="R514" s="509"/>
      <c r="S514" s="509"/>
      <c r="T514" s="509"/>
      <c r="U514" s="509"/>
      <c r="V514" s="509"/>
      <c r="W514" s="509"/>
      <c r="X514" s="509"/>
      <c r="Y514" s="509"/>
      <c r="Z514" s="509"/>
    </row>
    <row r="515" spans="1:26" ht="16.5" customHeight="1" x14ac:dyDescent="0.3">
      <c r="A515" s="509"/>
      <c r="B515" s="509"/>
      <c r="C515" s="509"/>
      <c r="D515" s="509"/>
      <c r="E515" s="509"/>
      <c r="F515" s="509"/>
      <c r="G515" s="509"/>
      <c r="H515" s="509"/>
      <c r="I515" s="509"/>
      <c r="J515" s="509"/>
      <c r="K515" s="509"/>
      <c r="L515" s="509"/>
      <c r="M515" s="509"/>
      <c r="N515" s="509"/>
      <c r="O515" s="509"/>
      <c r="P515" s="509"/>
      <c r="Q515" s="509"/>
      <c r="R515" s="509"/>
      <c r="S515" s="509"/>
      <c r="T515" s="509"/>
      <c r="U515" s="509"/>
      <c r="V515" s="509"/>
      <c r="W515" s="509"/>
      <c r="X515" s="509"/>
      <c r="Y515" s="509"/>
      <c r="Z515" s="509"/>
    </row>
    <row r="516" spans="1:26" ht="16.5" customHeight="1" x14ac:dyDescent="0.3">
      <c r="A516" s="509"/>
      <c r="B516" s="509"/>
      <c r="C516" s="509"/>
      <c r="D516" s="509"/>
      <c r="E516" s="509"/>
      <c r="F516" s="509"/>
      <c r="G516" s="509"/>
      <c r="H516" s="509"/>
      <c r="I516" s="509"/>
      <c r="J516" s="509"/>
      <c r="K516" s="509"/>
      <c r="L516" s="509"/>
      <c r="M516" s="509"/>
      <c r="N516" s="509"/>
      <c r="O516" s="509"/>
      <c r="P516" s="509"/>
      <c r="Q516" s="509"/>
      <c r="R516" s="509"/>
      <c r="S516" s="509"/>
      <c r="T516" s="509"/>
      <c r="U516" s="509"/>
      <c r="V516" s="509"/>
      <c r="W516" s="509"/>
      <c r="X516" s="509"/>
      <c r="Y516" s="509"/>
      <c r="Z516" s="509"/>
    </row>
    <row r="517" spans="1:26" ht="16.5" customHeight="1" x14ac:dyDescent="0.3">
      <c r="A517" s="509"/>
      <c r="B517" s="509"/>
      <c r="C517" s="509"/>
      <c r="D517" s="509"/>
      <c r="E517" s="509"/>
      <c r="F517" s="509"/>
      <c r="G517" s="509"/>
      <c r="H517" s="509"/>
      <c r="I517" s="509"/>
      <c r="J517" s="509"/>
      <c r="K517" s="509"/>
      <c r="L517" s="509"/>
      <c r="M517" s="509"/>
      <c r="N517" s="509"/>
      <c r="O517" s="509"/>
      <c r="P517" s="509"/>
      <c r="Q517" s="509"/>
      <c r="R517" s="509"/>
      <c r="S517" s="509"/>
      <c r="T517" s="509"/>
      <c r="U517" s="509"/>
      <c r="V517" s="509"/>
      <c r="W517" s="509"/>
      <c r="X517" s="509"/>
      <c r="Y517" s="509"/>
      <c r="Z517" s="509"/>
    </row>
    <row r="518" spans="1:26" ht="16.5" customHeight="1" x14ac:dyDescent="0.3">
      <c r="A518" s="509"/>
      <c r="B518" s="509"/>
      <c r="C518" s="509"/>
      <c r="D518" s="509"/>
      <c r="E518" s="509"/>
      <c r="F518" s="509"/>
      <c r="G518" s="509"/>
      <c r="H518" s="509"/>
      <c r="I518" s="509"/>
      <c r="J518" s="509"/>
      <c r="K518" s="509"/>
      <c r="L518" s="509"/>
      <c r="M518" s="509"/>
      <c r="N518" s="509"/>
      <c r="O518" s="509"/>
      <c r="P518" s="509"/>
      <c r="Q518" s="509"/>
      <c r="R518" s="509"/>
      <c r="S518" s="509"/>
      <c r="T518" s="509"/>
      <c r="U518" s="509"/>
      <c r="V518" s="509"/>
      <c r="W518" s="509"/>
      <c r="X518" s="509"/>
      <c r="Y518" s="509"/>
      <c r="Z518" s="509"/>
    </row>
    <row r="519" spans="1:26" ht="16.5" customHeight="1" x14ac:dyDescent="0.3">
      <c r="A519" s="509"/>
      <c r="B519" s="509"/>
      <c r="C519" s="509"/>
      <c r="D519" s="509"/>
      <c r="E519" s="509"/>
      <c r="F519" s="509"/>
      <c r="G519" s="509"/>
      <c r="H519" s="509"/>
      <c r="I519" s="509"/>
      <c r="J519" s="509"/>
      <c r="K519" s="509"/>
      <c r="L519" s="509"/>
      <c r="M519" s="509"/>
      <c r="N519" s="509"/>
      <c r="O519" s="509"/>
      <c r="P519" s="509"/>
      <c r="Q519" s="509"/>
      <c r="R519" s="509"/>
      <c r="S519" s="509"/>
      <c r="T519" s="509"/>
      <c r="U519" s="509"/>
      <c r="V519" s="509"/>
      <c r="W519" s="509"/>
      <c r="X519" s="509"/>
      <c r="Y519" s="509"/>
      <c r="Z519" s="509"/>
    </row>
    <row r="520" spans="1:26" ht="16.5" customHeight="1" x14ac:dyDescent="0.3">
      <c r="A520" s="509"/>
      <c r="B520" s="509"/>
      <c r="C520" s="509"/>
      <c r="D520" s="509"/>
      <c r="E520" s="509"/>
      <c r="F520" s="509"/>
      <c r="G520" s="509"/>
      <c r="H520" s="509"/>
      <c r="I520" s="509"/>
      <c r="J520" s="509"/>
      <c r="K520" s="509"/>
      <c r="L520" s="509"/>
      <c r="M520" s="509"/>
      <c r="N520" s="509"/>
      <c r="O520" s="509"/>
      <c r="P520" s="509"/>
      <c r="Q520" s="509"/>
      <c r="R520" s="509"/>
      <c r="S520" s="509"/>
      <c r="T520" s="509"/>
      <c r="U520" s="509"/>
      <c r="V520" s="509"/>
      <c r="W520" s="509"/>
      <c r="X520" s="509"/>
      <c r="Y520" s="509"/>
      <c r="Z520" s="509"/>
    </row>
    <row r="521" spans="1:26" ht="16.5" customHeight="1" x14ac:dyDescent="0.3">
      <c r="A521" s="509"/>
      <c r="B521" s="509"/>
      <c r="C521" s="509"/>
      <c r="D521" s="509"/>
      <c r="E521" s="509"/>
      <c r="F521" s="509"/>
      <c r="G521" s="509"/>
      <c r="H521" s="509"/>
      <c r="I521" s="509"/>
      <c r="J521" s="509"/>
      <c r="K521" s="509"/>
      <c r="L521" s="509"/>
      <c r="M521" s="509"/>
      <c r="N521" s="509"/>
      <c r="O521" s="509"/>
      <c r="P521" s="509"/>
      <c r="Q521" s="509"/>
      <c r="R521" s="509"/>
      <c r="S521" s="509"/>
      <c r="T521" s="509"/>
      <c r="U521" s="509"/>
      <c r="V521" s="509"/>
      <c r="W521" s="509"/>
      <c r="X521" s="509"/>
      <c r="Y521" s="509"/>
      <c r="Z521" s="509"/>
    </row>
    <row r="522" spans="1:26" ht="16.5" customHeight="1" x14ac:dyDescent="0.3">
      <c r="A522" s="509"/>
      <c r="B522" s="509"/>
      <c r="C522" s="509"/>
      <c r="D522" s="509"/>
      <c r="E522" s="509"/>
      <c r="F522" s="509"/>
      <c r="G522" s="509"/>
      <c r="H522" s="509"/>
      <c r="I522" s="509"/>
      <c r="J522" s="509"/>
      <c r="K522" s="509"/>
      <c r="L522" s="509"/>
      <c r="M522" s="509"/>
      <c r="N522" s="509"/>
      <c r="O522" s="509"/>
      <c r="P522" s="509"/>
      <c r="Q522" s="509"/>
      <c r="R522" s="509"/>
      <c r="S522" s="509"/>
      <c r="T522" s="509"/>
      <c r="U522" s="509"/>
      <c r="V522" s="509"/>
      <c r="W522" s="509"/>
      <c r="X522" s="509"/>
      <c r="Y522" s="509"/>
      <c r="Z522" s="509"/>
    </row>
    <row r="523" spans="1:26" ht="16.5" customHeight="1" x14ac:dyDescent="0.3">
      <c r="A523" s="509"/>
      <c r="B523" s="509"/>
      <c r="C523" s="509"/>
      <c r="D523" s="509"/>
      <c r="E523" s="509"/>
      <c r="F523" s="509"/>
      <c r="G523" s="509"/>
      <c r="H523" s="509"/>
      <c r="I523" s="509"/>
      <c r="J523" s="509"/>
      <c r="K523" s="509"/>
      <c r="L523" s="509"/>
      <c r="M523" s="509"/>
      <c r="N523" s="509"/>
      <c r="O523" s="509"/>
      <c r="P523" s="509"/>
      <c r="Q523" s="509"/>
      <c r="R523" s="509"/>
      <c r="S523" s="509"/>
      <c r="T523" s="509"/>
      <c r="U523" s="509"/>
      <c r="V523" s="509"/>
      <c r="W523" s="509"/>
      <c r="X523" s="509"/>
      <c r="Y523" s="509"/>
      <c r="Z523" s="509"/>
    </row>
    <row r="524" spans="1:26" ht="16.5" customHeight="1" x14ac:dyDescent="0.3">
      <c r="A524" s="509"/>
      <c r="B524" s="509"/>
      <c r="C524" s="509"/>
      <c r="D524" s="509"/>
      <c r="E524" s="509"/>
      <c r="F524" s="509"/>
      <c r="G524" s="509"/>
      <c r="H524" s="509"/>
      <c r="I524" s="509"/>
      <c r="J524" s="509"/>
      <c r="K524" s="509"/>
      <c r="L524" s="509"/>
      <c r="M524" s="509"/>
      <c r="N524" s="509"/>
      <c r="O524" s="509"/>
      <c r="P524" s="509"/>
      <c r="Q524" s="509"/>
      <c r="R524" s="509"/>
      <c r="S524" s="509"/>
      <c r="T524" s="509"/>
      <c r="U524" s="509"/>
      <c r="V524" s="509"/>
      <c r="W524" s="509"/>
      <c r="X524" s="509"/>
      <c r="Y524" s="509"/>
      <c r="Z524" s="509"/>
    </row>
    <row r="525" spans="1:26" ht="16.5" customHeight="1" x14ac:dyDescent="0.3">
      <c r="A525" s="509"/>
      <c r="B525" s="509"/>
      <c r="C525" s="509"/>
      <c r="D525" s="509"/>
      <c r="E525" s="509"/>
      <c r="F525" s="509"/>
      <c r="G525" s="509"/>
      <c r="H525" s="509"/>
      <c r="I525" s="509"/>
      <c r="J525" s="509"/>
      <c r="K525" s="509"/>
      <c r="L525" s="509"/>
      <c r="M525" s="509"/>
      <c r="N525" s="509"/>
      <c r="O525" s="509"/>
      <c r="P525" s="509"/>
      <c r="Q525" s="509"/>
      <c r="R525" s="509"/>
      <c r="S525" s="509"/>
      <c r="T525" s="509"/>
      <c r="U525" s="509"/>
      <c r="V525" s="509"/>
      <c r="W525" s="509"/>
      <c r="X525" s="509"/>
      <c r="Y525" s="509"/>
      <c r="Z525" s="509"/>
    </row>
    <row r="526" spans="1:26" ht="16.5" customHeight="1" x14ac:dyDescent="0.3">
      <c r="A526" s="509"/>
      <c r="B526" s="509"/>
      <c r="C526" s="509"/>
      <c r="D526" s="509"/>
      <c r="E526" s="509"/>
      <c r="F526" s="509"/>
      <c r="G526" s="509"/>
      <c r="H526" s="509"/>
      <c r="I526" s="509"/>
      <c r="J526" s="509"/>
      <c r="K526" s="509"/>
      <c r="L526" s="509"/>
      <c r="M526" s="509"/>
      <c r="N526" s="509"/>
      <c r="O526" s="509"/>
      <c r="P526" s="509"/>
      <c r="Q526" s="509"/>
      <c r="R526" s="509"/>
      <c r="S526" s="509"/>
      <c r="T526" s="509"/>
      <c r="U526" s="509"/>
      <c r="V526" s="509"/>
      <c r="W526" s="509"/>
      <c r="X526" s="509"/>
      <c r="Y526" s="509"/>
      <c r="Z526" s="509"/>
    </row>
    <row r="527" spans="1:26" ht="16.5" customHeight="1" x14ac:dyDescent="0.3">
      <c r="A527" s="509"/>
      <c r="B527" s="509"/>
      <c r="C527" s="509"/>
      <c r="D527" s="509"/>
      <c r="E527" s="509"/>
      <c r="F527" s="509"/>
      <c r="G527" s="509"/>
      <c r="H527" s="509"/>
      <c r="I527" s="509"/>
      <c r="J527" s="509"/>
      <c r="K527" s="509"/>
      <c r="L527" s="509"/>
      <c r="M527" s="509"/>
      <c r="N527" s="509"/>
      <c r="O527" s="509"/>
      <c r="P527" s="509"/>
      <c r="Q527" s="509"/>
      <c r="R527" s="509"/>
      <c r="S527" s="509"/>
      <c r="T527" s="509"/>
      <c r="U527" s="509"/>
      <c r="V527" s="509"/>
      <c r="W527" s="509"/>
      <c r="X527" s="509"/>
      <c r="Y527" s="509"/>
      <c r="Z527" s="509"/>
    </row>
    <row r="528" spans="1:26" ht="16.5" customHeight="1" x14ac:dyDescent="0.3">
      <c r="A528" s="509"/>
      <c r="B528" s="509"/>
      <c r="C528" s="509"/>
      <c r="D528" s="509"/>
      <c r="E528" s="509"/>
      <c r="F528" s="509"/>
      <c r="G528" s="509"/>
      <c r="H528" s="509"/>
      <c r="I528" s="509"/>
      <c r="J528" s="509"/>
      <c r="K528" s="509"/>
      <c r="L528" s="509"/>
      <c r="M528" s="509"/>
      <c r="N528" s="509"/>
      <c r="O528" s="509"/>
      <c r="P528" s="509"/>
      <c r="Q528" s="509"/>
      <c r="R528" s="509"/>
      <c r="S528" s="509"/>
      <c r="T528" s="509"/>
      <c r="U528" s="509"/>
      <c r="V528" s="509"/>
      <c r="W528" s="509"/>
      <c r="X528" s="509"/>
      <c r="Y528" s="509"/>
      <c r="Z528" s="509"/>
    </row>
    <row r="529" spans="1:26" ht="16.5" customHeight="1" x14ac:dyDescent="0.3">
      <c r="A529" s="509"/>
      <c r="B529" s="509"/>
      <c r="C529" s="509"/>
      <c r="D529" s="509"/>
      <c r="E529" s="509"/>
      <c r="F529" s="509"/>
      <c r="G529" s="509"/>
      <c r="H529" s="509"/>
      <c r="I529" s="509"/>
      <c r="J529" s="509"/>
      <c r="K529" s="509"/>
      <c r="L529" s="509"/>
      <c r="M529" s="509"/>
      <c r="N529" s="509"/>
      <c r="O529" s="509"/>
      <c r="P529" s="509"/>
      <c r="Q529" s="509"/>
      <c r="R529" s="509"/>
      <c r="S529" s="509"/>
      <c r="T529" s="509"/>
      <c r="U529" s="509"/>
      <c r="V529" s="509"/>
      <c r="W529" s="509"/>
      <c r="X529" s="509"/>
      <c r="Y529" s="509"/>
      <c r="Z529" s="509"/>
    </row>
    <row r="530" spans="1:26" ht="16.5" customHeight="1" x14ac:dyDescent="0.3">
      <c r="A530" s="509"/>
      <c r="B530" s="509"/>
      <c r="C530" s="509"/>
      <c r="D530" s="509"/>
      <c r="E530" s="509"/>
      <c r="F530" s="509"/>
      <c r="G530" s="509"/>
      <c r="H530" s="509"/>
      <c r="I530" s="509"/>
      <c r="J530" s="509"/>
      <c r="K530" s="509"/>
      <c r="L530" s="509"/>
      <c r="M530" s="509"/>
      <c r="N530" s="509"/>
      <c r="O530" s="509"/>
      <c r="P530" s="509"/>
      <c r="Q530" s="509"/>
      <c r="R530" s="509"/>
      <c r="S530" s="509"/>
      <c r="T530" s="509"/>
      <c r="U530" s="509"/>
      <c r="V530" s="509"/>
      <c r="W530" s="509"/>
      <c r="X530" s="509"/>
      <c r="Y530" s="509"/>
      <c r="Z530" s="509"/>
    </row>
    <row r="531" spans="1:26" ht="16.5" customHeight="1" x14ac:dyDescent="0.3">
      <c r="A531" s="509"/>
      <c r="B531" s="509"/>
      <c r="C531" s="509"/>
      <c r="D531" s="509"/>
      <c r="E531" s="509"/>
      <c r="F531" s="509"/>
      <c r="G531" s="509"/>
      <c r="H531" s="509"/>
      <c r="I531" s="509"/>
      <c r="J531" s="509"/>
      <c r="K531" s="509"/>
      <c r="L531" s="509"/>
      <c r="M531" s="509"/>
      <c r="N531" s="509"/>
      <c r="O531" s="509"/>
      <c r="P531" s="509"/>
      <c r="Q531" s="509"/>
      <c r="R531" s="509"/>
      <c r="S531" s="509"/>
      <c r="T531" s="509"/>
      <c r="U531" s="509"/>
      <c r="V531" s="509"/>
      <c r="W531" s="509"/>
      <c r="X531" s="509"/>
      <c r="Y531" s="509"/>
      <c r="Z531" s="509"/>
    </row>
    <row r="532" spans="1:26" ht="16.5" customHeight="1" x14ac:dyDescent="0.3">
      <c r="A532" s="509"/>
      <c r="B532" s="509"/>
      <c r="C532" s="509"/>
      <c r="D532" s="509"/>
      <c r="E532" s="509"/>
      <c r="F532" s="509"/>
      <c r="G532" s="509"/>
      <c r="H532" s="509"/>
      <c r="I532" s="509"/>
      <c r="J532" s="509"/>
      <c r="K532" s="509"/>
      <c r="L532" s="509"/>
      <c r="M532" s="509"/>
      <c r="N532" s="509"/>
      <c r="O532" s="509"/>
      <c r="P532" s="509"/>
      <c r="Q532" s="509"/>
      <c r="R532" s="509"/>
      <c r="S532" s="509"/>
      <c r="T532" s="509"/>
      <c r="U532" s="509"/>
      <c r="V532" s="509"/>
      <c r="W532" s="509"/>
      <c r="X532" s="509"/>
      <c r="Y532" s="509"/>
      <c r="Z532" s="509"/>
    </row>
    <row r="533" spans="1:26" ht="16.5" customHeight="1" x14ac:dyDescent="0.3">
      <c r="A533" s="509"/>
      <c r="B533" s="509"/>
      <c r="C533" s="509"/>
      <c r="D533" s="509"/>
      <c r="E533" s="509"/>
      <c r="F533" s="509"/>
      <c r="G533" s="509"/>
      <c r="H533" s="509"/>
      <c r="I533" s="509"/>
      <c r="J533" s="509"/>
      <c r="K533" s="509"/>
      <c r="L533" s="509"/>
      <c r="M533" s="509"/>
      <c r="N533" s="509"/>
      <c r="O533" s="509"/>
      <c r="P533" s="509"/>
      <c r="Q533" s="509"/>
      <c r="R533" s="509"/>
      <c r="S533" s="509"/>
      <c r="T533" s="509"/>
      <c r="U533" s="509"/>
      <c r="V533" s="509"/>
      <c r="W533" s="509"/>
      <c r="X533" s="509"/>
      <c r="Y533" s="509"/>
      <c r="Z533" s="509"/>
    </row>
    <row r="534" spans="1:26" ht="16.5" customHeight="1" x14ac:dyDescent="0.3">
      <c r="A534" s="509"/>
      <c r="B534" s="509"/>
      <c r="C534" s="509"/>
      <c r="D534" s="509"/>
      <c r="E534" s="509"/>
      <c r="F534" s="509"/>
      <c r="G534" s="509"/>
      <c r="H534" s="509"/>
      <c r="I534" s="509"/>
      <c r="J534" s="509"/>
      <c r="K534" s="509"/>
      <c r="L534" s="509"/>
      <c r="M534" s="509"/>
      <c r="N534" s="509"/>
      <c r="O534" s="509"/>
      <c r="P534" s="509"/>
      <c r="Q534" s="509"/>
      <c r="R534" s="509"/>
      <c r="S534" s="509"/>
      <c r="T534" s="509"/>
      <c r="U534" s="509"/>
      <c r="V534" s="509"/>
      <c r="W534" s="509"/>
      <c r="X534" s="509"/>
      <c r="Y534" s="509"/>
      <c r="Z534" s="509"/>
    </row>
    <row r="535" spans="1:26" ht="16.5" customHeight="1" x14ac:dyDescent="0.3">
      <c r="A535" s="509"/>
      <c r="B535" s="509"/>
      <c r="C535" s="509"/>
      <c r="D535" s="509"/>
      <c r="E535" s="509"/>
      <c r="F535" s="509"/>
      <c r="G535" s="509"/>
      <c r="H535" s="509"/>
      <c r="I535" s="509"/>
      <c r="J535" s="509"/>
      <c r="K535" s="509"/>
      <c r="L535" s="509"/>
      <c r="M535" s="509"/>
      <c r="N535" s="509"/>
      <c r="O535" s="509"/>
      <c r="P535" s="509"/>
      <c r="Q535" s="509"/>
      <c r="R535" s="509"/>
      <c r="S535" s="509"/>
      <c r="T535" s="509"/>
      <c r="U535" s="509"/>
      <c r="V535" s="509"/>
      <c r="W535" s="509"/>
      <c r="X535" s="509"/>
      <c r="Y535" s="509"/>
      <c r="Z535" s="509"/>
    </row>
    <row r="536" spans="1:26" ht="16.5" customHeight="1" x14ac:dyDescent="0.3">
      <c r="A536" s="509"/>
      <c r="B536" s="509"/>
      <c r="C536" s="509"/>
      <c r="D536" s="509"/>
      <c r="E536" s="509"/>
      <c r="F536" s="509"/>
      <c r="G536" s="509"/>
      <c r="H536" s="509"/>
      <c r="I536" s="509"/>
      <c r="J536" s="509"/>
      <c r="K536" s="509"/>
      <c r="L536" s="509"/>
      <c r="M536" s="509"/>
      <c r="N536" s="509"/>
      <c r="O536" s="509"/>
      <c r="P536" s="509"/>
      <c r="Q536" s="509"/>
      <c r="R536" s="509"/>
      <c r="S536" s="509"/>
      <c r="T536" s="509"/>
      <c r="U536" s="509"/>
      <c r="V536" s="509"/>
      <c r="W536" s="509"/>
      <c r="X536" s="509"/>
      <c r="Y536" s="509"/>
      <c r="Z536" s="509"/>
    </row>
    <row r="537" spans="1:26" ht="16.5" customHeight="1" x14ac:dyDescent="0.3">
      <c r="A537" s="509"/>
      <c r="B537" s="509"/>
      <c r="C537" s="509"/>
      <c r="D537" s="509"/>
      <c r="E537" s="509"/>
      <c r="F537" s="509"/>
      <c r="G537" s="509"/>
      <c r="H537" s="509"/>
      <c r="I537" s="509"/>
      <c r="J537" s="509"/>
      <c r="K537" s="509"/>
      <c r="L537" s="509"/>
      <c r="M537" s="509"/>
      <c r="N537" s="509"/>
      <c r="O537" s="509"/>
      <c r="P537" s="509"/>
      <c r="Q537" s="509"/>
      <c r="R537" s="509"/>
      <c r="S537" s="509"/>
      <c r="T537" s="509"/>
      <c r="U537" s="509"/>
      <c r="V537" s="509"/>
      <c r="W537" s="509"/>
      <c r="X537" s="509"/>
      <c r="Y537" s="509"/>
      <c r="Z537" s="509"/>
    </row>
    <row r="538" spans="1:26" ht="16.5" customHeight="1" x14ac:dyDescent="0.3">
      <c r="A538" s="509"/>
      <c r="B538" s="509"/>
      <c r="C538" s="509"/>
      <c r="D538" s="509"/>
      <c r="E538" s="509"/>
      <c r="F538" s="509"/>
      <c r="G538" s="509"/>
      <c r="H538" s="509"/>
      <c r="I538" s="509"/>
      <c r="J538" s="509"/>
      <c r="K538" s="509"/>
      <c r="L538" s="509"/>
      <c r="M538" s="509"/>
      <c r="N538" s="509"/>
      <c r="O538" s="509"/>
      <c r="P538" s="509"/>
      <c r="Q538" s="509"/>
      <c r="R538" s="509"/>
      <c r="S538" s="509"/>
      <c r="T538" s="509"/>
      <c r="U538" s="509"/>
      <c r="V538" s="509"/>
      <c r="W538" s="509"/>
      <c r="X538" s="509"/>
      <c r="Y538" s="509"/>
      <c r="Z538" s="509"/>
    </row>
    <row r="539" spans="1:26" ht="16.5" customHeight="1" x14ac:dyDescent="0.3">
      <c r="A539" s="509"/>
      <c r="B539" s="509"/>
      <c r="C539" s="509"/>
      <c r="D539" s="509"/>
      <c r="E539" s="509"/>
      <c r="F539" s="509"/>
      <c r="G539" s="509"/>
      <c r="H539" s="509"/>
      <c r="I539" s="509"/>
      <c r="J539" s="509"/>
      <c r="K539" s="509"/>
      <c r="L539" s="509"/>
      <c r="M539" s="509"/>
      <c r="N539" s="509"/>
      <c r="O539" s="509"/>
      <c r="P539" s="509"/>
      <c r="Q539" s="509"/>
      <c r="R539" s="509"/>
      <c r="S539" s="509"/>
      <c r="T539" s="509"/>
      <c r="U539" s="509"/>
      <c r="V539" s="509"/>
      <c r="W539" s="509"/>
      <c r="X539" s="509"/>
      <c r="Y539" s="509"/>
      <c r="Z539" s="509"/>
    </row>
    <row r="540" spans="1:26" ht="16.5" customHeight="1" x14ac:dyDescent="0.3">
      <c r="A540" s="509"/>
      <c r="B540" s="509"/>
      <c r="C540" s="509"/>
      <c r="D540" s="509"/>
      <c r="E540" s="509"/>
      <c r="F540" s="509"/>
      <c r="G540" s="509"/>
      <c r="H540" s="509"/>
      <c r="I540" s="509"/>
      <c r="J540" s="509"/>
      <c r="K540" s="509"/>
      <c r="L540" s="509"/>
      <c r="M540" s="509"/>
      <c r="N540" s="509"/>
      <c r="O540" s="509"/>
      <c r="P540" s="509"/>
      <c r="Q540" s="509"/>
      <c r="R540" s="509"/>
      <c r="S540" s="509"/>
      <c r="T540" s="509"/>
      <c r="U540" s="509"/>
      <c r="V540" s="509"/>
      <c r="W540" s="509"/>
      <c r="X540" s="509"/>
      <c r="Y540" s="509"/>
      <c r="Z540" s="509"/>
    </row>
    <row r="541" spans="1:26" ht="16.5" customHeight="1" x14ac:dyDescent="0.3">
      <c r="A541" s="509"/>
      <c r="B541" s="509"/>
      <c r="C541" s="509"/>
      <c r="D541" s="509"/>
      <c r="E541" s="509"/>
      <c r="F541" s="509"/>
      <c r="G541" s="509"/>
      <c r="H541" s="509"/>
      <c r="I541" s="509"/>
      <c r="J541" s="509"/>
      <c r="K541" s="509"/>
      <c r="L541" s="509"/>
      <c r="M541" s="509"/>
      <c r="N541" s="509"/>
      <c r="O541" s="509"/>
      <c r="P541" s="509"/>
      <c r="Q541" s="509"/>
      <c r="R541" s="509"/>
      <c r="S541" s="509"/>
      <c r="T541" s="509"/>
      <c r="U541" s="509"/>
      <c r="V541" s="509"/>
      <c r="W541" s="509"/>
      <c r="X541" s="509"/>
      <c r="Y541" s="509"/>
      <c r="Z541" s="509"/>
    </row>
    <row r="542" spans="1:26" ht="16.5" customHeight="1" x14ac:dyDescent="0.3">
      <c r="A542" s="509"/>
      <c r="B542" s="509"/>
      <c r="C542" s="509"/>
      <c r="D542" s="509"/>
      <c r="E542" s="509"/>
      <c r="F542" s="509"/>
      <c r="G542" s="509"/>
      <c r="H542" s="509"/>
      <c r="I542" s="509"/>
      <c r="J542" s="509"/>
      <c r="K542" s="509"/>
      <c r="L542" s="509"/>
      <c r="M542" s="509"/>
      <c r="N542" s="509"/>
      <c r="O542" s="509"/>
      <c r="P542" s="509"/>
      <c r="Q542" s="509"/>
      <c r="R542" s="509"/>
      <c r="S542" s="509"/>
      <c r="T542" s="509"/>
      <c r="U542" s="509"/>
      <c r="V542" s="509"/>
      <c r="W542" s="509"/>
      <c r="X542" s="509"/>
      <c r="Y542" s="509"/>
      <c r="Z542" s="509"/>
    </row>
    <row r="543" spans="1:26" ht="16.5" customHeight="1" x14ac:dyDescent="0.3">
      <c r="A543" s="509"/>
      <c r="B543" s="509"/>
      <c r="C543" s="509"/>
      <c r="D543" s="509"/>
      <c r="E543" s="509"/>
      <c r="F543" s="509"/>
      <c r="G543" s="509"/>
      <c r="H543" s="509"/>
      <c r="I543" s="509"/>
      <c r="J543" s="509"/>
      <c r="K543" s="509"/>
      <c r="L543" s="509"/>
      <c r="M543" s="509"/>
      <c r="N543" s="509"/>
      <c r="O543" s="509"/>
      <c r="P543" s="509"/>
      <c r="Q543" s="509"/>
      <c r="R543" s="509"/>
      <c r="S543" s="509"/>
      <c r="T543" s="509"/>
      <c r="U543" s="509"/>
      <c r="V543" s="509"/>
      <c r="W543" s="509"/>
      <c r="X543" s="509"/>
      <c r="Y543" s="509"/>
      <c r="Z543" s="509"/>
    </row>
    <row r="544" spans="1:26" ht="16.5" customHeight="1" x14ac:dyDescent="0.3">
      <c r="A544" s="509"/>
      <c r="B544" s="509"/>
      <c r="C544" s="509"/>
      <c r="D544" s="509"/>
      <c r="E544" s="509"/>
      <c r="F544" s="509"/>
      <c r="G544" s="509"/>
      <c r="H544" s="509"/>
      <c r="I544" s="509"/>
      <c r="J544" s="509"/>
      <c r="K544" s="509"/>
      <c r="L544" s="509"/>
      <c r="M544" s="509"/>
      <c r="N544" s="509"/>
      <c r="O544" s="509"/>
      <c r="P544" s="509"/>
      <c r="Q544" s="509"/>
      <c r="R544" s="509"/>
      <c r="S544" s="509"/>
      <c r="T544" s="509"/>
      <c r="U544" s="509"/>
      <c r="V544" s="509"/>
      <c r="W544" s="509"/>
      <c r="X544" s="509"/>
      <c r="Y544" s="509"/>
      <c r="Z544" s="509"/>
    </row>
    <row r="545" spans="1:26" ht="16.5" customHeight="1" x14ac:dyDescent="0.3">
      <c r="A545" s="509"/>
      <c r="B545" s="509"/>
      <c r="C545" s="509"/>
      <c r="D545" s="509"/>
      <c r="E545" s="509"/>
      <c r="F545" s="509"/>
      <c r="G545" s="509"/>
      <c r="H545" s="509"/>
      <c r="I545" s="509"/>
      <c r="J545" s="509"/>
      <c r="K545" s="509"/>
      <c r="L545" s="509"/>
      <c r="M545" s="509"/>
      <c r="N545" s="509"/>
      <c r="O545" s="509"/>
      <c r="P545" s="509"/>
      <c r="Q545" s="509"/>
      <c r="R545" s="509"/>
      <c r="S545" s="509"/>
      <c r="T545" s="509"/>
      <c r="U545" s="509"/>
      <c r="V545" s="509"/>
      <c r="W545" s="509"/>
      <c r="X545" s="509"/>
      <c r="Y545" s="509"/>
      <c r="Z545" s="509"/>
    </row>
    <row r="546" spans="1:26" ht="16.5" customHeight="1" x14ac:dyDescent="0.3">
      <c r="A546" s="509"/>
      <c r="B546" s="509"/>
      <c r="C546" s="509"/>
      <c r="D546" s="509"/>
      <c r="E546" s="509"/>
      <c r="F546" s="509"/>
      <c r="G546" s="509"/>
      <c r="H546" s="509"/>
      <c r="I546" s="509"/>
      <c r="J546" s="509"/>
      <c r="K546" s="509"/>
      <c r="L546" s="509"/>
      <c r="M546" s="509"/>
      <c r="N546" s="509"/>
      <c r="O546" s="509"/>
      <c r="P546" s="509"/>
      <c r="Q546" s="509"/>
      <c r="R546" s="509"/>
      <c r="S546" s="509"/>
      <c r="T546" s="509"/>
      <c r="U546" s="509"/>
      <c r="V546" s="509"/>
      <c r="W546" s="509"/>
      <c r="X546" s="509"/>
      <c r="Y546" s="509"/>
      <c r="Z546" s="509"/>
    </row>
    <row r="547" spans="1:26" ht="16.5" customHeight="1" x14ac:dyDescent="0.3">
      <c r="A547" s="509"/>
      <c r="B547" s="509"/>
      <c r="C547" s="509"/>
      <c r="D547" s="509"/>
      <c r="E547" s="509"/>
      <c r="F547" s="509"/>
      <c r="G547" s="509"/>
      <c r="H547" s="509"/>
      <c r="I547" s="509"/>
      <c r="J547" s="509"/>
      <c r="K547" s="509"/>
      <c r="L547" s="509"/>
      <c r="M547" s="509"/>
      <c r="N547" s="509"/>
      <c r="O547" s="509"/>
      <c r="P547" s="509"/>
      <c r="Q547" s="509"/>
      <c r="R547" s="509"/>
      <c r="S547" s="509"/>
      <c r="T547" s="509"/>
      <c r="U547" s="509"/>
      <c r="V547" s="509"/>
      <c r="W547" s="509"/>
      <c r="X547" s="509"/>
      <c r="Y547" s="509"/>
      <c r="Z547" s="509"/>
    </row>
    <row r="548" spans="1:26" ht="16.5" customHeight="1" x14ac:dyDescent="0.3">
      <c r="A548" s="509"/>
      <c r="B548" s="509"/>
      <c r="C548" s="509"/>
      <c r="D548" s="509"/>
      <c r="E548" s="509"/>
      <c r="F548" s="509"/>
      <c r="G548" s="509"/>
      <c r="H548" s="509"/>
      <c r="I548" s="509"/>
      <c r="J548" s="509"/>
      <c r="K548" s="509"/>
      <c r="L548" s="509"/>
      <c r="M548" s="509"/>
      <c r="N548" s="509"/>
      <c r="O548" s="509"/>
      <c r="P548" s="509"/>
      <c r="Q548" s="509"/>
      <c r="R548" s="509"/>
      <c r="S548" s="509"/>
      <c r="T548" s="509"/>
      <c r="U548" s="509"/>
      <c r="V548" s="509"/>
      <c r="W548" s="509"/>
      <c r="X548" s="509"/>
      <c r="Y548" s="509"/>
      <c r="Z548" s="509"/>
    </row>
    <row r="549" spans="1:26" ht="16.5" customHeight="1" x14ac:dyDescent="0.3">
      <c r="A549" s="509"/>
      <c r="B549" s="509"/>
      <c r="C549" s="509"/>
      <c r="D549" s="509"/>
      <c r="E549" s="509"/>
      <c r="F549" s="509"/>
      <c r="G549" s="509"/>
      <c r="H549" s="509"/>
      <c r="I549" s="509"/>
      <c r="J549" s="509"/>
      <c r="K549" s="509"/>
      <c r="L549" s="509"/>
      <c r="M549" s="509"/>
      <c r="N549" s="509"/>
      <c r="O549" s="509"/>
      <c r="P549" s="509"/>
      <c r="Q549" s="509"/>
      <c r="R549" s="509"/>
      <c r="S549" s="509"/>
      <c r="T549" s="509"/>
      <c r="U549" s="509"/>
      <c r="V549" s="509"/>
      <c r="W549" s="509"/>
      <c r="X549" s="509"/>
      <c r="Y549" s="509"/>
      <c r="Z549" s="509"/>
    </row>
    <row r="550" spans="1:26" ht="16.5" customHeight="1" x14ac:dyDescent="0.3">
      <c r="A550" s="509"/>
      <c r="B550" s="509"/>
      <c r="C550" s="509"/>
      <c r="D550" s="509"/>
      <c r="E550" s="509"/>
      <c r="F550" s="509"/>
      <c r="G550" s="509"/>
      <c r="H550" s="509"/>
      <c r="I550" s="509"/>
      <c r="J550" s="509"/>
      <c r="K550" s="509"/>
      <c r="L550" s="509"/>
      <c r="M550" s="509"/>
      <c r="N550" s="509"/>
      <c r="O550" s="509"/>
      <c r="P550" s="509"/>
      <c r="Q550" s="509"/>
      <c r="R550" s="509"/>
      <c r="S550" s="509"/>
      <c r="T550" s="509"/>
      <c r="U550" s="509"/>
      <c r="V550" s="509"/>
      <c r="W550" s="509"/>
      <c r="X550" s="509"/>
      <c r="Y550" s="509"/>
      <c r="Z550" s="509"/>
    </row>
    <row r="551" spans="1:26" ht="16.5" customHeight="1" x14ac:dyDescent="0.3">
      <c r="A551" s="509"/>
      <c r="B551" s="509"/>
      <c r="C551" s="509"/>
      <c r="D551" s="509"/>
      <c r="E551" s="509"/>
      <c r="F551" s="509"/>
      <c r="G551" s="509"/>
      <c r="H551" s="509"/>
      <c r="I551" s="509"/>
      <c r="J551" s="509"/>
      <c r="K551" s="509"/>
      <c r="L551" s="509"/>
      <c r="M551" s="509"/>
      <c r="N551" s="509"/>
      <c r="O551" s="509"/>
      <c r="P551" s="509"/>
      <c r="Q551" s="509"/>
      <c r="R551" s="509"/>
      <c r="S551" s="509"/>
      <c r="T551" s="509"/>
      <c r="U551" s="509"/>
      <c r="V551" s="509"/>
      <c r="W551" s="509"/>
      <c r="X551" s="509"/>
      <c r="Y551" s="509"/>
      <c r="Z551" s="509"/>
    </row>
    <row r="552" spans="1:26" ht="16.5" customHeight="1" x14ac:dyDescent="0.3">
      <c r="A552" s="509"/>
      <c r="B552" s="509"/>
      <c r="C552" s="509"/>
      <c r="D552" s="509"/>
      <c r="E552" s="509"/>
      <c r="F552" s="509"/>
      <c r="G552" s="509"/>
      <c r="H552" s="509"/>
      <c r="I552" s="509"/>
      <c r="J552" s="509"/>
      <c r="K552" s="509"/>
      <c r="L552" s="509"/>
      <c r="M552" s="509"/>
      <c r="N552" s="509"/>
      <c r="O552" s="509"/>
      <c r="P552" s="509"/>
      <c r="Q552" s="509"/>
      <c r="R552" s="509"/>
      <c r="S552" s="509"/>
      <c r="T552" s="509"/>
      <c r="U552" s="509"/>
      <c r="V552" s="509"/>
      <c r="W552" s="509"/>
      <c r="X552" s="509"/>
      <c r="Y552" s="509"/>
      <c r="Z552" s="509"/>
    </row>
    <row r="553" spans="1:26" ht="16.5" customHeight="1" x14ac:dyDescent="0.3">
      <c r="A553" s="509"/>
      <c r="B553" s="509"/>
      <c r="C553" s="509"/>
      <c r="D553" s="509"/>
      <c r="E553" s="509"/>
      <c r="F553" s="509"/>
      <c r="G553" s="509"/>
      <c r="H553" s="509"/>
      <c r="I553" s="509"/>
      <c r="J553" s="509"/>
      <c r="K553" s="509"/>
      <c r="L553" s="509"/>
      <c r="M553" s="509"/>
      <c r="N553" s="509"/>
      <c r="O553" s="509"/>
      <c r="P553" s="509"/>
      <c r="Q553" s="509"/>
      <c r="R553" s="509"/>
      <c r="S553" s="509"/>
      <c r="T553" s="509"/>
      <c r="U553" s="509"/>
      <c r="V553" s="509"/>
      <c r="W553" s="509"/>
      <c r="X553" s="509"/>
      <c r="Y553" s="509"/>
      <c r="Z553" s="509"/>
    </row>
    <row r="554" spans="1:26" ht="16.5" customHeight="1" x14ac:dyDescent="0.3">
      <c r="A554" s="509"/>
      <c r="B554" s="509"/>
      <c r="C554" s="509"/>
      <c r="D554" s="509"/>
      <c r="E554" s="509"/>
      <c r="F554" s="509"/>
      <c r="G554" s="509"/>
      <c r="H554" s="509"/>
      <c r="I554" s="509"/>
      <c r="J554" s="509"/>
      <c r="K554" s="509"/>
      <c r="L554" s="509"/>
      <c r="M554" s="509"/>
      <c r="N554" s="509"/>
      <c r="O554" s="509"/>
      <c r="P554" s="509"/>
      <c r="Q554" s="509"/>
      <c r="R554" s="509"/>
      <c r="S554" s="509"/>
      <c r="T554" s="509"/>
      <c r="U554" s="509"/>
      <c r="V554" s="509"/>
      <c r="W554" s="509"/>
      <c r="X554" s="509"/>
      <c r="Y554" s="509"/>
      <c r="Z554" s="509"/>
    </row>
    <row r="555" spans="1:26" ht="16.5" customHeight="1" x14ac:dyDescent="0.3">
      <c r="A555" s="509"/>
      <c r="B555" s="509"/>
      <c r="C555" s="509"/>
      <c r="D555" s="509"/>
      <c r="E555" s="509"/>
      <c r="F555" s="509"/>
      <c r="G555" s="509"/>
      <c r="H555" s="509"/>
      <c r="I555" s="509"/>
      <c r="J555" s="509"/>
      <c r="K555" s="509"/>
      <c r="L555" s="509"/>
      <c r="M555" s="509"/>
      <c r="N555" s="509"/>
      <c r="O555" s="509"/>
      <c r="P555" s="509"/>
      <c r="Q555" s="509"/>
      <c r="R555" s="509"/>
      <c r="S555" s="509"/>
      <c r="T555" s="509"/>
      <c r="U555" s="509"/>
      <c r="V555" s="509"/>
      <c r="W555" s="509"/>
      <c r="X555" s="509"/>
      <c r="Y555" s="509"/>
      <c r="Z555" s="509"/>
    </row>
    <row r="556" spans="1:26" ht="16.5" customHeight="1" x14ac:dyDescent="0.3">
      <c r="A556" s="509"/>
      <c r="B556" s="509"/>
      <c r="C556" s="509"/>
      <c r="D556" s="509"/>
      <c r="E556" s="509"/>
      <c r="F556" s="509"/>
      <c r="G556" s="509"/>
      <c r="H556" s="509"/>
      <c r="I556" s="509"/>
      <c r="J556" s="509"/>
      <c r="K556" s="509"/>
      <c r="L556" s="509"/>
      <c r="M556" s="509"/>
      <c r="N556" s="509"/>
      <c r="O556" s="509"/>
      <c r="P556" s="509"/>
      <c r="Q556" s="509"/>
      <c r="R556" s="509"/>
      <c r="S556" s="509"/>
      <c r="T556" s="509"/>
      <c r="U556" s="509"/>
      <c r="V556" s="509"/>
      <c r="W556" s="509"/>
      <c r="X556" s="509"/>
      <c r="Y556" s="509"/>
      <c r="Z556" s="509"/>
    </row>
    <row r="557" spans="1:26" ht="16.5" customHeight="1" x14ac:dyDescent="0.3">
      <c r="A557" s="509"/>
      <c r="B557" s="509"/>
      <c r="C557" s="509"/>
      <c r="D557" s="509"/>
      <c r="E557" s="509"/>
      <c r="F557" s="509"/>
      <c r="G557" s="509"/>
      <c r="H557" s="509"/>
      <c r="I557" s="509"/>
      <c r="J557" s="509"/>
      <c r="K557" s="509"/>
      <c r="L557" s="509"/>
      <c r="M557" s="509"/>
      <c r="N557" s="509"/>
      <c r="O557" s="509"/>
      <c r="P557" s="509"/>
      <c r="Q557" s="509"/>
      <c r="R557" s="509"/>
      <c r="S557" s="509"/>
      <c r="T557" s="509"/>
      <c r="U557" s="509"/>
      <c r="V557" s="509"/>
      <c r="W557" s="509"/>
      <c r="X557" s="509"/>
      <c r="Y557" s="509"/>
      <c r="Z557" s="509"/>
    </row>
    <row r="558" spans="1:26" ht="16.5" customHeight="1" x14ac:dyDescent="0.3">
      <c r="A558" s="509"/>
      <c r="B558" s="509"/>
      <c r="C558" s="509"/>
      <c r="D558" s="509"/>
      <c r="E558" s="509"/>
      <c r="F558" s="509"/>
      <c r="G558" s="509"/>
      <c r="H558" s="509"/>
      <c r="I558" s="509"/>
      <c r="J558" s="509"/>
      <c r="K558" s="509"/>
      <c r="L558" s="509"/>
      <c r="M558" s="509"/>
      <c r="N558" s="509"/>
      <c r="O558" s="509"/>
      <c r="P558" s="509"/>
      <c r="Q558" s="509"/>
      <c r="R558" s="509"/>
      <c r="S558" s="509"/>
      <c r="T558" s="509"/>
      <c r="U558" s="509"/>
      <c r="V558" s="509"/>
      <c r="W558" s="509"/>
      <c r="X558" s="509"/>
      <c r="Y558" s="509"/>
      <c r="Z558" s="509"/>
    </row>
    <row r="559" spans="1:26" ht="16.5" customHeight="1" x14ac:dyDescent="0.3">
      <c r="A559" s="509"/>
      <c r="B559" s="509"/>
      <c r="C559" s="509"/>
      <c r="D559" s="509"/>
      <c r="E559" s="509"/>
      <c r="F559" s="509"/>
      <c r="G559" s="509"/>
      <c r="H559" s="509"/>
      <c r="I559" s="509"/>
      <c r="J559" s="509"/>
      <c r="K559" s="509"/>
      <c r="L559" s="509"/>
      <c r="M559" s="509"/>
      <c r="N559" s="509"/>
      <c r="O559" s="509"/>
      <c r="P559" s="509"/>
      <c r="Q559" s="509"/>
      <c r="R559" s="509"/>
      <c r="S559" s="509"/>
      <c r="T559" s="509"/>
      <c r="U559" s="509"/>
      <c r="V559" s="509"/>
      <c r="W559" s="509"/>
      <c r="X559" s="509"/>
      <c r="Y559" s="509"/>
      <c r="Z559" s="509"/>
    </row>
    <row r="560" spans="1:26" ht="16.5" customHeight="1" x14ac:dyDescent="0.3">
      <c r="A560" s="509"/>
      <c r="B560" s="509"/>
      <c r="C560" s="509"/>
      <c r="D560" s="509"/>
      <c r="E560" s="509"/>
      <c r="F560" s="509"/>
      <c r="G560" s="509"/>
      <c r="H560" s="509"/>
      <c r="I560" s="509"/>
      <c r="J560" s="509"/>
      <c r="K560" s="509"/>
      <c r="L560" s="509"/>
      <c r="M560" s="509"/>
      <c r="N560" s="509"/>
      <c r="O560" s="509"/>
      <c r="P560" s="509"/>
      <c r="Q560" s="509"/>
      <c r="R560" s="509"/>
      <c r="S560" s="509"/>
      <c r="T560" s="509"/>
      <c r="U560" s="509"/>
      <c r="V560" s="509"/>
      <c r="W560" s="509"/>
      <c r="X560" s="509"/>
      <c r="Y560" s="509"/>
      <c r="Z560" s="509"/>
    </row>
    <row r="561" spans="1:26" ht="16.5" customHeight="1" x14ac:dyDescent="0.3">
      <c r="A561" s="509"/>
      <c r="B561" s="509"/>
      <c r="C561" s="509"/>
      <c r="D561" s="509"/>
      <c r="E561" s="509"/>
      <c r="F561" s="509"/>
      <c r="G561" s="509"/>
      <c r="H561" s="509"/>
      <c r="I561" s="509"/>
      <c r="J561" s="509"/>
      <c r="K561" s="509"/>
      <c r="L561" s="509"/>
      <c r="M561" s="509"/>
      <c r="N561" s="509"/>
      <c r="O561" s="509"/>
      <c r="P561" s="509"/>
      <c r="Q561" s="509"/>
      <c r="R561" s="509"/>
      <c r="S561" s="509"/>
      <c r="T561" s="509"/>
      <c r="U561" s="509"/>
      <c r="V561" s="509"/>
      <c r="W561" s="509"/>
      <c r="X561" s="509"/>
      <c r="Y561" s="509"/>
      <c r="Z561" s="509"/>
    </row>
    <row r="562" spans="1:26" ht="16.5" customHeight="1" x14ac:dyDescent="0.3">
      <c r="A562" s="509"/>
      <c r="B562" s="509"/>
      <c r="C562" s="509"/>
      <c r="D562" s="509"/>
      <c r="E562" s="509"/>
      <c r="F562" s="509"/>
      <c r="G562" s="509"/>
      <c r="H562" s="509"/>
      <c r="I562" s="509"/>
      <c r="J562" s="509"/>
      <c r="K562" s="509"/>
      <c r="L562" s="509"/>
      <c r="M562" s="509"/>
      <c r="N562" s="509"/>
      <c r="O562" s="509"/>
      <c r="P562" s="509"/>
      <c r="Q562" s="509"/>
      <c r="R562" s="509"/>
      <c r="S562" s="509"/>
      <c r="T562" s="509"/>
      <c r="U562" s="509"/>
      <c r="V562" s="509"/>
      <c r="W562" s="509"/>
      <c r="X562" s="509"/>
      <c r="Y562" s="509"/>
      <c r="Z562" s="509"/>
    </row>
    <row r="563" spans="1:26" ht="16.5" customHeight="1" x14ac:dyDescent="0.3">
      <c r="A563" s="509"/>
      <c r="B563" s="509"/>
      <c r="C563" s="509"/>
      <c r="D563" s="509"/>
      <c r="E563" s="509"/>
      <c r="F563" s="509"/>
      <c r="G563" s="509"/>
      <c r="H563" s="509"/>
      <c r="I563" s="509"/>
      <c r="J563" s="509"/>
      <c r="K563" s="509"/>
      <c r="L563" s="509"/>
      <c r="M563" s="509"/>
      <c r="N563" s="509"/>
      <c r="O563" s="509"/>
      <c r="P563" s="509"/>
      <c r="Q563" s="509"/>
      <c r="R563" s="509"/>
      <c r="S563" s="509"/>
      <c r="T563" s="509"/>
      <c r="U563" s="509"/>
      <c r="V563" s="509"/>
      <c r="W563" s="509"/>
      <c r="X563" s="509"/>
      <c r="Y563" s="509"/>
      <c r="Z563" s="509"/>
    </row>
    <row r="564" spans="1:26" ht="16.5" customHeight="1" x14ac:dyDescent="0.3">
      <c r="A564" s="509"/>
      <c r="B564" s="509"/>
      <c r="C564" s="509"/>
      <c r="D564" s="509"/>
      <c r="E564" s="509"/>
      <c r="F564" s="509"/>
      <c r="G564" s="509"/>
      <c r="H564" s="509"/>
      <c r="I564" s="509"/>
      <c r="J564" s="509"/>
      <c r="K564" s="509"/>
      <c r="L564" s="509"/>
      <c r="M564" s="509"/>
      <c r="N564" s="509"/>
      <c r="O564" s="509"/>
      <c r="P564" s="509"/>
      <c r="Q564" s="509"/>
      <c r="R564" s="509"/>
      <c r="S564" s="509"/>
      <c r="T564" s="509"/>
      <c r="U564" s="509"/>
      <c r="V564" s="509"/>
      <c r="W564" s="509"/>
      <c r="X564" s="509"/>
      <c r="Y564" s="509"/>
      <c r="Z564" s="509"/>
    </row>
    <row r="565" spans="1:26" ht="16.5" customHeight="1" x14ac:dyDescent="0.3">
      <c r="A565" s="509"/>
      <c r="B565" s="509"/>
      <c r="C565" s="509"/>
      <c r="D565" s="509"/>
      <c r="E565" s="509"/>
      <c r="F565" s="509"/>
      <c r="G565" s="509"/>
      <c r="H565" s="509"/>
      <c r="I565" s="509"/>
      <c r="J565" s="509"/>
      <c r="K565" s="509"/>
      <c r="L565" s="509"/>
      <c r="M565" s="509"/>
      <c r="N565" s="509"/>
      <c r="O565" s="509"/>
      <c r="P565" s="509"/>
      <c r="Q565" s="509"/>
      <c r="R565" s="509"/>
      <c r="S565" s="509"/>
      <c r="T565" s="509"/>
      <c r="U565" s="509"/>
      <c r="V565" s="509"/>
      <c r="W565" s="509"/>
      <c r="X565" s="509"/>
      <c r="Y565" s="509"/>
      <c r="Z565" s="509"/>
    </row>
    <row r="566" spans="1:26" ht="16.5" customHeight="1" x14ac:dyDescent="0.3">
      <c r="A566" s="509"/>
      <c r="B566" s="509"/>
      <c r="C566" s="509"/>
      <c r="D566" s="509"/>
      <c r="E566" s="509"/>
      <c r="F566" s="509"/>
      <c r="G566" s="509"/>
      <c r="H566" s="509"/>
      <c r="I566" s="509"/>
      <c r="J566" s="509"/>
      <c r="K566" s="509"/>
      <c r="L566" s="509"/>
      <c r="M566" s="509"/>
      <c r="N566" s="509"/>
      <c r="O566" s="509"/>
      <c r="P566" s="509"/>
      <c r="Q566" s="509"/>
      <c r="R566" s="509"/>
      <c r="S566" s="509"/>
      <c r="T566" s="509"/>
      <c r="U566" s="509"/>
      <c r="V566" s="509"/>
      <c r="W566" s="509"/>
      <c r="X566" s="509"/>
      <c r="Y566" s="509"/>
      <c r="Z566" s="509"/>
    </row>
    <row r="567" spans="1:26" ht="16.5" customHeight="1" x14ac:dyDescent="0.3">
      <c r="A567" s="509"/>
      <c r="B567" s="509"/>
      <c r="C567" s="509"/>
      <c r="D567" s="509"/>
      <c r="E567" s="509"/>
      <c r="F567" s="509"/>
      <c r="G567" s="509"/>
      <c r="H567" s="509"/>
      <c r="I567" s="509"/>
      <c r="J567" s="509"/>
      <c r="K567" s="509"/>
      <c r="L567" s="509"/>
      <c r="M567" s="509"/>
      <c r="N567" s="509"/>
      <c r="O567" s="509"/>
      <c r="P567" s="509"/>
      <c r="Q567" s="509"/>
      <c r="R567" s="509"/>
      <c r="S567" s="509"/>
      <c r="T567" s="509"/>
      <c r="U567" s="509"/>
      <c r="V567" s="509"/>
      <c r="W567" s="509"/>
      <c r="X567" s="509"/>
      <c r="Y567" s="509"/>
      <c r="Z567" s="509"/>
    </row>
    <row r="568" spans="1:26" ht="16.5" customHeight="1" x14ac:dyDescent="0.3">
      <c r="A568" s="509"/>
      <c r="B568" s="509"/>
      <c r="C568" s="509"/>
      <c r="D568" s="509"/>
      <c r="E568" s="509"/>
      <c r="F568" s="509"/>
      <c r="G568" s="509"/>
      <c r="H568" s="509"/>
      <c r="I568" s="509"/>
      <c r="J568" s="509"/>
      <c r="K568" s="509"/>
      <c r="L568" s="509"/>
      <c r="M568" s="509"/>
      <c r="N568" s="509"/>
      <c r="O568" s="509"/>
      <c r="P568" s="509"/>
      <c r="Q568" s="509"/>
      <c r="R568" s="509"/>
      <c r="S568" s="509"/>
      <c r="T568" s="509"/>
      <c r="U568" s="509"/>
      <c r="V568" s="509"/>
      <c r="W568" s="509"/>
      <c r="X568" s="509"/>
      <c r="Y568" s="509"/>
      <c r="Z568" s="509"/>
    </row>
    <row r="569" spans="1:26" ht="16.5" customHeight="1" x14ac:dyDescent="0.3">
      <c r="A569" s="509"/>
      <c r="B569" s="509"/>
      <c r="C569" s="509"/>
      <c r="D569" s="509"/>
      <c r="E569" s="509"/>
      <c r="F569" s="509"/>
      <c r="G569" s="509"/>
      <c r="H569" s="509"/>
      <c r="I569" s="509"/>
      <c r="J569" s="509"/>
      <c r="K569" s="509"/>
      <c r="L569" s="509"/>
      <c r="M569" s="509"/>
      <c r="N569" s="509"/>
      <c r="O569" s="509"/>
      <c r="P569" s="509"/>
      <c r="Q569" s="509"/>
      <c r="R569" s="509"/>
      <c r="S569" s="509"/>
      <c r="T569" s="509"/>
      <c r="U569" s="509"/>
      <c r="V569" s="509"/>
      <c r="W569" s="509"/>
      <c r="X569" s="509"/>
      <c r="Y569" s="509"/>
      <c r="Z569" s="509"/>
    </row>
    <row r="570" spans="1:26" ht="16.5" customHeight="1" x14ac:dyDescent="0.3">
      <c r="A570" s="509"/>
      <c r="B570" s="509"/>
      <c r="C570" s="509"/>
      <c r="D570" s="509"/>
      <c r="E570" s="509"/>
      <c r="F570" s="509"/>
      <c r="G570" s="509"/>
      <c r="H570" s="509"/>
      <c r="I570" s="509"/>
      <c r="J570" s="509"/>
      <c r="K570" s="509"/>
      <c r="L570" s="509"/>
      <c r="M570" s="509"/>
      <c r="N570" s="509"/>
      <c r="O570" s="509"/>
      <c r="P570" s="509"/>
      <c r="Q570" s="509"/>
      <c r="R570" s="509"/>
      <c r="S570" s="509"/>
      <c r="T570" s="509"/>
      <c r="U570" s="509"/>
      <c r="V570" s="509"/>
      <c r="W570" s="509"/>
      <c r="X570" s="509"/>
      <c r="Y570" s="509"/>
      <c r="Z570" s="509"/>
    </row>
    <row r="571" spans="1:26" ht="16.5" customHeight="1" x14ac:dyDescent="0.3">
      <c r="A571" s="509"/>
      <c r="B571" s="509"/>
      <c r="C571" s="509"/>
      <c r="D571" s="509"/>
      <c r="E571" s="509"/>
      <c r="F571" s="509"/>
      <c r="G571" s="509"/>
      <c r="H571" s="509"/>
      <c r="I571" s="509"/>
      <c r="J571" s="509"/>
      <c r="K571" s="509"/>
      <c r="L571" s="509"/>
      <c r="M571" s="509"/>
      <c r="N571" s="509"/>
      <c r="O571" s="509"/>
      <c r="P571" s="509"/>
      <c r="Q571" s="509"/>
      <c r="R571" s="509"/>
      <c r="S571" s="509"/>
      <c r="T571" s="509"/>
      <c r="U571" s="509"/>
      <c r="V571" s="509"/>
      <c r="W571" s="509"/>
      <c r="X571" s="509"/>
      <c r="Y571" s="509"/>
      <c r="Z571" s="509"/>
    </row>
    <row r="572" spans="1:26" ht="16.5" customHeight="1" x14ac:dyDescent="0.3">
      <c r="A572" s="509"/>
      <c r="B572" s="509"/>
      <c r="C572" s="509"/>
      <c r="D572" s="509"/>
      <c r="E572" s="509"/>
      <c r="F572" s="509"/>
      <c r="G572" s="509"/>
      <c r="H572" s="509"/>
      <c r="I572" s="509"/>
      <c r="J572" s="509"/>
      <c r="K572" s="509"/>
      <c r="L572" s="509"/>
      <c r="M572" s="509"/>
      <c r="N572" s="509"/>
      <c r="O572" s="509"/>
      <c r="P572" s="509"/>
      <c r="Q572" s="509"/>
      <c r="R572" s="509"/>
      <c r="S572" s="509"/>
      <c r="T572" s="509"/>
      <c r="U572" s="509"/>
      <c r="V572" s="509"/>
      <c r="W572" s="509"/>
      <c r="X572" s="509"/>
      <c r="Y572" s="509"/>
      <c r="Z572" s="509"/>
    </row>
    <row r="573" spans="1:26" ht="16.5" customHeight="1" x14ac:dyDescent="0.3">
      <c r="A573" s="509"/>
      <c r="B573" s="509"/>
      <c r="C573" s="509"/>
      <c r="D573" s="509"/>
      <c r="E573" s="509"/>
      <c r="F573" s="509"/>
      <c r="G573" s="509"/>
      <c r="H573" s="509"/>
      <c r="I573" s="509"/>
      <c r="J573" s="509"/>
      <c r="K573" s="509"/>
      <c r="L573" s="509"/>
      <c r="M573" s="509"/>
      <c r="N573" s="509"/>
      <c r="O573" s="509"/>
      <c r="P573" s="509"/>
      <c r="Q573" s="509"/>
      <c r="R573" s="509"/>
      <c r="S573" s="509"/>
      <c r="T573" s="509"/>
      <c r="U573" s="509"/>
      <c r="V573" s="509"/>
      <c r="W573" s="509"/>
      <c r="X573" s="509"/>
      <c r="Y573" s="509"/>
      <c r="Z573" s="509"/>
    </row>
    <row r="574" spans="1:26" ht="16.5" customHeight="1" x14ac:dyDescent="0.3">
      <c r="A574" s="509"/>
      <c r="B574" s="509"/>
      <c r="C574" s="509"/>
      <c r="D574" s="509"/>
      <c r="E574" s="509"/>
      <c r="F574" s="509"/>
      <c r="G574" s="509"/>
      <c r="H574" s="509"/>
      <c r="I574" s="509"/>
      <c r="J574" s="509"/>
      <c r="K574" s="509"/>
      <c r="L574" s="509"/>
      <c r="M574" s="509"/>
      <c r="N574" s="509"/>
      <c r="O574" s="509"/>
      <c r="P574" s="509"/>
      <c r="Q574" s="509"/>
      <c r="R574" s="509"/>
      <c r="S574" s="509"/>
      <c r="T574" s="509"/>
      <c r="U574" s="509"/>
      <c r="V574" s="509"/>
      <c r="W574" s="509"/>
      <c r="X574" s="509"/>
      <c r="Y574" s="509"/>
      <c r="Z574" s="509"/>
    </row>
    <row r="575" spans="1:26" ht="16.5" customHeight="1" x14ac:dyDescent="0.3">
      <c r="A575" s="509"/>
      <c r="B575" s="509"/>
      <c r="C575" s="509"/>
      <c r="D575" s="509"/>
      <c r="E575" s="509"/>
      <c r="F575" s="509"/>
      <c r="G575" s="509"/>
      <c r="H575" s="509"/>
      <c r="I575" s="509"/>
      <c r="J575" s="509"/>
      <c r="K575" s="509"/>
      <c r="L575" s="509"/>
      <c r="M575" s="509"/>
      <c r="N575" s="509"/>
      <c r="O575" s="509"/>
      <c r="P575" s="509"/>
      <c r="Q575" s="509"/>
      <c r="R575" s="509"/>
      <c r="S575" s="509"/>
      <c r="T575" s="509"/>
      <c r="U575" s="509"/>
      <c r="V575" s="509"/>
      <c r="W575" s="509"/>
      <c r="X575" s="509"/>
      <c r="Y575" s="509"/>
      <c r="Z575" s="509"/>
    </row>
    <row r="576" spans="1:26" ht="16.5" customHeight="1" x14ac:dyDescent="0.3">
      <c r="A576" s="509"/>
      <c r="B576" s="509"/>
      <c r="C576" s="509"/>
      <c r="D576" s="509"/>
      <c r="E576" s="509"/>
      <c r="F576" s="509"/>
      <c r="G576" s="509"/>
      <c r="H576" s="509"/>
      <c r="I576" s="509"/>
      <c r="J576" s="509"/>
      <c r="K576" s="509"/>
      <c r="L576" s="509"/>
      <c r="M576" s="509"/>
      <c r="N576" s="509"/>
      <c r="O576" s="509"/>
      <c r="P576" s="509"/>
      <c r="Q576" s="509"/>
      <c r="R576" s="509"/>
      <c r="S576" s="509"/>
      <c r="T576" s="509"/>
      <c r="U576" s="509"/>
      <c r="V576" s="509"/>
      <c r="W576" s="509"/>
      <c r="X576" s="509"/>
      <c r="Y576" s="509"/>
      <c r="Z576" s="509"/>
    </row>
    <row r="577" spans="1:26" ht="16.5" customHeight="1" x14ac:dyDescent="0.3">
      <c r="A577" s="509"/>
      <c r="B577" s="509"/>
      <c r="C577" s="509"/>
      <c r="D577" s="509"/>
      <c r="E577" s="509"/>
      <c r="F577" s="509"/>
      <c r="G577" s="509"/>
      <c r="H577" s="509"/>
      <c r="I577" s="509"/>
      <c r="J577" s="509"/>
      <c r="K577" s="509"/>
      <c r="L577" s="509"/>
      <c r="M577" s="509"/>
      <c r="N577" s="509"/>
      <c r="O577" s="509"/>
      <c r="P577" s="509"/>
      <c r="Q577" s="509"/>
      <c r="R577" s="509"/>
      <c r="S577" s="509"/>
      <c r="T577" s="509"/>
      <c r="U577" s="509"/>
      <c r="V577" s="509"/>
      <c r="W577" s="509"/>
      <c r="X577" s="509"/>
      <c r="Y577" s="509"/>
      <c r="Z577" s="509"/>
    </row>
    <row r="578" spans="1:26" ht="16.5" customHeight="1" x14ac:dyDescent="0.3">
      <c r="A578" s="509"/>
      <c r="B578" s="509"/>
      <c r="C578" s="509"/>
      <c r="D578" s="509"/>
      <c r="E578" s="509"/>
      <c r="F578" s="509"/>
      <c r="G578" s="509"/>
      <c r="H578" s="509"/>
      <c r="I578" s="509"/>
      <c r="J578" s="509"/>
      <c r="K578" s="509"/>
      <c r="L578" s="509"/>
      <c r="M578" s="509"/>
      <c r="N578" s="509"/>
      <c r="O578" s="509"/>
      <c r="P578" s="509"/>
      <c r="Q578" s="509"/>
      <c r="R578" s="509"/>
      <c r="S578" s="509"/>
      <c r="T578" s="509"/>
      <c r="U578" s="509"/>
      <c r="V578" s="509"/>
      <c r="W578" s="509"/>
      <c r="X578" s="509"/>
      <c r="Y578" s="509"/>
      <c r="Z578" s="509"/>
    </row>
    <row r="579" spans="1:26" ht="16.5" customHeight="1" x14ac:dyDescent="0.3">
      <c r="A579" s="509"/>
      <c r="B579" s="509"/>
      <c r="C579" s="509"/>
      <c r="D579" s="509"/>
      <c r="E579" s="509"/>
      <c r="F579" s="509"/>
      <c r="G579" s="509"/>
      <c r="H579" s="509"/>
      <c r="I579" s="509"/>
      <c r="J579" s="509"/>
      <c r="K579" s="509"/>
      <c r="L579" s="509"/>
      <c r="M579" s="509"/>
      <c r="N579" s="509"/>
      <c r="O579" s="509"/>
      <c r="P579" s="509"/>
      <c r="Q579" s="509"/>
      <c r="R579" s="509"/>
      <c r="S579" s="509"/>
      <c r="T579" s="509"/>
      <c r="U579" s="509"/>
      <c r="V579" s="509"/>
      <c r="W579" s="509"/>
      <c r="X579" s="509"/>
      <c r="Y579" s="509"/>
      <c r="Z579" s="509"/>
    </row>
    <row r="580" spans="1:26" ht="16.5" customHeight="1" x14ac:dyDescent="0.3">
      <c r="A580" s="509"/>
      <c r="B580" s="509"/>
      <c r="C580" s="509"/>
      <c r="D580" s="509"/>
      <c r="E580" s="509"/>
      <c r="F580" s="509"/>
      <c r="G580" s="509"/>
      <c r="H580" s="509"/>
      <c r="I580" s="509"/>
      <c r="J580" s="509"/>
      <c r="K580" s="509"/>
      <c r="L580" s="509"/>
      <c r="M580" s="509"/>
      <c r="N580" s="509"/>
      <c r="O580" s="509"/>
      <c r="P580" s="509"/>
      <c r="Q580" s="509"/>
      <c r="R580" s="509"/>
      <c r="S580" s="509"/>
      <c r="T580" s="509"/>
      <c r="U580" s="509"/>
      <c r="V580" s="509"/>
      <c r="W580" s="509"/>
      <c r="X580" s="509"/>
      <c r="Y580" s="509"/>
      <c r="Z580" s="509"/>
    </row>
    <row r="581" spans="1:26" ht="16.5" customHeight="1" x14ac:dyDescent="0.3">
      <c r="A581" s="509"/>
      <c r="B581" s="509"/>
      <c r="C581" s="509"/>
      <c r="D581" s="509"/>
      <c r="E581" s="509"/>
      <c r="F581" s="509"/>
      <c r="G581" s="509"/>
      <c r="H581" s="509"/>
      <c r="I581" s="509"/>
      <c r="J581" s="509"/>
      <c r="K581" s="509"/>
      <c r="L581" s="509"/>
      <c r="M581" s="509"/>
      <c r="N581" s="509"/>
      <c r="O581" s="509"/>
      <c r="P581" s="509"/>
      <c r="Q581" s="509"/>
      <c r="R581" s="509"/>
      <c r="S581" s="509"/>
      <c r="T581" s="509"/>
      <c r="U581" s="509"/>
      <c r="V581" s="509"/>
      <c r="W581" s="509"/>
      <c r="X581" s="509"/>
      <c r="Y581" s="509"/>
      <c r="Z581" s="509"/>
    </row>
    <row r="582" spans="1:26" ht="16.5" customHeight="1" x14ac:dyDescent="0.3">
      <c r="A582" s="509"/>
      <c r="B582" s="509"/>
      <c r="C582" s="509"/>
      <c r="D582" s="509"/>
      <c r="E582" s="509"/>
      <c r="F582" s="509"/>
      <c r="G582" s="509"/>
      <c r="H582" s="509"/>
      <c r="I582" s="509"/>
      <c r="J582" s="509"/>
      <c r="K582" s="509"/>
      <c r="L582" s="509"/>
      <c r="M582" s="509"/>
      <c r="N582" s="509"/>
      <c r="O582" s="509"/>
      <c r="P582" s="509"/>
      <c r="Q582" s="509"/>
      <c r="R582" s="509"/>
      <c r="S582" s="509"/>
      <c r="T582" s="509"/>
      <c r="U582" s="509"/>
      <c r="V582" s="509"/>
      <c r="W582" s="509"/>
      <c r="X582" s="509"/>
      <c r="Y582" s="509"/>
      <c r="Z582" s="509"/>
    </row>
    <row r="583" spans="1:26" ht="16.5" customHeight="1" x14ac:dyDescent="0.3">
      <c r="A583" s="509"/>
      <c r="B583" s="509"/>
      <c r="C583" s="509"/>
      <c r="D583" s="509"/>
      <c r="E583" s="509"/>
      <c r="F583" s="509"/>
      <c r="G583" s="509"/>
      <c r="H583" s="509"/>
      <c r="I583" s="509"/>
      <c r="J583" s="509"/>
      <c r="K583" s="509"/>
      <c r="L583" s="509"/>
      <c r="M583" s="509"/>
      <c r="N583" s="509"/>
      <c r="O583" s="509"/>
      <c r="P583" s="509"/>
      <c r="Q583" s="509"/>
      <c r="R583" s="509"/>
      <c r="S583" s="509"/>
      <c r="T583" s="509"/>
      <c r="U583" s="509"/>
      <c r="V583" s="509"/>
      <c r="W583" s="509"/>
      <c r="X583" s="509"/>
      <c r="Y583" s="509"/>
      <c r="Z583" s="509"/>
    </row>
    <row r="584" spans="1:26" ht="16.5" customHeight="1" x14ac:dyDescent="0.3">
      <c r="A584" s="509"/>
      <c r="B584" s="509"/>
      <c r="C584" s="509"/>
      <c r="D584" s="509"/>
      <c r="E584" s="509"/>
      <c r="F584" s="509"/>
      <c r="G584" s="509"/>
      <c r="H584" s="509"/>
      <c r="I584" s="509"/>
      <c r="J584" s="509"/>
      <c r="K584" s="509"/>
      <c r="L584" s="509"/>
      <c r="M584" s="509"/>
      <c r="N584" s="509"/>
      <c r="O584" s="509"/>
      <c r="P584" s="509"/>
      <c r="Q584" s="509"/>
      <c r="R584" s="509"/>
      <c r="S584" s="509"/>
      <c r="T584" s="509"/>
      <c r="U584" s="509"/>
      <c r="V584" s="509"/>
      <c r="W584" s="509"/>
      <c r="X584" s="509"/>
      <c r="Y584" s="509"/>
      <c r="Z584" s="509"/>
    </row>
    <row r="585" spans="1:26" ht="16.5" customHeight="1" x14ac:dyDescent="0.3">
      <c r="A585" s="509"/>
      <c r="B585" s="509"/>
      <c r="C585" s="509"/>
      <c r="D585" s="509"/>
      <c r="E585" s="509"/>
      <c r="F585" s="509"/>
      <c r="G585" s="509"/>
      <c r="H585" s="509"/>
      <c r="I585" s="509"/>
      <c r="J585" s="509"/>
      <c r="K585" s="509"/>
      <c r="L585" s="509"/>
      <c r="M585" s="509"/>
      <c r="N585" s="509"/>
      <c r="O585" s="509"/>
      <c r="P585" s="509"/>
      <c r="Q585" s="509"/>
      <c r="R585" s="509"/>
      <c r="S585" s="509"/>
      <c r="T585" s="509"/>
      <c r="U585" s="509"/>
      <c r="V585" s="509"/>
      <c r="W585" s="509"/>
      <c r="X585" s="509"/>
      <c r="Y585" s="509"/>
      <c r="Z585" s="509"/>
    </row>
    <row r="586" spans="1:26" ht="16.5" customHeight="1" x14ac:dyDescent="0.3">
      <c r="A586" s="509"/>
      <c r="B586" s="509"/>
      <c r="C586" s="509"/>
      <c r="D586" s="509"/>
      <c r="E586" s="509"/>
      <c r="F586" s="509"/>
      <c r="G586" s="509"/>
      <c r="H586" s="509"/>
      <c r="I586" s="509"/>
      <c r="J586" s="509"/>
      <c r="K586" s="509"/>
      <c r="L586" s="509"/>
      <c r="M586" s="509"/>
      <c r="N586" s="509"/>
      <c r="O586" s="509"/>
      <c r="P586" s="509"/>
      <c r="Q586" s="509"/>
      <c r="R586" s="509"/>
      <c r="S586" s="509"/>
      <c r="T586" s="509"/>
      <c r="U586" s="509"/>
      <c r="V586" s="509"/>
      <c r="W586" s="509"/>
      <c r="X586" s="509"/>
      <c r="Y586" s="509"/>
      <c r="Z586" s="509"/>
    </row>
    <row r="587" spans="1:26" ht="16.5" customHeight="1" x14ac:dyDescent="0.3">
      <c r="A587" s="509"/>
      <c r="B587" s="509"/>
      <c r="C587" s="509"/>
      <c r="D587" s="509"/>
      <c r="E587" s="509"/>
      <c r="F587" s="509"/>
      <c r="G587" s="509"/>
      <c r="H587" s="509"/>
      <c r="I587" s="509"/>
      <c r="J587" s="509"/>
      <c r="K587" s="509"/>
      <c r="L587" s="509"/>
      <c r="M587" s="509"/>
      <c r="N587" s="509"/>
      <c r="O587" s="509"/>
      <c r="P587" s="509"/>
      <c r="Q587" s="509"/>
      <c r="R587" s="509"/>
      <c r="S587" s="509"/>
      <c r="T587" s="509"/>
      <c r="U587" s="509"/>
      <c r="V587" s="509"/>
      <c r="W587" s="509"/>
      <c r="X587" s="509"/>
      <c r="Y587" s="509"/>
      <c r="Z587" s="509"/>
    </row>
    <row r="588" spans="1:26" ht="16.5" customHeight="1" x14ac:dyDescent="0.3">
      <c r="A588" s="509"/>
      <c r="B588" s="509"/>
      <c r="C588" s="509"/>
      <c r="D588" s="509"/>
      <c r="E588" s="509"/>
      <c r="F588" s="509"/>
      <c r="G588" s="509"/>
      <c r="H588" s="509"/>
      <c r="I588" s="509"/>
      <c r="J588" s="509"/>
      <c r="K588" s="509"/>
      <c r="L588" s="509"/>
      <c r="M588" s="509"/>
      <c r="N588" s="509"/>
      <c r="O588" s="509"/>
      <c r="P588" s="509"/>
      <c r="Q588" s="509"/>
      <c r="R588" s="509"/>
      <c r="S588" s="509"/>
      <c r="T588" s="509"/>
      <c r="U588" s="509"/>
      <c r="V588" s="509"/>
      <c r="W588" s="509"/>
      <c r="X588" s="509"/>
      <c r="Y588" s="509"/>
      <c r="Z588" s="509"/>
    </row>
    <row r="589" spans="1:26" ht="16.5" customHeight="1" x14ac:dyDescent="0.3">
      <c r="A589" s="509"/>
      <c r="B589" s="509"/>
      <c r="C589" s="509"/>
      <c r="D589" s="509"/>
      <c r="E589" s="509"/>
      <c r="F589" s="509"/>
      <c r="G589" s="509"/>
      <c r="H589" s="509"/>
      <c r="I589" s="509"/>
      <c r="J589" s="509"/>
      <c r="K589" s="509"/>
      <c r="L589" s="509"/>
      <c r="M589" s="509"/>
      <c r="N589" s="509"/>
      <c r="O589" s="509"/>
      <c r="P589" s="509"/>
      <c r="Q589" s="509"/>
      <c r="R589" s="509"/>
      <c r="S589" s="509"/>
      <c r="T589" s="509"/>
      <c r="U589" s="509"/>
      <c r="V589" s="509"/>
      <c r="W589" s="509"/>
      <c r="X589" s="509"/>
      <c r="Y589" s="509"/>
      <c r="Z589" s="509"/>
    </row>
    <row r="590" spans="1:26" ht="16.5" customHeight="1" x14ac:dyDescent="0.3">
      <c r="A590" s="509"/>
      <c r="B590" s="509"/>
      <c r="C590" s="509"/>
      <c r="D590" s="509"/>
      <c r="E590" s="509"/>
      <c r="F590" s="509"/>
      <c r="G590" s="509"/>
      <c r="H590" s="509"/>
      <c r="I590" s="509"/>
      <c r="J590" s="509"/>
      <c r="K590" s="509"/>
      <c r="L590" s="509"/>
      <c r="M590" s="509"/>
      <c r="N590" s="509"/>
      <c r="O590" s="509"/>
      <c r="P590" s="509"/>
      <c r="Q590" s="509"/>
      <c r="R590" s="509"/>
      <c r="S590" s="509"/>
      <c r="T590" s="509"/>
      <c r="U590" s="509"/>
      <c r="V590" s="509"/>
      <c r="W590" s="509"/>
      <c r="X590" s="509"/>
      <c r="Y590" s="509"/>
      <c r="Z590" s="509"/>
    </row>
    <row r="591" spans="1:26" ht="16.5" customHeight="1" x14ac:dyDescent="0.3">
      <c r="A591" s="509"/>
      <c r="B591" s="509"/>
      <c r="C591" s="509"/>
      <c r="D591" s="509"/>
      <c r="E591" s="509"/>
      <c r="F591" s="509"/>
      <c r="G591" s="509"/>
      <c r="H591" s="509"/>
      <c r="I591" s="509"/>
      <c r="J591" s="509"/>
      <c r="K591" s="509"/>
      <c r="L591" s="509"/>
      <c r="M591" s="509"/>
      <c r="N591" s="509"/>
      <c r="O591" s="509"/>
      <c r="P591" s="509"/>
      <c r="Q591" s="509"/>
      <c r="R591" s="509"/>
      <c r="S591" s="509"/>
      <c r="T591" s="509"/>
      <c r="U591" s="509"/>
      <c r="V591" s="509"/>
      <c r="W591" s="509"/>
      <c r="X591" s="509"/>
      <c r="Y591" s="509"/>
      <c r="Z591" s="509"/>
    </row>
    <row r="592" spans="1:26" ht="16.5" customHeight="1" x14ac:dyDescent="0.3">
      <c r="A592" s="509"/>
      <c r="B592" s="509"/>
      <c r="C592" s="509"/>
      <c r="D592" s="509"/>
      <c r="E592" s="509"/>
      <c r="F592" s="509"/>
      <c r="G592" s="509"/>
      <c r="H592" s="509"/>
      <c r="I592" s="509"/>
      <c r="J592" s="509"/>
      <c r="K592" s="509"/>
      <c r="L592" s="509"/>
      <c r="M592" s="509"/>
      <c r="N592" s="509"/>
      <c r="O592" s="509"/>
      <c r="P592" s="509"/>
      <c r="Q592" s="509"/>
      <c r="R592" s="509"/>
      <c r="S592" s="509"/>
      <c r="T592" s="509"/>
      <c r="U592" s="509"/>
      <c r="V592" s="509"/>
      <c r="W592" s="509"/>
      <c r="X592" s="509"/>
      <c r="Y592" s="509"/>
      <c r="Z592" s="509"/>
    </row>
    <row r="593" spans="1:26" ht="16.5" customHeight="1" x14ac:dyDescent="0.3">
      <c r="A593" s="509"/>
      <c r="B593" s="509"/>
      <c r="C593" s="509"/>
      <c r="D593" s="509"/>
      <c r="E593" s="509"/>
      <c r="F593" s="509"/>
      <c r="G593" s="509"/>
      <c r="H593" s="509"/>
      <c r="I593" s="509"/>
      <c r="J593" s="509"/>
      <c r="K593" s="509"/>
      <c r="L593" s="509"/>
      <c r="M593" s="509"/>
      <c r="N593" s="509"/>
      <c r="O593" s="509"/>
      <c r="P593" s="509"/>
      <c r="Q593" s="509"/>
      <c r="R593" s="509"/>
      <c r="S593" s="509"/>
      <c r="T593" s="509"/>
      <c r="U593" s="509"/>
      <c r="V593" s="509"/>
      <c r="W593" s="509"/>
      <c r="X593" s="509"/>
      <c r="Y593" s="509"/>
      <c r="Z593" s="509"/>
    </row>
    <row r="594" spans="1:26" ht="16.5" customHeight="1" x14ac:dyDescent="0.3">
      <c r="A594" s="509"/>
      <c r="B594" s="509"/>
      <c r="C594" s="509"/>
      <c r="D594" s="509"/>
      <c r="E594" s="509"/>
      <c r="F594" s="509"/>
      <c r="G594" s="509"/>
      <c r="H594" s="509"/>
      <c r="I594" s="509"/>
      <c r="J594" s="509"/>
      <c r="K594" s="509"/>
      <c r="L594" s="509"/>
      <c r="M594" s="509"/>
      <c r="N594" s="509"/>
      <c r="O594" s="509"/>
      <c r="P594" s="509"/>
      <c r="Q594" s="509"/>
      <c r="R594" s="509"/>
      <c r="S594" s="509"/>
      <c r="T594" s="509"/>
      <c r="U594" s="509"/>
      <c r="V594" s="509"/>
      <c r="W594" s="509"/>
      <c r="X594" s="509"/>
      <c r="Y594" s="509"/>
      <c r="Z594" s="509"/>
    </row>
    <row r="595" spans="1:26" ht="16.5" customHeight="1" x14ac:dyDescent="0.3">
      <c r="A595" s="509"/>
      <c r="B595" s="509"/>
      <c r="C595" s="509"/>
      <c r="D595" s="509"/>
      <c r="E595" s="509"/>
      <c r="F595" s="509"/>
      <c r="G595" s="509"/>
      <c r="H595" s="509"/>
      <c r="I595" s="509"/>
      <c r="J595" s="509"/>
      <c r="K595" s="509"/>
      <c r="L595" s="509"/>
      <c r="M595" s="509"/>
      <c r="N595" s="509"/>
      <c r="O595" s="509"/>
      <c r="P595" s="509"/>
      <c r="Q595" s="509"/>
      <c r="R595" s="509"/>
      <c r="S595" s="509"/>
      <c r="T595" s="509"/>
      <c r="U595" s="509"/>
      <c r="V595" s="509"/>
      <c r="W595" s="509"/>
      <c r="X595" s="509"/>
      <c r="Y595" s="509"/>
      <c r="Z595" s="509"/>
    </row>
    <row r="596" spans="1:26" ht="16.5" customHeight="1" x14ac:dyDescent="0.3">
      <c r="A596" s="509"/>
      <c r="B596" s="509"/>
      <c r="C596" s="509"/>
      <c r="D596" s="509"/>
      <c r="E596" s="509"/>
      <c r="F596" s="509"/>
      <c r="G596" s="509"/>
      <c r="H596" s="509"/>
      <c r="I596" s="509"/>
      <c r="J596" s="509"/>
      <c r="K596" s="509"/>
      <c r="L596" s="509"/>
      <c r="M596" s="509"/>
      <c r="N596" s="509"/>
      <c r="O596" s="509"/>
      <c r="P596" s="509"/>
      <c r="Q596" s="509"/>
      <c r="R596" s="509"/>
      <c r="S596" s="509"/>
      <c r="T596" s="509"/>
      <c r="U596" s="509"/>
      <c r="V596" s="509"/>
      <c r="W596" s="509"/>
      <c r="X596" s="509"/>
      <c r="Y596" s="509"/>
      <c r="Z596" s="509"/>
    </row>
    <row r="597" spans="1:26" ht="16.5" customHeight="1" x14ac:dyDescent="0.3">
      <c r="A597" s="509"/>
      <c r="B597" s="509"/>
      <c r="C597" s="509"/>
      <c r="D597" s="509"/>
      <c r="E597" s="509"/>
      <c r="F597" s="509"/>
      <c r="G597" s="509"/>
      <c r="H597" s="509"/>
      <c r="I597" s="509"/>
      <c r="J597" s="509"/>
      <c r="K597" s="509"/>
      <c r="L597" s="509"/>
      <c r="M597" s="509"/>
      <c r="N597" s="509"/>
      <c r="O597" s="509"/>
      <c r="P597" s="509"/>
      <c r="Q597" s="509"/>
      <c r="R597" s="509"/>
      <c r="S597" s="509"/>
      <c r="T597" s="509"/>
      <c r="U597" s="509"/>
      <c r="V597" s="509"/>
      <c r="W597" s="509"/>
      <c r="X597" s="509"/>
      <c r="Y597" s="509"/>
      <c r="Z597" s="509"/>
    </row>
    <row r="598" spans="1:26" ht="16.5" customHeight="1" x14ac:dyDescent="0.3">
      <c r="A598" s="509"/>
      <c r="B598" s="509"/>
      <c r="C598" s="509"/>
      <c r="D598" s="509"/>
      <c r="E598" s="509"/>
      <c r="F598" s="509"/>
      <c r="G598" s="509"/>
      <c r="H598" s="509"/>
      <c r="I598" s="509"/>
      <c r="J598" s="509"/>
      <c r="K598" s="509"/>
      <c r="L598" s="509"/>
      <c r="M598" s="509"/>
      <c r="N598" s="509"/>
      <c r="O598" s="509"/>
      <c r="P598" s="509"/>
      <c r="Q598" s="509"/>
      <c r="R598" s="509"/>
      <c r="S598" s="509"/>
      <c r="T598" s="509"/>
      <c r="U598" s="509"/>
      <c r="V598" s="509"/>
      <c r="W598" s="509"/>
      <c r="X598" s="509"/>
      <c r="Y598" s="509"/>
      <c r="Z598" s="509"/>
    </row>
    <row r="599" spans="1:26" ht="16.5" customHeight="1" x14ac:dyDescent="0.3">
      <c r="A599" s="509"/>
      <c r="B599" s="509"/>
      <c r="C599" s="509"/>
      <c r="D599" s="509"/>
      <c r="E599" s="509"/>
      <c r="F599" s="509"/>
      <c r="G599" s="509"/>
      <c r="H599" s="509"/>
      <c r="I599" s="509"/>
      <c r="J599" s="509"/>
      <c r="K599" s="509"/>
      <c r="L599" s="509"/>
      <c r="M599" s="509"/>
      <c r="N599" s="509"/>
      <c r="O599" s="509"/>
      <c r="P599" s="509"/>
      <c r="Q599" s="509"/>
      <c r="R599" s="509"/>
      <c r="S599" s="509"/>
      <c r="T599" s="509"/>
      <c r="U599" s="509"/>
      <c r="V599" s="509"/>
      <c r="W599" s="509"/>
      <c r="X599" s="509"/>
      <c r="Y599" s="509"/>
      <c r="Z599" s="509"/>
    </row>
    <row r="600" spans="1:26" ht="16.5" customHeight="1" x14ac:dyDescent="0.3">
      <c r="A600" s="509"/>
      <c r="B600" s="509"/>
      <c r="C600" s="509"/>
      <c r="D600" s="509"/>
      <c r="E600" s="509"/>
      <c r="F600" s="509"/>
      <c r="G600" s="509"/>
      <c r="H600" s="509"/>
      <c r="I600" s="509"/>
      <c r="J600" s="509"/>
      <c r="K600" s="509"/>
      <c r="L600" s="509"/>
      <c r="M600" s="509"/>
      <c r="N600" s="509"/>
      <c r="O600" s="509"/>
      <c r="P600" s="509"/>
      <c r="Q600" s="509"/>
      <c r="R600" s="509"/>
      <c r="S600" s="509"/>
      <c r="T600" s="509"/>
      <c r="U600" s="509"/>
      <c r="V600" s="509"/>
      <c r="W600" s="509"/>
      <c r="X600" s="509"/>
      <c r="Y600" s="509"/>
      <c r="Z600" s="509"/>
    </row>
    <row r="601" spans="1:26" ht="16.5" customHeight="1" x14ac:dyDescent="0.3">
      <c r="A601" s="509"/>
      <c r="B601" s="509"/>
      <c r="C601" s="509"/>
      <c r="D601" s="509"/>
      <c r="E601" s="509"/>
      <c r="F601" s="509"/>
      <c r="G601" s="509"/>
      <c r="H601" s="509"/>
      <c r="I601" s="509"/>
      <c r="J601" s="509"/>
      <c r="K601" s="509"/>
      <c r="L601" s="509"/>
      <c r="M601" s="509"/>
      <c r="N601" s="509"/>
      <c r="O601" s="509"/>
      <c r="P601" s="509"/>
      <c r="Q601" s="509"/>
      <c r="R601" s="509"/>
      <c r="S601" s="509"/>
      <c r="T601" s="509"/>
      <c r="U601" s="509"/>
      <c r="V601" s="509"/>
      <c r="W601" s="509"/>
      <c r="X601" s="509"/>
      <c r="Y601" s="509"/>
      <c r="Z601" s="509"/>
    </row>
    <row r="602" spans="1:26" ht="16.5" customHeight="1" x14ac:dyDescent="0.3">
      <c r="A602" s="509"/>
      <c r="B602" s="509"/>
      <c r="C602" s="509"/>
      <c r="D602" s="509"/>
      <c r="E602" s="509"/>
      <c r="F602" s="509"/>
      <c r="G602" s="509"/>
      <c r="H602" s="509"/>
      <c r="I602" s="509"/>
      <c r="J602" s="509"/>
      <c r="K602" s="509"/>
      <c r="L602" s="509"/>
      <c r="M602" s="509"/>
      <c r="N602" s="509"/>
      <c r="O602" s="509"/>
      <c r="P602" s="509"/>
      <c r="Q602" s="509"/>
      <c r="R602" s="509"/>
      <c r="S602" s="509"/>
      <c r="T602" s="509"/>
      <c r="U602" s="509"/>
      <c r="V602" s="509"/>
      <c r="W602" s="509"/>
      <c r="X602" s="509"/>
      <c r="Y602" s="509"/>
      <c r="Z602" s="509"/>
    </row>
    <row r="603" spans="1:26" ht="16.5" customHeight="1" x14ac:dyDescent="0.3">
      <c r="A603" s="509"/>
      <c r="B603" s="509"/>
      <c r="C603" s="509"/>
      <c r="D603" s="509"/>
      <c r="E603" s="509"/>
      <c r="F603" s="509"/>
      <c r="G603" s="509"/>
      <c r="H603" s="509"/>
      <c r="I603" s="509"/>
      <c r="J603" s="509"/>
      <c r="K603" s="509"/>
      <c r="L603" s="509"/>
      <c r="M603" s="509"/>
      <c r="N603" s="509"/>
      <c r="O603" s="509"/>
      <c r="P603" s="509"/>
      <c r="Q603" s="509"/>
      <c r="R603" s="509"/>
      <c r="S603" s="509"/>
      <c r="T603" s="509"/>
      <c r="U603" s="509"/>
      <c r="V603" s="509"/>
      <c r="W603" s="509"/>
      <c r="X603" s="509"/>
      <c r="Y603" s="509"/>
      <c r="Z603" s="509"/>
    </row>
    <row r="604" spans="1:26" ht="16.5" customHeight="1" x14ac:dyDescent="0.3">
      <c r="A604" s="509"/>
      <c r="B604" s="509"/>
      <c r="C604" s="509"/>
      <c r="D604" s="509"/>
      <c r="E604" s="509"/>
      <c r="F604" s="509"/>
      <c r="G604" s="509"/>
      <c r="H604" s="509"/>
      <c r="I604" s="509"/>
      <c r="J604" s="509"/>
      <c r="K604" s="509"/>
      <c r="L604" s="509"/>
      <c r="M604" s="509"/>
      <c r="N604" s="509"/>
      <c r="O604" s="509"/>
      <c r="P604" s="509"/>
      <c r="Q604" s="509"/>
      <c r="R604" s="509"/>
      <c r="S604" s="509"/>
      <c r="T604" s="509"/>
      <c r="U604" s="509"/>
      <c r="V604" s="509"/>
      <c r="W604" s="509"/>
      <c r="X604" s="509"/>
      <c r="Y604" s="509"/>
      <c r="Z604" s="509"/>
    </row>
    <row r="605" spans="1:26" ht="16.5" customHeight="1" x14ac:dyDescent="0.3">
      <c r="A605" s="509"/>
      <c r="B605" s="509"/>
      <c r="C605" s="509"/>
      <c r="D605" s="509"/>
      <c r="E605" s="509"/>
      <c r="F605" s="509"/>
      <c r="G605" s="509"/>
      <c r="H605" s="509"/>
      <c r="I605" s="509"/>
      <c r="J605" s="509"/>
      <c r="K605" s="509"/>
      <c r="L605" s="509"/>
      <c r="M605" s="509"/>
      <c r="N605" s="509"/>
      <c r="O605" s="509"/>
      <c r="P605" s="509"/>
      <c r="Q605" s="509"/>
      <c r="R605" s="509"/>
      <c r="S605" s="509"/>
      <c r="T605" s="509"/>
      <c r="U605" s="509"/>
      <c r="V605" s="509"/>
      <c r="W605" s="509"/>
      <c r="X605" s="509"/>
      <c r="Y605" s="509"/>
      <c r="Z605" s="509"/>
    </row>
    <row r="606" spans="1:26" ht="16.5" customHeight="1" x14ac:dyDescent="0.3">
      <c r="A606" s="509"/>
      <c r="B606" s="509"/>
      <c r="C606" s="509"/>
      <c r="D606" s="509"/>
      <c r="E606" s="509"/>
      <c r="F606" s="509"/>
      <c r="G606" s="509"/>
      <c r="H606" s="509"/>
      <c r="I606" s="509"/>
      <c r="J606" s="509"/>
      <c r="K606" s="509"/>
      <c r="L606" s="509"/>
      <c r="M606" s="509"/>
      <c r="N606" s="509"/>
      <c r="O606" s="509"/>
      <c r="P606" s="509"/>
      <c r="Q606" s="509"/>
      <c r="R606" s="509"/>
      <c r="S606" s="509"/>
      <c r="T606" s="509"/>
      <c r="U606" s="509"/>
      <c r="V606" s="509"/>
      <c r="W606" s="509"/>
      <c r="X606" s="509"/>
      <c r="Y606" s="509"/>
      <c r="Z606" s="509"/>
    </row>
    <row r="607" spans="1:26" ht="16.5" customHeight="1" x14ac:dyDescent="0.3">
      <c r="A607" s="509"/>
      <c r="B607" s="509"/>
      <c r="C607" s="509"/>
      <c r="D607" s="509"/>
      <c r="E607" s="509"/>
      <c r="F607" s="509"/>
      <c r="G607" s="509"/>
      <c r="H607" s="509"/>
      <c r="I607" s="509"/>
      <c r="J607" s="509"/>
      <c r="K607" s="509"/>
      <c r="L607" s="509"/>
      <c r="M607" s="509"/>
      <c r="N607" s="509"/>
      <c r="O607" s="509"/>
      <c r="P607" s="509"/>
      <c r="Q607" s="509"/>
      <c r="R607" s="509"/>
      <c r="S607" s="509"/>
      <c r="T607" s="509"/>
      <c r="U607" s="509"/>
      <c r="V607" s="509"/>
      <c r="W607" s="509"/>
      <c r="X607" s="509"/>
      <c r="Y607" s="509"/>
      <c r="Z607" s="509"/>
    </row>
    <row r="608" spans="1:26" ht="16.5" customHeight="1" x14ac:dyDescent="0.3">
      <c r="A608" s="509"/>
      <c r="B608" s="509"/>
      <c r="C608" s="509"/>
      <c r="D608" s="509"/>
      <c r="E608" s="509"/>
      <c r="F608" s="509"/>
      <c r="G608" s="509"/>
      <c r="H608" s="509"/>
      <c r="I608" s="509"/>
      <c r="J608" s="509"/>
      <c r="K608" s="509"/>
      <c r="L608" s="509"/>
      <c r="M608" s="509"/>
      <c r="N608" s="509"/>
      <c r="O608" s="509"/>
      <c r="P608" s="509"/>
      <c r="Q608" s="509"/>
      <c r="R608" s="509"/>
      <c r="S608" s="509"/>
      <c r="T608" s="509"/>
      <c r="U608" s="509"/>
      <c r="V608" s="509"/>
      <c r="W608" s="509"/>
      <c r="X608" s="509"/>
      <c r="Y608" s="509"/>
      <c r="Z608" s="509"/>
    </row>
    <row r="609" spans="1:26" ht="16.5" customHeight="1" x14ac:dyDescent="0.3">
      <c r="A609" s="509"/>
      <c r="B609" s="509"/>
      <c r="C609" s="509"/>
      <c r="D609" s="509"/>
      <c r="E609" s="509"/>
      <c r="F609" s="509"/>
      <c r="G609" s="509"/>
      <c r="H609" s="509"/>
      <c r="I609" s="509"/>
      <c r="J609" s="509"/>
      <c r="K609" s="509"/>
      <c r="L609" s="509"/>
      <c r="M609" s="509"/>
      <c r="N609" s="509"/>
      <c r="O609" s="509"/>
      <c r="P609" s="509"/>
      <c r="Q609" s="509"/>
      <c r="R609" s="509"/>
      <c r="S609" s="509"/>
      <c r="T609" s="509"/>
      <c r="U609" s="509"/>
      <c r="V609" s="509"/>
      <c r="W609" s="509"/>
      <c r="X609" s="509"/>
      <c r="Y609" s="509"/>
      <c r="Z609" s="509"/>
    </row>
    <row r="610" spans="1:26" ht="16.5" customHeight="1" x14ac:dyDescent="0.3">
      <c r="A610" s="509"/>
      <c r="B610" s="509"/>
      <c r="C610" s="509"/>
      <c r="D610" s="509"/>
      <c r="E610" s="509"/>
      <c r="F610" s="509"/>
      <c r="G610" s="509"/>
      <c r="H610" s="509"/>
      <c r="I610" s="509"/>
      <c r="J610" s="509"/>
      <c r="K610" s="509"/>
      <c r="L610" s="509"/>
      <c r="M610" s="509"/>
      <c r="N610" s="509"/>
      <c r="O610" s="509"/>
      <c r="P610" s="509"/>
      <c r="Q610" s="509"/>
      <c r="R610" s="509"/>
      <c r="S610" s="509"/>
      <c r="T610" s="509"/>
      <c r="U610" s="509"/>
      <c r="V610" s="509"/>
      <c r="W610" s="509"/>
      <c r="X610" s="509"/>
      <c r="Y610" s="509"/>
      <c r="Z610" s="509"/>
    </row>
    <row r="611" spans="1:26" ht="16.5" customHeight="1" x14ac:dyDescent="0.3">
      <c r="A611" s="509"/>
      <c r="B611" s="509"/>
      <c r="C611" s="509"/>
      <c r="D611" s="509"/>
      <c r="E611" s="509"/>
      <c r="F611" s="509"/>
      <c r="G611" s="509"/>
      <c r="H611" s="509"/>
      <c r="I611" s="509"/>
      <c r="J611" s="509"/>
      <c r="K611" s="509"/>
      <c r="L611" s="509"/>
      <c r="M611" s="509"/>
      <c r="N611" s="509"/>
      <c r="O611" s="509"/>
      <c r="P611" s="509"/>
      <c r="Q611" s="509"/>
      <c r="R611" s="509"/>
      <c r="S611" s="509"/>
      <c r="T611" s="509"/>
      <c r="U611" s="509"/>
      <c r="V611" s="509"/>
      <c r="W611" s="509"/>
      <c r="X611" s="509"/>
      <c r="Y611" s="509"/>
      <c r="Z611" s="509"/>
    </row>
    <row r="612" spans="1:26" ht="16.5" customHeight="1" x14ac:dyDescent="0.3">
      <c r="A612" s="509"/>
      <c r="B612" s="509"/>
      <c r="C612" s="509"/>
      <c r="D612" s="509"/>
      <c r="E612" s="509"/>
      <c r="F612" s="509"/>
      <c r="G612" s="509"/>
      <c r="H612" s="509"/>
      <c r="I612" s="509"/>
      <c r="J612" s="509"/>
      <c r="K612" s="509"/>
      <c r="L612" s="509"/>
      <c r="M612" s="509"/>
      <c r="N612" s="509"/>
      <c r="O612" s="509"/>
      <c r="P612" s="509"/>
      <c r="Q612" s="509"/>
      <c r="R612" s="509"/>
      <c r="S612" s="509"/>
      <c r="T612" s="509"/>
      <c r="U612" s="509"/>
      <c r="V612" s="509"/>
      <c r="W612" s="509"/>
      <c r="X612" s="509"/>
      <c r="Y612" s="509"/>
      <c r="Z612" s="509"/>
    </row>
    <row r="613" spans="1:26" ht="16.5" customHeight="1" x14ac:dyDescent="0.3">
      <c r="A613" s="509"/>
      <c r="B613" s="509"/>
      <c r="C613" s="509"/>
      <c r="D613" s="509"/>
      <c r="E613" s="509"/>
      <c r="F613" s="509"/>
      <c r="G613" s="509"/>
      <c r="H613" s="509"/>
      <c r="I613" s="509"/>
      <c r="J613" s="509"/>
      <c r="K613" s="509"/>
      <c r="L613" s="509"/>
      <c r="M613" s="509"/>
      <c r="N613" s="509"/>
      <c r="O613" s="509"/>
      <c r="P613" s="509"/>
      <c r="Q613" s="509"/>
      <c r="R613" s="509"/>
      <c r="S613" s="509"/>
      <c r="T613" s="509"/>
      <c r="U613" s="509"/>
      <c r="V613" s="509"/>
      <c r="W613" s="509"/>
      <c r="X613" s="509"/>
      <c r="Y613" s="509"/>
      <c r="Z613" s="509"/>
    </row>
    <row r="614" spans="1:26" ht="16.5" customHeight="1" x14ac:dyDescent="0.3">
      <c r="A614" s="509"/>
      <c r="B614" s="509"/>
      <c r="C614" s="509"/>
      <c r="D614" s="509"/>
      <c r="E614" s="509"/>
      <c r="F614" s="509"/>
      <c r="G614" s="509"/>
      <c r="H614" s="509"/>
      <c r="I614" s="509"/>
      <c r="J614" s="509"/>
      <c r="K614" s="509"/>
      <c r="L614" s="509"/>
      <c r="M614" s="509"/>
      <c r="N614" s="509"/>
      <c r="O614" s="509"/>
      <c r="P614" s="509"/>
      <c r="Q614" s="509"/>
      <c r="R614" s="509"/>
      <c r="S614" s="509"/>
      <c r="T614" s="509"/>
      <c r="U614" s="509"/>
      <c r="V614" s="509"/>
      <c r="W614" s="509"/>
      <c r="X614" s="509"/>
      <c r="Y614" s="509"/>
      <c r="Z614" s="509"/>
    </row>
    <row r="615" spans="1:26" ht="16.5" customHeight="1" x14ac:dyDescent="0.3">
      <c r="A615" s="509"/>
      <c r="B615" s="509"/>
      <c r="C615" s="509"/>
      <c r="D615" s="509"/>
      <c r="E615" s="509"/>
      <c r="F615" s="509"/>
      <c r="G615" s="509"/>
      <c r="H615" s="509"/>
      <c r="I615" s="509"/>
      <c r="J615" s="509"/>
      <c r="K615" s="509"/>
      <c r="L615" s="509"/>
      <c r="M615" s="509"/>
      <c r="N615" s="509"/>
      <c r="O615" s="509"/>
      <c r="P615" s="509"/>
      <c r="Q615" s="509"/>
      <c r="R615" s="509"/>
      <c r="S615" s="509"/>
      <c r="T615" s="509"/>
      <c r="U615" s="509"/>
      <c r="V615" s="509"/>
      <c r="W615" s="509"/>
      <c r="X615" s="509"/>
      <c r="Y615" s="509"/>
      <c r="Z615" s="509"/>
    </row>
    <row r="616" spans="1:26" ht="16.5" customHeight="1" x14ac:dyDescent="0.3">
      <c r="A616" s="509"/>
      <c r="B616" s="509"/>
      <c r="C616" s="509"/>
      <c r="D616" s="509"/>
      <c r="E616" s="509"/>
      <c r="F616" s="509"/>
      <c r="G616" s="509"/>
      <c r="H616" s="509"/>
      <c r="I616" s="509"/>
      <c r="J616" s="509"/>
      <c r="K616" s="509"/>
      <c r="L616" s="509"/>
      <c r="M616" s="509"/>
      <c r="N616" s="509"/>
      <c r="O616" s="509"/>
      <c r="P616" s="509"/>
      <c r="Q616" s="509"/>
      <c r="R616" s="509"/>
      <c r="S616" s="509"/>
      <c r="T616" s="509"/>
      <c r="U616" s="509"/>
      <c r="V616" s="509"/>
      <c r="W616" s="509"/>
      <c r="X616" s="509"/>
      <c r="Y616" s="509"/>
      <c r="Z616" s="509"/>
    </row>
    <row r="617" spans="1:26" ht="16.5" customHeight="1" x14ac:dyDescent="0.3">
      <c r="A617" s="509"/>
      <c r="B617" s="509"/>
      <c r="C617" s="509"/>
      <c r="D617" s="509"/>
      <c r="E617" s="509"/>
      <c r="F617" s="509"/>
      <c r="G617" s="509"/>
      <c r="H617" s="509"/>
      <c r="I617" s="509"/>
      <c r="J617" s="509"/>
      <c r="K617" s="509"/>
      <c r="L617" s="509"/>
      <c r="M617" s="509"/>
      <c r="N617" s="509"/>
      <c r="O617" s="509"/>
      <c r="P617" s="509"/>
      <c r="Q617" s="509"/>
      <c r="R617" s="509"/>
      <c r="S617" s="509"/>
      <c r="T617" s="509"/>
      <c r="U617" s="509"/>
      <c r="V617" s="509"/>
      <c r="W617" s="509"/>
      <c r="X617" s="509"/>
      <c r="Y617" s="509"/>
      <c r="Z617" s="509"/>
    </row>
    <row r="618" spans="1:26" ht="16.5" customHeight="1" x14ac:dyDescent="0.3">
      <c r="A618" s="509"/>
      <c r="B618" s="509"/>
      <c r="C618" s="509"/>
      <c r="D618" s="509"/>
      <c r="E618" s="509"/>
      <c r="F618" s="509"/>
      <c r="G618" s="509"/>
      <c r="H618" s="509"/>
      <c r="I618" s="509"/>
      <c r="J618" s="509"/>
      <c r="K618" s="509"/>
      <c r="L618" s="509"/>
      <c r="M618" s="509"/>
      <c r="N618" s="509"/>
      <c r="O618" s="509"/>
      <c r="P618" s="509"/>
      <c r="Q618" s="509"/>
      <c r="R618" s="509"/>
      <c r="S618" s="509"/>
      <c r="T618" s="509"/>
      <c r="U618" s="509"/>
      <c r="V618" s="509"/>
      <c r="W618" s="509"/>
      <c r="X618" s="509"/>
      <c r="Y618" s="509"/>
      <c r="Z618" s="509"/>
    </row>
    <row r="619" spans="1:26" ht="16.5" customHeight="1" x14ac:dyDescent="0.3">
      <c r="A619" s="509"/>
      <c r="B619" s="509"/>
      <c r="C619" s="509"/>
      <c r="D619" s="509"/>
      <c r="E619" s="509"/>
      <c r="F619" s="509"/>
      <c r="G619" s="509"/>
      <c r="H619" s="509"/>
      <c r="I619" s="509"/>
      <c r="J619" s="509"/>
      <c r="K619" s="509"/>
      <c r="L619" s="509"/>
      <c r="M619" s="509"/>
      <c r="N619" s="509"/>
      <c r="O619" s="509"/>
      <c r="P619" s="509"/>
      <c r="Q619" s="509"/>
      <c r="R619" s="509"/>
      <c r="S619" s="509"/>
      <c r="T619" s="509"/>
      <c r="U619" s="509"/>
      <c r="V619" s="509"/>
      <c r="W619" s="509"/>
      <c r="X619" s="509"/>
      <c r="Y619" s="509"/>
      <c r="Z619" s="509"/>
    </row>
    <row r="620" spans="1:26" ht="16.5" customHeight="1" x14ac:dyDescent="0.3">
      <c r="A620" s="509"/>
      <c r="B620" s="509"/>
      <c r="C620" s="509"/>
      <c r="D620" s="509"/>
      <c r="E620" s="509"/>
      <c r="F620" s="509"/>
      <c r="G620" s="509"/>
      <c r="H620" s="509"/>
      <c r="I620" s="509"/>
      <c r="J620" s="509"/>
      <c r="K620" s="509"/>
      <c r="L620" s="509"/>
      <c r="M620" s="509"/>
      <c r="N620" s="509"/>
      <c r="O620" s="509"/>
      <c r="P620" s="509"/>
      <c r="Q620" s="509"/>
      <c r="R620" s="509"/>
      <c r="S620" s="509"/>
      <c r="T620" s="509"/>
      <c r="U620" s="509"/>
      <c r="V620" s="509"/>
      <c r="W620" s="509"/>
      <c r="X620" s="509"/>
      <c r="Y620" s="509"/>
      <c r="Z620" s="509"/>
    </row>
    <row r="621" spans="1:26" ht="16.5" customHeight="1" x14ac:dyDescent="0.3">
      <c r="A621" s="509"/>
      <c r="B621" s="509"/>
      <c r="C621" s="509"/>
      <c r="D621" s="509"/>
      <c r="E621" s="509"/>
      <c r="F621" s="509"/>
      <c r="G621" s="509"/>
      <c r="H621" s="509"/>
      <c r="I621" s="509"/>
      <c r="J621" s="509"/>
      <c r="K621" s="509"/>
      <c r="L621" s="509"/>
      <c r="M621" s="509"/>
      <c r="N621" s="509"/>
      <c r="O621" s="509"/>
      <c r="P621" s="509"/>
      <c r="Q621" s="509"/>
      <c r="R621" s="509"/>
      <c r="S621" s="509"/>
      <c r="T621" s="509"/>
      <c r="U621" s="509"/>
      <c r="V621" s="509"/>
      <c r="W621" s="509"/>
      <c r="X621" s="509"/>
      <c r="Y621" s="509"/>
      <c r="Z621" s="509"/>
    </row>
    <row r="622" spans="1:26" ht="16.5" customHeight="1" x14ac:dyDescent="0.3">
      <c r="A622" s="509"/>
      <c r="B622" s="509"/>
      <c r="C622" s="509"/>
      <c r="D622" s="509"/>
      <c r="E622" s="509"/>
      <c r="F622" s="509"/>
      <c r="G622" s="509"/>
      <c r="H622" s="509"/>
      <c r="I622" s="509"/>
      <c r="J622" s="509"/>
      <c r="K622" s="509"/>
      <c r="L622" s="509"/>
      <c r="M622" s="509"/>
      <c r="N622" s="509"/>
      <c r="O622" s="509"/>
      <c r="P622" s="509"/>
      <c r="Q622" s="509"/>
      <c r="R622" s="509"/>
      <c r="S622" s="509"/>
      <c r="T622" s="509"/>
      <c r="U622" s="509"/>
      <c r="V622" s="509"/>
      <c r="W622" s="509"/>
      <c r="X622" s="509"/>
      <c r="Y622" s="509"/>
      <c r="Z622" s="509"/>
    </row>
    <row r="623" spans="1:26" ht="16.5" customHeight="1" x14ac:dyDescent="0.3">
      <c r="A623" s="509"/>
      <c r="B623" s="509"/>
      <c r="C623" s="509"/>
      <c r="D623" s="509"/>
      <c r="E623" s="509"/>
      <c r="F623" s="509"/>
      <c r="G623" s="509"/>
      <c r="H623" s="509"/>
      <c r="I623" s="509"/>
      <c r="J623" s="509"/>
      <c r="K623" s="509"/>
      <c r="L623" s="509"/>
      <c r="M623" s="509"/>
      <c r="N623" s="509"/>
      <c r="O623" s="509"/>
      <c r="P623" s="509"/>
      <c r="Q623" s="509"/>
      <c r="R623" s="509"/>
      <c r="S623" s="509"/>
      <c r="T623" s="509"/>
      <c r="U623" s="509"/>
      <c r="V623" s="509"/>
      <c r="W623" s="509"/>
      <c r="X623" s="509"/>
      <c r="Y623" s="509"/>
      <c r="Z623" s="509"/>
    </row>
    <row r="624" spans="1:26" ht="16.5" customHeight="1" x14ac:dyDescent="0.3">
      <c r="A624" s="509"/>
      <c r="B624" s="509"/>
      <c r="C624" s="509"/>
      <c r="D624" s="509"/>
      <c r="E624" s="509"/>
      <c r="F624" s="509"/>
      <c r="G624" s="509"/>
      <c r="H624" s="509"/>
      <c r="I624" s="509"/>
      <c r="J624" s="509"/>
      <c r="K624" s="509"/>
      <c r="L624" s="509"/>
      <c r="M624" s="509"/>
      <c r="N624" s="509"/>
      <c r="O624" s="509"/>
      <c r="P624" s="509"/>
      <c r="Q624" s="509"/>
      <c r="R624" s="509"/>
      <c r="S624" s="509"/>
      <c r="T624" s="509"/>
      <c r="U624" s="509"/>
      <c r="V624" s="509"/>
      <c r="W624" s="509"/>
      <c r="X624" s="509"/>
      <c r="Y624" s="509"/>
      <c r="Z624" s="509"/>
    </row>
    <row r="625" spans="1:26" ht="16.5" customHeight="1" x14ac:dyDescent="0.3">
      <c r="A625" s="509"/>
      <c r="B625" s="509"/>
      <c r="C625" s="509"/>
      <c r="D625" s="509"/>
      <c r="E625" s="509"/>
      <c r="F625" s="509"/>
      <c r="G625" s="509"/>
      <c r="H625" s="509"/>
      <c r="I625" s="509"/>
      <c r="J625" s="509"/>
      <c r="K625" s="509"/>
      <c r="L625" s="509"/>
      <c r="M625" s="509"/>
      <c r="N625" s="509"/>
      <c r="O625" s="509"/>
      <c r="P625" s="509"/>
      <c r="Q625" s="509"/>
      <c r="R625" s="509"/>
      <c r="S625" s="509"/>
      <c r="T625" s="509"/>
      <c r="U625" s="509"/>
      <c r="V625" s="509"/>
      <c r="W625" s="509"/>
      <c r="X625" s="509"/>
      <c r="Y625" s="509"/>
      <c r="Z625" s="509"/>
    </row>
    <row r="626" spans="1:26" ht="16.5" customHeight="1" x14ac:dyDescent="0.3">
      <c r="A626" s="509"/>
      <c r="B626" s="509"/>
      <c r="C626" s="509"/>
      <c r="D626" s="509"/>
      <c r="E626" s="509"/>
      <c r="F626" s="509"/>
      <c r="G626" s="509"/>
      <c r="H626" s="509"/>
      <c r="I626" s="509"/>
      <c r="J626" s="509"/>
      <c r="K626" s="509"/>
      <c r="L626" s="509"/>
      <c r="M626" s="509"/>
      <c r="N626" s="509"/>
      <c r="O626" s="509"/>
      <c r="P626" s="509"/>
      <c r="Q626" s="509"/>
      <c r="R626" s="509"/>
      <c r="S626" s="509"/>
      <c r="T626" s="509"/>
      <c r="U626" s="509"/>
      <c r="V626" s="509"/>
      <c r="W626" s="509"/>
      <c r="X626" s="509"/>
      <c r="Y626" s="509"/>
      <c r="Z626" s="509"/>
    </row>
    <row r="627" spans="1:26" ht="16.5" customHeight="1" x14ac:dyDescent="0.3">
      <c r="A627" s="509"/>
      <c r="B627" s="509"/>
      <c r="C627" s="509"/>
      <c r="D627" s="509"/>
      <c r="E627" s="509"/>
      <c r="F627" s="509"/>
      <c r="G627" s="509"/>
      <c r="H627" s="509"/>
      <c r="I627" s="509"/>
      <c r="J627" s="509"/>
      <c r="K627" s="509"/>
      <c r="L627" s="509"/>
      <c r="M627" s="509"/>
      <c r="N627" s="509"/>
      <c r="O627" s="509"/>
      <c r="P627" s="509"/>
      <c r="Q627" s="509"/>
      <c r="R627" s="509"/>
      <c r="S627" s="509"/>
      <c r="T627" s="509"/>
      <c r="U627" s="509"/>
      <c r="V627" s="509"/>
      <c r="W627" s="509"/>
      <c r="X627" s="509"/>
      <c r="Y627" s="509"/>
      <c r="Z627" s="509"/>
    </row>
    <row r="628" spans="1:26" ht="16.5" customHeight="1" x14ac:dyDescent="0.3">
      <c r="A628" s="509"/>
      <c r="B628" s="509"/>
      <c r="C628" s="509"/>
      <c r="D628" s="509"/>
      <c r="E628" s="509"/>
      <c r="F628" s="509"/>
      <c r="G628" s="509"/>
      <c r="H628" s="509"/>
      <c r="I628" s="509"/>
      <c r="J628" s="509"/>
      <c r="K628" s="509"/>
      <c r="L628" s="509"/>
      <c r="M628" s="509"/>
      <c r="N628" s="509"/>
      <c r="O628" s="509"/>
      <c r="P628" s="509"/>
      <c r="Q628" s="509"/>
      <c r="R628" s="509"/>
      <c r="S628" s="509"/>
      <c r="T628" s="509"/>
      <c r="U628" s="509"/>
      <c r="V628" s="509"/>
      <c r="W628" s="509"/>
      <c r="X628" s="509"/>
      <c r="Y628" s="509"/>
      <c r="Z628" s="509"/>
    </row>
    <row r="629" spans="1:26" ht="16.5" customHeight="1" x14ac:dyDescent="0.3">
      <c r="A629" s="509"/>
      <c r="B629" s="509"/>
      <c r="C629" s="509"/>
      <c r="D629" s="509"/>
      <c r="E629" s="509"/>
      <c r="F629" s="509"/>
      <c r="G629" s="509"/>
      <c r="H629" s="509"/>
      <c r="I629" s="509"/>
      <c r="J629" s="509"/>
      <c r="K629" s="509"/>
      <c r="L629" s="509"/>
      <c r="M629" s="509"/>
      <c r="N629" s="509"/>
      <c r="O629" s="509"/>
      <c r="P629" s="509"/>
      <c r="Q629" s="509"/>
      <c r="R629" s="509"/>
      <c r="S629" s="509"/>
      <c r="T629" s="509"/>
      <c r="U629" s="509"/>
      <c r="V629" s="509"/>
      <c r="W629" s="509"/>
      <c r="X629" s="509"/>
      <c r="Y629" s="509"/>
      <c r="Z629" s="509"/>
    </row>
    <row r="630" spans="1:26" ht="16.5" customHeight="1" x14ac:dyDescent="0.3">
      <c r="A630" s="509"/>
      <c r="B630" s="509"/>
      <c r="C630" s="509"/>
      <c r="D630" s="509"/>
      <c r="E630" s="509"/>
      <c r="F630" s="509"/>
      <c r="G630" s="509"/>
      <c r="H630" s="509"/>
      <c r="I630" s="509"/>
      <c r="J630" s="509"/>
      <c r="K630" s="509"/>
      <c r="L630" s="509"/>
      <c r="M630" s="509"/>
      <c r="N630" s="509"/>
      <c r="O630" s="509"/>
      <c r="P630" s="509"/>
      <c r="Q630" s="509"/>
      <c r="R630" s="509"/>
      <c r="S630" s="509"/>
      <c r="T630" s="509"/>
      <c r="U630" s="509"/>
      <c r="V630" s="509"/>
      <c r="W630" s="509"/>
      <c r="X630" s="509"/>
      <c r="Y630" s="509"/>
      <c r="Z630" s="509"/>
    </row>
    <row r="631" spans="1:26" ht="16.5" customHeight="1" x14ac:dyDescent="0.3">
      <c r="A631" s="509"/>
      <c r="B631" s="509"/>
      <c r="C631" s="509"/>
      <c r="D631" s="509"/>
      <c r="E631" s="509"/>
      <c r="F631" s="509"/>
      <c r="G631" s="509"/>
      <c r="H631" s="509"/>
      <c r="I631" s="509"/>
      <c r="J631" s="509"/>
      <c r="K631" s="509"/>
      <c r="L631" s="509"/>
      <c r="M631" s="509"/>
      <c r="N631" s="509"/>
      <c r="O631" s="509"/>
      <c r="P631" s="509"/>
      <c r="Q631" s="509"/>
      <c r="R631" s="509"/>
      <c r="S631" s="509"/>
      <c r="T631" s="509"/>
      <c r="U631" s="509"/>
      <c r="V631" s="509"/>
      <c r="W631" s="509"/>
      <c r="X631" s="509"/>
      <c r="Y631" s="509"/>
      <c r="Z631" s="509"/>
    </row>
    <row r="632" spans="1:26" ht="16.5" customHeight="1" x14ac:dyDescent="0.3">
      <c r="A632" s="509"/>
      <c r="B632" s="509"/>
      <c r="C632" s="509"/>
      <c r="D632" s="509"/>
      <c r="E632" s="509"/>
      <c r="F632" s="509"/>
      <c r="G632" s="509"/>
      <c r="H632" s="509"/>
      <c r="I632" s="509"/>
      <c r="J632" s="509"/>
      <c r="K632" s="509"/>
      <c r="L632" s="509"/>
      <c r="M632" s="509"/>
      <c r="N632" s="509"/>
      <c r="O632" s="509"/>
      <c r="P632" s="509"/>
      <c r="Q632" s="509"/>
      <c r="R632" s="509"/>
      <c r="S632" s="509"/>
      <c r="T632" s="509"/>
      <c r="U632" s="509"/>
      <c r="V632" s="509"/>
      <c r="W632" s="509"/>
      <c r="X632" s="509"/>
      <c r="Y632" s="509"/>
      <c r="Z632" s="509"/>
    </row>
    <row r="633" spans="1:26" ht="16.5" customHeight="1" x14ac:dyDescent="0.3">
      <c r="A633" s="509"/>
      <c r="B633" s="509"/>
      <c r="C633" s="509"/>
      <c r="D633" s="509"/>
      <c r="E633" s="509"/>
      <c r="F633" s="509"/>
      <c r="G633" s="509"/>
      <c r="H633" s="509"/>
      <c r="I633" s="509"/>
      <c r="J633" s="509"/>
      <c r="K633" s="509"/>
      <c r="L633" s="509"/>
      <c r="M633" s="509"/>
      <c r="N633" s="509"/>
      <c r="O633" s="509"/>
      <c r="P633" s="509"/>
      <c r="Q633" s="509"/>
      <c r="R633" s="509"/>
      <c r="S633" s="509"/>
      <c r="T633" s="509"/>
      <c r="U633" s="509"/>
      <c r="V633" s="509"/>
      <c r="W633" s="509"/>
      <c r="X633" s="509"/>
      <c r="Y633" s="509"/>
      <c r="Z633" s="509"/>
    </row>
    <row r="634" spans="1:26" ht="16.5" customHeight="1" x14ac:dyDescent="0.3">
      <c r="A634" s="509"/>
      <c r="B634" s="509"/>
      <c r="C634" s="509"/>
      <c r="D634" s="509"/>
      <c r="E634" s="509"/>
      <c r="F634" s="509"/>
      <c r="G634" s="509"/>
      <c r="H634" s="509"/>
      <c r="I634" s="509"/>
      <c r="J634" s="509"/>
      <c r="K634" s="509"/>
      <c r="L634" s="509"/>
      <c r="M634" s="509"/>
      <c r="N634" s="509"/>
      <c r="O634" s="509"/>
      <c r="P634" s="509"/>
      <c r="Q634" s="509"/>
      <c r="R634" s="509"/>
      <c r="S634" s="509"/>
      <c r="T634" s="509"/>
      <c r="U634" s="509"/>
      <c r="V634" s="509"/>
      <c r="W634" s="509"/>
      <c r="X634" s="509"/>
      <c r="Y634" s="509"/>
      <c r="Z634" s="509"/>
    </row>
    <row r="635" spans="1:26" ht="16.5" customHeight="1" x14ac:dyDescent="0.3">
      <c r="A635" s="509"/>
      <c r="B635" s="509"/>
      <c r="C635" s="509"/>
      <c r="D635" s="509"/>
      <c r="E635" s="509"/>
      <c r="F635" s="509"/>
      <c r="G635" s="509"/>
      <c r="H635" s="509"/>
      <c r="I635" s="509"/>
      <c r="J635" s="509"/>
      <c r="K635" s="509"/>
      <c r="L635" s="509"/>
      <c r="M635" s="509"/>
      <c r="N635" s="509"/>
      <c r="O635" s="509"/>
      <c r="P635" s="509"/>
      <c r="Q635" s="509"/>
      <c r="R635" s="509"/>
      <c r="S635" s="509"/>
      <c r="T635" s="509"/>
      <c r="U635" s="509"/>
      <c r="V635" s="509"/>
      <c r="W635" s="509"/>
      <c r="X635" s="509"/>
      <c r="Y635" s="509"/>
      <c r="Z635" s="509"/>
    </row>
    <row r="636" spans="1:26" ht="16.5" customHeight="1" x14ac:dyDescent="0.3">
      <c r="A636" s="509"/>
      <c r="B636" s="509"/>
      <c r="C636" s="509"/>
      <c r="D636" s="509"/>
      <c r="E636" s="509"/>
      <c r="F636" s="509"/>
      <c r="G636" s="509"/>
      <c r="H636" s="509"/>
      <c r="I636" s="509"/>
      <c r="J636" s="509"/>
      <c r="K636" s="509"/>
      <c r="L636" s="509"/>
      <c r="M636" s="509"/>
      <c r="N636" s="509"/>
      <c r="O636" s="509"/>
      <c r="P636" s="509"/>
      <c r="Q636" s="509"/>
      <c r="R636" s="509"/>
      <c r="S636" s="509"/>
      <c r="T636" s="509"/>
      <c r="U636" s="509"/>
      <c r="V636" s="509"/>
      <c r="W636" s="509"/>
      <c r="X636" s="509"/>
      <c r="Y636" s="509"/>
      <c r="Z636" s="509"/>
    </row>
    <row r="637" spans="1:26" ht="16.5" customHeight="1" x14ac:dyDescent="0.3">
      <c r="A637" s="509"/>
      <c r="B637" s="509"/>
      <c r="C637" s="509"/>
      <c r="D637" s="509"/>
      <c r="E637" s="509"/>
      <c r="F637" s="509"/>
      <c r="G637" s="509"/>
      <c r="H637" s="509"/>
      <c r="I637" s="509"/>
      <c r="J637" s="509"/>
      <c r="K637" s="509"/>
      <c r="L637" s="509"/>
      <c r="M637" s="509"/>
      <c r="N637" s="509"/>
      <c r="O637" s="509"/>
      <c r="P637" s="509"/>
      <c r="Q637" s="509"/>
      <c r="R637" s="509"/>
      <c r="S637" s="509"/>
      <c r="T637" s="509"/>
      <c r="U637" s="509"/>
      <c r="V637" s="509"/>
      <c r="W637" s="509"/>
      <c r="X637" s="509"/>
      <c r="Y637" s="509"/>
      <c r="Z637" s="509"/>
    </row>
    <row r="638" spans="1:26" ht="16.5" customHeight="1" x14ac:dyDescent="0.3">
      <c r="A638" s="509"/>
      <c r="B638" s="509"/>
      <c r="C638" s="509"/>
      <c r="D638" s="509"/>
      <c r="E638" s="509"/>
      <c r="F638" s="509"/>
      <c r="G638" s="509"/>
      <c r="H638" s="509"/>
      <c r="I638" s="509"/>
      <c r="J638" s="509"/>
      <c r="K638" s="509"/>
      <c r="L638" s="509"/>
      <c r="M638" s="509"/>
      <c r="N638" s="509"/>
      <c r="O638" s="509"/>
      <c r="P638" s="509"/>
      <c r="Q638" s="509"/>
      <c r="R638" s="509"/>
      <c r="S638" s="509"/>
      <c r="T638" s="509"/>
      <c r="U638" s="509"/>
      <c r="V638" s="509"/>
      <c r="W638" s="509"/>
      <c r="X638" s="509"/>
      <c r="Y638" s="509"/>
      <c r="Z638" s="509"/>
    </row>
    <row r="639" spans="1:26" ht="16.5" customHeight="1" x14ac:dyDescent="0.3">
      <c r="A639" s="509"/>
      <c r="B639" s="509"/>
      <c r="C639" s="509"/>
      <c r="D639" s="509"/>
      <c r="E639" s="509"/>
      <c r="F639" s="509"/>
      <c r="G639" s="509"/>
      <c r="H639" s="509"/>
      <c r="I639" s="509"/>
      <c r="J639" s="509"/>
      <c r="K639" s="509"/>
      <c r="L639" s="509"/>
      <c r="M639" s="509"/>
      <c r="N639" s="509"/>
      <c r="O639" s="509"/>
      <c r="P639" s="509"/>
      <c r="Q639" s="509"/>
      <c r="R639" s="509"/>
      <c r="S639" s="509"/>
      <c r="T639" s="509"/>
      <c r="U639" s="509"/>
      <c r="V639" s="509"/>
      <c r="W639" s="509"/>
      <c r="X639" s="509"/>
      <c r="Y639" s="509"/>
      <c r="Z639" s="509"/>
    </row>
    <row r="640" spans="1:26" ht="16.5" customHeight="1" x14ac:dyDescent="0.3">
      <c r="A640" s="509"/>
      <c r="B640" s="509"/>
      <c r="C640" s="509"/>
      <c r="D640" s="509"/>
      <c r="E640" s="509"/>
      <c r="F640" s="509"/>
      <c r="G640" s="509"/>
      <c r="H640" s="509"/>
      <c r="I640" s="509"/>
      <c r="J640" s="509"/>
      <c r="K640" s="509"/>
      <c r="L640" s="509"/>
      <c r="M640" s="509"/>
      <c r="N640" s="509"/>
      <c r="O640" s="509"/>
      <c r="P640" s="509"/>
      <c r="Q640" s="509"/>
      <c r="R640" s="509"/>
      <c r="S640" s="509"/>
      <c r="T640" s="509"/>
      <c r="U640" s="509"/>
      <c r="V640" s="509"/>
      <c r="W640" s="509"/>
      <c r="X640" s="509"/>
      <c r="Y640" s="509"/>
      <c r="Z640" s="509"/>
    </row>
    <row r="641" spans="1:26" ht="16.5" customHeight="1" x14ac:dyDescent="0.3">
      <c r="A641" s="509"/>
      <c r="B641" s="509"/>
      <c r="C641" s="509"/>
      <c r="D641" s="509"/>
      <c r="E641" s="509"/>
      <c r="F641" s="509"/>
      <c r="G641" s="509"/>
      <c r="H641" s="509"/>
      <c r="I641" s="509"/>
      <c r="J641" s="509"/>
      <c r="K641" s="509"/>
      <c r="L641" s="509"/>
      <c r="M641" s="509"/>
      <c r="N641" s="509"/>
      <c r="O641" s="509"/>
      <c r="P641" s="509"/>
      <c r="Q641" s="509"/>
      <c r="R641" s="509"/>
      <c r="S641" s="509"/>
      <c r="T641" s="509"/>
      <c r="U641" s="509"/>
      <c r="V641" s="509"/>
      <c r="W641" s="509"/>
      <c r="X641" s="509"/>
      <c r="Y641" s="509"/>
      <c r="Z641" s="509"/>
    </row>
    <row r="642" spans="1:26" ht="16.5" customHeight="1" x14ac:dyDescent="0.3">
      <c r="A642" s="509"/>
      <c r="B642" s="509"/>
      <c r="C642" s="509"/>
      <c r="D642" s="509"/>
      <c r="E642" s="509"/>
      <c r="F642" s="509"/>
      <c r="G642" s="509"/>
      <c r="H642" s="509"/>
      <c r="I642" s="509"/>
      <c r="J642" s="509"/>
      <c r="K642" s="509"/>
      <c r="L642" s="509"/>
      <c r="M642" s="509"/>
      <c r="N642" s="509"/>
      <c r="O642" s="509"/>
      <c r="P642" s="509"/>
      <c r="Q642" s="509"/>
      <c r="R642" s="509"/>
      <c r="S642" s="509"/>
      <c r="T642" s="509"/>
      <c r="U642" s="509"/>
      <c r="V642" s="509"/>
      <c r="W642" s="509"/>
      <c r="X642" s="509"/>
      <c r="Y642" s="509"/>
      <c r="Z642" s="509"/>
    </row>
    <row r="643" spans="1:26" ht="16.5" customHeight="1" x14ac:dyDescent="0.3">
      <c r="A643" s="509"/>
      <c r="B643" s="509"/>
      <c r="C643" s="509"/>
      <c r="D643" s="509"/>
      <c r="E643" s="509"/>
      <c r="F643" s="509"/>
      <c r="G643" s="509"/>
      <c r="H643" s="509"/>
      <c r="I643" s="509"/>
      <c r="J643" s="509"/>
      <c r="K643" s="509"/>
      <c r="L643" s="509"/>
      <c r="M643" s="509"/>
      <c r="N643" s="509"/>
      <c r="O643" s="509"/>
      <c r="P643" s="509"/>
      <c r="Q643" s="509"/>
      <c r="R643" s="509"/>
      <c r="S643" s="509"/>
      <c r="T643" s="509"/>
      <c r="U643" s="509"/>
      <c r="V643" s="509"/>
      <c r="W643" s="509"/>
      <c r="X643" s="509"/>
      <c r="Y643" s="509"/>
      <c r="Z643" s="509"/>
    </row>
    <row r="644" spans="1:26" ht="16.5" customHeight="1" x14ac:dyDescent="0.3">
      <c r="A644" s="509"/>
      <c r="B644" s="509"/>
      <c r="C644" s="509"/>
      <c r="D644" s="509"/>
      <c r="E644" s="509"/>
      <c r="F644" s="509"/>
      <c r="G644" s="509"/>
      <c r="H644" s="509"/>
      <c r="I644" s="509"/>
      <c r="J644" s="509"/>
      <c r="K644" s="509"/>
      <c r="L644" s="509"/>
      <c r="M644" s="509"/>
      <c r="N644" s="509"/>
      <c r="O644" s="509"/>
      <c r="P644" s="509"/>
      <c r="Q644" s="509"/>
      <c r="R644" s="509"/>
      <c r="S644" s="509"/>
      <c r="T644" s="509"/>
      <c r="U644" s="509"/>
      <c r="V644" s="509"/>
      <c r="W644" s="509"/>
      <c r="X644" s="509"/>
      <c r="Y644" s="509"/>
      <c r="Z644" s="509"/>
    </row>
    <row r="645" spans="1:26" ht="16.5" customHeight="1" x14ac:dyDescent="0.3">
      <c r="A645" s="509"/>
      <c r="B645" s="509"/>
      <c r="C645" s="509"/>
      <c r="D645" s="509"/>
      <c r="E645" s="509"/>
      <c r="F645" s="509"/>
      <c r="G645" s="509"/>
      <c r="H645" s="509"/>
      <c r="I645" s="509"/>
      <c r="J645" s="509"/>
      <c r="K645" s="509"/>
      <c r="L645" s="509"/>
      <c r="M645" s="509"/>
      <c r="N645" s="509"/>
      <c r="O645" s="509"/>
      <c r="P645" s="509"/>
      <c r="Q645" s="509"/>
      <c r="R645" s="509"/>
      <c r="S645" s="509"/>
      <c r="T645" s="509"/>
      <c r="U645" s="509"/>
      <c r="V645" s="509"/>
      <c r="W645" s="509"/>
      <c r="X645" s="509"/>
      <c r="Y645" s="509"/>
      <c r="Z645" s="509"/>
    </row>
    <row r="646" spans="1:26" ht="16.5" customHeight="1" x14ac:dyDescent="0.3">
      <c r="A646" s="509"/>
      <c r="B646" s="509"/>
      <c r="C646" s="509"/>
      <c r="D646" s="509"/>
      <c r="E646" s="509"/>
      <c r="F646" s="509"/>
      <c r="G646" s="509"/>
      <c r="H646" s="509"/>
      <c r="I646" s="509"/>
      <c r="J646" s="509"/>
      <c r="K646" s="509"/>
      <c r="L646" s="509"/>
      <c r="M646" s="509"/>
      <c r="N646" s="509"/>
      <c r="O646" s="509"/>
      <c r="P646" s="509"/>
      <c r="Q646" s="509"/>
      <c r="R646" s="509"/>
      <c r="S646" s="509"/>
      <c r="T646" s="509"/>
      <c r="U646" s="509"/>
      <c r="V646" s="509"/>
      <c r="W646" s="509"/>
      <c r="X646" s="509"/>
      <c r="Y646" s="509"/>
      <c r="Z646" s="509"/>
    </row>
    <row r="647" spans="1:26" ht="16.5" customHeight="1" x14ac:dyDescent="0.3">
      <c r="A647" s="509"/>
      <c r="B647" s="509"/>
      <c r="C647" s="509"/>
      <c r="D647" s="509"/>
      <c r="E647" s="509"/>
      <c r="F647" s="509"/>
      <c r="G647" s="509"/>
      <c r="H647" s="509"/>
      <c r="I647" s="509"/>
      <c r="J647" s="509"/>
      <c r="K647" s="509"/>
      <c r="L647" s="509"/>
      <c r="M647" s="509"/>
      <c r="N647" s="509"/>
      <c r="O647" s="509"/>
      <c r="P647" s="509"/>
      <c r="Q647" s="509"/>
      <c r="R647" s="509"/>
      <c r="S647" s="509"/>
      <c r="T647" s="509"/>
      <c r="U647" s="509"/>
      <c r="V647" s="509"/>
      <c r="W647" s="509"/>
      <c r="X647" s="509"/>
      <c r="Y647" s="509"/>
      <c r="Z647" s="509"/>
    </row>
    <row r="648" spans="1:26" ht="16.5" customHeight="1" x14ac:dyDescent="0.3">
      <c r="A648" s="509"/>
      <c r="B648" s="509"/>
      <c r="C648" s="509"/>
      <c r="D648" s="509"/>
      <c r="E648" s="509"/>
      <c r="F648" s="509"/>
      <c r="G648" s="509"/>
      <c r="H648" s="509"/>
      <c r="I648" s="509"/>
      <c r="J648" s="509"/>
      <c r="K648" s="509"/>
      <c r="L648" s="509"/>
      <c r="M648" s="509"/>
      <c r="N648" s="509"/>
      <c r="O648" s="509"/>
      <c r="P648" s="509"/>
      <c r="Q648" s="509"/>
      <c r="R648" s="509"/>
      <c r="S648" s="509"/>
      <c r="T648" s="509"/>
      <c r="U648" s="509"/>
      <c r="V648" s="509"/>
      <c r="W648" s="509"/>
      <c r="X648" s="509"/>
      <c r="Y648" s="509"/>
      <c r="Z648" s="509"/>
    </row>
    <row r="649" spans="1:26" ht="16.5" customHeight="1" x14ac:dyDescent="0.3">
      <c r="A649" s="509"/>
      <c r="B649" s="509"/>
      <c r="C649" s="509"/>
      <c r="D649" s="509"/>
      <c r="E649" s="509"/>
      <c r="F649" s="509"/>
      <c r="G649" s="509"/>
      <c r="H649" s="509"/>
      <c r="I649" s="509"/>
      <c r="J649" s="509"/>
      <c r="K649" s="509"/>
      <c r="L649" s="509"/>
      <c r="M649" s="509"/>
      <c r="N649" s="509"/>
      <c r="O649" s="509"/>
      <c r="P649" s="509"/>
      <c r="Q649" s="509"/>
      <c r="R649" s="509"/>
      <c r="S649" s="509"/>
      <c r="T649" s="509"/>
      <c r="U649" s="509"/>
      <c r="V649" s="509"/>
      <c r="W649" s="509"/>
      <c r="X649" s="509"/>
      <c r="Y649" s="509"/>
      <c r="Z649" s="509"/>
    </row>
    <row r="650" spans="1:26" ht="16.5" customHeight="1" x14ac:dyDescent="0.3">
      <c r="A650" s="509"/>
      <c r="B650" s="509"/>
      <c r="C650" s="509"/>
      <c r="D650" s="509"/>
      <c r="E650" s="509"/>
      <c r="F650" s="509"/>
      <c r="G650" s="509"/>
      <c r="H650" s="509"/>
      <c r="I650" s="509"/>
      <c r="J650" s="509"/>
      <c r="K650" s="509"/>
      <c r="L650" s="509"/>
      <c r="M650" s="509"/>
      <c r="N650" s="509"/>
      <c r="O650" s="509"/>
      <c r="P650" s="509"/>
      <c r="Q650" s="509"/>
      <c r="R650" s="509"/>
      <c r="S650" s="509"/>
      <c r="T650" s="509"/>
      <c r="U650" s="509"/>
      <c r="V650" s="509"/>
      <c r="W650" s="509"/>
      <c r="X650" s="509"/>
      <c r="Y650" s="509"/>
      <c r="Z650" s="509"/>
    </row>
    <row r="651" spans="1:26" ht="16.5" customHeight="1" x14ac:dyDescent="0.3">
      <c r="A651" s="509"/>
      <c r="B651" s="509"/>
      <c r="C651" s="509"/>
      <c r="D651" s="509"/>
      <c r="E651" s="509"/>
      <c r="F651" s="509"/>
      <c r="G651" s="509"/>
      <c r="H651" s="509"/>
      <c r="I651" s="509"/>
      <c r="J651" s="509"/>
      <c r="K651" s="509"/>
      <c r="L651" s="509"/>
      <c r="M651" s="509"/>
      <c r="N651" s="509"/>
      <c r="O651" s="509"/>
      <c r="P651" s="509"/>
      <c r="Q651" s="509"/>
      <c r="R651" s="509"/>
      <c r="S651" s="509"/>
      <c r="T651" s="509"/>
      <c r="U651" s="509"/>
      <c r="V651" s="509"/>
      <c r="W651" s="509"/>
      <c r="X651" s="509"/>
      <c r="Y651" s="509"/>
      <c r="Z651" s="509"/>
    </row>
    <row r="652" spans="1:26" ht="16.5" customHeight="1" x14ac:dyDescent="0.3">
      <c r="A652" s="509"/>
      <c r="B652" s="509"/>
      <c r="C652" s="509"/>
      <c r="D652" s="509"/>
      <c r="E652" s="509"/>
      <c r="F652" s="509"/>
      <c r="G652" s="509"/>
      <c r="H652" s="509"/>
      <c r="I652" s="509"/>
      <c r="J652" s="509"/>
      <c r="K652" s="509"/>
      <c r="L652" s="509"/>
      <c r="M652" s="509"/>
      <c r="N652" s="509"/>
      <c r="O652" s="509"/>
      <c r="P652" s="509"/>
      <c r="Q652" s="509"/>
      <c r="R652" s="509"/>
      <c r="S652" s="509"/>
      <c r="T652" s="509"/>
      <c r="U652" s="509"/>
      <c r="V652" s="509"/>
      <c r="W652" s="509"/>
      <c r="X652" s="509"/>
      <c r="Y652" s="509"/>
      <c r="Z652" s="509"/>
    </row>
    <row r="653" spans="1:26" ht="16.5" customHeight="1" x14ac:dyDescent="0.3">
      <c r="A653" s="509"/>
      <c r="B653" s="509"/>
      <c r="C653" s="509"/>
      <c r="D653" s="509"/>
      <c r="E653" s="509"/>
      <c r="F653" s="509"/>
      <c r="G653" s="509"/>
      <c r="H653" s="509"/>
      <c r="I653" s="509"/>
      <c r="J653" s="509"/>
      <c r="K653" s="509"/>
      <c r="L653" s="509"/>
      <c r="M653" s="509"/>
      <c r="N653" s="509"/>
      <c r="O653" s="509"/>
      <c r="P653" s="509"/>
      <c r="Q653" s="509"/>
      <c r="R653" s="509"/>
      <c r="S653" s="509"/>
      <c r="T653" s="509"/>
      <c r="U653" s="509"/>
      <c r="V653" s="509"/>
      <c r="W653" s="509"/>
      <c r="X653" s="509"/>
      <c r="Y653" s="509"/>
      <c r="Z653" s="509"/>
    </row>
    <row r="654" spans="1:26" ht="16.5" customHeight="1" x14ac:dyDescent="0.3">
      <c r="A654" s="509"/>
      <c r="B654" s="509"/>
      <c r="C654" s="509"/>
      <c r="D654" s="509"/>
      <c r="E654" s="509"/>
      <c r="F654" s="509"/>
      <c r="G654" s="509"/>
      <c r="H654" s="509"/>
      <c r="I654" s="509"/>
      <c r="J654" s="509"/>
      <c r="K654" s="509"/>
      <c r="L654" s="509"/>
      <c r="M654" s="509"/>
      <c r="N654" s="509"/>
      <c r="O654" s="509"/>
      <c r="P654" s="509"/>
      <c r="Q654" s="509"/>
      <c r="R654" s="509"/>
      <c r="S654" s="509"/>
      <c r="T654" s="509"/>
      <c r="U654" s="509"/>
      <c r="V654" s="509"/>
      <c r="W654" s="509"/>
      <c r="X654" s="509"/>
      <c r="Y654" s="509"/>
      <c r="Z654" s="509"/>
    </row>
    <row r="655" spans="1:26" ht="16.5" customHeight="1" x14ac:dyDescent="0.3">
      <c r="A655" s="509"/>
      <c r="B655" s="509"/>
      <c r="C655" s="509"/>
      <c r="D655" s="509"/>
      <c r="E655" s="509"/>
      <c r="F655" s="509"/>
      <c r="G655" s="509"/>
      <c r="H655" s="509"/>
      <c r="I655" s="509"/>
      <c r="J655" s="509"/>
      <c r="K655" s="509"/>
      <c r="L655" s="509"/>
      <c r="M655" s="509"/>
      <c r="N655" s="509"/>
      <c r="O655" s="509"/>
      <c r="P655" s="509"/>
      <c r="Q655" s="509"/>
      <c r="R655" s="509"/>
      <c r="S655" s="509"/>
      <c r="T655" s="509"/>
      <c r="U655" s="509"/>
      <c r="V655" s="509"/>
      <c r="W655" s="509"/>
      <c r="X655" s="509"/>
      <c r="Y655" s="509"/>
      <c r="Z655" s="509"/>
    </row>
    <row r="656" spans="1:26" ht="16.5" customHeight="1" x14ac:dyDescent="0.3">
      <c r="A656" s="509"/>
      <c r="B656" s="509"/>
      <c r="C656" s="509"/>
      <c r="D656" s="509"/>
      <c r="E656" s="509"/>
      <c r="F656" s="509"/>
      <c r="G656" s="509"/>
      <c r="H656" s="509"/>
      <c r="I656" s="509"/>
      <c r="J656" s="509"/>
      <c r="K656" s="509"/>
      <c r="L656" s="509"/>
      <c r="M656" s="509"/>
      <c r="N656" s="509"/>
      <c r="O656" s="509"/>
      <c r="P656" s="509"/>
      <c r="Q656" s="509"/>
      <c r="R656" s="509"/>
      <c r="S656" s="509"/>
      <c r="T656" s="509"/>
      <c r="U656" s="509"/>
      <c r="V656" s="509"/>
      <c r="W656" s="509"/>
      <c r="X656" s="509"/>
      <c r="Y656" s="509"/>
      <c r="Z656" s="509"/>
    </row>
    <row r="657" spans="1:26" ht="16.5" customHeight="1" x14ac:dyDescent="0.3">
      <c r="A657" s="509"/>
      <c r="B657" s="509"/>
      <c r="C657" s="509"/>
      <c r="D657" s="509"/>
      <c r="E657" s="509"/>
      <c r="F657" s="509"/>
      <c r="G657" s="509"/>
      <c r="H657" s="509"/>
      <c r="I657" s="509"/>
      <c r="J657" s="509"/>
      <c r="K657" s="509"/>
      <c r="L657" s="509"/>
      <c r="M657" s="509"/>
      <c r="N657" s="509"/>
      <c r="O657" s="509"/>
      <c r="P657" s="509"/>
      <c r="Q657" s="509"/>
      <c r="R657" s="509"/>
      <c r="S657" s="509"/>
      <c r="T657" s="509"/>
      <c r="U657" s="509"/>
      <c r="V657" s="509"/>
      <c r="W657" s="509"/>
      <c r="X657" s="509"/>
      <c r="Y657" s="509"/>
      <c r="Z657" s="509"/>
    </row>
    <row r="658" spans="1:26" ht="16.5" customHeight="1" x14ac:dyDescent="0.3">
      <c r="A658" s="509"/>
      <c r="B658" s="509"/>
      <c r="C658" s="509"/>
      <c r="D658" s="509"/>
      <c r="E658" s="509"/>
      <c r="F658" s="509"/>
      <c r="G658" s="509"/>
      <c r="H658" s="509"/>
      <c r="I658" s="509"/>
      <c r="J658" s="509"/>
      <c r="K658" s="509"/>
      <c r="L658" s="509"/>
      <c r="M658" s="509"/>
      <c r="N658" s="509"/>
      <c r="O658" s="509"/>
      <c r="P658" s="509"/>
      <c r="Q658" s="509"/>
      <c r="R658" s="509"/>
      <c r="S658" s="509"/>
      <c r="T658" s="509"/>
      <c r="U658" s="509"/>
      <c r="V658" s="509"/>
      <c r="W658" s="509"/>
      <c r="X658" s="509"/>
      <c r="Y658" s="509"/>
      <c r="Z658" s="509"/>
    </row>
    <row r="659" spans="1:26" ht="16.5" customHeight="1" x14ac:dyDescent="0.3">
      <c r="A659" s="509"/>
      <c r="B659" s="509"/>
      <c r="C659" s="509"/>
      <c r="D659" s="509"/>
      <c r="E659" s="509"/>
      <c r="F659" s="509"/>
      <c r="G659" s="509"/>
      <c r="H659" s="509"/>
      <c r="I659" s="509"/>
      <c r="J659" s="509"/>
      <c r="K659" s="509"/>
      <c r="L659" s="509"/>
      <c r="M659" s="509"/>
      <c r="N659" s="509"/>
      <c r="O659" s="509"/>
      <c r="P659" s="509"/>
      <c r="Q659" s="509"/>
      <c r="R659" s="509"/>
      <c r="S659" s="509"/>
      <c r="T659" s="509"/>
      <c r="U659" s="509"/>
      <c r="V659" s="509"/>
      <c r="W659" s="509"/>
      <c r="X659" s="509"/>
      <c r="Y659" s="509"/>
      <c r="Z659" s="509"/>
    </row>
    <row r="660" spans="1:26" ht="16.5" customHeight="1" x14ac:dyDescent="0.3">
      <c r="A660" s="509"/>
      <c r="B660" s="509"/>
      <c r="C660" s="509"/>
      <c r="D660" s="509"/>
      <c r="E660" s="509"/>
      <c r="F660" s="509"/>
      <c r="G660" s="509"/>
      <c r="H660" s="509"/>
      <c r="I660" s="509"/>
      <c r="J660" s="509"/>
      <c r="K660" s="509"/>
      <c r="L660" s="509"/>
      <c r="M660" s="509"/>
      <c r="N660" s="509"/>
      <c r="O660" s="509"/>
      <c r="P660" s="509"/>
      <c r="Q660" s="509"/>
      <c r="R660" s="509"/>
      <c r="S660" s="509"/>
      <c r="T660" s="509"/>
      <c r="U660" s="509"/>
      <c r="V660" s="509"/>
      <c r="W660" s="509"/>
      <c r="X660" s="509"/>
      <c r="Y660" s="509"/>
      <c r="Z660" s="509"/>
    </row>
    <row r="661" spans="1:26" ht="16.5" customHeight="1" x14ac:dyDescent="0.3">
      <c r="A661" s="509"/>
      <c r="B661" s="509"/>
      <c r="C661" s="509"/>
      <c r="D661" s="509"/>
      <c r="E661" s="509"/>
      <c r="F661" s="509"/>
      <c r="G661" s="509"/>
      <c r="H661" s="509"/>
      <c r="I661" s="509"/>
      <c r="J661" s="509"/>
      <c r="K661" s="509"/>
      <c r="L661" s="509"/>
      <c r="M661" s="509"/>
      <c r="N661" s="509"/>
      <c r="O661" s="509"/>
      <c r="P661" s="509"/>
      <c r="Q661" s="509"/>
      <c r="R661" s="509"/>
      <c r="S661" s="509"/>
      <c r="T661" s="509"/>
      <c r="U661" s="509"/>
      <c r="V661" s="509"/>
      <c r="W661" s="509"/>
      <c r="X661" s="509"/>
      <c r="Y661" s="509"/>
      <c r="Z661" s="509"/>
    </row>
    <row r="662" spans="1:26" ht="16.5" customHeight="1" x14ac:dyDescent="0.3">
      <c r="A662" s="509"/>
      <c r="B662" s="509"/>
      <c r="C662" s="509"/>
      <c r="D662" s="509"/>
      <c r="E662" s="509"/>
      <c r="F662" s="509"/>
      <c r="G662" s="509"/>
      <c r="H662" s="509"/>
      <c r="I662" s="509"/>
      <c r="J662" s="509"/>
      <c r="K662" s="509"/>
      <c r="L662" s="509"/>
      <c r="M662" s="509"/>
      <c r="N662" s="509"/>
      <c r="O662" s="509"/>
      <c r="P662" s="509"/>
      <c r="Q662" s="509"/>
      <c r="R662" s="509"/>
      <c r="S662" s="509"/>
      <c r="T662" s="509"/>
      <c r="U662" s="509"/>
      <c r="V662" s="509"/>
      <c r="W662" s="509"/>
      <c r="X662" s="509"/>
      <c r="Y662" s="509"/>
      <c r="Z662" s="509"/>
    </row>
    <row r="663" spans="1:26" ht="16.5" customHeight="1" x14ac:dyDescent="0.3">
      <c r="A663" s="509"/>
      <c r="B663" s="509"/>
      <c r="C663" s="509"/>
      <c r="D663" s="509"/>
      <c r="E663" s="509"/>
      <c r="F663" s="509"/>
      <c r="G663" s="509"/>
      <c r="H663" s="509"/>
      <c r="I663" s="509"/>
      <c r="J663" s="509"/>
      <c r="K663" s="509"/>
      <c r="L663" s="509"/>
      <c r="M663" s="509"/>
      <c r="N663" s="509"/>
      <c r="O663" s="509"/>
      <c r="P663" s="509"/>
      <c r="Q663" s="509"/>
      <c r="R663" s="509"/>
      <c r="S663" s="509"/>
      <c r="T663" s="509"/>
      <c r="U663" s="509"/>
      <c r="V663" s="509"/>
      <c r="W663" s="509"/>
      <c r="X663" s="509"/>
      <c r="Y663" s="509"/>
      <c r="Z663" s="509"/>
    </row>
    <row r="664" spans="1:26" ht="16.5" customHeight="1" x14ac:dyDescent="0.3">
      <c r="A664" s="509"/>
      <c r="B664" s="509"/>
      <c r="C664" s="509"/>
      <c r="D664" s="509"/>
      <c r="E664" s="509"/>
      <c r="F664" s="509"/>
      <c r="G664" s="509"/>
      <c r="H664" s="509"/>
      <c r="I664" s="509"/>
      <c r="J664" s="509"/>
      <c r="K664" s="509"/>
      <c r="L664" s="509"/>
      <c r="M664" s="509"/>
      <c r="N664" s="509"/>
      <c r="O664" s="509"/>
      <c r="P664" s="509"/>
      <c r="Q664" s="509"/>
      <c r="R664" s="509"/>
      <c r="S664" s="509"/>
      <c r="T664" s="509"/>
      <c r="U664" s="509"/>
      <c r="V664" s="509"/>
      <c r="W664" s="509"/>
      <c r="X664" s="509"/>
      <c r="Y664" s="509"/>
      <c r="Z664" s="509"/>
    </row>
    <row r="665" spans="1:26" ht="16.5" customHeight="1" x14ac:dyDescent="0.3">
      <c r="A665" s="509"/>
      <c r="B665" s="509"/>
      <c r="C665" s="509"/>
      <c r="D665" s="509"/>
      <c r="E665" s="509"/>
      <c r="F665" s="509"/>
      <c r="G665" s="509"/>
      <c r="H665" s="509"/>
      <c r="I665" s="509"/>
      <c r="J665" s="509"/>
      <c r="K665" s="509"/>
      <c r="L665" s="509"/>
      <c r="M665" s="509"/>
      <c r="N665" s="509"/>
      <c r="O665" s="509"/>
      <c r="P665" s="509"/>
      <c r="Q665" s="509"/>
      <c r="R665" s="509"/>
      <c r="S665" s="509"/>
      <c r="T665" s="509"/>
      <c r="U665" s="509"/>
      <c r="V665" s="509"/>
      <c r="W665" s="509"/>
      <c r="X665" s="509"/>
      <c r="Y665" s="509"/>
      <c r="Z665" s="509"/>
    </row>
    <row r="666" spans="1:26" ht="16.5" customHeight="1" x14ac:dyDescent="0.3">
      <c r="A666" s="509"/>
      <c r="B666" s="509"/>
      <c r="C666" s="509"/>
      <c r="D666" s="509"/>
      <c r="E666" s="509"/>
      <c r="F666" s="509"/>
      <c r="G666" s="509"/>
      <c r="H666" s="509"/>
      <c r="I666" s="509"/>
      <c r="J666" s="509"/>
      <c r="K666" s="509"/>
      <c r="L666" s="509"/>
      <c r="M666" s="509"/>
      <c r="N666" s="509"/>
      <c r="O666" s="509"/>
      <c r="P666" s="509"/>
      <c r="Q666" s="509"/>
      <c r="R666" s="509"/>
      <c r="S666" s="509"/>
      <c r="T666" s="509"/>
      <c r="U666" s="509"/>
      <c r="V666" s="509"/>
      <c r="W666" s="509"/>
      <c r="X666" s="509"/>
      <c r="Y666" s="509"/>
      <c r="Z666" s="509"/>
    </row>
    <row r="667" spans="1:26" ht="16.5" customHeight="1" x14ac:dyDescent="0.3">
      <c r="A667" s="509"/>
      <c r="B667" s="509"/>
      <c r="C667" s="509"/>
      <c r="D667" s="509"/>
      <c r="E667" s="509"/>
      <c r="F667" s="509"/>
      <c r="G667" s="509"/>
      <c r="H667" s="509"/>
      <c r="I667" s="509"/>
      <c r="J667" s="509"/>
      <c r="K667" s="509"/>
      <c r="L667" s="509"/>
      <c r="M667" s="509"/>
      <c r="N667" s="509"/>
      <c r="O667" s="509"/>
      <c r="P667" s="509"/>
      <c r="Q667" s="509"/>
      <c r="R667" s="509"/>
      <c r="S667" s="509"/>
      <c r="T667" s="509"/>
      <c r="U667" s="509"/>
      <c r="V667" s="509"/>
      <c r="W667" s="509"/>
      <c r="X667" s="509"/>
      <c r="Y667" s="509"/>
      <c r="Z667" s="509"/>
    </row>
    <row r="668" spans="1:26" ht="16.5" customHeight="1" x14ac:dyDescent="0.3">
      <c r="A668" s="509"/>
      <c r="B668" s="509"/>
      <c r="C668" s="509"/>
      <c r="D668" s="509"/>
      <c r="E668" s="509"/>
      <c r="F668" s="509"/>
      <c r="G668" s="509"/>
      <c r="H668" s="509"/>
      <c r="I668" s="509"/>
      <c r="J668" s="509"/>
      <c r="K668" s="509"/>
      <c r="L668" s="509"/>
      <c r="M668" s="509"/>
      <c r="N668" s="509"/>
      <c r="O668" s="509"/>
      <c r="P668" s="509"/>
      <c r="Q668" s="509"/>
      <c r="R668" s="509"/>
      <c r="S668" s="509"/>
      <c r="T668" s="509"/>
      <c r="U668" s="509"/>
      <c r="V668" s="509"/>
      <c r="W668" s="509"/>
      <c r="X668" s="509"/>
      <c r="Y668" s="509"/>
      <c r="Z668" s="509"/>
    </row>
    <row r="669" spans="1:26" ht="16.5" customHeight="1" x14ac:dyDescent="0.3">
      <c r="A669" s="509"/>
      <c r="B669" s="509"/>
      <c r="C669" s="509"/>
      <c r="D669" s="509"/>
      <c r="E669" s="509"/>
      <c r="F669" s="509"/>
      <c r="G669" s="509"/>
      <c r="H669" s="509"/>
      <c r="I669" s="509"/>
      <c r="J669" s="509"/>
      <c r="K669" s="509"/>
      <c r="L669" s="509"/>
      <c r="M669" s="509"/>
      <c r="N669" s="509"/>
      <c r="O669" s="509"/>
      <c r="P669" s="509"/>
      <c r="Q669" s="509"/>
      <c r="R669" s="509"/>
      <c r="S669" s="509"/>
      <c r="T669" s="509"/>
      <c r="U669" s="509"/>
      <c r="V669" s="509"/>
      <c r="W669" s="509"/>
      <c r="X669" s="509"/>
      <c r="Y669" s="509"/>
      <c r="Z669" s="509"/>
    </row>
    <row r="670" spans="1:26" ht="16.5" customHeight="1" x14ac:dyDescent="0.3">
      <c r="A670" s="509"/>
      <c r="B670" s="509"/>
      <c r="C670" s="509"/>
      <c r="D670" s="509"/>
      <c r="E670" s="509"/>
      <c r="F670" s="509"/>
      <c r="G670" s="509"/>
      <c r="H670" s="509"/>
      <c r="I670" s="509"/>
      <c r="J670" s="509"/>
      <c r="K670" s="509"/>
      <c r="L670" s="509"/>
      <c r="M670" s="509"/>
      <c r="N670" s="509"/>
      <c r="O670" s="509"/>
      <c r="P670" s="509"/>
      <c r="Q670" s="509"/>
      <c r="R670" s="509"/>
      <c r="S670" s="509"/>
      <c r="T670" s="509"/>
      <c r="U670" s="509"/>
      <c r="V670" s="509"/>
      <c r="W670" s="509"/>
      <c r="X670" s="509"/>
      <c r="Y670" s="509"/>
      <c r="Z670" s="509"/>
    </row>
    <row r="671" spans="1:26" ht="16.5" customHeight="1" x14ac:dyDescent="0.3">
      <c r="A671" s="509"/>
      <c r="B671" s="509"/>
      <c r="C671" s="509"/>
      <c r="D671" s="509"/>
      <c r="E671" s="509"/>
      <c r="F671" s="509"/>
      <c r="G671" s="509"/>
      <c r="H671" s="509"/>
      <c r="I671" s="509"/>
      <c r="J671" s="509"/>
      <c r="K671" s="509"/>
      <c r="L671" s="509"/>
      <c r="M671" s="509"/>
      <c r="N671" s="509"/>
      <c r="O671" s="509"/>
      <c r="P671" s="509"/>
      <c r="Q671" s="509"/>
      <c r="R671" s="509"/>
      <c r="S671" s="509"/>
      <c r="T671" s="509"/>
      <c r="U671" s="509"/>
      <c r="V671" s="509"/>
      <c r="W671" s="509"/>
      <c r="X671" s="509"/>
      <c r="Y671" s="509"/>
      <c r="Z671" s="509"/>
    </row>
    <row r="672" spans="1:26" ht="16.5" customHeight="1" x14ac:dyDescent="0.3">
      <c r="A672" s="509"/>
      <c r="B672" s="509"/>
      <c r="C672" s="509"/>
      <c r="D672" s="509"/>
      <c r="E672" s="509"/>
      <c r="F672" s="509"/>
      <c r="G672" s="509"/>
      <c r="H672" s="509"/>
      <c r="I672" s="509"/>
      <c r="J672" s="509"/>
      <c r="K672" s="509"/>
      <c r="L672" s="509"/>
      <c r="M672" s="509"/>
      <c r="N672" s="509"/>
      <c r="O672" s="509"/>
      <c r="P672" s="509"/>
      <c r="Q672" s="509"/>
      <c r="R672" s="509"/>
      <c r="S672" s="509"/>
      <c r="T672" s="509"/>
      <c r="U672" s="509"/>
      <c r="V672" s="509"/>
      <c r="W672" s="509"/>
      <c r="X672" s="509"/>
      <c r="Y672" s="509"/>
      <c r="Z672" s="509"/>
    </row>
    <row r="673" spans="1:26" ht="16.5" customHeight="1" x14ac:dyDescent="0.3">
      <c r="A673" s="509"/>
      <c r="B673" s="509"/>
      <c r="C673" s="509"/>
      <c r="D673" s="509"/>
      <c r="E673" s="509"/>
      <c r="F673" s="509"/>
      <c r="G673" s="509"/>
      <c r="H673" s="509"/>
      <c r="I673" s="509"/>
      <c r="J673" s="509"/>
      <c r="K673" s="509"/>
      <c r="L673" s="509"/>
      <c r="M673" s="509"/>
      <c r="N673" s="509"/>
      <c r="O673" s="509"/>
      <c r="P673" s="509"/>
      <c r="Q673" s="509"/>
      <c r="R673" s="509"/>
      <c r="S673" s="509"/>
      <c r="T673" s="509"/>
      <c r="U673" s="509"/>
      <c r="V673" s="509"/>
      <c r="W673" s="509"/>
      <c r="X673" s="509"/>
      <c r="Y673" s="509"/>
      <c r="Z673" s="509"/>
    </row>
    <row r="674" spans="1:26" ht="16.5" customHeight="1" x14ac:dyDescent="0.3">
      <c r="A674" s="509"/>
      <c r="B674" s="509"/>
      <c r="C674" s="509"/>
      <c r="D674" s="509"/>
      <c r="E674" s="509"/>
      <c r="F674" s="509"/>
      <c r="G674" s="509"/>
      <c r="H674" s="509"/>
      <c r="I674" s="509"/>
      <c r="J674" s="509"/>
      <c r="K674" s="509"/>
      <c r="L674" s="509"/>
      <c r="M674" s="509"/>
      <c r="N674" s="509"/>
      <c r="O674" s="509"/>
      <c r="P674" s="509"/>
      <c r="Q674" s="509"/>
      <c r="R674" s="509"/>
      <c r="S674" s="509"/>
      <c r="T674" s="509"/>
      <c r="U674" s="509"/>
      <c r="V674" s="509"/>
      <c r="W674" s="509"/>
      <c r="X674" s="509"/>
      <c r="Y674" s="509"/>
      <c r="Z674" s="509"/>
    </row>
    <row r="675" spans="1:26" ht="16.5" customHeight="1" x14ac:dyDescent="0.3">
      <c r="A675" s="509"/>
      <c r="B675" s="509"/>
      <c r="C675" s="509"/>
      <c r="D675" s="509"/>
      <c r="E675" s="509"/>
      <c r="F675" s="509"/>
      <c r="G675" s="509"/>
      <c r="H675" s="509"/>
      <c r="I675" s="509"/>
      <c r="J675" s="509"/>
      <c r="K675" s="509"/>
      <c r="L675" s="509"/>
      <c r="M675" s="509"/>
      <c r="N675" s="509"/>
      <c r="O675" s="509"/>
      <c r="P675" s="509"/>
      <c r="Q675" s="509"/>
      <c r="R675" s="509"/>
      <c r="S675" s="509"/>
      <c r="T675" s="509"/>
      <c r="U675" s="509"/>
      <c r="V675" s="509"/>
      <c r="W675" s="509"/>
      <c r="X675" s="509"/>
      <c r="Y675" s="509"/>
      <c r="Z675" s="509"/>
    </row>
    <row r="676" spans="1:26" ht="16.5" customHeight="1" x14ac:dyDescent="0.3">
      <c r="A676" s="509"/>
      <c r="B676" s="509"/>
      <c r="C676" s="509"/>
      <c r="D676" s="509"/>
      <c r="E676" s="509"/>
      <c r="F676" s="509"/>
      <c r="G676" s="509"/>
      <c r="H676" s="509"/>
      <c r="I676" s="509"/>
      <c r="J676" s="509"/>
      <c r="K676" s="509"/>
      <c r="L676" s="509"/>
      <c r="M676" s="509"/>
      <c r="N676" s="509"/>
      <c r="O676" s="509"/>
      <c r="P676" s="509"/>
      <c r="Q676" s="509"/>
      <c r="R676" s="509"/>
      <c r="S676" s="509"/>
      <c r="T676" s="509"/>
      <c r="U676" s="509"/>
      <c r="V676" s="509"/>
      <c r="W676" s="509"/>
      <c r="X676" s="509"/>
      <c r="Y676" s="509"/>
      <c r="Z676" s="509"/>
    </row>
    <row r="677" spans="1:26" ht="16.5" customHeight="1" x14ac:dyDescent="0.3">
      <c r="A677" s="509"/>
      <c r="B677" s="509"/>
      <c r="C677" s="509"/>
      <c r="D677" s="509"/>
      <c r="E677" s="509"/>
      <c r="F677" s="509"/>
      <c r="G677" s="509"/>
      <c r="H677" s="509"/>
      <c r="I677" s="509"/>
      <c r="J677" s="509"/>
      <c r="K677" s="509"/>
      <c r="L677" s="509"/>
      <c r="M677" s="509"/>
      <c r="N677" s="509"/>
      <c r="O677" s="509"/>
      <c r="P677" s="509"/>
      <c r="Q677" s="509"/>
      <c r="R677" s="509"/>
      <c r="S677" s="509"/>
      <c r="T677" s="509"/>
      <c r="U677" s="509"/>
      <c r="V677" s="509"/>
      <c r="W677" s="509"/>
      <c r="X677" s="509"/>
      <c r="Y677" s="509"/>
      <c r="Z677" s="509"/>
    </row>
    <row r="678" spans="1:26" ht="16.5" customHeight="1" x14ac:dyDescent="0.3">
      <c r="A678" s="509"/>
      <c r="B678" s="509"/>
      <c r="C678" s="509"/>
      <c r="D678" s="509"/>
      <c r="E678" s="509"/>
      <c r="F678" s="509"/>
      <c r="G678" s="509"/>
      <c r="H678" s="509"/>
      <c r="I678" s="509"/>
      <c r="J678" s="509"/>
      <c r="K678" s="509"/>
      <c r="L678" s="509"/>
      <c r="M678" s="509"/>
      <c r="N678" s="509"/>
      <c r="O678" s="509"/>
      <c r="P678" s="509"/>
      <c r="Q678" s="509"/>
      <c r="R678" s="509"/>
      <c r="S678" s="509"/>
      <c r="T678" s="509"/>
      <c r="U678" s="509"/>
      <c r="V678" s="509"/>
      <c r="W678" s="509"/>
      <c r="X678" s="509"/>
      <c r="Y678" s="509"/>
      <c r="Z678" s="509"/>
    </row>
    <row r="679" spans="1:26" ht="16.5" customHeight="1" x14ac:dyDescent="0.3">
      <c r="A679" s="509"/>
      <c r="B679" s="509"/>
      <c r="C679" s="509"/>
      <c r="D679" s="509"/>
      <c r="E679" s="509"/>
      <c r="F679" s="509"/>
      <c r="G679" s="509"/>
      <c r="H679" s="509"/>
      <c r="I679" s="509"/>
      <c r="J679" s="509"/>
      <c r="K679" s="509"/>
      <c r="L679" s="509"/>
      <c r="M679" s="509"/>
      <c r="N679" s="509"/>
      <c r="O679" s="509"/>
      <c r="P679" s="509"/>
      <c r="Q679" s="509"/>
      <c r="R679" s="509"/>
      <c r="S679" s="509"/>
      <c r="T679" s="509"/>
      <c r="U679" s="509"/>
      <c r="V679" s="509"/>
      <c r="W679" s="509"/>
      <c r="X679" s="509"/>
      <c r="Y679" s="509"/>
      <c r="Z679" s="509"/>
    </row>
    <row r="680" spans="1:26" ht="16.5" customHeight="1" x14ac:dyDescent="0.3">
      <c r="A680" s="509"/>
      <c r="B680" s="509"/>
      <c r="C680" s="509"/>
      <c r="D680" s="509"/>
      <c r="E680" s="509"/>
      <c r="F680" s="509"/>
      <c r="G680" s="509"/>
      <c r="H680" s="509"/>
      <c r="I680" s="509"/>
      <c r="J680" s="509"/>
      <c r="K680" s="509"/>
      <c r="L680" s="509"/>
      <c r="M680" s="509"/>
      <c r="N680" s="509"/>
      <c r="O680" s="509"/>
      <c r="P680" s="509"/>
      <c r="Q680" s="509"/>
      <c r="R680" s="509"/>
      <c r="S680" s="509"/>
      <c r="T680" s="509"/>
      <c r="U680" s="509"/>
      <c r="V680" s="509"/>
      <c r="W680" s="509"/>
      <c r="X680" s="509"/>
      <c r="Y680" s="509"/>
      <c r="Z680" s="509"/>
    </row>
    <row r="681" spans="1:26" ht="16.5" customHeight="1" x14ac:dyDescent="0.3">
      <c r="A681" s="509"/>
      <c r="B681" s="509"/>
      <c r="C681" s="509"/>
      <c r="D681" s="509"/>
      <c r="E681" s="509"/>
      <c r="F681" s="509"/>
      <c r="G681" s="509"/>
      <c r="H681" s="509"/>
      <c r="I681" s="509"/>
      <c r="J681" s="509"/>
      <c r="K681" s="509"/>
      <c r="L681" s="509"/>
      <c r="M681" s="509"/>
      <c r="N681" s="509"/>
      <c r="O681" s="509"/>
      <c r="P681" s="509"/>
      <c r="Q681" s="509"/>
      <c r="R681" s="509"/>
      <c r="S681" s="509"/>
      <c r="T681" s="509"/>
      <c r="U681" s="509"/>
      <c r="V681" s="509"/>
      <c r="W681" s="509"/>
      <c r="X681" s="509"/>
      <c r="Y681" s="509"/>
      <c r="Z681" s="509"/>
    </row>
    <row r="682" spans="1:26" ht="16.5" customHeight="1" x14ac:dyDescent="0.3">
      <c r="A682" s="509"/>
      <c r="B682" s="509"/>
      <c r="C682" s="509"/>
      <c r="D682" s="509"/>
      <c r="E682" s="509"/>
      <c r="F682" s="509"/>
      <c r="G682" s="509"/>
      <c r="H682" s="509"/>
      <c r="I682" s="509"/>
      <c r="J682" s="509"/>
      <c r="K682" s="509"/>
      <c r="L682" s="509"/>
      <c r="M682" s="509"/>
      <c r="N682" s="509"/>
      <c r="O682" s="509"/>
      <c r="P682" s="509"/>
      <c r="Q682" s="509"/>
      <c r="R682" s="509"/>
      <c r="S682" s="509"/>
      <c r="T682" s="509"/>
      <c r="U682" s="509"/>
      <c r="V682" s="509"/>
      <c r="W682" s="509"/>
      <c r="X682" s="509"/>
      <c r="Y682" s="509"/>
      <c r="Z682" s="509"/>
    </row>
    <row r="683" spans="1:26" ht="16.5" customHeight="1" x14ac:dyDescent="0.3">
      <c r="A683" s="509"/>
      <c r="B683" s="509"/>
      <c r="C683" s="509"/>
      <c r="D683" s="509"/>
      <c r="E683" s="509"/>
      <c r="F683" s="509"/>
      <c r="G683" s="509"/>
      <c r="H683" s="509"/>
      <c r="I683" s="509"/>
      <c r="J683" s="509"/>
      <c r="K683" s="509"/>
      <c r="L683" s="509"/>
      <c r="M683" s="509"/>
      <c r="N683" s="509"/>
      <c r="O683" s="509"/>
      <c r="P683" s="509"/>
      <c r="Q683" s="509"/>
      <c r="R683" s="509"/>
      <c r="S683" s="509"/>
      <c r="T683" s="509"/>
      <c r="U683" s="509"/>
      <c r="V683" s="509"/>
      <c r="W683" s="509"/>
      <c r="X683" s="509"/>
      <c r="Y683" s="509"/>
      <c r="Z683" s="509"/>
    </row>
    <row r="684" spans="1:26" ht="16.5" customHeight="1" x14ac:dyDescent="0.3">
      <c r="A684" s="509"/>
      <c r="B684" s="509"/>
      <c r="C684" s="509"/>
      <c r="D684" s="509"/>
      <c r="E684" s="509"/>
      <c r="F684" s="509"/>
      <c r="G684" s="509"/>
      <c r="H684" s="509"/>
      <c r="I684" s="509"/>
      <c r="J684" s="509"/>
      <c r="K684" s="509"/>
      <c r="L684" s="509"/>
      <c r="M684" s="509"/>
      <c r="N684" s="509"/>
      <c r="O684" s="509"/>
      <c r="P684" s="509"/>
      <c r="Q684" s="509"/>
      <c r="R684" s="509"/>
      <c r="S684" s="509"/>
      <c r="T684" s="509"/>
      <c r="U684" s="509"/>
      <c r="V684" s="509"/>
      <c r="W684" s="509"/>
      <c r="X684" s="509"/>
      <c r="Y684" s="509"/>
      <c r="Z684" s="509"/>
    </row>
    <row r="685" spans="1:26" ht="16.5" customHeight="1" x14ac:dyDescent="0.3">
      <c r="A685" s="509"/>
      <c r="B685" s="509"/>
      <c r="C685" s="509"/>
      <c r="D685" s="509"/>
      <c r="E685" s="509"/>
      <c r="F685" s="509"/>
      <c r="G685" s="509"/>
      <c r="H685" s="509"/>
      <c r="I685" s="509"/>
      <c r="J685" s="509"/>
      <c r="K685" s="509"/>
      <c r="L685" s="509"/>
      <c r="M685" s="509"/>
      <c r="N685" s="509"/>
      <c r="O685" s="509"/>
      <c r="P685" s="509"/>
      <c r="Q685" s="509"/>
      <c r="R685" s="509"/>
      <c r="S685" s="509"/>
      <c r="T685" s="509"/>
      <c r="U685" s="509"/>
      <c r="V685" s="509"/>
      <c r="W685" s="509"/>
      <c r="X685" s="509"/>
      <c r="Y685" s="509"/>
      <c r="Z685" s="509"/>
    </row>
    <row r="686" spans="1:26" ht="16.5" customHeight="1" x14ac:dyDescent="0.3">
      <c r="A686" s="509"/>
      <c r="B686" s="509"/>
      <c r="C686" s="509"/>
      <c r="D686" s="509"/>
      <c r="E686" s="509"/>
      <c r="F686" s="509"/>
      <c r="G686" s="509"/>
      <c r="H686" s="509"/>
      <c r="I686" s="509"/>
      <c r="J686" s="509"/>
      <c r="K686" s="509"/>
      <c r="L686" s="509"/>
      <c r="M686" s="509"/>
      <c r="N686" s="509"/>
      <c r="O686" s="509"/>
      <c r="P686" s="509"/>
      <c r="Q686" s="509"/>
      <c r="R686" s="509"/>
      <c r="S686" s="509"/>
      <c r="T686" s="509"/>
      <c r="U686" s="509"/>
      <c r="V686" s="509"/>
      <c r="W686" s="509"/>
      <c r="X686" s="509"/>
      <c r="Y686" s="509"/>
      <c r="Z686" s="509"/>
    </row>
    <row r="687" spans="1:26" ht="16.5" customHeight="1" x14ac:dyDescent="0.3">
      <c r="A687" s="509"/>
      <c r="B687" s="509"/>
      <c r="C687" s="509"/>
      <c r="D687" s="509"/>
      <c r="E687" s="509"/>
      <c r="F687" s="509"/>
      <c r="G687" s="509"/>
      <c r="H687" s="509"/>
      <c r="I687" s="509"/>
      <c r="J687" s="509"/>
      <c r="K687" s="509"/>
      <c r="L687" s="509"/>
      <c r="M687" s="509"/>
      <c r="N687" s="509"/>
      <c r="O687" s="509"/>
      <c r="P687" s="509"/>
      <c r="Q687" s="509"/>
      <c r="R687" s="509"/>
      <c r="S687" s="509"/>
      <c r="T687" s="509"/>
      <c r="U687" s="509"/>
      <c r="V687" s="509"/>
      <c r="W687" s="509"/>
      <c r="X687" s="509"/>
      <c r="Y687" s="509"/>
      <c r="Z687" s="509"/>
    </row>
    <row r="688" spans="1:26" ht="16.5" customHeight="1" x14ac:dyDescent="0.3">
      <c r="A688" s="509"/>
      <c r="B688" s="509"/>
      <c r="C688" s="509"/>
      <c r="D688" s="509"/>
      <c r="E688" s="509"/>
      <c r="F688" s="509"/>
      <c r="G688" s="509"/>
      <c r="H688" s="509"/>
      <c r="I688" s="509"/>
      <c r="J688" s="509"/>
      <c r="K688" s="509"/>
      <c r="L688" s="509"/>
      <c r="M688" s="509"/>
      <c r="N688" s="509"/>
      <c r="O688" s="509"/>
      <c r="P688" s="509"/>
      <c r="Q688" s="509"/>
      <c r="R688" s="509"/>
      <c r="S688" s="509"/>
      <c r="T688" s="509"/>
      <c r="U688" s="509"/>
      <c r="V688" s="509"/>
      <c r="W688" s="509"/>
      <c r="X688" s="509"/>
      <c r="Y688" s="509"/>
      <c r="Z688" s="509"/>
    </row>
    <row r="689" spans="1:26" ht="16.5" customHeight="1" x14ac:dyDescent="0.3">
      <c r="A689" s="509"/>
      <c r="B689" s="509"/>
      <c r="C689" s="509"/>
      <c r="D689" s="509"/>
      <c r="E689" s="509"/>
      <c r="F689" s="509"/>
      <c r="G689" s="509"/>
      <c r="H689" s="509"/>
      <c r="I689" s="509"/>
      <c r="J689" s="509"/>
      <c r="K689" s="509"/>
      <c r="L689" s="509"/>
      <c r="M689" s="509"/>
      <c r="N689" s="509"/>
      <c r="O689" s="509"/>
      <c r="P689" s="509"/>
      <c r="Q689" s="509"/>
      <c r="R689" s="509"/>
      <c r="S689" s="509"/>
      <c r="T689" s="509"/>
      <c r="U689" s="509"/>
      <c r="V689" s="509"/>
      <c r="W689" s="509"/>
      <c r="X689" s="509"/>
      <c r="Y689" s="509"/>
      <c r="Z689" s="509"/>
    </row>
    <row r="690" spans="1:26" ht="16.5" customHeight="1" x14ac:dyDescent="0.3">
      <c r="A690" s="509"/>
      <c r="B690" s="509"/>
      <c r="C690" s="509"/>
      <c r="D690" s="509"/>
      <c r="E690" s="509"/>
      <c r="F690" s="509"/>
      <c r="G690" s="509"/>
      <c r="H690" s="509"/>
      <c r="I690" s="509"/>
      <c r="J690" s="509"/>
      <c r="K690" s="509"/>
      <c r="L690" s="509"/>
      <c r="M690" s="509"/>
      <c r="N690" s="509"/>
      <c r="O690" s="509"/>
      <c r="P690" s="509"/>
      <c r="Q690" s="509"/>
      <c r="R690" s="509"/>
      <c r="S690" s="509"/>
      <c r="T690" s="509"/>
      <c r="U690" s="509"/>
      <c r="V690" s="509"/>
      <c r="W690" s="509"/>
      <c r="X690" s="509"/>
      <c r="Y690" s="509"/>
      <c r="Z690" s="509"/>
    </row>
    <row r="691" spans="1:26" ht="16.5" customHeight="1" x14ac:dyDescent="0.3">
      <c r="A691" s="509"/>
      <c r="B691" s="509"/>
      <c r="C691" s="509"/>
      <c r="D691" s="509"/>
      <c r="E691" s="509"/>
      <c r="F691" s="509"/>
      <c r="G691" s="509"/>
      <c r="H691" s="509"/>
      <c r="I691" s="509"/>
      <c r="J691" s="509"/>
      <c r="K691" s="509"/>
      <c r="L691" s="509"/>
      <c r="M691" s="509"/>
      <c r="N691" s="509"/>
      <c r="O691" s="509"/>
      <c r="P691" s="509"/>
      <c r="Q691" s="509"/>
      <c r="R691" s="509"/>
      <c r="S691" s="509"/>
      <c r="T691" s="509"/>
      <c r="U691" s="509"/>
      <c r="V691" s="509"/>
      <c r="W691" s="509"/>
      <c r="X691" s="509"/>
      <c r="Y691" s="509"/>
      <c r="Z691" s="509"/>
    </row>
    <row r="692" spans="1:26" ht="16.5" customHeight="1" x14ac:dyDescent="0.3">
      <c r="A692" s="509"/>
      <c r="B692" s="509"/>
      <c r="C692" s="509"/>
      <c r="D692" s="509"/>
      <c r="E692" s="509"/>
      <c r="F692" s="509"/>
      <c r="G692" s="509"/>
      <c r="H692" s="509"/>
      <c r="I692" s="509"/>
      <c r="J692" s="509"/>
      <c r="K692" s="509"/>
      <c r="L692" s="509"/>
      <c r="M692" s="509"/>
      <c r="N692" s="509"/>
      <c r="O692" s="509"/>
      <c r="P692" s="509"/>
      <c r="Q692" s="509"/>
      <c r="R692" s="509"/>
      <c r="S692" s="509"/>
      <c r="T692" s="509"/>
      <c r="U692" s="509"/>
      <c r="V692" s="509"/>
      <c r="W692" s="509"/>
      <c r="X692" s="509"/>
      <c r="Y692" s="509"/>
      <c r="Z692" s="509"/>
    </row>
    <row r="693" spans="1:26" ht="16.5" customHeight="1" x14ac:dyDescent="0.3">
      <c r="A693" s="509"/>
      <c r="B693" s="509"/>
      <c r="C693" s="509"/>
      <c r="D693" s="509"/>
      <c r="E693" s="509"/>
      <c r="F693" s="509"/>
      <c r="G693" s="509"/>
      <c r="H693" s="509"/>
      <c r="I693" s="509"/>
      <c r="J693" s="509"/>
      <c r="K693" s="509"/>
      <c r="L693" s="509"/>
      <c r="M693" s="509"/>
      <c r="N693" s="509"/>
      <c r="O693" s="509"/>
      <c r="P693" s="509"/>
      <c r="Q693" s="509"/>
      <c r="R693" s="509"/>
      <c r="S693" s="509"/>
      <c r="T693" s="509"/>
      <c r="U693" s="509"/>
      <c r="V693" s="509"/>
      <c r="W693" s="509"/>
      <c r="X693" s="509"/>
      <c r="Y693" s="509"/>
      <c r="Z693" s="509"/>
    </row>
    <row r="694" spans="1:26" ht="16.5" customHeight="1" x14ac:dyDescent="0.3">
      <c r="A694" s="509"/>
      <c r="B694" s="509"/>
      <c r="C694" s="509"/>
      <c r="D694" s="509"/>
      <c r="E694" s="509"/>
      <c r="F694" s="509"/>
      <c r="G694" s="509"/>
      <c r="H694" s="509"/>
      <c r="I694" s="509"/>
      <c r="J694" s="509"/>
      <c r="K694" s="509"/>
      <c r="L694" s="509"/>
      <c r="M694" s="509"/>
      <c r="N694" s="509"/>
      <c r="O694" s="509"/>
      <c r="P694" s="509"/>
      <c r="Q694" s="509"/>
      <c r="R694" s="509"/>
      <c r="S694" s="509"/>
      <c r="T694" s="509"/>
      <c r="U694" s="509"/>
      <c r="V694" s="509"/>
      <c r="W694" s="509"/>
      <c r="X694" s="509"/>
      <c r="Y694" s="509"/>
      <c r="Z694" s="509"/>
    </row>
    <row r="695" spans="1:26" ht="16.5" customHeight="1" x14ac:dyDescent="0.3">
      <c r="A695" s="509"/>
      <c r="B695" s="509"/>
      <c r="C695" s="509"/>
      <c r="D695" s="509"/>
      <c r="E695" s="509"/>
      <c r="F695" s="509"/>
      <c r="G695" s="509"/>
      <c r="H695" s="509"/>
      <c r="I695" s="509"/>
      <c r="J695" s="509"/>
      <c r="K695" s="509"/>
      <c r="L695" s="509"/>
      <c r="M695" s="509"/>
      <c r="N695" s="509"/>
      <c r="O695" s="509"/>
      <c r="P695" s="509"/>
      <c r="Q695" s="509"/>
      <c r="R695" s="509"/>
      <c r="S695" s="509"/>
      <c r="T695" s="509"/>
      <c r="U695" s="509"/>
      <c r="V695" s="509"/>
      <c r="W695" s="509"/>
      <c r="X695" s="509"/>
      <c r="Y695" s="509"/>
      <c r="Z695" s="509"/>
    </row>
    <row r="696" spans="1:26" ht="16.5" customHeight="1" x14ac:dyDescent="0.3">
      <c r="A696" s="509"/>
      <c r="B696" s="509"/>
      <c r="C696" s="509"/>
      <c r="D696" s="509"/>
      <c r="E696" s="509"/>
      <c r="F696" s="509"/>
      <c r="G696" s="509"/>
      <c r="H696" s="509"/>
      <c r="I696" s="509"/>
      <c r="J696" s="509"/>
      <c r="K696" s="509"/>
      <c r="L696" s="509"/>
      <c r="M696" s="509"/>
      <c r="N696" s="509"/>
      <c r="O696" s="509"/>
      <c r="P696" s="509"/>
      <c r="Q696" s="509"/>
      <c r="R696" s="509"/>
      <c r="S696" s="509"/>
      <c r="T696" s="509"/>
      <c r="U696" s="509"/>
      <c r="V696" s="509"/>
      <c r="W696" s="509"/>
      <c r="X696" s="509"/>
      <c r="Y696" s="509"/>
      <c r="Z696" s="509"/>
    </row>
    <row r="697" spans="1:26" ht="16.5" customHeight="1" x14ac:dyDescent="0.3">
      <c r="A697" s="509"/>
      <c r="B697" s="509"/>
      <c r="C697" s="509"/>
      <c r="D697" s="509"/>
      <c r="E697" s="509"/>
      <c r="F697" s="509"/>
      <c r="G697" s="509"/>
      <c r="H697" s="509"/>
      <c r="I697" s="509"/>
      <c r="J697" s="509"/>
      <c r="K697" s="509"/>
      <c r="L697" s="509"/>
      <c r="M697" s="509"/>
      <c r="N697" s="509"/>
      <c r="O697" s="509"/>
      <c r="P697" s="509"/>
      <c r="Q697" s="509"/>
      <c r="R697" s="509"/>
      <c r="S697" s="509"/>
      <c r="T697" s="509"/>
      <c r="U697" s="509"/>
      <c r="V697" s="509"/>
      <c r="W697" s="509"/>
      <c r="X697" s="509"/>
      <c r="Y697" s="509"/>
      <c r="Z697" s="509"/>
    </row>
    <row r="698" spans="1:26" ht="16.5" customHeight="1" x14ac:dyDescent="0.3">
      <c r="A698" s="509"/>
      <c r="B698" s="509"/>
      <c r="C698" s="509"/>
      <c r="D698" s="509"/>
      <c r="E698" s="509"/>
      <c r="F698" s="509"/>
      <c r="G698" s="509"/>
      <c r="H698" s="509"/>
      <c r="I698" s="509"/>
      <c r="J698" s="509"/>
      <c r="K698" s="509"/>
      <c r="L698" s="509"/>
      <c r="M698" s="509"/>
      <c r="N698" s="509"/>
      <c r="O698" s="509"/>
      <c r="P698" s="509"/>
      <c r="Q698" s="509"/>
      <c r="R698" s="509"/>
      <c r="S698" s="509"/>
      <c r="T698" s="509"/>
      <c r="U698" s="509"/>
      <c r="V698" s="509"/>
      <c r="W698" s="509"/>
      <c r="X698" s="509"/>
      <c r="Y698" s="509"/>
      <c r="Z698" s="509"/>
    </row>
    <row r="699" spans="1:26" ht="16.5" customHeight="1" x14ac:dyDescent="0.3">
      <c r="A699" s="509"/>
      <c r="B699" s="509"/>
      <c r="C699" s="509"/>
      <c r="D699" s="509"/>
      <c r="E699" s="509"/>
      <c r="F699" s="509"/>
      <c r="G699" s="509"/>
      <c r="H699" s="509"/>
      <c r="I699" s="509"/>
      <c r="J699" s="509"/>
      <c r="K699" s="509"/>
      <c r="L699" s="509"/>
      <c r="M699" s="509"/>
      <c r="N699" s="509"/>
      <c r="O699" s="509"/>
      <c r="P699" s="509"/>
      <c r="Q699" s="509"/>
      <c r="R699" s="509"/>
      <c r="S699" s="509"/>
      <c r="T699" s="509"/>
      <c r="U699" s="509"/>
      <c r="V699" s="509"/>
      <c r="W699" s="509"/>
      <c r="X699" s="509"/>
      <c r="Y699" s="509"/>
      <c r="Z699" s="509"/>
    </row>
    <row r="700" spans="1:26" ht="16.5" customHeight="1" x14ac:dyDescent="0.3">
      <c r="A700" s="509"/>
      <c r="B700" s="509"/>
      <c r="C700" s="509"/>
      <c r="D700" s="509"/>
      <c r="E700" s="509"/>
      <c r="F700" s="509"/>
      <c r="G700" s="509"/>
      <c r="H700" s="509"/>
      <c r="I700" s="509"/>
      <c r="J700" s="509"/>
      <c r="K700" s="509"/>
      <c r="L700" s="509"/>
      <c r="M700" s="509"/>
      <c r="N700" s="509"/>
      <c r="O700" s="509"/>
      <c r="P700" s="509"/>
      <c r="Q700" s="509"/>
      <c r="R700" s="509"/>
      <c r="S700" s="509"/>
      <c r="T700" s="509"/>
      <c r="U700" s="509"/>
      <c r="V700" s="509"/>
      <c r="W700" s="509"/>
      <c r="X700" s="509"/>
      <c r="Y700" s="509"/>
      <c r="Z700" s="509"/>
    </row>
    <row r="701" spans="1:26" ht="16.5" customHeight="1" x14ac:dyDescent="0.3">
      <c r="A701" s="509"/>
      <c r="B701" s="509"/>
      <c r="C701" s="509"/>
      <c r="D701" s="509"/>
      <c r="E701" s="509"/>
      <c r="F701" s="509"/>
      <c r="G701" s="509"/>
      <c r="H701" s="509"/>
      <c r="I701" s="509"/>
      <c r="J701" s="509"/>
      <c r="K701" s="509"/>
      <c r="L701" s="509"/>
      <c r="M701" s="509"/>
      <c r="N701" s="509"/>
      <c r="O701" s="509"/>
      <c r="P701" s="509"/>
      <c r="Q701" s="509"/>
      <c r="R701" s="509"/>
      <c r="S701" s="509"/>
      <c r="T701" s="509"/>
      <c r="U701" s="509"/>
      <c r="V701" s="509"/>
      <c r="W701" s="509"/>
      <c r="X701" s="509"/>
      <c r="Y701" s="509"/>
      <c r="Z701" s="509"/>
    </row>
    <row r="702" spans="1:26" ht="16.5" customHeight="1" x14ac:dyDescent="0.3">
      <c r="A702" s="509"/>
      <c r="B702" s="509"/>
      <c r="C702" s="509"/>
      <c r="D702" s="509"/>
      <c r="E702" s="509"/>
      <c r="F702" s="509"/>
      <c r="G702" s="509"/>
      <c r="H702" s="509"/>
      <c r="I702" s="509"/>
      <c r="J702" s="509"/>
      <c r="K702" s="509"/>
      <c r="L702" s="509"/>
      <c r="M702" s="509"/>
      <c r="N702" s="509"/>
      <c r="O702" s="509"/>
      <c r="P702" s="509"/>
      <c r="Q702" s="509"/>
      <c r="R702" s="509"/>
      <c r="S702" s="509"/>
      <c r="T702" s="509"/>
      <c r="U702" s="509"/>
      <c r="V702" s="509"/>
      <c r="W702" s="509"/>
      <c r="X702" s="509"/>
      <c r="Y702" s="509"/>
      <c r="Z702" s="509"/>
    </row>
    <row r="703" spans="1:26" ht="16.5" customHeight="1" x14ac:dyDescent="0.3">
      <c r="A703" s="509"/>
      <c r="B703" s="509"/>
      <c r="C703" s="509"/>
      <c r="D703" s="509"/>
      <c r="E703" s="509"/>
      <c r="F703" s="509"/>
      <c r="G703" s="509"/>
      <c r="H703" s="509"/>
      <c r="I703" s="509"/>
      <c r="J703" s="509"/>
      <c r="K703" s="509"/>
      <c r="L703" s="509"/>
      <c r="M703" s="509"/>
      <c r="N703" s="509"/>
      <c r="O703" s="509"/>
      <c r="P703" s="509"/>
      <c r="Q703" s="509"/>
      <c r="R703" s="509"/>
      <c r="S703" s="509"/>
      <c r="T703" s="509"/>
      <c r="U703" s="509"/>
      <c r="V703" s="509"/>
      <c r="W703" s="509"/>
      <c r="X703" s="509"/>
      <c r="Y703" s="509"/>
      <c r="Z703" s="509"/>
    </row>
    <row r="704" spans="1:26" ht="16.5" customHeight="1" x14ac:dyDescent="0.3">
      <c r="A704" s="509"/>
      <c r="B704" s="509"/>
      <c r="C704" s="509"/>
      <c r="D704" s="509"/>
      <c r="E704" s="509"/>
      <c r="F704" s="509"/>
      <c r="G704" s="509"/>
      <c r="H704" s="509"/>
      <c r="I704" s="509"/>
      <c r="J704" s="509"/>
      <c r="K704" s="509"/>
      <c r="L704" s="509"/>
      <c r="M704" s="509"/>
      <c r="N704" s="509"/>
      <c r="O704" s="509"/>
      <c r="P704" s="509"/>
      <c r="Q704" s="509"/>
      <c r="R704" s="509"/>
      <c r="S704" s="509"/>
      <c r="T704" s="509"/>
      <c r="U704" s="509"/>
      <c r="V704" s="509"/>
      <c r="W704" s="509"/>
      <c r="X704" s="509"/>
      <c r="Y704" s="509"/>
      <c r="Z704" s="509"/>
    </row>
    <row r="705" spans="1:26" ht="16.5" customHeight="1" x14ac:dyDescent="0.3">
      <c r="A705" s="509"/>
      <c r="B705" s="509"/>
      <c r="C705" s="509"/>
      <c r="D705" s="509"/>
      <c r="E705" s="509"/>
      <c r="F705" s="509"/>
      <c r="G705" s="509"/>
      <c r="H705" s="509"/>
      <c r="I705" s="509"/>
      <c r="J705" s="509"/>
      <c r="K705" s="509"/>
      <c r="L705" s="509"/>
      <c r="M705" s="509"/>
      <c r="N705" s="509"/>
      <c r="O705" s="509"/>
      <c r="P705" s="509"/>
      <c r="Q705" s="509"/>
      <c r="R705" s="509"/>
      <c r="S705" s="509"/>
      <c r="T705" s="509"/>
      <c r="U705" s="509"/>
      <c r="V705" s="509"/>
      <c r="W705" s="509"/>
      <c r="X705" s="509"/>
      <c r="Y705" s="509"/>
      <c r="Z705" s="509"/>
    </row>
    <row r="706" spans="1:26" ht="16.5" customHeight="1" x14ac:dyDescent="0.3">
      <c r="A706" s="509"/>
      <c r="B706" s="509"/>
      <c r="C706" s="509"/>
      <c r="D706" s="509"/>
      <c r="E706" s="509"/>
      <c r="F706" s="509"/>
      <c r="G706" s="509"/>
      <c r="H706" s="509"/>
      <c r="I706" s="509"/>
      <c r="J706" s="509"/>
      <c r="K706" s="509"/>
      <c r="L706" s="509"/>
      <c r="M706" s="509"/>
      <c r="N706" s="509"/>
      <c r="O706" s="509"/>
      <c r="P706" s="509"/>
      <c r="Q706" s="509"/>
      <c r="R706" s="509"/>
      <c r="S706" s="509"/>
      <c r="T706" s="509"/>
      <c r="U706" s="509"/>
      <c r="V706" s="509"/>
      <c r="W706" s="509"/>
      <c r="X706" s="509"/>
      <c r="Y706" s="509"/>
      <c r="Z706" s="509"/>
    </row>
    <row r="707" spans="1:26" ht="16.5" customHeight="1" x14ac:dyDescent="0.3">
      <c r="A707" s="509"/>
      <c r="B707" s="509"/>
      <c r="C707" s="509"/>
      <c r="D707" s="509"/>
      <c r="E707" s="509"/>
      <c r="F707" s="509"/>
      <c r="G707" s="509"/>
      <c r="H707" s="509"/>
      <c r="I707" s="509"/>
      <c r="J707" s="509"/>
      <c r="K707" s="509"/>
      <c r="L707" s="509"/>
      <c r="M707" s="509"/>
      <c r="N707" s="509"/>
      <c r="O707" s="509"/>
      <c r="P707" s="509"/>
      <c r="Q707" s="509"/>
      <c r="R707" s="509"/>
      <c r="S707" s="509"/>
      <c r="T707" s="509"/>
      <c r="U707" s="509"/>
      <c r="V707" s="509"/>
      <c r="W707" s="509"/>
      <c r="X707" s="509"/>
      <c r="Y707" s="509"/>
      <c r="Z707" s="509"/>
    </row>
    <row r="708" spans="1:26" ht="16.5" customHeight="1" x14ac:dyDescent="0.3">
      <c r="A708" s="509"/>
      <c r="B708" s="509"/>
      <c r="C708" s="509"/>
      <c r="D708" s="509"/>
      <c r="E708" s="509"/>
      <c r="F708" s="509"/>
      <c r="G708" s="509"/>
      <c r="H708" s="509"/>
      <c r="I708" s="509"/>
      <c r="J708" s="509"/>
      <c r="K708" s="509"/>
      <c r="L708" s="509"/>
      <c r="M708" s="509"/>
      <c r="N708" s="509"/>
      <c r="O708" s="509"/>
      <c r="P708" s="509"/>
      <c r="Q708" s="509"/>
      <c r="R708" s="509"/>
      <c r="S708" s="509"/>
      <c r="T708" s="509"/>
      <c r="U708" s="509"/>
      <c r="V708" s="509"/>
      <c r="W708" s="509"/>
      <c r="X708" s="509"/>
      <c r="Y708" s="509"/>
      <c r="Z708" s="509"/>
    </row>
    <row r="709" spans="1:26" ht="16.5" customHeight="1" x14ac:dyDescent="0.3">
      <c r="A709" s="509"/>
      <c r="B709" s="509"/>
      <c r="C709" s="509"/>
      <c r="D709" s="509"/>
      <c r="E709" s="509"/>
      <c r="F709" s="509"/>
      <c r="G709" s="509"/>
      <c r="H709" s="509"/>
      <c r="I709" s="509"/>
      <c r="J709" s="509"/>
      <c r="K709" s="509"/>
      <c r="L709" s="509"/>
      <c r="M709" s="509"/>
      <c r="N709" s="509"/>
      <c r="O709" s="509"/>
      <c r="P709" s="509"/>
      <c r="Q709" s="509"/>
      <c r="R709" s="509"/>
      <c r="S709" s="509"/>
      <c r="T709" s="509"/>
      <c r="U709" s="509"/>
      <c r="V709" s="509"/>
      <c r="W709" s="509"/>
      <c r="X709" s="509"/>
      <c r="Y709" s="509"/>
      <c r="Z709" s="509"/>
    </row>
    <row r="710" spans="1:26" ht="16.5" customHeight="1" x14ac:dyDescent="0.3">
      <c r="A710" s="509"/>
      <c r="B710" s="509"/>
      <c r="C710" s="509"/>
      <c r="D710" s="509"/>
      <c r="E710" s="509"/>
      <c r="F710" s="509"/>
      <c r="G710" s="509"/>
      <c r="H710" s="509"/>
      <c r="I710" s="509"/>
      <c r="J710" s="509"/>
      <c r="K710" s="509"/>
      <c r="L710" s="509"/>
      <c r="M710" s="509"/>
      <c r="N710" s="509"/>
      <c r="O710" s="509"/>
      <c r="P710" s="509"/>
      <c r="Q710" s="509"/>
      <c r="R710" s="509"/>
      <c r="S710" s="509"/>
      <c r="T710" s="509"/>
      <c r="U710" s="509"/>
      <c r="V710" s="509"/>
      <c r="W710" s="509"/>
      <c r="X710" s="509"/>
      <c r="Y710" s="509"/>
      <c r="Z710" s="509"/>
    </row>
    <row r="711" spans="1:26" ht="16.5" customHeight="1" x14ac:dyDescent="0.3">
      <c r="A711" s="509"/>
      <c r="B711" s="509"/>
      <c r="C711" s="509"/>
      <c r="D711" s="509"/>
      <c r="E711" s="509"/>
      <c r="F711" s="509"/>
      <c r="G711" s="509"/>
      <c r="H711" s="509"/>
      <c r="I711" s="509"/>
      <c r="J711" s="509"/>
      <c r="K711" s="509"/>
      <c r="L711" s="509"/>
      <c r="M711" s="509"/>
      <c r="N711" s="509"/>
      <c r="O711" s="509"/>
      <c r="P711" s="509"/>
      <c r="Q711" s="509"/>
      <c r="R711" s="509"/>
      <c r="S711" s="509"/>
      <c r="T711" s="509"/>
      <c r="U711" s="509"/>
      <c r="V711" s="509"/>
      <c r="W711" s="509"/>
      <c r="X711" s="509"/>
      <c r="Y711" s="509"/>
      <c r="Z711" s="509"/>
    </row>
    <row r="712" spans="1:26" ht="16.5" customHeight="1" x14ac:dyDescent="0.3">
      <c r="A712" s="509"/>
      <c r="B712" s="509"/>
      <c r="C712" s="509"/>
      <c r="D712" s="509"/>
      <c r="E712" s="509"/>
      <c r="F712" s="509"/>
      <c r="G712" s="509"/>
      <c r="H712" s="509"/>
      <c r="I712" s="509"/>
      <c r="J712" s="509"/>
      <c r="K712" s="509"/>
      <c r="L712" s="509"/>
      <c r="M712" s="509"/>
      <c r="N712" s="509"/>
      <c r="O712" s="509"/>
      <c r="P712" s="509"/>
      <c r="Q712" s="509"/>
      <c r="R712" s="509"/>
      <c r="S712" s="509"/>
      <c r="T712" s="509"/>
      <c r="U712" s="509"/>
      <c r="V712" s="509"/>
      <c r="W712" s="509"/>
      <c r="X712" s="509"/>
      <c r="Y712" s="509"/>
      <c r="Z712" s="509"/>
    </row>
    <row r="713" spans="1:26" ht="16.5" customHeight="1" x14ac:dyDescent="0.3">
      <c r="A713" s="509"/>
      <c r="B713" s="509"/>
      <c r="C713" s="509"/>
      <c r="D713" s="509"/>
      <c r="E713" s="509"/>
      <c r="F713" s="509"/>
      <c r="G713" s="509"/>
      <c r="H713" s="509"/>
      <c r="I713" s="509"/>
      <c r="J713" s="509"/>
      <c r="K713" s="509"/>
      <c r="L713" s="509"/>
      <c r="M713" s="509"/>
      <c r="N713" s="509"/>
      <c r="O713" s="509"/>
      <c r="P713" s="509"/>
      <c r="Q713" s="509"/>
      <c r="R713" s="509"/>
      <c r="S713" s="509"/>
      <c r="T713" s="509"/>
      <c r="U713" s="509"/>
      <c r="V713" s="509"/>
      <c r="W713" s="509"/>
      <c r="X713" s="509"/>
      <c r="Y713" s="509"/>
      <c r="Z713" s="509"/>
    </row>
    <row r="714" spans="1:26" ht="16.5" customHeight="1" x14ac:dyDescent="0.3">
      <c r="A714" s="509"/>
      <c r="B714" s="509"/>
      <c r="C714" s="509"/>
      <c r="D714" s="509"/>
      <c r="E714" s="509"/>
      <c r="F714" s="509"/>
      <c r="G714" s="509"/>
      <c r="H714" s="509"/>
      <c r="I714" s="509"/>
      <c r="J714" s="509"/>
      <c r="K714" s="509"/>
      <c r="L714" s="509"/>
      <c r="M714" s="509"/>
      <c r="N714" s="509"/>
      <c r="O714" s="509"/>
      <c r="P714" s="509"/>
      <c r="Q714" s="509"/>
      <c r="R714" s="509"/>
      <c r="S714" s="509"/>
      <c r="T714" s="509"/>
      <c r="U714" s="509"/>
      <c r="V714" s="509"/>
      <c r="W714" s="509"/>
      <c r="X714" s="509"/>
      <c r="Y714" s="509"/>
      <c r="Z714" s="509"/>
    </row>
    <row r="715" spans="1:26" ht="16.5" customHeight="1" x14ac:dyDescent="0.3">
      <c r="A715" s="509"/>
      <c r="B715" s="509"/>
      <c r="C715" s="509"/>
      <c r="D715" s="509"/>
      <c r="E715" s="509"/>
      <c r="F715" s="509"/>
      <c r="G715" s="509"/>
      <c r="H715" s="509"/>
      <c r="I715" s="509"/>
      <c r="J715" s="509"/>
      <c r="K715" s="509"/>
      <c r="L715" s="509"/>
      <c r="M715" s="509"/>
      <c r="N715" s="509"/>
      <c r="O715" s="509"/>
      <c r="P715" s="509"/>
      <c r="Q715" s="509"/>
      <c r="R715" s="509"/>
      <c r="S715" s="509"/>
      <c r="T715" s="509"/>
      <c r="U715" s="509"/>
      <c r="V715" s="509"/>
      <c r="W715" s="509"/>
      <c r="X715" s="509"/>
      <c r="Y715" s="509"/>
      <c r="Z715" s="509"/>
    </row>
    <row r="716" spans="1:26" ht="16.5" customHeight="1" x14ac:dyDescent="0.3">
      <c r="A716" s="509"/>
      <c r="B716" s="509"/>
      <c r="C716" s="509"/>
      <c r="D716" s="509"/>
      <c r="E716" s="509"/>
      <c r="F716" s="509"/>
      <c r="G716" s="509"/>
      <c r="H716" s="509"/>
      <c r="I716" s="509"/>
      <c r="J716" s="509"/>
      <c r="K716" s="509"/>
      <c r="L716" s="509"/>
      <c r="M716" s="509"/>
      <c r="N716" s="509"/>
      <c r="O716" s="509"/>
      <c r="P716" s="509"/>
      <c r="Q716" s="509"/>
      <c r="R716" s="509"/>
      <c r="S716" s="509"/>
      <c r="T716" s="509"/>
      <c r="U716" s="509"/>
      <c r="V716" s="509"/>
      <c r="W716" s="509"/>
      <c r="X716" s="509"/>
      <c r="Y716" s="509"/>
      <c r="Z716" s="509"/>
    </row>
    <row r="717" spans="1:26" ht="16.5" customHeight="1" x14ac:dyDescent="0.3">
      <c r="A717" s="509"/>
      <c r="B717" s="509"/>
      <c r="C717" s="509"/>
      <c r="D717" s="509"/>
      <c r="E717" s="509"/>
      <c r="F717" s="509"/>
      <c r="G717" s="509"/>
      <c r="H717" s="509"/>
      <c r="I717" s="509"/>
      <c r="J717" s="509"/>
      <c r="K717" s="509"/>
      <c r="L717" s="509"/>
      <c r="M717" s="509"/>
      <c r="N717" s="509"/>
      <c r="O717" s="509"/>
      <c r="P717" s="509"/>
      <c r="Q717" s="509"/>
      <c r="R717" s="509"/>
      <c r="S717" s="509"/>
      <c r="T717" s="509"/>
      <c r="U717" s="509"/>
      <c r="V717" s="509"/>
      <c r="W717" s="509"/>
      <c r="X717" s="509"/>
      <c r="Y717" s="509"/>
      <c r="Z717" s="509"/>
    </row>
    <row r="718" spans="1:26" ht="16.5" customHeight="1" x14ac:dyDescent="0.3">
      <c r="A718" s="509"/>
      <c r="B718" s="509"/>
      <c r="C718" s="509"/>
      <c r="D718" s="509"/>
      <c r="E718" s="509"/>
      <c r="F718" s="509"/>
      <c r="G718" s="509"/>
      <c r="H718" s="509"/>
      <c r="I718" s="509"/>
      <c r="J718" s="509"/>
      <c r="K718" s="509"/>
      <c r="L718" s="509"/>
      <c r="M718" s="509"/>
      <c r="N718" s="509"/>
      <c r="O718" s="509"/>
      <c r="P718" s="509"/>
      <c r="Q718" s="509"/>
      <c r="R718" s="509"/>
      <c r="S718" s="509"/>
      <c r="T718" s="509"/>
      <c r="U718" s="509"/>
      <c r="V718" s="509"/>
      <c r="W718" s="509"/>
      <c r="X718" s="509"/>
      <c r="Y718" s="509"/>
      <c r="Z718" s="509"/>
    </row>
    <row r="719" spans="1:26" ht="16.5" customHeight="1" x14ac:dyDescent="0.3">
      <c r="A719" s="509"/>
      <c r="B719" s="509"/>
      <c r="C719" s="509"/>
      <c r="D719" s="509"/>
      <c r="E719" s="509"/>
      <c r="F719" s="509"/>
      <c r="G719" s="509"/>
      <c r="H719" s="509"/>
      <c r="I719" s="509"/>
      <c r="J719" s="509"/>
      <c r="K719" s="509"/>
      <c r="L719" s="509"/>
      <c r="M719" s="509"/>
      <c r="N719" s="509"/>
      <c r="O719" s="509"/>
      <c r="P719" s="509"/>
      <c r="Q719" s="509"/>
      <c r="R719" s="509"/>
      <c r="S719" s="509"/>
      <c r="T719" s="509"/>
      <c r="U719" s="509"/>
      <c r="V719" s="509"/>
      <c r="W719" s="509"/>
      <c r="X719" s="509"/>
      <c r="Y719" s="509"/>
      <c r="Z719" s="509"/>
    </row>
    <row r="720" spans="1:26" ht="16.5" customHeight="1" x14ac:dyDescent="0.3">
      <c r="A720" s="509"/>
      <c r="B720" s="509"/>
      <c r="C720" s="509"/>
      <c r="D720" s="509"/>
      <c r="E720" s="509"/>
      <c r="F720" s="509"/>
      <c r="G720" s="509"/>
      <c r="H720" s="509"/>
      <c r="I720" s="509"/>
      <c r="J720" s="509"/>
      <c r="K720" s="509"/>
      <c r="L720" s="509"/>
      <c r="M720" s="509"/>
      <c r="N720" s="509"/>
      <c r="O720" s="509"/>
      <c r="P720" s="509"/>
      <c r="Q720" s="509"/>
      <c r="R720" s="509"/>
      <c r="S720" s="509"/>
      <c r="T720" s="509"/>
      <c r="U720" s="509"/>
      <c r="V720" s="509"/>
      <c r="W720" s="509"/>
      <c r="X720" s="509"/>
      <c r="Y720" s="509"/>
      <c r="Z720" s="509"/>
    </row>
    <row r="721" spans="1:26" ht="16.5" customHeight="1" x14ac:dyDescent="0.3">
      <c r="A721" s="509"/>
      <c r="B721" s="509"/>
      <c r="C721" s="509"/>
      <c r="D721" s="509"/>
      <c r="E721" s="509"/>
      <c r="F721" s="509"/>
      <c r="G721" s="509"/>
      <c r="H721" s="509"/>
      <c r="I721" s="509"/>
      <c r="J721" s="509"/>
      <c r="K721" s="509"/>
      <c r="L721" s="509"/>
      <c r="M721" s="509"/>
      <c r="N721" s="509"/>
      <c r="O721" s="509"/>
      <c r="P721" s="509"/>
      <c r="Q721" s="509"/>
      <c r="R721" s="509"/>
      <c r="S721" s="509"/>
      <c r="T721" s="509"/>
      <c r="U721" s="509"/>
      <c r="V721" s="509"/>
      <c r="W721" s="509"/>
      <c r="X721" s="509"/>
      <c r="Y721" s="509"/>
      <c r="Z721" s="509"/>
    </row>
    <row r="722" spans="1:26" ht="16.5" customHeight="1" x14ac:dyDescent="0.3">
      <c r="A722" s="509"/>
      <c r="B722" s="509"/>
      <c r="C722" s="509"/>
      <c r="D722" s="509"/>
      <c r="E722" s="509"/>
      <c r="F722" s="509"/>
      <c r="G722" s="509"/>
      <c r="H722" s="509"/>
      <c r="I722" s="509"/>
      <c r="J722" s="509"/>
      <c r="K722" s="509"/>
      <c r="L722" s="509"/>
      <c r="M722" s="509"/>
      <c r="N722" s="509"/>
      <c r="O722" s="509"/>
      <c r="P722" s="509"/>
      <c r="Q722" s="509"/>
      <c r="R722" s="509"/>
      <c r="S722" s="509"/>
      <c r="T722" s="509"/>
      <c r="U722" s="509"/>
      <c r="V722" s="509"/>
      <c r="W722" s="509"/>
      <c r="X722" s="509"/>
      <c r="Y722" s="509"/>
      <c r="Z722" s="509"/>
    </row>
    <row r="723" spans="1:26" ht="16.5" customHeight="1" x14ac:dyDescent="0.3">
      <c r="A723" s="509"/>
      <c r="B723" s="509"/>
      <c r="C723" s="509"/>
      <c r="D723" s="509"/>
      <c r="E723" s="509"/>
      <c r="F723" s="509"/>
      <c r="G723" s="509"/>
      <c r="H723" s="509"/>
      <c r="I723" s="509"/>
      <c r="J723" s="509"/>
      <c r="K723" s="509"/>
      <c r="L723" s="509"/>
      <c r="M723" s="509"/>
      <c r="N723" s="509"/>
      <c r="O723" s="509"/>
      <c r="P723" s="509"/>
      <c r="Q723" s="509"/>
      <c r="R723" s="509"/>
      <c r="S723" s="509"/>
      <c r="T723" s="509"/>
      <c r="U723" s="509"/>
      <c r="V723" s="509"/>
      <c r="W723" s="509"/>
      <c r="X723" s="509"/>
      <c r="Y723" s="509"/>
      <c r="Z723" s="509"/>
    </row>
    <row r="724" spans="1:26" ht="16.5" customHeight="1" x14ac:dyDescent="0.3">
      <c r="A724" s="509"/>
      <c r="B724" s="509"/>
      <c r="C724" s="509"/>
      <c r="D724" s="509"/>
      <c r="E724" s="509"/>
      <c r="F724" s="509"/>
      <c r="G724" s="509"/>
      <c r="H724" s="509"/>
      <c r="I724" s="509"/>
      <c r="J724" s="509"/>
      <c r="K724" s="509"/>
      <c r="L724" s="509"/>
      <c r="M724" s="509"/>
      <c r="N724" s="509"/>
      <c r="O724" s="509"/>
      <c r="P724" s="509"/>
      <c r="Q724" s="509"/>
      <c r="R724" s="509"/>
      <c r="S724" s="509"/>
      <c r="T724" s="509"/>
      <c r="U724" s="509"/>
      <c r="V724" s="509"/>
      <c r="W724" s="509"/>
      <c r="X724" s="509"/>
      <c r="Y724" s="509"/>
      <c r="Z724" s="509"/>
    </row>
    <row r="725" spans="1:26" ht="16.5" customHeight="1" x14ac:dyDescent="0.3">
      <c r="A725" s="509"/>
      <c r="B725" s="509"/>
      <c r="C725" s="509"/>
      <c r="D725" s="509"/>
      <c r="E725" s="509"/>
      <c r="F725" s="509"/>
      <c r="G725" s="509"/>
      <c r="H725" s="509"/>
      <c r="I725" s="509"/>
      <c r="J725" s="509"/>
      <c r="K725" s="509"/>
      <c r="L725" s="509"/>
      <c r="M725" s="509"/>
      <c r="N725" s="509"/>
      <c r="O725" s="509"/>
      <c r="P725" s="509"/>
      <c r="Q725" s="509"/>
      <c r="R725" s="509"/>
      <c r="S725" s="509"/>
      <c r="T725" s="509"/>
      <c r="U725" s="509"/>
      <c r="V725" s="509"/>
      <c r="W725" s="509"/>
      <c r="X725" s="509"/>
      <c r="Y725" s="509"/>
      <c r="Z725" s="509"/>
    </row>
    <row r="726" spans="1:26" ht="16.5" customHeight="1" x14ac:dyDescent="0.3">
      <c r="A726" s="509"/>
      <c r="B726" s="509"/>
      <c r="C726" s="509"/>
      <c r="D726" s="509"/>
      <c r="E726" s="509"/>
      <c r="F726" s="509"/>
      <c r="G726" s="509"/>
      <c r="H726" s="509"/>
      <c r="I726" s="509"/>
      <c r="J726" s="509"/>
      <c r="K726" s="509"/>
      <c r="L726" s="509"/>
      <c r="M726" s="509"/>
      <c r="N726" s="509"/>
      <c r="O726" s="509"/>
      <c r="P726" s="509"/>
      <c r="Q726" s="509"/>
      <c r="R726" s="509"/>
      <c r="S726" s="509"/>
      <c r="T726" s="509"/>
      <c r="U726" s="509"/>
      <c r="V726" s="509"/>
      <c r="W726" s="509"/>
      <c r="X726" s="509"/>
      <c r="Y726" s="509"/>
      <c r="Z726" s="509"/>
    </row>
    <row r="727" spans="1:26" ht="16.5" customHeight="1" x14ac:dyDescent="0.3">
      <c r="A727" s="509"/>
      <c r="B727" s="509"/>
      <c r="C727" s="509"/>
      <c r="D727" s="509"/>
      <c r="E727" s="509"/>
      <c r="F727" s="509"/>
      <c r="G727" s="509"/>
      <c r="H727" s="509"/>
      <c r="I727" s="509"/>
      <c r="J727" s="509"/>
      <c r="K727" s="509"/>
      <c r="L727" s="509"/>
      <c r="M727" s="509"/>
      <c r="N727" s="509"/>
      <c r="O727" s="509"/>
      <c r="P727" s="509"/>
      <c r="Q727" s="509"/>
      <c r="R727" s="509"/>
      <c r="S727" s="509"/>
      <c r="T727" s="509"/>
      <c r="U727" s="509"/>
      <c r="V727" s="509"/>
      <c r="W727" s="509"/>
      <c r="X727" s="509"/>
      <c r="Y727" s="509"/>
      <c r="Z727" s="509"/>
    </row>
    <row r="728" spans="1:26" ht="16.5" customHeight="1" x14ac:dyDescent="0.3">
      <c r="A728" s="509"/>
      <c r="B728" s="509"/>
      <c r="C728" s="509"/>
      <c r="D728" s="509"/>
      <c r="E728" s="509"/>
      <c r="F728" s="509"/>
      <c r="G728" s="509"/>
      <c r="H728" s="509"/>
      <c r="I728" s="509"/>
      <c r="J728" s="509"/>
      <c r="K728" s="509"/>
      <c r="L728" s="509"/>
      <c r="M728" s="509"/>
      <c r="N728" s="509"/>
      <c r="O728" s="509"/>
      <c r="P728" s="509"/>
      <c r="Q728" s="509"/>
      <c r="R728" s="509"/>
      <c r="S728" s="509"/>
      <c r="T728" s="509"/>
      <c r="U728" s="509"/>
      <c r="V728" s="509"/>
      <c r="W728" s="509"/>
      <c r="X728" s="509"/>
      <c r="Y728" s="509"/>
      <c r="Z728" s="509"/>
    </row>
    <row r="729" spans="1:26" ht="16.5" customHeight="1" x14ac:dyDescent="0.3">
      <c r="A729" s="509"/>
      <c r="B729" s="509"/>
      <c r="C729" s="509"/>
      <c r="D729" s="509"/>
      <c r="E729" s="509"/>
      <c r="F729" s="509"/>
      <c r="G729" s="509"/>
      <c r="H729" s="509"/>
      <c r="I729" s="509"/>
      <c r="J729" s="509"/>
      <c r="K729" s="509"/>
      <c r="L729" s="509"/>
      <c r="M729" s="509"/>
      <c r="N729" s="509"/>
      <c r="O729" s="509"/>
      <c r="P729" s="509"/>
      <c r="Q729" s="509"/>
      <c r="R729" s="509"/>
      <c r="S729" s="509"/>
      <c r="T729" s="509"/>
      <c r="U729" s="509"/>
      <c r="V729" s="509"/>
      <c r="W729" s="509"/>
      <c r="X729" s="509"/>
      <c r="Y729" s="509"/>
      <c r="Z729" s="509"/>
    </row>
    <row r="730" spans="1:26" ht="16.5" customHeight="1" x14ac:dyDescent="0.3">
      <c r="A730" s="509"/>
      <c r="B730" s="509"/>
      <c r="C730" s="509"/>
      <c r="D730" s="509"/>
      <c r="E730" s="509"/>
      <c r="F730" s="509"/>
      <c r="G730" s="509"/>
      <c r="H730" s="509"/>
      <c r="I730" s="509"/>
      <c r="J730" s="509"/>
      <c r="K730" s="509"/>
      <c r="L730" s="509"/>
      <c r="M730" s="509"/>
      <c r="N730" s="509"/>
      <c r="O730" s="509"/>
      <c r="P730" s="509"/>
      <c r="Q730" s="509"/>
      <c r="R730" s="509"/>
      <c r="S730" s="509"/>
      <c r="T730" s="509"/>
      <c r="U730" s="509"/>
      <c r="V730" s="509"/>
      <c r="W730" s="509"/>
      <c r="X730" s="509"/>
      <c r="Y730" s="509"/>
      <c r="Z730" s="509"/>
    </row>
    <row r="731" spans="1:26" ht="16.5" customHeight="1" x14ac:dyDescent="0.3">
      <c r="A731" s="509"/>
      <c r="B731" s="509"/>
      <c r="C731" s="509"/>
      <c r="D731" s="509"/>
      <c r="E731" s="509"/>
      <c r="F731" s="509"/>
      <c r="G731" s="509"/>
      <c r="H731" s="509"/>
      <c r="I731" s="509"/>
      <c r="J731" s="509"/>
      <c r="K731" s="509"/>
      <c r="L731" s="509"/>
      <c r="M731" s="509"/>
      <c r="N731" s="509"/>
      <c r="O731" s="509"/>
      <c r="P731" s="509"/>
      <c r="Q731" s="509"/>
      <c r="R731" s="509"/>
      <c r="S731" s="509"/>
      <c r="T731" s="509"/>
      <c r="U731" s="509"/>
      <c r="V731" s="509"/>
      <c r="W731" s="509"/>
      <c r="X731" s="509"/>
      <c r="Y731" s="509"/>
      <c r="Z731" s="509"/>
    </row>
    <row r="732" spans="1:26" ht="16.5" customHeight="1" x14ac:dyDescent="0.3">
      <c r="A732" s="509"/>
      <c r="B732" s="509"/>
      <c r="C732" s="509"/>
      <c r="D732" s="509"/>
      <c r="E732" s="509"/>
      <c r="F732" s="509"/>
      <c r="G732" s="509"/>
      <c r="H732" s="509"/>
      <c r="I732" s="509"/>
      <c r="J732" s="509"/>
      <c r="K732" s="509"/>
      <c r="L732" s="509"/>
      <c r="M732" s="509"/>
      <c r="N732" s="509"/>
      <c r="O732" s="509"/>
      <c r="P732" s="509"/>
      <c r="Q732" s="509"/>
      <c r="R732" s="509"/>
      <c r="S732" s="509"/>
      <c r="T732" s="509"/>
      <c r="U732" s="509"/>
      <c r="V732" s="509"/>
      <c r="W732" s="509"/>
      <c r="X732" s="509"/>
      <c r="Y732" s="509"/>
      <c r="Z732" s="509"/>
    </row>
    <row r="733" spans="1:26" ht="16.5" customHeight="1" x14ac:dyDescent="0.3">
      <c r="A733" s="509"/>
      <c r="B733" s="509"/>
      <c r="C733" s="509"/>
      <c r="D733" s="509"/>
      <c r="E733" s="509"/>
      <c r="F733" s="509"/>
      <c r="G733" s="509"/>
      <c r="H733" s="509"/>
      <c r="I733" s="509"/>
      <c r="J733" s="509"/>
      <c r="K733" s="509"/>
      <c r="L733" s="509"/>
      <c r="M733" s="509"/>
      <c r="N733" s="509"/>
      <c r="O733" s="509"/>
      <c r="P733" s="509"/>
      <c r="Q733" s="509"/>
      <c r="R733" s="509"/>
      <c r="S733" s="509"/>
      <c r="T733" s="509"/>
      <c r="U733" s="509"/>
      <c r="V733" s="509"/>
      <c r="W733" s="509"/>
      <c r="X733" s="509"/>
      <c r="Y733" s="509"/>
      <c r="Z733" s="509"/>
    </row>
    <row r="734" spans="1:26" ht="16.5" customHeight="1" x14ac:dyDescent="0.3">
      <c r="A734" s="509"/>
      <c r="B734" s="509"/>
      <c r="C734" s="509"/>
      <c r="D734" s="509"/>
      <c r="E734" s="509"/>
      <c r="F734" s="509"/>
      <c r="G734" s="509"/>
      <c r="H734" s="509"/>
      <c r="I734" s="509"/>
      <c r="J734" s="509"/>
      <c r="K734" s="509"/>
      <c r="L734" s="509"/>
      <c r="M734" s="509"/>
      <c r="N734" s="509"/>
      <c r="O734" s="509"/>
      <c r="P734" s="509"/>
      <c r="Q734" s="509"/>
      <c r="R734" s="509"/>
      <c r="S734" s="509"/>
      <c r="T734" s="509"/>
      <c r="U734" s="509"/>
      <c r="V734" s="509"/>
      <c r="W734" s="509"/>
      <c r="X734" s="509"/>
      <c r="Y734" s="509"/>
      <c r="Z734" s="509"/>
    </row>
    <row r="735" spans="1:26" ht="16.5" customHeight="1" x14ac:dyDescent="0.3">
      <c r="A735" s="509"/>
      <c r="B735" s="509"/>
      <c r="C735" s="509"/>
      <c r="D735" s="509"/>
      <c r="E735" s="509"/>
      <c r="F735" s="509"/>
      <c r="G735" s="509"/>
      <c r="H735" s="509"/>
      <c r="I735" s="509"/>
      <c r="J735" s="509"/>
      <c r="K735" s="509"/>
      <c r="L735" s="509"/>
      <c r="M735" s="509"/>
      <c r="N735" s="509"/>
      <c r="O735" s="509"/>
      <c r="P735" s="509"/>
      <c r="Q735" s="509"/>
      <c r="R735" s="509"/>
      <c r="S735" s="509"/>
      <c r="T735" s="509"/>
      <c r="U735" s="509"/>
      <c r="V735" s="509"/>
      <c r="W735" s="509"/>
      <c r="X735" s="509"/>
      <c r="Y735" s="509"/>
      <c r="Z735" s="509"/>
    </row>
    <row r="736" spans="1:26" ht="16.5" customHeight="1" x14ac:dyDescent="0.3">
      <c r="A736" s="509"/>
      <c r="B736" s="509"/>
      <c r="C736" s="509"/>
      <c r="D736" s="509"/>
      <c r="E736" s="509"/>
      <c r="F736" s="509"/>
      <c r="G736" s="509"/>
      <c r="H736" s="509"/>
      <c r="I736" s="509"/>
      <c r="J736" s="509"/>
      <c r="K736" s="509"/>
      <c r="L736" s="509"/>
      <c r="M736" s="509"/>
      <c r="N736" s="509"/>
      <c r="O736" s="509"/>
      <c r="P736" s="509"/>
      <c r="Q736" s="509"/>
      <c r="R736" s="509"/>
      <c r="S736" s="509"/>
      <c r="T736" s="509"/>
      <c r="U736" s="509"/>
      <c r="V736" s="509"/>
      <c r="W736" s="509"/>
      <c r="X736" s="509"/>
      <c r="Y736" s="509"/>
      <c r="Z736" s="509"/>
    </row>
    <row r="737" spans="1:26" ht="16.5" customHeight="1" x14ac:dyDescent="0.3">
      <c r="A737" s="509"/>
      <c r="B737" s="509"/>
      <c r="C737" s="509"/>
      <c r="D737" s="509"/>
      <c r="E737" s="509"/>
      <c r="F737" s="509"/>
      <c r="G737" s="509"/>
      <c r="H737" s="509"/>
      <c r="I737" s="509"/>
      <c r="J737" s="509"/>
      <c r="K737" s="509"/>
      <c r="L737" s="509"/>
      <c r="M737" s="509"/>
      <c r="N737" s="509"/>
      <c r="O737" s="509"/>
      <c r="P737" s="509"/>
      <c r="Q737" s="509"/>
      <c r="R737" s="509"/>
      <c r="S737" s="509"/>
      <c r="T737" s="509"/>
      <c r="U737" s="509"/>
      <c r="V737" s="509"/>
      <c r="W737" s="509"/>
      <c r="X737" s="509"/>
      <c r="Y737" s="509"/>
      <c r="Z737" s="509"/>
    </row>
    <row r="738" spans="1:26" ht="16.5" customHeight="1" x14ac:dyDescent="0.3">
      <c r="A738" s="509"/>
      <c r="B738" s="509"/>
      <c r="C738" s="509"/>
      <c r="D738" s="509"/>
      <c r="E738" s="509"/>
      <c r="F738" s="509"/>
      <c r="G738" s="509"/>
      <c r="H738" s="509"/>
      <c r="I738" s="509"/>
      <c r="J738" s="509"/>
      <c r="K738" s="509"/>
      <c r="L738" s="509"/>
      <c r="M738" s="509"/>
      <c r="N738" s="509"/>
      <c r="O738" s="509"/>
      <c r="P738" s="509"/>
      <c r="Q738" s="509"/>
      <c r="R738" s="509"/>
      <c r="S738" s="509"/>
      <c r="T738" s="509"/>
      <c r="U738" s="509"/>
      <c r="V738" s="509"/>
      <c r="W738" s="509"/>
      <c r="X738" s="509"/>
      <c r="Y738" s="509"/>
      <c r="Z738" s="509"/>
    </row>
    <row r="739" spans="1:26" ht="16.5" customHeight="1" x14ac:dyDescent="0.3">
      <c r="A739" s="509"/>
      <c r="B739" s="509"/>
      <c r="C739" s="509"/>
      <c r="D739" s="509"/>
      <c r="E739" s="509"/>
      <c r="F739" s="509"/>
      <c r="G739" s="509"/>
      <c r="H739" s="509"/>
      <c r="I739" s="509"/>
      <c r="J739" s="509"/>
      <c r="K739" s="509"/>
      <c r="L739" s="509"/>
      <c r="M739" s="509"/>
      <c r="N739" s="509"/>
      <c r="O739" s="509"/>
      <c r="P739" s="509"/>
      <c r="Q739" s="509"/>
      <c r="R739" s="509"/>
      <c r="S739" s="509"/>
      <c r="T739" s="509"/>
      <c r="U739" s="509"/>
      <c r="V739" s="509"/>
      <c r="W739" s="509"/>
      <c r="X739" s="509"/>
      <c r="Y739" s="509"/>
      <c r="Z739" s="509"/>
    </row>
    <row r="740" spans="1:26" ht="16.5" customHeight="1" x14ac:dyDescent="0.3">
      <c r="A740" s="509"/>
      <c r="B740" s="509"/>
      <c r="C740" s="509"/>
      <c r="D740" s="509"/>
      <c r="E740" s="509"/>
      <c r="F740" s="509"/>
      <c r="G740" s="509"/>
      <c r="H740" s="509"/>
      <c r="I740" s="509"/>
      <c r="J740" s="509"/>
      <c r="K740" s="509"/>
      <c r="L740" s="509"/>
      <c r="M740" s="509"/>
      <c r="N740" s="509"/>
      <c r="O740" s="509"/>
      <c r="P740" s="509"/>
      <c r="Q740" s="509"/>
      <c r="R740" s="509"/>
      <c r="S740" s="509"/>
      <c r="T740" s="509"/>
      <c r="U740" s="509"/>
      <c r="V740" s="509"/>
      <c r="W740" s="509"/>
      <c r="X740" s="509"/>
      <c r="Y740" s="509"/>
      <c r="Z740" s="509"/>
    </row>
    <row r="741" spans="1:26" ht="16.5" customHeight="1" x14ac:dyDescent="0.3">
      <c r="A741" s="509"/>
      <c r="B741" s="509"/>
      <c r="C741" s="509"/>
      <c r="D741" s="509"/>
      <c r="E741" s="509"/>
      <c r="F741" s="509"/>
      <c r="G741" s="509"/>
      <c r="H741" s="509"/>
      <c r="I741" s="509"/>
      <c r="J741" s="509"/>
      <c r="K741" s="509"/>
      <c r="L741" s="509"/>
      <c r="M741" s="509"/>
      <c r="N741" s="509"/>
      <c r="O741" s="509"/>
      <c r="P741" s="509"/>
      <c r="Q741" s="509"/>
      <c r="R741" s="509"/>
      <c r="S741" s="509"/>
      <c r="T741" s="509"/>
      <c r="U741" s="509"/>
      <c r="V741" s="509"/>
      <c r="W741" s="509"/>
      <c r="X741" s="509"/>
      <c r="Y741" s="509"/>
      <c r="Z741" s="509"/>
    </row>
    <row r="742" spans="1:26" ht="16.5" customHeight="1" x14ac:dyDescent="0.3">
      <c r="A742" s="509"/>
      <c r="B742" s="509"/>
      <c r="C742" s="509"/>
      <c r="D742" s="509"/>
      <c r="E742" s="509"/>
      <c r="F742" s="509"/>
      <c r="G742" s="509"/>
      <c r="H742" s="509"/>
      <c r="I742" s="509"/>
      <c r="J742" s="509"/>
      <c r="K742" s="509"/>
      <c r="L742" s="509"/>
      <c r="M742" s="509"/>
      <c r="N742" s="509"/>
      <c r="O742" s="509"/>
      <c r="P742" s="509"/>
      <c r="Q742" s="509"/>
      <c r="R742" s="509"/>
      <c r="S742" s="509"/>
      <c r="T742" s="509"/>
      <c r="U742" s="509"/>
      <c r="V742" s="509"/>
      <c r="W742" s="509"/>
      <c r="X742" s="509"/>
      <c r="Y742" s="509"/>
      <c r="Z742" s="509"/>
    </row>
    <row r="743" spans="1:26" ht="16.5" customHeight="1" x14ac:dyDescent="0.3">
      <c r="A743" s="509"/>
      <c r="B743" s="509"/>
      <c r="C743" s="509"/>
      <c r="D743" s="509"/>
      <c r="E743" s="509"/>
      <c r="F743" s="509"/>
      <c r="G743" s="509"/>
      <c r="H743" s="509"/>
      <c r="I743" s="509"/>
      <c r="J743" s="509"/>
      <c r="K743" s="509"/>
      <c r="L743" s="509"/>
      <c r="M743" s="509"/>
      <c r="N743" s="509"/>
      <c r="O743" s="509"/>
      <c r="P743" s="509"/>
      <c r="Q743" s="509"/>
      <c r="R743" s="509"/>
      <c r="S743" s="509"/>
      <c r="T743" s="509"/>
      <c r="U743" s="509"/>
      <c r="V743" s="509"/>
      <c r="W743" s="509"/>
      <c r="X743" s="509"/>
      <c r="Y743" s="509"/>
      <c r="Z743" s="509"/>
    </row>
    <row r="744" spans="1:26" ht="16.5" customHeight="1" x14ac:dyDescent="0.3">
      <c r="A744" s="509"/>
      <c r="B744" s="509"/>
      <c r="C744" s="509"/>
      <c r="D744" s="509"/>
      <c r="E744" s="509"/>
      <c r="F744" s="509"/>
      <c r="G744" s="509"/>
      <c r="H744" s="509"/>
      <c r="I744" s="509"/>
      <c r="J744" s="509"/>
      <c r="K744" s="509"/>
      <c r="L744" s="509"/>
      <c r="M744" s="509"/>
      <c r="N744" s="509"/>
      <c r="O744" s="509"/>
      <c r="P744" s="509"/>
      <c r="Q744" s="509"/>
      <c r="R744" s="509"/>
      <c r="S744" s="509"/>
      <c r="T744" s="509"/>
      <c r="U744" s="509"/>
      <c r="V744" s="509"/>
      <c r="W744" s="509"/>
      <c r="X744" s="509"/>
      <c r="Y744" s="509"/>
      <c r="Z744" s="509"/>
    </row>
    <row r="745" spans="1:26" ht="16.5" customHeight="1" x14ac:dyDescent="0.3">
      <c r="A745" s="509"/>
      <c r="B745" s="509"/>
      <c r="C745" s="509"/>
      <c r="D745" s="509"/>
      <c r="E745" s="509"/>
      <c r="F745" s="509"/>
      <c r="G745" s="509"/>
      <c r="H745" s="509"/>
      <c r="I745" s="509"/>
      <c r="J745" s="509"/>
      <c r="K745" s="509"/>
      <c r="L745" s="509"/>
      <c r="M745" s="509"/>
      <c r="N745" s="509"/>
      <c r="O745" s="509"/>
      <c r="P745" s="509"/>
      <c r="Q745" s="509"/>
      <c r="R745" s="509"/>
      <c r="S745" s="509"/>
      <c r="T745" s="509"/>
      <c r="U745" s="509"/>
      <c r="V745" s="509"/>
      <c r="W745" s="509"/>
      <c r="X745" s="509"/>
      <c r="Y745" s="509"/>
      <c r="Z745" s="509"/>
    </row>
    <row r="746" spans="1:26" ht="16.5" customHeight="1" x14ac:dyDescent="0.3">
      <c r="A746" s="509"/>
      <c r="B746" s="509"/>
      <c r="C746" s="509"/>
      <c r="D746" s="509"/>
      <c r="E746" s="509"/>
      <c r="F746" s="509"/>
      <c r="G746" s="509"/>
      <c r="H746" s="509"/>
      <c r="I746" s="509"/>
      <c r="J746" s="509"/>
      <c r="K746" s="509"/>
      <c r="L746" s="509"/>
      <c r="M746" s="509"/>
      <c r="N746" s="509"/>
      <c r="O746" s="509"/>
      <c r="P746" s="509"/>
      <c r="Q746" s="509"/>
      <c r="R746" s="509"/>
      <c r="S746" s="509"/>
      <c r="T746" s="509"/>
      <c r="U746" s="509"/>
      <c r="V746" s="509"/>
      <c r="W746" s="509"/>
      <c r="X746" s="509"/>
      <c r="Y746" s="509"/>
      <c r="Z746" s="509"/>
    </row>
    <row r="747" spans="1:26" ht="16.5" customHeight="1" x14ac:dyDescent="0.3">
      <c r="A747" s="509"/>
      <c r="B747" s="509"/>
      <c r="C747" s="509"/>
      <c r="D747" s="509"/>
      <c r="E747" s="509"/>
      <c r="F747" s="509"/>
      <c r="G747" s="509"/>
      <c r="H747" s="509"/>
      <c r="I747" s="509"/>
      <c r="J747" s="509"/>
      <c r="K747" s="509"/>
      <c r="L747" s="509"/>
      <c r="M747" s="509"/>
      <c r="N747" s="509"/>
      <c r="O747" s="509"/>
      <c r="P747" s="509"/>
      <c r="Q747" s="509"/>
      <c r="R747" s="509"/>
      <c r="S747" s="509"/>
      <c r="T747" s="509"/>
      <c r="U747" s="509"/>
      <c r="V747" s="509"/>
      <c r="W747" s="509"/>
      <c r="X747" s="509"/>
      <c r="Y747" s="509"/>
      <c r="Z747" s="509"/>
    </row>
    <row r="748" spans="1:26" ht="16.5" customHeight="1" x14ac:dyDescent="0.3">
      <c r="A748" s="509"/>
      <c r="B748" s="509"/>
      <c r="C748" s="509"/>
      <c r="D748" s="509"/>
      <c r="E748" s="509"/>
      <c r="F748" s="509"/>
      <c r="G748" s="509"/>
      <c r="H748" s="509"/>
      <c r="I748" s="509"/>
      <c r="J748" s="509"/>
      <c r="K748" s="509"/>
      <c r="L748" s="509"/>
      <c r="M748" s="509"/>
      <c r="N748" s="509"/>
      <c r="O748" s="509"/>
      <c r="P748" s="509"/>
      <c r="Q748" s="509"/>
      <c r="R748" s="509"/>
      <c r="S748" s="509"/>
      <c r="T748" s="509"/>
      <c r="U748" s="509"/>
      <c r="V748" s="509"/>
      <c r="W748" s="509"/>
      <c r="X748" s="509"/>
      <c r="Y748" s="509"/>
      <c r="Z748" s="509"/>
    </row>
    <row r="749" spans="1:26" ht="16.5" customHeight="1" x14ac:dyDescent="0.3">
      <c r="A749" s="509"/>
      <c r="B749" s="509"/>
      <c r="C749" s="509"/>
      <c r="D749" s="509"/>
      <c r="E749" s="509"/>
      <c r="F749" s="509"/>
      <c r="G749" s="509"/>
      <c r="H749" s="509"/>
      <c r="I749" s="509"/>
      <c r="J749" s="509"/>
      <c r="K749" s="509"/>
      <c r="L749" s="509"/>
      <c r="M749" s="509"/>
      <c r="N749" s="509"/>
      <c r="O749" s="509"/>
      <c r="P749" s="509"/>
      <c r="Q749" s="509"/>
      <c r="R749" s="509"/>
      <c r="S749" s="509"/>
      <c r="T749" s="509"/>
      <c r="U749" s="509"/>
      <c r="V749" s="509"/>
      <c r="W749" s="509"/>
      <c r="X749" s="509"/>
      <c r="Y749" s="509"/>
      <c r="Z749" s="509"/>
    </row>
    <row r="750" spans="1:26" ht="16.5" customHeight="1" x14ac:dyDescent="0.3">
      <c r="A750" s="509"/>
      <c r="B750" s="509"/>
      <c r="C750" s="509"/>
      <c r="D750" s="509"/>
      <c r="E750" s="509"/>
      <c r="F750" s="509"/>
      <c r="G750" s="509"/>
      <c r="H750" s="509"/>
      <c r="I750" s="509"/>
      <c r="J750" s="509"/>
      <c r="K750" s="509"/>
      <c r="L750" s="509"/>
      <c r="M750" s="509"/>
      <c r="N750" s="509"/>
      <c r="O750" s="509"/>
      <c r="P750" s="509"/>
      <c r="Q750" s="509"/>
      <c r="R750" s="509"/>
      <c r="S750" s="509"/>
      <c r="T750" s="509"/>
      <c r="U750" s="509"/>
      <c r="V750" s="509"/>
      <c r="W750" s="509"/>
      <c r="X750" s="509"/>
      <c r="Y750" s="509"/>
      <c r="Z750" s="509"/>
    </row>
    <row r="751" spans="1:26" ht="16.5" customHeight="1" x14ac:dyDescent="0.3">
      <c r="A751" s="509"/>
      <c r="B751" s="509"/>
      <c r="C751" s="509"/>
      <c r="D751" s="509"/>
      <c r="E751" s="509"/>
      <c r="F751" s="509"/>
      <c r="G751" s="509"/>
      <c r="H751" s="509"/>
      <c r="I751" s="509"/>
      <c r="J751" s="509"/>
      <c r="K751" s="509"/>
      <c r="L751" s="509"/>
      <c r="M751" s="509"/>
      <c r="N751" s="509"/>
      <c r="O751" s="509"/>
      <c r="P751" s="509"/>
      <c r="Q751" s="509"/>
      <c r="R751" s="509"/>
      <c r="S751" s="509"/>
      <c r="T751" s="509"/>
      <c r="U751" s="509"/>
      <c r="V751" s="509"/>
      <c r="W751" s="509"/>
      <c r="X751" s="509"/>
      <c r="Y751" s="509"/>
      <c r="Z751" s="509"/>
    </row>
    <row r="752" spans="1:26" ht="16.5" customHeight="1" x14ac:dyDescent="0.3">
      <c r="A752" s="509"/>
      <c r="B752" s="509"/>
      <c r="C752" s="509"/>
      <c r="D752" s="509"/>
      <c r="E752" s="509"/>
      <c r="F752" s="509"/>
      <c r="G752" s="509"/>
      <c r="H752" s="509"/>
      <c r="I752" s="509"/>
      <c r="J752" s="509"/>
      <c r="K752" s="509"/>
      <c r="L752" s="509"/>
      <c r="M752" s="509"/>
      <c r="N752" s="509"/>
      <c r="O752" s="509"/>
      <c r="P752" s="509"/>
      <c r="Q752" s="509"/>
      <c r="R752" s="509"/>
      <c r="S752" s="509"/>
      <c r="T752" s="509"/>
      <c r="U752" s="509"/>
      <c r="V752" s="509"/>
      <c r="W752" s="509"/>
      <c r="X752" s="509"/>
      <c r="Y752" s="509"/>
      <c r="Z752" s="509"/>
    </row>
    <row r="753" spans="1:26" ht="16.5" customHeight="1" x14ac:dyDescent="0.3">
      <c r="A753" s="509"/>
      <c r="B753" s="509"/>
      <c r="C753" s="509"/>
      <c r="D753" s="509"/>
      <c r="E753" s="509"/>
      <c r="F753" s="509"/>
      <c r="G753" s="509"/>
      <c r="H753" s="509"/>
      <c r="I753" s="509"/>
      <c r="J753" s="509"/>
      <c r="K753" s="509"/>
      <c r="L753" s="509"/>
      <c r="M753" s="509"/>
      <c r="N753" s="509"/>
      <c r="O753" s="509"/>
      <c r="P753" s="509"/>
      <c r="Q753" s="509"/>
      <c r="R753" s="509"/>
      <c r="S753" s="509"/>
      <c r="T753" s="509"/>
      <c r="U753" s="509"/>
      <c r="V753" s="509"/>
      <c r="W753" s="509"/>
      <c r="X753" s="509"/>
      <c r="Y753" s="509"/>
      <c r="Z753" s="509"/>
    </row>
    <row r="754" spans="1:26" ht="16.5" customHeight="1" x14ac:dyDescent="0.3">
      <c r="A754" s="509"/>
      <c r="B754" s="509"/>
      <c r="C754" s="509"/>
      <c r="D754" s="509"/>
      <c r="E754" s="509"/>
      <c r="F754" s="509"/>
      <c r="G754" s="509"/>
      <c r="H754" s="509"/>
      <c r="I754" s="509"/>
      <c r="J754" s="509"/>
      <c r="K754" s="509"/>
      <c r="L754" s="509"/>
      <c r="M754" s="509"/>
      <c r="N754" s="509"/>
      <c r="O754" s="509"/>
      <c r="P754" s="509"/>
      <c r="Q754" s="509"/>
      <c r="R754" s="509"/>
      <c r="S754" s="509"/>
      <c r="T754" s="509"/>
      <c r="U754" s="509"/>
      <c r="V754" s="509"/>
      <c r="W754" s="509"/>
      <c r="X754" s="509"/>
      <c r="Y754" s="509"/>
      <c r="Z754" s="509"/>
    </row>
    <row r="755" spans="1:26" ht="16.5" customHeight="1" x14ac:dyDescent="0.3">
      <c r="A755" s="509"/>
      <c r="B755" s="509"/>
      <c r="C755" s="509"/>
      <c r="D755" s="509"/>
      <c r="E755" s="509"/>
      <c r="F755" s="509"/>
      <c r="G755" s="509"/>
      <c r="H755" s="509"/>
      <c r="I755" s="509"/>
      <c r="J755" s="509"/>
      <c r="K755" s="509"/>
      <c r="L755" s="509"/>
      <c r="M755" s="509"/>
      <c r="N755" s="509"/>
      <c r="O755" s="509"/>
      <c r="P755" s="509"/>
      <c r="Q755" s="509"/>
      <c r="R755" s="509"/>
      <c r="S755" s="509"/>
      <c r="T755" s="509"/>
      <c r="U755" s="509"/>
      <c r="V755" s="509"/>
      <c r="W755" s="509"/>
      <c r="X755" s="509"/>
      <c r="Y755" s="509"/>
      <c r="Z755" s="509"/>
    </row>
    <row r="756" spans="1:26" ht="16.5" customHeight="1" x14ac:dyDescent="0.3">
      <c r="A756" s="509"/>
      <c r="B756" s="509"/>
      <c r="C756" s="509"/>
      <c r="D756" s="509"/>
      <c r="E756" s="509"/>
      <c r="F756" s="509"/>
      <c r="G756" s="509"/>
      <c r="H756" s="509"/>
      <c r="I756" s="509"/>
      <c r="J756" s="509"/>
      <c r="K756" s="509"/>
      <c r="L756" s="509"/>
      <c r="M756" s="509"/>
      <c r="N756" s="509"/>
      <c r="O756" s="509"/>
      <c r="P756" s="509"/>
      <c r="Q756" s="509"/>
      <c r="R756" s="509"/>
      <c r="S756" s="509"/>
      <c r="T756" s="509"/>
      <c r="U756" s="509"/>
      <c r="V756" s="509"/>
      <c r="W756" s="509"/>
      <c r="X756" s="509"/>
      <c r="Y756" s="509"/>
      <c r="Z756" s="509"/>
    </row>
    <row r="757" spans="1:26" ht="16.5" customHeight="1" x14ac:dyDescent="0.3">
      <c r="A757" s="509"/>
      <c r="B757" s="509"/>
      <c r="C757" s="509"/>
      <c r="D757" s="509"/>
      <c r="E757" s="509"/>
      <c r="F757" s="509"/>
      <c r="G757" s="509"/>
      <c r="H757" s="509"/>
      <c r="I757" s="509"/>
      <c r="J757" s="509"/>
      <c r="K757" s="509"/>
      <c r="L757" s="509"/>
      <c r="M757" s="509"/>
      <c r="N757" s="509"/>
      <c r="O757" s="509"/>
      <c r="P757" s="509"/>
      <c r="Q757" s="509"/>
      <c r="R757" s="509"/>
      <c r="S757" s="509"/>
      <c r="T757" s="509"/>
      <c r="U757" s="509"/>
      <c r="V757" s="509"/>
      <c r="W757" s="509"/>
      <c r="X757" s="509"/>
      <c r="Y757" s="509"/>
      <c r="Z757" s="509"/>
    </row>
    <row r="758" spans="1:26" ht="16.5" customHeight="1" x14ac:dyDescent="0.3">
      <c r="A758" s="509"/>
      <c r="B758" s="509"/>
      <c r="C758" s="509"/>
      <c r="D758" s="509"/>
      <c r="E758" s="509"/>
      <c r="F758" s="509"/>
      <c r="G758" s="509"/>
      <c r="H758" s="509"/>
      <c r="I758" s="509"/>
      <c r="J758" s="509"/>
      <c r="K758" s="509"/>
      <c r="L758" s="509"/>
      <c r="M758" s="509"/>
      <c r="N758" s="509"/>
      <c r="O758" s="509"/>
      <c r="P758" s="509"/>
      <c r="Q758" s="509"/>
      <c r="R758" s="509"/>
      <c r="S758" s="509"/>
      <c r="T758" s="509"/>
      <c r="U758" s="509"/>
      <c r="V758" s="509"/>
      <c r="W758" s="509"/>
      <c r="X758" s="509"/>
      <c r="Y758" s="509"/>
      <c r="Z758" s="509"/>
    </row>
    <row r="759" spans="1:26" ht="16.5" customHeight="1" x14ac:dyDescent="0.3">
      <c r="A759" s="509"/>
      <c r="B759" s="509"/>
      <c r="C759" s="509"/>
      <c r="D759" s="509"/>
      <c r="E759" s="509"/>
      <c r="F759" s="509"/>
      <c r="G759" s="509"/>
      <c r="H759" s="509"/>
      <c r="I759" s="509"/>
      <c r="J759" s="509"/>
      <c r="K759" s="509"/>
      <c r="L759" s="509"/>
      <c r="M759" s="509"/>
      <c r="N759" s="509"/>
      <c r="O759" s="509"/>
      <c r="P759" s="509"/>
      <c r="Q759" s="509"/>
      <c r="R759" s="509"/>
      <c r="S759" s="509"/>
      <c r="T759" s="509"/>
      <c r="U759" s="509"/>
      <c r="V759" s="509"/>
      <c r="W759" s="509"/>
      <c r="X759" s="509"/>
      <c r="Y759" s="509"/>
      <c r="Z759" s="509"/>
    </row>
    <row r="760" spans="1:26" ht="16.5" customHeight="1" x14ac:dyDescent="0.3">
      <c r="A760" s="509"/>
      <c r="B760" s="509"/>
      <c r="C760" s="509"/>
      <c r="D760" s="509"/>
      <c r="E760" s="509"/>
      <c r="F760" s="509"/>
      <c r="G760" s="509"/>
      <c r="H760" s="509"/>
      <c r="I760" s="509"/>
      <c r="J760" s="509"/>
      <c r="K760" s="509"/>
      <c r="L760" s="509"/>
      <c r="M760" s="509"/>
      <c r="N760" s="509"/>
      <c r="O760" s="509"/>
      <c r="P760" s="509"/>
      <c r="Q760" s="509"/>
      <c r="R760" s="509"/>
      <c r="S760" s="509"/>
      <c r="T760" s="509"/>
      <c r="U760" s="509"/>
      <c r="V760" s="509"/>
      <c r="W760" s="509"/>
      <c r="X760" s="509"/>
      <c r="Y760" s="509"/>
      <c r="Z760" s="509"/>
    </row>
    <row r="761" spans="1:26" ht="16.5" customHeight="1" x14ac:dyDescent="0.3">
      <c r="A761" s="509"/>
      <c r="B761" s="509"/>
      <c r="C761" s="509"/>
      <c r="D761" s="509"/>
      <c r="E761" s="509"/>
      <c r="F761" s="509"/>
      <c r="G761" s="509"/>
      <c r="H761" s="509"/>
      <c r="I761" s="509"/>
      <c r="J761" s="509"/>
      <c r="K761" s="509"/>
      <c r="L761" s="509"/>
      <c r="M761" s="509"/>
      <c r="N761" s="509"/>
      <c r="O761" s="509"/>
      <c r="P761" s="509"/>
      <c r="Q761" s="509"/>
      <c r="R761" s="509"/>
      <c r="S761" s="509"/>
      <c r="T761" s="509"/>
      <c r="U761" s="509"/>
      <c r="V761" s="509"/>
      <c r="W761" s="509"/>
      <c r="X761" s="509"/>
      <c r="Y761" s="509"/>
      <c r="Z761" s="509"/>
    </row>
    <row r="762" spans="1:26" ht="16.5" customHeight="1" x14ac:dyDescent="0.3">
      <c r="A762" s="509"/>
      <c r="B762" s="509"/>
      <c r="C762" s="509"/>
      <c r="D762" s="509"/>
      <c r="E762" s="509"/>
      <c r="F762" s="509"/>
      <c r="G762" s="509"/>
      <c r="H762" s="509"/>
      <c r="I762" s="509"/>
      <c r="J762" s="509"/>
      <c r="K762" s="509"/>
      <c r="L762" s="509"/>
      <c r="M762" s="509"/>
      <c r="N762" s="509"/>
      <c r="O762" s="509"/>
      <c r="P762" s="509"/>
      <c r="Q762" s="509"/>
      <c r="R762" s="509"/>
      <c r="S762" s="509"/>
      <c r="T762" s="509"/>
      <c r="U762" s="509"/>
      <c r="V762" s="509"/>
      <c r="W762" s="509"/>
      <c r="X762" s="509"/>
      <c r="Y762" s="509"/>
      <c r="Z762" s="509"/>
    </row>
    <row r="763" spans="1:26" ht="16.5" customHeight="1" x14ac:dyDescent="0.3">
      <c r="A763" s="509"/>
      <c r="B763" s="509"/>
      <c r="C763" s="509"/>
      <c r="D763" s="509"/>
      <c r="E763" s="509"/>
      <c r="F763" s="509"/>
      <c r="G763" s="509"/>
      <c r="H763" s="509"/>
      <c r="I763" s="509"/>
      <c r="J763" s="509"/>
      <c r="K763" s="509"/>
      <c r="L763" s="509"/>
      <c r="M763" s="509"/>
      <c r="N763" s="509"/>
      <c r="O763" s="509"/>
      <c r="P763" s="509"/>
      <c r="Q763" s="509"/>
      <c r="R763" s="509"/>
      <c r="S763" s="509"/>
      <c r="T763" s="509"/>
      <c r="U763" s="509"/>
      <c r="V763" s="509"/>
      <c r="W763" s="509"/>
      <c r="X763" s="509"/>
      <c r="Y763" s="509"/>
      <c r="Z763" s="509"/>
    </row>
    <row r="764" spans="1:26" ht="16.5" customHeight="1" x14ac:dyDescent="0.3">
      <c r="A764" s="509"/>
      <c r="B764" s="509"/>
      <c r="C764" s="509"/>
      <c r="D764" s="509"/>
      <c r="E764" s="509"/>
      <c r="F764" s="509"/>
      <c r="G764" s="509"/>
      <c r="H764" s="509"/>
      <c r="I764" s="509"/>
      <c r="J764" s="509"/>
      <c r="K764" s="509"/>
      <c r="L764" s="509"/>
      <c r="M764" s="509"/>
      <c r="N764" s="509"/>
      <c r="O764" s="509"/>
      <c r="P764" s="509"/>
      <c r="Q764" s="509"/>
      <c r="R764" s="509"/>
      <c r="S764" s="509"/>
      <c r="T764" s="509"/>
      <c r="U764" s="509"/>
      <c r="V764" s="509"/>
      <c r="W764" s="509"/>
      <c r="X764" s="509"/>
      <c r="Y764" s="509"/>
      <c r="Z764" s="509"/>
    </row>
    <row r="765" spans="1:26" ht="16.5" customHeight="1" x14ac:dyDescent="0.3">
      <c r="A765" s="509"/>
      <c r="B765" s="509"/>
      <c r="C765" s="509"/>
      <c r="D765" s="509"/>
      <c r="E765" s="509"/>
      <c r="F765" s="509"/>
      <c r="G765" s="509"/>
      <c r="H765" s="509"/>
      <c r="I765" s="509"/>
      <c r="J765" s="509"/>
      <c r="K765" s="509"/>
      <c r="L765" s="509"/>
      <c r="M765" s="509"/>
      <c r="N765" s="509"/>
      <c r="O765" s="509"/>
      <c r="P765" s="509"/>
      <c r="Q765" s="509"/>
      <c r="R765" s="509"/>
      <c r="S765" s="509"/>
      <c r="T765" s="509"/>
      <c r="U765" s="509"/>
      <c r="V765" s="509"/>
      <c r="W765" s="509"/>
      <c r="X765" s="509"/>
      <c r="Y765" s="509"/>
      <c r="Z765" s="509"/>
    </row>
    <row r="766" spans="1:26" ht="16.5" customHeight="1" x14ac:dyDescent="0.3">
      <c r="A766" s="509"/>
      <c r="B766" s="509"/>
      <c r="C766" s="509"/>
      <c r="D766" s="509"/>
      <c r="E766" s="509"/>
      <c r="F766" s="509"/>
      <c r="G766" s="509"/>
      <c r="H766" s="509"/>
      <c r="I766" s="509"/>
      <c r="J766" s="509"/>
      <c r="K766" s="509"/>
      <c r="L766" s="509"/>
      <c r="M766" s="509"/>
      <c r="N766" s="509"/>
      <c r="O766" s="509"/>
      <c r="P766" s="509"/>
      <c r="Q766" s="509"/>
      <c r="R766" s="509"/>
      <c r="S766" s="509"/>
      <c r="T766" s="509"/>
      <c r="U766" s="509"/>
      <c r="V766" s="509"/>
      <c r="W766" s="509"/>
      <c r="X766" s="509"/>
      <c r="Y766" s="509"/>
      <c r="Z766" s="509"/>
    </row>
    <row r="767" spans="1:26" ht="16.5" customHeight="1" x14ac:dyDescent="0.3">
      <c r="A767" s="509"/>
      <c r="B767" s="509"/>
      <c r="C767" s="509"/>
      <c r="D767" s="509"/>
      <c r="E767" s="509"/>
      <c r="F767" s="509"/>
      <c r="G767" s="509"/>
      <c r="H767" s="509"/>
      <c r="I767" s="509"/>
      <c r="J767" s="509"/>
      <c r="K767" s="509"/>
      <c r="L767" s="509"/>
      <c r="M767" s="509"/>
      <c r="N767" s="509"/>
      <c r="O767" s="509"/>
      <c r="P767" s="509"/>
      <c r="Q767" s="509"/>
      <c r="R767" s="509"/>
      <c r="S767" s="509"/>
      <c r="T767" s="509"/>
      <c r="U767" s="509"/>
      <c r="V767" s="509"/>
      <c r="W767" s="509"/>
      <c r="X767" s="509"/>
      <c r="Y767" s="509"/>
      <c r="Z767" s="509"/>
    </row>
    <row r="768" spans="1:26" ht="16.5" customHeight="1" x14ac:dyDescent="0.3">
      <c r="A768" s="509"/>
      <c r="B768" s="509"/>
      <c r="C768" s="509"/>
      <c r="D768" s="509"/>
      <c r="E768" s="509"/>
      <c r="F768" s="509"/>
      <c r="G768" s="509"/>
      <c r="H768" s="509"/>
      <c r="I768" s="509"/>
      <c r="J768" s="509"/>
      <c r="K768" s="509"/>
      <c r="L768" s="509"/>
      <c r="M768" s="509"/>
      <c r="N768" s="509"/>
      <c r="O768" s="509"/>
      <c r="P768" s="509"/>
      <c r="Q768" s="509"/>
      <c r="R768" s="509"/>
      <c r="S768" s="509"/>
      <c r="T768" s="509"/>
      <c r="U768" s="509"/>
      <c r="V768" s="509"/>
      <c r="W768" s="509"/>
      <c r="X768" s="509"/>
      <c r="Y768" s="509"/>
      <c r="Z768" s="509"/>
    </row>
    <row r="769" spans="1:26" ht="16.5" customHeight="1" x14ac:dyDescent="0.3">
      <c r="A769" s="509"/>
      <c r="B769" s="509"/>
      <c r="C769" s="509"/>
      <c r="D769" s="509"/>
      <c r="E769" s="509"/>
      <c r="F769" s="509"/>
      <c r="G769" s="509"/>
      <c r="H769" s="509"/>
      <c r="I769" s="509"/>
      <c r="J769" s="509"/>
      <c r="K769" s="509"/>
      <c r="L769" s="509"/>
      <c r="M769" s="509"/>
      <c r="N769" s="509"/>
      <c r="O769" s="509"/>
      <c r="P769" s="509"/>
      <c r="Q769" s="509"/>
      <c r="R769" s="509"/>
      <c r="S769" s="509"/>
      <c r="T769" s="509"/>
      <c r="U769" s="509"/>
      <c r="V769" s="509"/>
      <c r="W769" s="509"/>
      <c r="X769" s="509"/>
      <c r="Y769" s="509"/>
      <c r="Z769" s="509"/>
    </row>
    <row r="770" spans="1:26" ht="16.5" customHeight="1" x14ac:dyDescent="0.3">
      <c r="A770" s="509"/>
      <c r="B770" s="509"/>
      <c r="C770" s="509"/>
      <c r="D770" s="509"/>
      <c r="E770" s="509"/>
      <c r="F770" s="509"/>
      <c r="G770" s="509"/>
      <c r="H770" s="509"/>
      <c r="I770" s="509"/>
      <c r="J770" s="509"/>
      <c r="K770" s="509"/>
      <c r="L770" s="509"/>
      <c r="M770" s="509"/>
      <c r="N770" s="509"/>
      <c r="O770" s="509"/>
      <c r="P770" s="509"/>
      <c r="Q770" s="509"/>
      <c r="R770" s="509"/>
      <c r="S770" s="509"/>
      <c r="T770" s="509"/>
      <c r="U770" s="509"/>
      <c r="V770" s="509"/>
      <c r="W770" s="509"/>
      <c r="X770" s="509"/>
      <c r="Y770" s="509"/>
      <c r="Z770" s="509"/>
    </row>
    <row r="771" spans="1:26" ht="16.5" customHeight="1" x14ac:dyDescent="0.3">
      <c r="A771" s="509"/>
      <c r="B771" s="509"/>
      <c r="C771" s="509"/>
      <c r="D771" s="509"/>
      <c r="E771" s="509"/>
      <c r="F771" s="509"/>
      <c r="G771" s="509"/>
      <c r="H771" s="509"/>
      <c r="I771" s="509"/>
      <c r="J771" s="509"/>
      <c r="K771" s="509"/>
      <c r="L771" s="509"/>
      <c r="M771" s="509"/>
      <c r="N771" s="509"/>
      <c r="O771" s="509"/>
      <c r="P771" s="509"/>
      <c r="Q771" s="509"/>
      <c r="R771" s="509"/>
      <c r="S771" s="509"/>
      <c r="T771" s="509"/>
      <c r="U771" s="509"/>
      <c r="V771" s="509"/>
      <c r="W771" s="509"/>
      <c r="X771" s="509"/>
      <c r="Y771" s="509"/>
      <c r="Z771" s="509"/>
    </row>
    <row r="772" spans="1:26" ht="16.5" customHeight="1" x14ac:dyDescent="0.3">
      <c r="A772" s="509"/>
      <c r="B772" s="509"/>
      <c r="C772" s="509"/>
      <c r="D772" s="509"/>
      <c r="E772" s="509"/>
      <c r="F772" s="509"/>
      <c r="G772" s="509"/>
      <c r="H772" s="509"/>
      <c r="I772" s="509"/>
      <c r="J772" s="509"/>
      <c r="K772" s="509"/>
      <c r="L772" s="509"/>
      <c r="M772" s="509"/>
      <c r="N772" s="509"/>
      <c r="O772" s="509"/>
      <c r="P772" s="509"/>
      <c r="Q772" s="509"/>
      <c r="R772" s="509"/>
      <c r="S772" s="509"/>
      <c r="T772" s="509"/>
      <c r="U772" s="509"/>
      <c r="V772" s="509"/>
      <c r="W772" s="509"/>
      <c r="X772" s="509"/>
      <c r="Y772" s="509"/>
      <c r="Z772" s="509"/>
    </row>
    <row r="773" spans="1:26" ht="16.5" customHeight="1" x14ac:dyDescent="0.3">
      <c r="A773" s="509"/>
      <c r="B773" s="509"/>
      <c r="C773" s="509"/>
      <c r="D773" s="509"/>
      <c r="E773" s="509"/>
      <c r="F773" s="509"/>
      <c r="G773" s="509"/>
      <c r="H773" s="509"/>
      <c r="I773" s="509"/>
      <c r="J773" s="509"/>
      <c r="K773" s="509"/>
      <c r="L773" s="509"/>
      <c r="M773" s="509"/>
      <c r="N773" s="509"/>
      <c r="O773" s="509"/>
      <c r="P773" s="509"/>
      <c r="Q773" s="509"/>
      <c r="R773" s="509"/>
      <c r="S773" s="509"/>
      <c r="T773" s="509"/>
      <c r="U773" s="509"/>
      <c r="V773" s="509"/>
      <c r="W773" s="509"/>
      <c r="X773" s="509"/>
      <c r="Y773" s="509"/>
      <c r="Z773" s="509"/>
    </row>
    <row r="774" spans="1:26" ht="16.5" customHeight="1" x14ac:dyDescent="0.3">
      <c r="A774" s="509"/>
      <c r="B774" s="509"/>
      <c r="C774" s="509"/>
      <c r="D774" s="509"/>
      <c r="E774" s="509"/>
      <c r="F774" s="509"/>
      <c r="G774" s="509"/>
      <c r="H774" s="509"/>
      <c r="I774" s="509"/>
      <c r="J774" s="509"/>
      <c r="K774" s="509"/>
      <c r="L774" s="509"/>
      <c r="M774" s="509"/>
      <c r="N774" s="509"/>
      <c r="O774" s="509"/>
      <c r="P774" s="509"/>
      <c r="Q774" s="509"/>
      <c r="R774" s="509"/>
      <c r="S774" s="509"/>
      <c r="T774" s="509"/>
      <c r="U774" s="509"/>
      <c r="V774" s="509"/>
      <c r="W774" s="509"/>
      <c r="X774" s="509"/>
      <c r="Y774" s="509"/>
      <c r="Z774" s="509"/>
    </row>
    <row r="775" spans="1:26" ht="16.5" customHeight="1" x14ac:dyDescent="0.3">
      <c r="A775" s="509"/>
      <c r="B775" s="509"/>
      <c r="C775" s="509"/>
      <c r="D775" s="509"/>
      <c r="E775" s="509"/>
      <c r="F775" s="509"/>
      <c r="G775" s="509"/>
      <c r="H775" s="509"/>
      <c r="I775" s="509"/>
      <c r="J775" s="509"/>
      <c r="K775" s="509"/>
      <c r="L775" s="509"/>
      <c r="M775" s="509"/>
      <c r="N775" s="509"/>
      <c r="O775" s="509"/>
      <c r="P775" s="509"/>
      <c r="Q775" s="509"/>
      <c r="R775" s="509"/>
      <c r="S775" s="509"/>
      <c r="T775" s="509"/>
      <c r="U775" s="509"/>
      <c r="V775" s="509"/>
      <c r="W775" s="509"/>
      <c r="X775" s="509"/>
      <c r="Y775" s="509"/>
      <c r="Z775" s="509"/>
    </row>
    <row r="776" spans="1:26" ht="16.5" customHeight="1" x14ac:dyDescent="0.3">
      <c r="A776" s="509"/>
      <c r="B776" s="509"/>
      <c r="C776" s="509"/>
      <c r="D776" s="509"/>
      <c r="E776" s="509"/>
      <c r="F776" s="509"/>
      <c r="G776" s="509"/>
      <c r="H776" s="509"/>
      <c r="I776" s="509"/>
      <c r="J776" s="509"/>
      <c r="K776" s="509"/>
      <c r="L776" s="509"/>
      <c r="M776" s="509"/>
      <c r="N776" s="509"/>
      <c r="O776" s="509"/>
      <c r="P776" s="509"/>
      <c r="Q776" s="509"/>
      <c r="R776" s="509"/>
      <c r="S776" s="509"/>
      <c r="T776" s="509"/>
      <c r="U776" s="509"/>
      <c r="V776" s="509"/>
      <c r="W776" s="509"/>
      <c r="X776" s="509"/>
      <c r="Y776" s="509"/>
      <c r="Z776" s="509"/>
    </row>
    <row r="777" spans="1:26" ht="16.5" customHeight="1" x14ac:dyDescent="0.3">
      <c r="A777" s="509"/>
      <c r="B777" s="509"/>
      <c r="C777" s="509"/>
      <c r="D777" s="509"/>
      <c r="E777" s="509"/>
      <c r="F777" s="509"/>
      <c r="G777" s="509"/>
      <c r="H777" s="509"/>
      <c r="I777" s="509"/>
      <c r="J777" s="509"/>
      <c r="K777" s="509"/>
      <c r="L777" s="509"/>
      <c r="M777" s="509"/>
      <c r="N777" s="509"/>
      <c r="O777" s="509"/>
      <c r="P777" s="509"/>
      <c r="Q777" s="509"/>
      <c r="R777" s="509"/>
      <c r="S777" s="509"/>
      <c r="T777" s="509"/>
      <c r="U777" s="509"/>
      <c r="V777" s="509"/>
      <c r="W777" s="509"/>
      <c r="X777" s="509"/>
      <c r="Y777" s="509"/>
      <c r="Z777" s="509"/>
    </row>
    <row r="778" spans="1:26" ht="16.5" customHeight="1" x14ac:dyDescent="0.3">
      <c r="A778" s="509"/>
      <c r="B778" s="509"/>
      <c r="C778" s="509"/>
      <c r="D778" s="509"/>
      <c r="E778" s="509"/>
      <c r="F778" s="509"/>
      <c r="G778" s="509"/>
      <c r="H778" s="509"/>
      <c r="I778" s="509"/>
      <c r="J778" s="509"/>
      <c r="K778" s="509"/>
      <c r="L778" s="509"/>
      <c r="M778" s="509"/>
      <c r="N778" s="509"/>
      <c r="O778" s="509"/>
      <c r="P778" s="509"/>
      <c r="Q778" s="509"/>
      <c r="R778" s="509"/>
      <c r="S778" s="509"/>
      <c r="T778" s="509"/>
      <c r="U778" s="509"/>
      <c r="V778" s="509"/>
      <c r="W778" s="509"/>
      <c r="X778" s="509"/>
      <c r="Y778" s="509"/>
      <c r="Z778" s="509"/>
    </row>
    <row r="779" spans="1:26" ht="16.5" customHeight="1" x14ac:dyDescent="0.3">
      <c r="A779" s="509"/>
      <c r="B779" s="509"/>
      <c r="C779" s="509"/>
      <c r="D779" s="509"/>
      <c r="E779" s="509"/>
      <c r="F779" s="509"/>
      <c r="G779" s="509"/>
      <c r="H779" s="509"/>
      <c r="I779" s="509"/>
      <c r="J779" s="509"/>
      <c r="K779" s="509"/>
      <c r="L779" s="509"/>
      <c r="M779" s="509"/>
      <c r="N779" s="509"/>
      <c r="O779" s="509"/>
      <c r="P779" s="509"/>
      <c r="Q779" s="509"/>
      <c r="R779" s="509"/>
      <c r="S779" s="509"/>
      <c r="T779" s="509"/>
      <c r="U779" s="509"/>
      <c r="V779" s="509"/>
      <c r="W779" s="509"/>
      <c r="X779" s="509"/>
      <c r="Y779" s="509"/>
      <c r="Z779" s="509"/>
    </row>
    <row r="780" spans="1:26" ht="16.5" customHeight="1" x14ac:dyDescent="0.3">
      <c r="A780" s="509"/>
      <c r="B780" s="509"/>
      <c r="C780" s="509"/>
      <c r="D780" s="509"/>
      <c r="E780" s="509"/>
      <c r="F780" s="509"/>
      <c r="G780" s="509"/>
      <c r="H780" s="509"/>
      <c r="I780" s="509"/>
      <c r="J780" s="509"/>
      <c r="K780" s="509"/>
      <c r="L780" s="509"/>
      <c r="M780" s="509"/>
      <c r="N780" s="509"/>
      <c r="O780" s="509"/>
      <c r="P780" s="509"/>
      <c r="Q780" s="509"/>
      <c r="R780" s="509"/>
      <c r="S780" s="509"/>
      <c r="T780" s="509"/>
      <c r="U780" s="509"/>
      <c r="V780" s="509"/>
      <c r="W780" s="509"/>
      <c r="X780" s="509"/>
      <c r="Y780" s="509"/>
      <c r="Z780" s="509"/>
    </row>
    <row r="781" spans="1:26" ht="16.5" customHeight="1" x14ac:dyDescent="0.3">
      <c r="A781" s="509"/>
      <c r="B781" s="509"/>
      <c r="C781" s="509"/>
      <c r="D781" s="509"/>
      <c r="E781" s="509"/>
      <c r="F781" s="509"/>
      <c r="G781" s="509"/>
      <c r="H781" s="509"/>
      <c r="I781" s="509"/>
      <c r="J781" s="509"/>
      <c r="K781" s="509"/>
      <c r="L781" s="509"/>
      <c r="M781" s="509"/>
      <c r="N781" s="509"/>
      <c r="O781" s="509"/>
      <c r="P781" s="509"/>
      <c r="Q781" s="509"/>
      <c r="R781" s="509"/>
      <c r="S781" s="509"/>
      <c r="T781" s="509"/>
      <c r="U781" s="509"/>
      <c r="V781" s="509"/>
      <c r="W781" s="509"/>
      <c r="X781" s="509"/>
      <c r="Y781" s="509"/>
      <c r="Z781" s="509"/>
    </row>
    <row r="782" spans="1:26" ht="16.5" customHeight="1" x14ac:dyDescent="0.3">
      <c r="A782" s="509"/>
      <c r="B782" s="509"/>
      <c r="C782" s="509"/>
      <c r="D782" s="509"/>
      <c r="E782" s="509"/>
      <c r="F782" s="509"/>
      <c r="G782" s="509"/>
      <c r="H782" s="509"/>
      <c r="I782" s="509"/>
      <c r="J782" s="509"/>
      <c r="K782" s="509"/>
      <c r="L782" s="509"/>
      <c r="M782" s="509"/>
      <c r="N782" s="509"/>
      <c r="O782" s="509"/>
      <c r="P782" s="509"/>
      <c r="Q782" s="509"/>
      <c r="R782" s="509"/>
      <c r="S782" s="509"/>
      <c r="T782" s="509"/>
      <c r="U782" s="509"/>
      <c r="V782" s="509"/>
      <c r="W782" s="509"/>
      <c r="X782" s="509"/>
      <c r="Y782" s="509"/>
      <c r="Z782" s="509"/>
    </row>
    <row r="783" spans="1:26" ht="16.5" customHeight="1" x14ac:dyDescent="0.3">
      <c r="A783" s="509"/>
      <c r="B783" s="509"/>
      <c r="C783" s="509"/>
      <c r="D783" s="509"/>
      <c r="E783" s="509"/>
      <c r="F783" s="509"/>
      <c r="G783" s="509"/>
      <c r="H783" s="509"/>
      <c r="I783" s="509"/>
      <c r="J783" s="509"/>
      <c r="K783" s="509"/>
      <c r="L783" s="509"/>
      <c r="M783" s="509"/>
      <c r="N783" s="509"/>
      <c r="O783" s="509"/>
      <c r="P783" s="509"/>
      <c r="Q783" s="509"/>
      <c r="R783" s="509"/>
      <c r="S783" s="509"/>
      <c r="T783" s="509"/>
      <c r="U783" s="509"/>
      <c r="V783" s="509"/>
      <c r="W783" s="509"/>
      <c r="X783" s="509"/>
      <c r="Y783" s="509"/>
      <c r="Z783" s="509"/>
    </row>
    <row r="784" spans="1:26" ht="16.5" customHeight="1" x14ac:dyDescent="0.3">
      <c r="A784" s="509"/>
      <c r="B784" s="509"/>
      <c r="C784" s="509"/>
      <c r="D784" s="509"/>
      <c r="E784" s="509"/>
      <c r="F784" s="509"/>
      <c r="G784" s="509"/>
      <c r="H784" s="509"/>
      <c r="I784" s="509"/>
      <c r="J784" s="509"/>
      <c r="K784" s="509"/>
      <c r="L784" s="509"/>
      <c r="M784" s="509"/>
      <c r="N784" s="509"/>
      <c r="O784" s="509"/>
      <c r="P784" s="509"/>
      <c r="Q784" s="509"/>
      <c r="R784" s="509"/>
      <c r="S784" s="509"/>
      <c r="T784" s="509"/>
      <c r="U784" s="509"/>
      <c r="V784" s="509"/>
      <c r="W784" s="509"/>
      <c r="X784" s="509"/>
      <c r="Y784" s="509"/>
      <c r="Z784" s="509"/>
    </row>
    <row r="785" spans="1:26" ht="16.5" customHeight="1" x14ac:dyDescent="0.3">
      <c r="A785" s="509"/>
      <c r="B785" s="509"/>
      <c r="C785" s="509"/>
      <c r="D785" s="509"/>
      <c r="E785" s="509"/>
      <c r="F785" s="509"/>
      <c r="G785" s="509"/>
      <c r="H785" s="509"/>
      <c r="I785" s="509"/>
      <c r="J785" s="509"/>
      <c r="K785" s="509"/>
      <c r="L785" s="509"/>
      <c r="M785" s="509"/>
      <c r="N785" s="509"/>
      <c r="O785" s="509"/>
      <c r="P785" s="509"/>
      <c r="Q785" s="509"/>
      <c r="R785" s="509"/>
      <c r="S785" s="509"/>
      <c r="T785" s="509"/>
      <c r="U785" s="509"/>
      <c r="V785" s="509"/>
      <c r="W785" s="509"/>
      <c r="X785" s="509"/>
      <c r="Y785" s="509"/>
      <c r="Z785" s="509"/>
    </row>
    <row r="786" spans="1:26" ht="16.5" customHeight="1" x14ac:dyDescent="0.3">
      <c r="A786" s="509"/>
      <c r="B786" s="509"/>
      <c r="C786" s="509"/>
      <c r="D786" s="509"/>
      <c r="E786" s="509"/>
      <c r="F786" s="509"/>
      <c r="G786" s="509"/>
      <c r="H786" s="509"/>
      <c r="I786" s="509"/>
      <c r="J786" s="509"/>
      <c r="K786" s="509"/>
      <c r="L786" s="509"/>
      <c r="M786" s="509"/>
      <c r="N786" s="509"/>
      <c r="O786" s="509"/>
      <c r="P786" s="509"/>
      <c r="Q786" s="509"/>
      <c r="R786" s="509"/>
      <c r="S786" s="509"/>
      <c r="T786" s="509"/>
      <c r="U786" s="509"/>
      <c r="V786" s="509"/>
      <c r="W786" s="509"/>
      <c r="X786" s="509"/>
      <c r="Y786" s="509"/>
      <c r="Z786" s="509"/>
    </row>
    <row r="787" spans="1:26" ht="16.5" customHeight="1" x14ac:dyDescent="0.3">
      <c r="A787" s="509"/>
      <c r="B787" s="509"/>
      <c r="C787" s="509"/>
      <c r="D787" s="509"/>
      <c r="E787" s="509"/>
      <c r="F787" s="509"/>
      <c r="G787" s="509"/>
      <c r="H787" s="509"/>
      <c r="I787" s="509"/>
      <c r="J787" s="509"/>
      <c r="K787" s="509"/>
      <c r="L787" s="509"/>
      <c r="M787" s="509"/>
      <c r="N787" s="509"/>
      <c r="O787" s="509"/>
      <c r="P787" s="509"/>
      <c r="Q787" s="509"/>
      <c r="R787" s="509"/>
      <c r="S787" s="509"/>
      <c r="T787" s="509"/>
      <c r="U787" s="509"/>
      <c r="V787" s="509"/>
      <c r="W787" s="509"/>
      <c r="X787" s="509"/>
      <c r="Y787" s="509"/>
      <c r="Z787" s="509"/>
    </row>
    <row r="788" spans="1:26" ht="16.5" customHeight="1" x14ac:dyDescent="0.3">
      <c r="A788" s="509"/>
      <c r="B788" s="509"/>
      <c r="C788" s="509"/>
      <c r="D788" s="509"/>
      <c r="E788" s="509"/>
      <c r="F788" s="509"/>
      <c r="G788" s="509"/>
      <c r="H788" s="509"/>
      <c r="I788" s="509"/>
      <c r="J788" s="509"/>
      <c r="K788" s="509"/>
      <c r="L788" s="509"/>
      <c r="M788" s="509"/>
      <c r="N788" s="509"/>
      <c r="O788" s="509"/>
      <c r="P788" s="509"/>
      <c r="Q788" s="509"/>
      <c r="R788" s="509"/>
      <c r="S788" s="509"/>
      <c r="T788" s="509"/>
      <c r="U788" s="509"/>
      <c r="V788" s="509"/>
      <c r="W788" s="509"/>
      <c r="X788" s="509"/>
      <c r="Y788" s="509"/>
      <c r="Z788" s="509"/>
    </row>
    <row r="789" spans="1:26" ht="16.5" customHeight="1" x14ac:dyDescent="0.3">
      <c r="A789" s="509"/>
      <c r="B789" s="509"/>
      <c r="C789" s="509"/>
      <c r="D789" s="509"/>
      <c r="E789" s="509"/>
      <c r="F789" s="509"/>
      <c r="G789" s="509"/>
      <c r="H789" s="509"/>
      <c r="I789" s="509"/>
      <c r="J789" s="509"/>
      <c r="K789" s="509"/>
      <c r="L789" s="509"/>
      <c r="M789" s="509"/>
      <c r="N789" s="509"/>
      <c r="O789" s="509"/>
      <c r="P789" s="509"/>
      <c r="Q789" s="509"/>
      <c r="R789" s="509"/>
      <c r="S789" s="509"/>
      <c r="T789" s="509"/>
      <c r="U789" s="509"/>
      <c r="V789" s="509"/>
      <c r="W789" s="509"/>
      <c r="X789" s="509"/>
      <c r="Y789" s="509"/>
      <c r="Z789" s="509"/>
    </row>
    <row r="790" spans="1:26" ht="16.5" customHeight="1" x14ac:dyDescent="0.3">
      <c r="A790" s="509"/>
      <c r="B790" s="509"/>
      <c r="C790" s="509"/>
      <c r="D790" s="509"/>
      <c r="E790" s="509"/>
      <c r="F790" s="509"/>
      <c r="G790" s="509"/>
      <c r="H790" s="509"/>
      <c r="I790" s="509"/>
      <c r="J790" s="509"/>
      <c r="K790" s="509"/>
      <c r="L790" s="509"/>
      <c r="M790" s="509"/>
      <c r="N790" s="509"/>
      <c r="O790" s="509"/>
      <c r="P790" s="509"/>
      <c r="Q790" s="509"/>
      <c r="R790" s="509"/>
      <c r="S790" s="509"/>
      <c r="T790" s="509"/>
      <c r="U790" s="509"/>
      <c r="V790" s="509"/>
      <c r="W790" s="509"/>
      <c r="X790" s="509"/>
      <c r="Y790" s="509"/>
      <c r="Z790" s="509"/>
    </row>
    <row r="791" spans="1:26" ht="16.5" customHeight="1" x14ac:dyDescent="0.3">
      <c r="A791" s="509"/>
      <c r="B791" s="509"/>
      <c r="C791" s="509"/>
      <c r="D791" s="509"/>
      <c r="E791" s="509"/>
      <c r="F791" s="509"/>
      <c r="G791" s="509"/>
      <c r="H791" s="509"/>
      <c r="I791" s="509"/>
      <c r="J791" s="509"/>
      <c r="K791" s="509"/>
      <c r="L791" s="509"/>
      <c r="M791" s="509"/>
      <c r="N791" s="509"/>
      <c r="O791" s="509"/>
      <c r="P791" s="509"/>
      <c r="Q791" s="509"/>
      <c r="R791" s="509"/>
      <c r="S791" s="509"/>
      <c r="T791" s="509"/>
      <c r="U791" s="509"/>
      <c r="V791" s="509"/>
      <c r="W791" s="509"/>
      <c r="X791" s="509"/>
      <c r="Y791" s="509"/>
      <c r="Z791" s="509"/>
    </row>
    <row r="792" spans="1:26" ht="16.5" customHeight="1" x14ac:dyDescent="0.3">
      <c r="A792" s="509"/>
      <c r="B792" s="509"/>
      <c r="C792" s="509"/>
      <c r="D792" s="509"/>
      <c r="E792" s="509"/>
      <c r="F792" s="509"/>
      <c r="G792" s="509"/>
      <c r="H792" s="509"/>
      <c r="I792" s="509"/>
      <c r="J792" s="509"/>
      <c r="K792" s="509"/>
      <c r="L792" s="509"/>
      <c r="M792" s="509"/>
      <c r="N792" s="509"/>
      <c r="O792" s="509"/>
      <c r="P792" s="509"/>
      <c r="Q792" s="509"/>
      <c r="R792" s="509"/>
      <c r="S792" s="509"/>
      <c r="T792" s="509"/>
      <c r="U792" s="509"/>
      <c r="V792" s="509"/>
      <c r="W792" s="509"/>
      <c r="X792" s="509"/>
      <c r="Y792" s="509"/>
      <c r="Z792" s="509"/>
    </row>
    <row r="793" spans="1:26" ht="16.5" customHeight="1" x14ac:dyDescent="0.3">
      <c r="A793" s="509"/>
      <c r="B793" s="509"/>
      <c r="C793" s="509"/>
      <c r="D793" s="509"/>
      <c r="E793" s="509"/>
      <c r="F793" s="509"/>
      <c r="G793" s="509"/>
      <c r="H793" s="509"/>
      <c r="I793" s="509"/>
      <c r="J793" s="509"/>
      <c r="K793" s="509"/>
      <c r="L793" s="509"/>
      <c r="M793" s="509"/>
      <c r="N793" s="509"/>
      <c r="O793" s="509"/>
      <c r="P793" s="509"/>
      <c r="Q793" s="509"/>
      <c r="R793" s="509"/>
      <c r="S793" s="509"/>
      <c r="T793" s="509"/>
      <c r="U793" s="509"/>
      <c r="V793" s="509"/>
      <c r="W793" s="509"/>
      <c r="X793" s="509"/>
      <c r="Y793" s="509"/>
      <c r="Z793" s="509"/>
    </row>
    <row r="794" spans="1:26" ht="16.5" customHeight="1" x14ac:dyDescent="0.3">
      <c r="A794" s="509"/>
      <c r="B794" s="509"/>
      <c r="C794" s="509"/>
      <c r="D794" s="509"/>
      <c r="E794" s="509"/>
      <c r="F794" s="509"/>
      <c r="G794" s="509"/>
      <c r="H794" s="509"/>
      <c r="I794" s="509"/>
      <c r="J794" s="509"/>
      <c r="K794" s="509"/>
      <c r="L794" s="509"/>
      <c r="M794" s="509"/>
      <c r="N794" s="509"/>
      <c r="O794" s="509"/>
      <c r="P794" s="509"/>
      <c r="Q794" s="509"/>
      <c r="R794" s="509"/>
      <c r="S794" s="509"/>
      <c r="T794" s="509"/>
      <c r="U794" s="509"/>
      <c r="V794" s="509"/>
      <c r="W794" s="509"/>
      <c r="X794" s="509"/>
      <c r="Y794" s="509"/>
      <c r="Z794" s="509"/>
    </row>
    <row r="795" spans="1:26" ht="16.5" customHeight="1" x14ac:dyDescent="0.3">
      <c r="A795" s="509"/>
      <c r="B795" s="509"/>
      <c r="C795" s="509"/>
      <c r="D795" s="509"/>
      <c r="E795" s="509"/>
      <c r="F795" s="509"/>
      <c r="G795" s="509"/>
      <c r="H795" s="509"/>
      <c r="I795" s="509"/>
      <c r="J795" s="509"/>
      <c r="K795" s="509"/>
      <c r="L795" s="509"/>
      <c r="M795" s="509"/>
      <c r="N795" s="509"/>
      <c r="O795" s="509"/>
      <c r="P795" s="509"/>
      <c r="Q795" s="509"/>
      <c r="R795" s="509"/>
      <c r="S795" s="509"/>
      <c r="T795" s="509"/>
      <c r="U795" s="509"/>
      <c r="V795" s="509"/>
      <c r="W795" s="509"/>
      <c r="X795" s="509"/>
      <c r="Y795" s="509"/>
      <c r="Z795" s="509"/>
    </row>
    <row r="796" spans="1:26" ht="16.5" customHeight="1" x14ac:dyDescent="0.3">
      <c r="A796" s="509"/>
      <c r="B796" s="509"/>
      <c r="C796" s="509"/>
      <c r="D796" s="509"/>
      <c r="E796" s="509"/>
      <c r="F796" s="509"/>
      <c r="G796" s="509"/>
      <c r="H796" s="509"/>
      <c r="I796" s="509"/>
      <c r="J796" s="509"/>
      <c r="K796" s="509"/>
      <c r="L796" s="509"/>
      <c r="M796" s="509"/>
      <c r="N796" s="509"/>
      <c r="O796" s="509"/>
      <c r="P796" s="509"/>
      <c r="Q796" s="509"/>
      <c r="R796" s="509"/>
      <c r="S796" s="509"/>
      <c r="T796" s="509"/>
      <c r="U796" s="509"/>
      <c r="V796" s="509"/>
      <c r="W796" s="509"/>
      <c r="X796" s="509"/>
      <c r="Y796" s="509"/>
      <c r="Z796" s="509"/>
    </row>
    <row r="797" spans="1:26" ht="16.5" customHeight="1" x14ac:dyDescent="0.3">
      <c r="A797" s="509"/>
      <c r="B797" s="509"/>
      <c r="C797" s="509"/>
      <c r="D797" s="509"/>
      <c r="E797" s="509"/>
      <c r="F797" s="509"/>
      <c r="G797" s="509"/>
      <c r="H797" s="509"/>
      <c r="I797" s="509"/>
      <c r="J797" s="509"/>
      <c r="K797" s="509"/>
      <c r="L797" s="509"/>
      <c r="M797" s="509"/>
      <c r="N797" s="509"/>
      <c r="O797" s="509"/>
      <c r="P797" s="509"/>
      <c r="Q797" s="509"/>
      <c r="R797" s="509"/>
      <c r="S797" s="509"/>
      <c r="T797" s="509"/>
      <c r="U797" s="509"/>
      <c r="V797" s="509"/>
      <c r="W797" s="509"/>
      <c r="X797" s="509"/>
      <c r="Y797" s="509"/>
      <c r="Z797" s="509"/>
    </row>
    <row r="798" spans="1:26" ht="16.5" customHeight="1" x14ac:dyDescent="0.3">
      <c r="A798" s="509"/>
      <c r="B798" s="509"/>
      <c r="C798" s="509"/>
      <c r="D798" s="509"/>
      <c r="E798" s="509"/>
      <c r="F798" s="509"/>
      <c r="G798" s="509"/>
      <c r="H798" s="509"/>
      <c r="I798" s="509"/>
      <c r="J798" s="509"/>
      <c r="K798" s="509"/>
      <c r="L798" s="509"/>
      <c r="M798" s="509"/>
      <c r="N798" s="509"/>
      <c r="O798" s="509"/>
      <c r="P798" s="509"/>
      <c r="Q798" s="509"/>
      <c r="R798" s="509"/>
      <c r="S798" s="509"/>
      <c r="T798" s="509"/>
      <c r="U798" s="509"/>
      <c r="V798" s="509"/>
      <c r="W798" s="509"/>
      <c r="X798" s="509"/>
      <c r="Y798" s="509"/>
      <c r="Z798" s="509"/>
    </row>
    <row r="799" spans="1:26" ht="16.5" customHeight="1" x14ac:dyDescent="0.3">
      <c r="A799" s="509"/>
      <c r="B799" s="509"/>
      <c r="C799" s="509"/>
      <c r="D799" s="509"/>
      <c r="E799" s="509"/>
      <c r="F799" s="509"/>
      <c r="G799" s="509"/>
      <c r="H799" s="509"/>
      <c r="I799" s="509"/>
      <c r="J799" s="509"/>
      <c r="K799" s="509"/>
      <c r="L799" s="509"/>
      <c r="M799" s="509"/>
      <c r="N799" s="509"/>
      <c r="O799" s="509"/>
      <c r="P799" s="509"/>
      <c r="Q799" s="509"/>
      <c r="R799" s="509"/>
      <c r="S799" s="509"/>
      <c r="T799" s="509"/>
      <c r="U799" s="509"/>
      <c r="V799" s="509"/>
      <c r="W799" s="509"/>
      <c r="X799" s="509"/>
      <c r="Y799" s="509"/>
      <c r="Z799" s="509"/>
    </row>
    <row r="800" spans="1:26" ht="16.5" customHeight="1" x14ac:dyDescent="0.3">
      <c r="A800" s="509"/>
      <c r="B800" s="509"/>
      <c r="C800" s="509"/>
      <c r="D800" s="509"/>
      <c r="E800" s="509"/>
      <c r="F800" s="509"/>
      <c r="G800" s="509"/>
      <c r="H800" s="509"/>
      <c r="I800" s="509"/>
      <c r="J800" s="509"/>
      <c r="K800" s="509"/>
      <c r="L800" s="509"/>
      <c r="M800" s="509"/>
      <c r="N800" s="509"/>
      <c r="O800" s="509"/>
      <c r="P800" s="509"/>
      <c r="Q800" s="509"/>
      <c r="R800" s="509"/>
      <c r="S800" s="509"/>
      <c r="T800" s="509"/>
      <c r="U800" s="509"/>
      <c r="V800" s="509"/>
      <c r="W800" s="509"/>
      <c r="X800" s="509"/>
      <c r="Y800" s="509"/>
      <c r="Z800" s="509"/>
    </row>
    <row r="801" spans="1:26" ht="16.5" customHeight="1" x14ac:dyDescent="0.3">
      <c r="A801" s="509"/>
      <c r="B801" s="509"/>
      <c r="C801" s="509"/>
      <c r="D801" s="509"/>
      <c r="E801" s="509"/>
      <c r="F801" s="509"/>
      <c r="G801" s="509"/>
      <c r="H801" s="509"/>
      <c r="I801" s="509"/>
      <c r="J801" s="509"/>
      <c r="K801" s="509"/>
      <c r="L801" s="509"/>
      <c r="M801" s="509"/>
      <c r="N801" s="509"/>
      <c r="O801" s="509"/>
      <c r="P801" s="509"/>
      <c r="Q801" s="509"/>
      <c r="R801" s="509"/>
      <c r="S801" s="509"/>
      <c r="T801" s="509"/>
      <c r="U801" s="509"/>
      <c r="V801" s="509"/>
      <c r="W801" s="509"/>
      <c r="X801" s="509"/>
      <c r="Y801" s="509"/>
      <c r="Z801" s="509"/>
    </row>
    <row r="802" spans="1:26" ht="16.5" customHeight="1" x14ac:dyDescent="0.3">
      <c r="A802" s="509"/>
      <c r="B802" s="509"/>
      <c r="C802" s="509"/>
      <c r="D802" s="509"/>
      <c r="E802" s="509"/>
      <c r="F802" s="509"/>
      <c r="G802" s="509"/>
      <c r="H802" s="509"/>
      <c r="I802" s="509"/>
      <c r="J802" s="509"/>
      <c r="K802" s="509"/>
      <c r="L802" s="509"/>
      <c r="M802" s="509"/>
      <c r="N802" s="509"/>
      <c r="O802" s="509"/>
      <c r="P802" s="509"/>
      <c r="Q802" s="509"/>
      <c r="R802" s="509"/>
      <c r="S802" s="509"/>
      <c r="T802" s="509"/>
      <c r="U802" s="509"/>
      <c r="V802" s="509"/>
      <c r="W802" s="509"/>
      <c r="X802" s="509"/>
      <c r="Y802" s="509"/>
      <c r="Z802" s="509"/>
    </row>
    <row r="803" spans="1:26" ht="16.5" customHeight="1" x14ac:dyDescent="0.3">
      <c r="A803" s="509"/>
      <c r="B803" s="509"/>
      <c r="C803" s="509"/>
      <c r="D803" s="509"/>
      <c r="E803" s="509"/>
      <c r="F803" s="509"/>
      <c r="G803" s="509"/>
      <c r="H803" s="509"/>
      <c r="I803" s="509"/>
      <c r="J803" s="509"/>
      <c r="K803" s="509"/>
      <c r="L803" s="509"/>
      <c r="M803" s="509"/>
      <c r="N803" s="509"/>
      <c r="O803" s="509"/>
      <c r="P803" s="509"/>
      <c r="Q803" s="509"/>
      <c r="R803" s="509"/>
      <c r="S803" s="509"/>
      <c r="T803" s="509"/>
      <c r="U803" s="509"/>
      <c r="V803" s="509"/>
      <c r="W803" s="509"/>
      <c r="X803" s="509"/>
      <c r="Y803" s="509"/>
      <c r="Z803" s="509"/>
    </row>
    <row r="804" spans="1:26" ht="16.5" customHeight="1" x14ac:dyDescent="0.3">
      <c r="A804" s="509"/>
      <c r="B804" s="509"/>
      <c r="C804" s="509"/>
      <c r="D804" s="509"/>
      <c r="E804" s="509"/>
      <c r="F804" s="509"/>
      <c r="G804" s="509"/>
      <c r="H804" s="509"/>
      <c r="I804" s="509"/>
      <c r="J804" s="509"/>
      <c r="K804" s="509"/>
      <c r="L804" s="509"/>
      <c r="M804" s="509"/>
      <c r="N804" s="509"/>
      <c r="O804" s="509"/>
      <c r="P804" s="509"/>
      <c r="Q804" s="509"/>
      <c r="R804" s="509"/>
      <c r="S804" s="509"/>
      <c r="T804" s="509"/>
      <c r="U804" s="509"/>
      <c r="V804" s="509"/>
      <c r="W804" s="509"/>
      <c r="X804" s="509"/>
      <c r="Y804" s="509"/>
      <c r="Z804" s="509"/>
    </row>
    <row r="805" spans="1:26" ht="16.5" customHeight="1" x14ac:dyDescent="0.3">
      <c r="A805" s="509"/>
      <c r="B805" s="509"/>
      <c r="C805" s="509"/>
      <c r="D805" s="509"/>
      <c r="E805" s="509"/>
      <c r="F805" s="509"/>
      <c r="G805" s="509"/>
      <c r="H805" s="509"/>
      <c r="I805" s="509"/>
      <c r="J805" s="509"/>
      <c r="K805" s="509"/>
      <c r="L805" s="509"/>
      <c r="M805" s="509"/>
      <c r="N805" s="509"/>
      <c r="O805" s="509"/>
      <c r="P805" s="509"/>
      <c r="Q805" s="509"/>
      <c r="R805" s="509"/>
      <c r="S805" s="509"/>
      <c r="T805" s="509"/>
      <c r="U805" s="509"/>
      <c r="V805" s="509"/>
      <c r="W805" s="509"/>
      <c r="X805" s="509"/>
      <c r="Y805" s="509"/>
      <c r="Z805" s="509"/>
    </row>
    <row r="806" spans="1:26" ht="16.5" customHeight="1" x14ac:dyDescent="0.3">
      <c r="A806" s="509"/>
      <c r="B806" s="509"/>
      <c r="C806" s="509"/>
      <c r="D806" s="509"/>
      <c r="E806" s="509"/>
      <c r="F806" s="509"/>
      <c r="G806" s="509"/>
      <c r="H806" s="509"/>
      <c r="I806" s="509"/>
      <c r="J806" s="509"/>
      <c r="K806" s="509"/>
      <c r="L806" s="509"/>
      <c r="M806" s="509"/>
      <c r="N806" s="509"/>
      <c r="O806" s="509"/>
      <c r="P806" s="509"/>
      <c r="Q806" s="509"/>
      <c r="R806" s="509"/>
      <c r="S806" s="509"/>
      <c r="T806" s="509"/>
      <c r="U806" s="509"/>
      <c r="V806" s="509"/>
      <c r="W806" s="509"/>
      <c r="X806" s="509"/>
      <c r="Y806" s="509"/>
      <c r="Z806" s="509"/>
    </row>
    <row r="807" spans="1:26" ht="16.5" customHeight="1" x14ac:dyDescent="0.3">
      <c r="A807" s="509"/>
      <c r="B807" s="509"/>
      <c r="C807" s="509"/>
      <c r="D807" s="509"/>
      <c r="E807" s="509"/>
      <c r="F807" s="509"/>
      <c r="G807" s="509"/>
      <c r="H807" s="509"/>
      <c r="I807" s="509"/>
      <c r="J807" s="509"/>
      <c r="K807" s="509"/>
      <c r="L807" s="509"/>
      <c r="M807" s="509"/>
      <c r="N807" s="509"/>
      <c r="O807" s="509"/>
      <c r="P807" s="509"/>
      <c r="Q807" s="509"/>
      <c r="R807" s="509"/>
      <c r="S807" s="509"/>
      <c r="T807" s="509"/>
      <c r="U807" s="509"/>
      <c r="V807" s="509"/>
      <c r="W807" s="509"/>
      <c r="X807" s="509"/>
      <c r="Y807" s="509"/>
      <c r="Z807" s="509"/>
    </row>
    <row r="808" spans="1:26" ht="16.5" customHeight="1" x14ac:dyDescent="0.3">
      <c r="A808" s="509"/>
      <c r="B808" s="509"/>
      <c r="C808" s="509"/>
      <c r="D808" s="509"/>
      <c r="E808" s="509"/>
      <c r="F808" s="509"/>
      <c r="G808" s="509"/>
      <c r="H808" s="509"/>
      <c r="I808" s="509"/>
      <c r="J808" s="509"/>
      <c r="K808" s="509"/>
      <c r="L808" s="509"/>
      <c r="M808" s="509"/>
      <c r="N808" s="509"/>
      <c r="O808" s="509"/>
      <c r="P808" s="509"/>
      <c r="Q808" s="509"/>
      <c r="R808" s="509"/>
      <c r="S808" s="509"/>
      <c r="T808" s="509"/>
      <c r="U808" s="509"/>
      <c r="V808" s="509"/>
      <c r="W808" s="509"/>
      <c r="X808" s="509"/>
      <c r="Y808" s="509"/>
      <c r="Z808" s="509"/>
    </row>
    <row r="809" spans="1:26" ht="16.5" customHeight="1" x14ac:dyDescent="0.3">
      <c r="A809" s="509"/>
      <c r="B809" s="509"/>
      <c r="C809" s="509"/>
      <c r="D809" s="509"/>
      <c r="E809" s="509"/>
      <c r="F809" s="509"/>
      <c r="G809" s="509"/>
      <c r="H809" s="509"/>
      <c r="I809" s="509"/>
      <c r="J809" s="509"/>
      <c r="K809" s="509"/>
      <c r="L809" s="509"/>
      <c r="M809" s="509"/>
      <c r="N809" s="509"/>
      <c r="O809" s="509"/>
      <c r="P809" s="509"/>
      <c r="Q809" s="509"/>
      <c r="R809" s="509"/>
      <c r="S809" s="509"/>
      <c r="T809" s="509"/>
      <c r="U809" s="509"/>
      <c r="V809" s="509"/>
      <c r="W809" s="509"/>
      <c r="X809" s="509"/>
      <c r="Y809" s="509"/>
      <c r="Z809" s="509"/>
    </row>
    <row r="810" spans="1:26" ht="16.5" customHeight="1" x14ac:dyDescent="0.3">
      <c r="A810" s="509"/>
      <c r="B810" s="509"/>
      <c r="C810" s="509"/>
      <c r="D810" s="509"/>
      <c r="E810" s="509"/>
      <c r="F810" s="509"/>
      <c r="G810" s="509"/>
      <c r="H810" s="509"/>
      <c r="I810" s="509"/>
      <c r="J810" s="509"/>
      <c r="K810" s="509"/>
      <c r="L810" s="509"/>
      <c r="M810" s="509"/>
      <c r="N810" s="509"/>
      <c r="O810" s="509"/>
      <c r="P810" s="509"/>
      <c r="Q810" s="509"/>
      <c r="R810" s="509"/>
      <c r="S810" s="509"/>
      <c r="T810" s="509"/>
      <c r="U810" s="509"/>
      <c r="V810" s="509"/>
      <c r="W810" s="509"/>
      <c r="X810" s="509"/>
      <c r="Y810" s="509"/>
      <c r="Z810" s="509"/>
    </row>
    <row r="811" spans="1:26" ht="16.5" customHeight="1" x14ac:dyDescent="0.3">
      <c r="A811" s="509"/>
      <c r="B811" s="509"/>
      <c r="C811" s="509"/>
      <c r="D811" s="509"/>
      <c r="E811" s="509"/>
      <c r="F811" s="509"/>
      <c r="G811" s="509"/>
      <c r="H811" s="509"/>
      <c r="I811" s="509"/>
      <c r="J811" s="509"/>
      <c r="K811" s="509"/>
      <c r="L811" s="509"/>
      <c r="M811" s="509"/>
      <c r="N811" s="509"/>
      <c r="O811" s="509"/>
      <c r="P811" s="509"/>
      <c r="Q811" s="509"/>
      <c r="R811" s="509"/>
      <c r="S811" s="509"/>
      <c r="T811" s="509"/>
      <c r="U811" s="509"/>
      <c r="V811" s="509"/>
      <c r="W811" s="509"/>
      <c r="X811" s="509"/>
      <c r="Y811" s="509"/>
      <c r="Z811" s="509"/>
    </row>
    <row r="812" spans="1:26" ht="16.5" customHeight="1" x14ac:dyDescent="0.3">
      <c r="A812" s="509"/>
      <c r="B812" s="509"/>
      <c r="C812" s="509"/>
      <c r="D812" s="509"/>
      <c r="E812" s="509"/>
      <c r="F812" s="509"/>
      <c r="G812" s="509"/>
      <c r="H812" s="509"/>
      <c r="I812" s="509"/>
      <c r="J812" s="509"/>
      <c r="K812" s="509"/>
      <c r="L812" s="509"/>
      <c r="M812" s="509"/>
      <c r="N812" s="509"/>
      <c r="O812" s="509"/>
      <c r="P812" s="509"/>
      <c r="Q812" s="509"/>
      <c r="R812" s="509"/>
      <c r="S812" s="509"/>
      <c r="T812" s="509"/>
      <c r="U812" s="509"/>
      <c r="V812" s="509"/>
      <c r="W812" s="509"/>
      <c r="X812" s="509"/>
      <c r="Y812" s="509"/>
      <c r="Z812" s="509"/>
    </row>
    <row r="813" spans="1:26" ht="16.5" customHeight="1" x14ac:dyDescent="0.3">
      <c r="A813" s="509"/>
      <c r="B813" s="509"/>
      <c r="C813" s="509"/>
      <c r="D813" s="509"/>
      <c r="E813" s="509"/>
      <c r="F813" s="509"/>
      <c r="G813" s="509"/>
      <c r="H813" s="509"/>
      <c r="I813" s="509"/>
      <c r="J813" s="509"/>
      <c r="K813" s="509"/>
      <c r="L813" s="509"/>
      <c r="M813" s="509"/>
      <c r="N813" s="509"/>
      <c r="O813" s="509"/>
      <c r="P813" s="509"/>
      <c r="Q813" s="509"/>
      <c r="R813" s="509"/>
      <c r="S813" s="509"/>
      <c r="T813" s="509"/>
      <c r="U813" s="509"/>
      <c r="V813" s="509"/>
      <c r="W813" s="509"/>
      <c r="X813" s="509"/>
      <c r="Y813" s="509"/>
      <c r="Z813" s="509"/>
    </row>
    <row r="814" spans="1:26" ht="16.5" customHeight="1" x14ac:dyDescent="0.3">
      <c r="A814" s="509"/>
      <c r="B814" s="509"/>
      <c r="C814" s="509"/>
      <c r="D814" s="509"/>
      <c r="E814" s="509"/>
      <c r="F814" s="509"/>
      <c r="G814" s="509"/>
      <c r="H814" s="509"/>
      <c r="I814" s="509"/>
      <c r="J814" s="509"/>
      <c r="K814" s="509"/>
      <c r="L814" s="509"/>
      <c r="M814" s="509"/>
      <c r="N814" s="509"/>
      <c r="O814" s="509"/>
      <c r="P814" s="509"/>
      <c r="Q814" s="509"/>
      <c r="R814" s="509"/>
      <c r="S814" s="509"/>
      <c r="T814" s="509"/>
      <c r="U814" s="509"/>
      <c r="V814" s="509"/>
      <c r="W814" s="509"/>
      <c r="X814" s="509"/>
      <c r="Y814" s="509"/>
      <c r="Z814" s="509"/>
    </row>
    <row r="815" spans="1:26" ht="16.5" customHeight="1" x14ac:dyDescent="0.3">
      <c r="A815" s="509"/>
      <c r="B815" s="509"/>
      <c r="C815" s="509"/>
      <c r="D815" s="509"/>
      <c r="E815" s="509"/>
      <c r="F815" s="509"/>
      <c r="G815" s="509"/>
      <c r="H815" s="509"/>
      <c r="I815" s="509"/>
      <c r="J815" s="509"/>
      <c r="K815" s="509"/>
      <c r="L815" s="509"/>
      <c r="M815" s="509"/>
      <c r="N815" s="509"/>
      <c r="O815" s="509"/>
      <c r="P815" s="509"/>
      <c r="Q815" s="509"/>
      <c r="R815" s="509"/>
      <c r="S815" s="509"/>
      <c r="T815" s="509"/>
      <c r="U815" s="509"/>
      <c r="V815" s="509"/>
      <c r="W815" s="509"/>
      <c r="X815" s="509"/>
      <c r="Y815" s="509"/>
      <c r="Z815" s="509"/>
    </row>
    <row r="816" spans="1:26" ht="16.5" customHeight="1" x14ac:dyDescent="0.3">
      <c r="A816" s="509"/>
      <c r="B816" s="509"/>
      <c r="C816" s="509"/>
      <c r="D816" s="509"/>
      <c r="E816" s="509"/>
      <c r="F816" s="509"/>
      <c r="G816" s="509"/>
      <c r="H816" s="509"/>
      <c r="I816" s="509"/>
      <c r="J816" s="509"/>
      <c r="K816" s="509"/>
      <c r="L816" s="509"/>
      <c r="M816" s="509"/>
      <c r="N816" s="509"/>
      <c r="O816" s="509"/>
      <c r="P816" s="509"/>
      <c r="Q816" s="509"/>
      <c r="R816" s="509"/>
      <c r="S816" s="509"/>
      <c r="T816" s="509"/>
      <c r="U816" s="509"/>
      <c r="V816" s="509"/>
      <c r="W816" s="509"/>
      <c r="X816" s="509"/>
      <c r="Y816" s="509"/>
      <c r="Z816" s="509"/>
    </row>
    <row r="817" spans="1:26" ht="16.5" customHeight="1" x14ac:dyDescent="0.3">
      <c r="A817" s="509"/>
      <c r="B817" s="509"/>
      <c r="C817" s="509"/>
      <c r="D817" s="509"/>
      <c r="E817" s="509"/>
      <c r="F817" s="509"/>
      <c r="G817" s="509"/>
      <c r="H817" s="509"/>
      <c r="I817" s="509"/>
      <c r="J817" s="509"/>
      <c r="K817" s="509"/>
      <c r="L817" s="509"/>
      <c r="M817" s="509"/>
      <c r="N817" s="509"/>
      <c r="O817" s="509"/>
      <c r="P817" s="509"/>
      <c r="Q817" s="509"/>
      <c r="R817" s="509"/>
      <c r="S817" s="509"/>
      <c r="T817" s="509"/>
      <c r="U817" s="509"/>
      <c r="V817" s="509"/>
      <c r="W817" s="509"/>
      <c r="X817" s="509"/>
      <c r="Y817" s="509"/>
      <c r="Z817" s="509"/>
    </row>
    <row r="818" spans="1:26" ht="16.5" customHeight="1" x14ac:dyDescent="0.3">
      <c r="A818" s="509"/>
      <c r="B818" s="509"/>
      <c r="C818" s="509"/>
      <c r="D818" s="509"/>
      <c r="E818" s="509"/>
      <c r="F818" s="509"/>
      <c r="G818" s="509"/>
      <c r="H818" s="509"/>
      <c r="I818" s="509"/>
      <c r="J818" s="509"/>
      <c r="K818" s="509"/>
      <c r="L818" s="509"/>
      <c r="M818" s="509"/>
      <c r="N818" s="509"/>
      <c r="O818" s="509"/>
      <c r="P818" s="509"/>
      <c r="Q818" s="509"/>
      <c r="R818" s="509"/>
      <c r="S818" s="509"/>
      <c r="T818" s="509"/>
      <c r="U818" s="509"/>
      <c r="V818" s="509"/>
      <c r="W818" s="509"/>
      <c r="X818" s="509"/>
      <c r="Y818" s="509"/>
      <c r="Z818" s="509"/>
    </row>
    <row r="819" spans="1:26" ht="16.5" customHeight="1" x14ac:dyDescent="0.3">
      <c r="A819" s="509"/>
      <c r="B819" s="509"/>
      <c r="C819" s="509"/>
      <c r="D819" s="509"/>
      <c r="E819" s="509"/>
      <c r="F819" s="509"/>
      <c r="G819" s="509"/>
      <c r="H819" s="509"/>
      <c r="I819" s="509"/>
      <c r="J819" s="509"/>
      <c r="K819" s="509"/>
      <c r="L819" s="509"/>
      <c r="M819" s="509"/>
      <c r="N819" s="509"/>
      <c r="O819" s="509"/>
      <c r="P819" s="509"/>
      <c r="Q819" s="509"/>
      <c r="R819" s="509"/>
      <c r="S819" s="509"/>
      <c r="T819" s="509"/>
      <c r="U819" s="509"/>
      <c r="V819" s="509"/>
      <c r="W819" s="509"/>
      <c r="X819" s="509"/>
      <c r="Y819" s="509"/>
      <c r="Z819" s="509"/>
    </row>
    <row r="820" spans="1:26" ht="16.5" customHeight="1" x14ac:dyDescent="0.3">
      <c r="A820" s="509"/>
      <c r="B820" s="509"/>
      <c r="C820" s="509"/>
      <c r="D820" s="509"/>
      <c r="E820" s="509"/>
      <c r="F820" s="509"/>
      <c r="G820" s="509"/>
      <c r="H820" s="509"/>
      <c r="I820" s="509"/>
      <c r="J820" s="509"/>
      <c r="K820" s="509"/>
      <c r="L820" s="509"/>
      <c r="M820" s="509"/>
      <c r="N820" s="509"/>
      <c r="O820" s="509"/>
      <c r="P820" s="509"/>
      <c r="Q820" s="509"/>
      <c r="R820" s="509"/>
      <c r="S820" s="509"/>
      <c r="T820" s="509"/>
      <c r="U820" s="509"/>
      <c r="V820" s="509"/>
      <c r="W820" s="509"/>
      <c r="X820" s="509"/>
      <c r="Y820" s="509"/>
      <c r="Z820" s="509"/>
    </row>
    <row r="821" spans="1:26" ht="16.5" customHeight="1" x14ac:dyDescent="0.3">
      <c r="A821" s="509"/>
      <c r="B821" s="509"/>
      <c r="C821" s="509"/>
      <c r="D821" s="509"/>
      <c r="E821" s="509"/>
      <c r="F821" s="509"/>
      <c r="G821" s="509"/>
      <c r="H821" s="509"/>
      <c r="I821" s="509"/>
      <c r="J821" s="509"/>
      <c r="K821" s="509"/>
      <c r="L821" s="509"/>
      <c r="M821" s="509"/>
      <c r="N821" s="509"/>
      <c r="O821" s="509"/>
      <c r="P821" s="509"/>
      <c r="Q821" s="509"/>
      <c r="R821" s="509"/>
      <c r="S821" s="509"/>
      <c r="T821" s="509"/>
      <c r="U821" s="509"/>
      <c r="V821" s="509"/>
      <c r="W821" s="509"/>
      <c r="X821" s="509"/>
      <c r="Y821" s="509"/>
      <c r="Z821" s="509"/>
    </row>
    <row r="822" spans="1:26" ht="16.5" customHeight="1" x14ac:dyDescent="0.3">
      <c r="A822" s="509"/>
      <c r="B822" s="509"/>
      <c r="C822" s="509"/>
      <c r="D822" s="509"/>
      <c r="E822" s="509"/>
      <c r="F822" s="509"/>
      <c r="G822" s="509"/>
      <c r="H822" s="509"/>
      <c r="I822" s="509"/>
      <c r="J822" s="509"/>
      <c r="K822" s="509"/>
      <c r="L822" s="509"/>
      <c r="M822" s="509"/>
      <c r="N822" s="509"/>
      <c r="O822" s="509"/>
      <c r="P822" s="509"/>
      <c r="Q822" s="509"/>
      <c r="R822" s="509"/>
      <c r="S822" s="509"/>
      <c r="T822" s="509"/>
      <c r="U822" s="509"/>
      <c r="V822" s="509"/>
      <c r="W822" s="509"/>
      <c r="X822" s="509"/>
      <c r="Y822" s="509"/>
      <c r="Z822" s="509"/>
    </row>
    <row r="823" spans="1:26" ht="16.5" customHeight="1" x14ac:dyDescent="0.3">
      <c r="A823" s="509"/>
      <c r="B823" s="509"/>
      <c r="C823" s="509"/>
      <c r="D823" s="509"/>
      <c r="E823" s="509"/>
      <c r="F823" s="509"/>
      <c r="G823" s="509"/>
      <c r="H823" s="509"/>
      <c r="I823" s="509"/>
      <c r="J823" s="509"/>
      <c r="K823" s="509"/>
      <c r="L823" s="509"/>
      <c r="M823" s="509"/>
      <c r="N823" s="509"/>
      <c r="O823" s="509"/>
      <c r="P823" s="509"/>
      <c r="Q823" s="509"/>
      <c r="R823" s="509"/>
      <c r="S823" s="509"/>
      <c r="T823" s="509"/>
      <c r="U823" s="509"/>
      <c r="V823" s="509"/>
      <c r="W823" s="509"/>
      <c r="X823" s="509"/>
      <c r="Y823" s="509"/>
      <c r="Z823" s="509"/>
    </row>
    <row r="824" spans="1:26" ht="16.5" customHeight="1" x14ac:dyDescent="0.3">
      <c r="A824" s="509"/>
      <c r="B824" s="509"/>
      <c r="C824" s="509"/>
      <c r="D824" s="509"/>
      <c r="E824" s="509"/>
      <c r="F824" s="509"/>
      <c r="G824" s="509"/>
      <c r="H824" s="509"/>
      <c r="I824" s="509"/>
      <c r="J824" s="509"/>
      <c r="K824" s="509"/>
      <c r="L824" s="509"/>
      <c r="M824" s="509"/>
      <c r="N824" s="509"/>
      <c r="O824" s="509"/>
      <c r="P824" s="509"/>
      <c r="Q824" s="509"/>
      <c r="R824" s="509"/>
      <c r="S824" s="509"/>
      <c r="T824" s="509"/>
      <c r="U824" s="509"/>
      <c r="V824" s="509"/>
      <c r="W824" s="509"/>
      <c r="X824" s="509"/>
      <c r="Y824" s="509"/>
      <c r="Z824" s="509"/>
    </row>
    <row r="825" spans="1:26" ht="16.5" customHeight="1" x14ac:dyDescent="0.3">
      <c r="A825" s="509"/>
      <c r="B825" s="509"/>
      <c r="C825" s="509"/>
      <c r="D825" s="509"/>
      <c r="E825" s="509"/>
      <c r="F825" s="509"/>
      <c r="G825" s="509"/>
      <c r="H825" s="509"/>
      <c r="I825" s="509"/>
      <c r="J825" s="509"/>
      <c r="K825" s="509"/>
      <c r="L825" s="509"/>
      <c r="M825" s="509"/>
      <c r="N825" s="509"/>
      <c r="O825" s="509"/>
      <c r="P825" s="509"/>
      <c r="Q825" s="509"/>
      <c r="R825" s="509"/>
      <c r="S825" s="509"/>
      <c r="T825" s="509"/>
      <c r="U825" s="509"/>
      <c r="V825" s="509"/>
      <c r="W825" s="509"/>
      <c r="X825" s="509"/>
      <c r="Y825" s="509"/>
      <c r="Z825" s="509"/>
    </row>
    <row r="826" spans="1:26" ht="16.5" customHeight="1" x14ac:dyDescent="0.3">
      <c r="A826" s="509"/>
      <c r="B826" s="509"/>
      <c r="C826" s="509"/>
      <c r="D826" s="509"/>
      <c r="E826" s="509"/>
      <c r="F826" s="509"/>
      <c r="G826" s="509"/>
      <c r="H826" s="509"/>
      <c r="I826" s="509"/>
      <c r="J826" s="509"/>
      <c r="K826" s="509"/>
      <c r="L826" s="509"/>
      <c r="M826" s="509"/>
      <c r="N826" s="509"/>
      <c r="O826" s="509"/>
      <c r="P826" s="509"/>
      <c r="Q826" s="509"/>
      <c r="R826" s="509"/>
      <c r="S826" s="509"/>
      <c r="T826" s="509"/>
      <c r="U826" s="509"/>
      <c r="V826" s="509"/>
      <c r="W826" s="509"/>
      <c r="X826" s="509"/>
      <c r="Y826" s="509"/>
      <c r="Z826" s="509"/>
    </row>
    <row r="827" spans="1:26" ht="16.5" customHeight="1" x14ac:dyDescent="0.3">
      <c r="A827" s="509"/>
      <c r="B827" s="509"/>
      <c r="C827" s="509"/>
      <c r="D827" s="509"/>
      <c r="E827" s="509"/>
      <c r="F827" s="509"/>
      <c r="G827" s="509"/>
      <c r="H827" s="509"/>
      <c r="I827" s="509"/>
      <c r="J827" s="509"/>
      <c r="K827" s="509"/>
      <c r="L827" s="509"/>
      <c r="M827" s="509"/>
      <c r="N827" s="509"/>
      <c r="O827" s="509"/>
      <c r="P827" s="509"/>
      <c r="Q827" s="509"/>
      <c r="R827" s="509"/>
      <c r="S827" s="509"/>
      <c r="T827" s="509"/>
      <c r="U827" s="509"/>
      <c r="V827" s="509"/>
      <c r="W827" s="509"/>
      <c r="X827" s="509"/>
      <c r="Y827" s="509"/>
      <c r="Z827" s="509"/>
    </row>
    <row r="828" spans="1:26" ht="16.5" customHeight="1" x14ac:dyDescent="0.3">
      <c r="A828" s="509"/>
      <c r="B828" s="509"/>
      <c r="C828" s="509"/>
      <c r="D828" s="509"/>
      <c r="E828" s="509"/>
      <c r="F828" s="509"/>
      <c r="G828" s="509"/>
      <c r="H828" s="509"/>
      <c r="I828" s="509"/>
      <c r="J828" s="509"/>
      <c r="K828" s="509"/>
      <c r="L828" s="509"/>
      <c r="M828" s="509"/>
      <c r="N828" s="509"/>
      <c r="O828" s="509"/>
      <c r="P828" s="509"/>
      <c r="Q828" s="509"/>
      <c r="R828" s="509"/>
      <c r="S828" s="509"/>
      <c r="T828" s="509"/>
      <c r="U828" s="509"/>
      <c r="V828" s="509"/>
      <c r="W828" s="509"/>
      <c r="X828" s="509"/>
      <c r="Y828" s="509"/>
      <c r="Z828" s="509"/>
    </row>
    <row r="829" spans="1:26" ht="16.5" customHeight="1" x14ac:dyDescent="0.3">
      <c r="A829" s="509"/>
      <c r="B829" s="509"/>
      <c r="C829" s="509"/>
      <c r="D829" s="509"/>
      <c r="E829" s="509"/>
      <c r="F829" s="509"/>
      <c r="G829" s="509"/>
      <c r="H829" s="509"/>
      <c r="I829" s="509"/>
      <c r="J829" s="509"/>
      <c r="K829" s="509"/>
      <c r="L829" s="509"/>
      <c r="M829" s="509"/>
      <c r="N829" s="509"/>
      <c r="O829" s="509"/>
      <c r="P829" s="509"/>
      <c r="Q829" s="509"/>
      <c r="R829" s="509"/>
      <c r="S829" s="509"/>
      <c r="T829" s="509"/>
      <c r="U829" s="509"/>
      <c r="V829" s="509"/>
      <c r="W829" s="509"/>
      <c r="X829" s="509"/>
      <c r="Y829" s="509"/>
      <c r="Z829" s="509"/>
    </row>
    <row r="830" spans="1:26" ht="16.5" customHeight="1" x14ac:dyDescent="0.3">
      <c r="A830" s="509"/>
      <c r="B830" s="509"/>
      <c r="C830" s="509"/>
      <c r="D830" s="509"/>
      <c r="E830" s="509"/>
      <c r="F830" s="509"/>
      <c r="G830" s="509"/>
      <c r="H830" s="509"/>
      <c r="I830" s="509"/>
      <c r="J830" s="509"/>
      <c r="K830" s="509"/>
      <c r="L830" s="509"/>
      <c r="M830" s="509"/>
      <c r="N830" s="509"/>
      <c r="O830" s="509"/>
      <c r="P830" s="509"/>
      <c r="Q830" s="509"/>
      <c r="R830" s="509"/>
      <c r="S830" s="509"/>
      <c r="T830" s="509"/>
      <c r="U830" s="509"/>
      <c r="V830" s="509"/>
      <c r="W830" s="509"/>
      <c r="X830" s="509"/>
      <c r="Y830" s="509"/>
      <c r="Z830" s="509"/>
    </row>
    <row r="831" spans="1:26" ht="16.5" customHeight="1" x14ac:dyDescent="0.3">
      <c r="A831" s="509"/>
      <c r="B831" s="509"/>
      <c r="C831" s="509"/>
      <c r="D831" s="509"/>
      <c r="E831" s="509"/>
      <c r="F831" s="509"/>
      <c r="G831" s="509"/>
      <c r="H831" s="509"/>
      <c r="I831" s="509"/>
      <c r="J831" s="509"/>
      <c r="K831" s="509"/>
      <c r="L831" s="509"/>
      <c r="M831" s="509"/>
      <c r="N831" s="509"/>
      <c r="O831" s="509"/>
      <c r="P831" s="509"/>
      <c r="Q831" s="509"/>
      <c r="R831" s="509"/>
      <c r="S831" s="509"/>
      <c r="T831" s="509"/>
      <c r="U831" s="509"/>
      <c r="V831" s="509"/>
      <c r="W831" s="509"/>
      <c r="X831" s="509"/>
      <c r="Y831" s="509"/>
      <c r="Z831" s="509"/>
    </row>
    <row r="832" spans="1:26" ht="16.5" customHeight="1" x14ac:dyDescent="0.3">
      <c r="A832" s="509"/>
      <c r="B832" s="509"/>
      <c r="C832" s="509"/>
      <c r="D832" s="509"/>
      <c r="E832" s="509"/>
      <c r="F832" s="509"/>
      <c r="G832" s="509"/>
      <c r="H832" s="509"/>
      <c r="I832" s="509"/>
      <c r="J832" s="509"/>
      <c r="K832" s="509"/>
      <c r="L832" s="509"/>
      <c r="M832" s="509"/>
      <c r="N832" s="509"/>
      <c r="O832" s="509"/>
      <c r="P832" s="509"/>
      <c r="Q832" s="509"/>
      <c r="R832" s="509"/>
      <c r="S832" s="509"/>
      <c r="T832" s="509"/>
      <c r="U832" s="509"/>
      <c r="V832" s="509"/>
      <c r="W832" s="509"/>
      <c r="X832" s="509"/>
      <c r="Y832" s="509"/>
      <c r="Z832" s="509"/>
    </row>
    <row r="833" spans="1:26" ht="16.5" customHeight="1" x14ac:dyDescent="0.3">
      <c r="A833" s="509"/>
      <c r="B833" s="509"/>
      <c r="C833" s="509"/>
      <c r="D833" s="509"/>
      <c r="E833" s="509"/>
      <c r="F833" s="509"/>
      <c r="G833" s="509"/>
      <c r="H833" s="509"/>
      <c r="I833" s="509"/>
      <c r="J833" s="509"/>
      <c r="K833" s="509"/>
      <c r="L833" s="509"/>
      <c r="M833" s="509"/>
      <c r="N833" s="509"/>
      <c r="O833" s="509"/>
      <c r="P833" s="509"/>
      <c r="Q833" s="509"/>
      <c r="R833" s="509"/>
      <c r="S833" s="509"/>
      <c r="T833" s="509"/>
      <c r="U833" s="509"/>
      <c r="V833" s="509"/>
      <c r="W833" s="509"/>
      <c r="X833" s="509"/>
      <c r="Y833" s="509"/>
      <c r="Z833" s="509"/>
    </row>
    <row r="834" spans="1:26" ht="16.5" customHeight="1" x14ac:dyDescent="0.3">
      <c r="A834" s="509"/>
      <c r="B834" s="509"/>
      <c r="C834" s="509"/>
      <c r="D834" s="509"/>
      <c r="E834" s="509"/>
      <c r="F834" s="509"/>
      <c r="G834" s="509"/>
      <c r="H834" s="509"/>
      <c r="I834" s="509"/>
      <c r="J834" s="509"/>
      <c r="K834" s="509"/>
      <c r="L834" s="509"/>
      <c r="M834" s="509"/>
      <c r="N834" s="509"/>
      <c r="O834" s="509"/>
      <c r="P834" s="509"/>
      <c r="Q834" s="509"/>
      <c r="R834" s="509"/>
      <c r="S834" s="509"/>
      <c r="T834" s="509"/>
      <c r="U834" s="509"/>
      <c r="V834" s="509"/>
      <c r="W834" s="509"/>
      <c r="X834" s="509"/>
      <c r="Y834" s="509"/>
      <c r="Z834" s="509"/>
    </row>
    <row r="835" spans="1:26" ht="16.5" customHeight="1" x14ac:dyDescent="0.3">
      <c r="A835" s="509"/>
      <c r="B835" s="509"/>
      <c r="C835" s="509"/>
      <c r="D835" s="509"/>
      <c r="E835" s="509"/>
      <c r="F835" s="509"/>
      <c r="G835" s="509"/>
      <c r="H835" s="509"/>
      <c r="I835" s="509"/>
      <c r="J835" s="509"/>
      <c r="K835" s="509"/>
      <c r="L835" s="509"/>
      <c r="M835" s="509"/>
      <c r="N835" s="509"/>
      <c r="O835" s="509"/>
      <c r="P835" s="509"/>
      <c r="Q835" s="509"/>
      <c r="R835" s="509"/>
      <c r="S835" s="509"/>
      <c r="T835" s="509"/>
      <c r="U835" s="509"/>
      <c r="V835" s="509"/>
      <c r="W835" s="509"/>
      <c r="X835" s="509"/>
      <c r="Y835" s="509"/>
      <c r="Z835" s="509"/>
    </row>
    <row r="836" spans="1:26" ht="16.5" customHeight="1" x14ac:dyDescent="0.3">
      <c r="A836" s="509"/>
      <c r="B836" s="509"/>
      <c r="C836" s="509"/>
      <c r="D836" s="509"/>
      <c r="E836" s="509"/>
      <c r="F836" s="509"/>
      <c r="G836" s="509"/>
      <c r="H836" s="509"/>
      <c r="I836" s="509"/>
      <c r="J836" s="509"/>
      <c r="K836" s="509"/>
      <c r="L836" s="509"/>
      <c r="M836" s="509"/>
      <c r="N836" s="509"/>
      <c r="O836" s="509"/>
      <c r="P836" s="509"/>
      <c r="Q836" s="509"/>
      <c r="R836" s="509"/>
      <c r="S836" s="509"/>
      <c r="T836" s="509"/>
      <c r="U836" s="509"/>
      <c r="V836" s="509"/>
      <c r="W836" s="509"/>
      <c r="X836" s="509"/>
      <c r="Y836" s="509"/>
      <c r="Z836" s="509"/>
    </row>
    <row r="837" spans="1:26" ht="16.5" customHeight="1" x14ac:dyDescent="0.3">
      <c r="A837" s="509"/>
      <c r="B837" s="509"/>
      <c r="C837" s="509"/>
      <c r="D837" s="509"/>
      <c r="E837" s="509"/>
      <c r="F837" s="509"/>
      <c r="G837" s="509"/>
      <c r="H837" s="509"/>
      <c r="I837" s="509"/>
      <c r="J837" s="509"/>
      <c r="K837" s="509"/>
      <c r="L837" s="509"/>
      <c r="M837" s="509"/>
      <c r="N837" s="509"/>
      <c r="O837" s="509"/>
      <c r="P837" s="509"/>
      <c r="Q837" s="509"/>
      <c r="R837" s="509"/>
      <c r="S837" s="509"/>
      <c r="T837" s="509"/>
      <c r="U837" s="509"/>
      <c r="V837" s="509"/>
      <c r="W837" s="509"/>
      <c r="X837" s="509"/>
      <c r="Y837" s="509"/>
      <c r="Z837" s="509"/>
    </row>
    <row r="838" spans="1:26" ht="16.5" customHeight="1" x14ac:dyDescent="0.3">
      <c r="A838" s="509"/>
      <c r="B838" s="509"/>
      <c r="C838" s="509"/>
      <c r="D838" s="509"/>
      <c r="E838" s="509"/>
      <c r="F838" s="509"/>
      <c r="G838" s="509"/>
      <c r="H838" s="509"/>
      <c r="I838" s="509"/>
      <c r="J838" s="509"/>
      <c r="K838" s="509"/>
      <c r="L838" s="509"/>
      <c r="M838" s="509"/>
      <c r="N838" s="509"/>
      <c r="O838" s="509"/>
      <c r="P838" s="509"/>
      <c r="Q838" s="509"/>
      <c r="R838" s="509"/>
      <c r="S838" s="509"/>
      <c r="T838" s="509"/>
      <c r="U838" s="509"/>
      <c r="V838" s="509"/>
      <c r="W838" s="509"/>
      <c r="X838" s="509"/>
      <c r="Y838" s="509"/>
      <c r="Z838" s="509"/>
    </row>
    <row r="839" spans="1:26" ht="16.5" customHeight="1" x14ac:dyDescent="0.3">
      <c r="A839" s="509"/>
      <c r="B839" s="509"/>
      <c r="C839" s="509"/>
      <c r="D839" s="509"/>
      <c r="E839" s="509"/>
      <c r="F839" s="509"/>
      <c r="G839" s="509"/>
      <c r="H839" s="509"/>
      <c r="I839" s="509"/>
      <c r="J839" s="509"/>
      <c r="K839" s="509"/>
      <c r="L839" s="509"/>
      <c r="M839" s="509"/>
      <c r="N839" s="509"/>
      <c r="O839" s="509"/>
      <c r="P839" s="509"/>
      <c r="Q839" s="509"/>
      <c r="R839" s="509"/>
      <c r="S839" s="509"/>
      <c r="T839" s="509"/>
      <c r="U839" s="509"/>
      <c r="V839" s="509"/>
      <c r="W839" s="509"/>
      <c r="X839" s="509"/>
      <c r="Y839" s="509"/>
      <c r="Z839" s="509"/>
    </row>
    <row r="840" spans="1:26" ht="16.5" customHeight="1" x14ac:dyDescent="0.3">
      <c r="A840" s="509"/>
      <c r="B840" s="509"/>
      <c r="C840" s="509"/>
      <c r="D840" s="509"/>
      <c r="E840" s="509"/>
      <c r="F840" s="509"/>
      <c r="G840" s="509"/>
      <c r="H840" s="509"/>
      <c r="I840" s="509"/>
      <c r="J840" s="509"/>
      <c r="K840" s="509"/>
      <c r="L840" s="509"/>
      <c r="M840" s="509"/>
      <c r="N840" s="509"/>
      <c r="O840" s="509"/>
      <c r="P840" s="509"/>
      <c r="Q840" s="509"/>
      <c r="R840" s="509"/>
      <c r="S840" s="509"/>
      <c r="T840" s="509"/>
      <c r="U840" s="509"/>
      <c r="V840" s="509"/>
      <c r="W840" s="509"/>
      <c r="X840" s="509"/>
      <c r="Y840" s="509"/>
      <c r="Z840" s="509"/>
    </row>
    <row r="841" spans="1:26" ht="16.5" customHeight="1" x14ac:dyDescent="0.3">
      <c r="A841" s="509"/>
      <c r="B841" s="509"/>
      <c r="C841" s="509"/>
      <c r="D841" s="509"/>
      <c r="E841" s="509"/>
      <c r="F841" s="509"/>
      <c r="G841" s="509"/>
      <c r="H841" s="509"/>
      <c r="I841" s="509"/>
      <c r="J841" s="509"/>
      <c r="K841" s="509"/>
      <c r="L841" s="509"/>
      <c r="M841" s="509"/>
      <c r="N841" s="509"/>
      <c r="O841" s="509"/>
      <c r="P841" s="509"/>
      <c r="Q841" s="509"/>
      <c r="R841" s="509"/>
      <c r="S841" s="509"/>
      <c r="T841" s="509"/>
      <c r="U841" s="509"/>
      <c r="V841" s="509"/>
      <c r="W841" s="509"/>
      <c r="X841" s="509"/>
      <c r="Y841" s="509"/>
      <c r="Z841" s="509"/>
    </row>
    <row r="842" spans="1:26" ht="16.5" customHeight="1" x14ac:dyDescent="0.3">
      <c r="A842" s="509"/>
      <c r="B842" s="509"/>
      <c r="C842" s="509"/>
      <c r="D842" s="509"/>
      <c r="E842" s="509"/>
      <c r="F842" s="509"/>
      <c r="G842" s="509"/>
      <c r="H842" s="509"/>
      <c r="I842" s="509"/>
      <c r="J842" s="509"/>
      <c r="K842" s="509"/>
      <c r="L842" s="509"/>
      <c r="M842" s="509"/>
      <c r="N842" s="509"/>
      <c r="O842" s="509"/>
      <c r="P842" s="509"/>
      <c r="Q842" s="509"/>
      <c r="R842" s="509"/>
      <c r="S842" s="509"/>
      <c r="T842" s="509"/>
      <c r="U842" s="509"/>
      <c r="V842" s="509"/>
      <c r="W842" s="509"/>
      <c r="X842" s="509"/>
      <c r="Y842" s="509"/>
      <c r="Z842" s="509"/>
    </row>
    <row r="843" spans="1:26" ht="16.5" customHeight="1" x14ac:dyDescent="0.3">
      <c r="A843" s="509"/>
      <c r="B843" s="509"/>
      <c r="C843" s="509"/>
      <c r="D843" s="509"/>
      <c r="E843" s="509"/>
      <c r="F843" s="509"/>
      <c r="G843" s="509"/>
      <c r="H843" s="509"/>
      <c r="I843" s="509"/>
      <c r="J843" s="509"/>
      <c r="K843" s="509"/>
      <c r="L843" s="509"/>
      <c r="M843" s="509"/>
      <c r="N843" s="509"/>
      <c r="O843" s="509"/>
      <c r="P843" s="509"/>
      <c r="Q843" s="509"/>
      <c r="R843" s="509"/>
      <c r="S843" s="509"/>
      <c r="T843" s="509"/>
      <c r="U843" s="509"/>
      <c r="V843" s="509"/>
      <c r="W843" s="509"/>
      <c r="X843" s="509"/>
      <c r="Y843" s="509"/>
      <c r="Z843" s="509"/>
    </row>
    <row r="844" spans="1:26" ht="16.5" customHeight="1" x14ac:dyDescent="0.3">
      <c r="A844" s="509"/>
      <c r="B844" s="509"/>
      <c r="C844" s="509"/>
      <c r="D844" s="509"/>
      <c r="E844" s="509"/>
      <c r="F844" s="509"/>
      <c r="G844" s="509"/>
      <c r="H844" s="509"/>
      <c r="I844" s="509"/>
      <c r="J844" s="509"/>
      <c r="K844" s="509"/>
      <c r="L844" s="509"/>
      <c r="M844" s="509"/>
      <c r="N844" s="509"/>
      <c r="O844" s="509"/>
      <c r="P844" s="509"/>
      <c r="Q844" s="509"/>
      <c r="R844" s="509"/>
      <c r="S844" s="509"/>
      <c r="T844" s="509"/>
      <c r="U844" s="509"/>
      <c r="V844" s="509"/>
      <c r="W844" s="509"/>
      <c r="X844" s="509"/>
      <c r="Y844" s="509"/>
      <c r="Z844" s="509"/>
    </row>
    <row r="845" spans="1:26" ht="16.5" customHeight="1" x14ac:dyDescent="0.3">
      <c r="A845" s="509"/>
      <c r="B845" s="509"/>
      <c r="C845" s="509"/>
      <c r="D845" s="509"/>
      <c r="E845" s="509"/>
      <c r="F845" s="509"/>
      <c r="G845" s="509"/>
      <c r="H845" s="509"/>
      <c r="I845" s="509"/>
      <c r="J845" s="509"/>
      <c r="K845" s="509"/>
      <c r="L845" s="509"/>
      <c r="M845" s="509"/>
      <c r="N845" s="509"/>
      <c r="O845" s="509"/>
      <c r="P845" s="509"/>
      <c r="Q845" s="509"/>
      <c r="R845" s="509"/>
      <c r="S845" s="509"/>
      <c r="T845" s="509"/>
      <c r="U845" s="509"/>
      <c r="V845" s="509"/>
      <c r="W845" s="509"/>
      <c r="X845" s="509"/>
      <c r="Y845" s="509"/>
      <c r="Z845" s="509"/>
    </row>
    <row r="846" spans="1:26" ht="16.5" customHeight="1" x14ac:dyDescent="0.3">
      <c r="A846" s="509"/>
      <c r="B846" s="509"/>
      <c r="C846" s="509"/>
      <c r="D846" s="509"/>
      <c r="E846" s="509"/>
      <c r="F846" s="509"/>
      <c r="G846" s="509"/>
      <c r="H846" s="509"/>
      <c r="I846" s="509"/>
      <c r="J846" s="509"/>
      <c r="K846" s="509"/>
      <c r="L846" s="509"/>
      <c r="M846" s="509"/>
      <c r="N846" s="509"/>
      <c r="O846" s="509"/>
      <c r="P846" s="509"/>
      <c r="Q846" s="509"/>
      <c r="R846" s="509"/>
      <c r="S846" s="509"/>
      <c r="T846" s="509"/>
      <c r="U846" s="509"/>
      <c r="V846" s="509"/>
      <c r="W846" s="509"/>
      <c r="X846" s="509"/>
      <c r="Y846" s="509"/>
      <c r="Z846" s="509"/>
    </row>
    <row r="847" spans="1:26" ht="16.5" customHeight="1" x14ac:dyDescent="0.3">
      <c r="A847" s="509"/>
      <c r="B847" s="509"/>
      <c r="C847" s="509"/>
      <c r="D847" s="509"/>
      <c r="E847" s="509"/>
      <c r="F847" s="509"/>
      <c r="G847" s="509"/>
      <c r="H847" s="509"/>
      <c r="I847" s="509"/>
      <c r="J847" s="509"/>
      <c r="K847" s="509"/>
      <c r="L847" s="509"/>
      <c r="M847" s="509"/>
      <c r="N847" s="509"/>
      <c r="O847" s="509"/>
      <c r="P847" s="509"/>
      <c r="Q847" s="509"/>
      <c r="R847" s="509"/>
      <c r="S847" s="509"/>
      <c r="T847" s="509"/>
      <c r="U847" s="509"/>
      <c r="V847" s="509"/>
      <c r="W847" s="509"/>
      <c r="X847" s="509"/>
      <c r="Y847" s="509"/>
      <c r="Z847" s="509"/>
    </row>
    <row r="848" spans="1:26" ht="16.5" customHeight="1" x14ac:dyDescent="0.3">
      <c r="A848" s="509"/>
      <c r="B848" s="509"/>
      <c r="C848" s="509"/>
      <c r="D848" s="509"/>
      <c r="E848" s="509"/>
      <c r="F848" s="509"/>
      <c r="G848" s="509"/>
      <c r="H848" s="509"/>
      <c r="I848" s="509"/>
      <c r="J848" s="509"/>
      <c r="K848" s="509"/>
      <c r="L848" s="509"/>
      <c r="M848" s="509"/>
      <c r="N848" s="509"/>
      <c r="O848" s="509"/>
      <c r="P848" s="509"/>
      <c r="Q848" s="509"/>
      <c r="R848" s="509"/>
      <c r="S848" s="509"/>
      <c r="T848" s="509"/>
      <c r="U848" s="509"/>
      <c r="V848" s="509"/>
      <c r="W848" s="509"/>
      <c r="X848" s="509"/>
      <c r="Y848" s="509"/>
      <c r="Z848" s="509"/>
    </row>
    <row r="849" spans="1:26" ht="16.5" customHeight="1" x14ac:dyDescent="0.3">
      <c r="A849" s="509"/>
      <c r="B849" s="509"/>
      <c r="C849" s="509"/>
      <c r="D849" s="509"/>
      <c r="E849" s="509"/>
      <c r="F849" s="509"/>
      <c r="G849" s="509"/>
      <c r="H849" s="509"/>
      <c r="I849" s="509"/>
      <c r="J849" s="509"/>
      <c r="K849" s="509"/>
      <c r="L849" s="509"/>
      <c r="M849" s="509"/>
      <c r="N849" s="509"/>
      <c r="O849" s="509"/>
      <c r="P849" s="509"/>
      <c r="Q849" s="509"/>
      <c r="R849" s="509"/>
      <c r="S849" s="509"/>
      <c r="T849" s="509"/>
      <c r="U849" s="509"/>
      <c r="V849" s="509"/>
      <c r="W849" s="509"/>
      <c r="X849" s="509"/>
      <c r="Y849" s="509"/>
      <c r="Z849" s="509"/>
    </row>
    <row r="850" spans="1:26" ht="16.5" customHeight="1" x14ac:dyDescent="0.3">
      <c r="A850" s="509"/>
      <c r="B850" s="509"/>
      <c r="C850" s="509"/>
      <c r="D850" s="509"/>
      <c r="E850" s="509"/>
      <c r="F850" s="509"/>
      <c r="G850" s="509"/>
      <c r="H850" s="509"/>
      <c r="I850" s="509"/>
      <c r="J850" s="509"/>
      <c r="K850" s="509"/>
      <c r="L850" s="509"/>
      <c r="M850" s="509"/>
      <c r="N850" s="509"/>
      <c r="O850" s="509"/>
      <c r="P850" s="509"/>
      <c r="Q850" s="509"/>
      <c r="R850" s="509"/>
      <c r="S850" s="509"/>
      <c r="T850" s="509"/>
      <c r="U850" s="509"/>
      <c r="V850" s="509"/>
      <c r="W850" s="509"/>
      <c r="X850" s="509"/>
      <c r="Y850" s="509"/>
      <c r="Z850" s="509"/>
    </row>
    <row r="851" spans="1:26" ht="16.5" customHeight="1" x14ac:dyDescent="0.3">
      <c r="A851" s="509"/>
      <c r="B851" s="509"/>
      <c r="C851" s="509"/>
      <c r="D851" s="509"/>
      <c r="E851" s="509"/>
      <c r="F851" s="509"/>
      <c r="G851" s="509"/>
      <c r="H851" s="509"/>
      <c r="I851" s="509"/>
      <c r="J851" s="509"/>
      <c r="K851" s="509"/>
      <c r="L851" s="509"/>
      <c r="M851" s="509"/>
      <c r="N851" s="509"/>
      <c r="O851" s="509"/>
      <c r="P851" s="509"/>
      <c r="Q851" s="509"/>
      <c r="R851" s="509"/>
      <c r="S851" s="509"/>
      <c r="T851" s="509"/>
      <c r="U851" s="509"/>
      <c r="V851" s="509"/>
      <c r="W851" s="509"/>
      <c r="X851" s="509"/>
      <c r="Y851" s="509"/>
      <c r="Z851" s="509"/>
    </row>
    <row r="852" spans="1:26" ht="16.5" customHeight="1" x14ac:dyDescent="0.3">
      <c r="A852" s="509"/>
      <c r="B852" s="509"/>
      <c r="C852" s="509"/>
      <c r="D852" s="509"/>
      <c r="E852" s="509"/>
      <c r="F852" s="509"/>
      <c r="G852" s="509"/>
      <c r="H852" s="509"/>
      <c r="I852" s="509"/>
      <c r="J852" s="509"/>
      <c r="K852" s="509"/>
      <c r="L852" s="509"/>
      <c r="M852" s="509"/>
      <c r="N852" s="509"/>
      <c r="O852" s="509"/>
      <c r="P852" s="509"/>
      <c r="Q852" s="509"/>
      <c r="R852" s="509"/>
      <c r="S852" s="509"/>
      <c r="T852" s="509"/>
      <c r="U852" s="509"/>
      <c r="V852" s="509"/>
      <c r="W852" s="509"/>
      <c r="X852" s="509"/>
      <c r="Y852" s="509"/>
      <c r="Z852" s="509"/>
    </row>
    <row r="853" spans="1:26" ht="16.5" customHeight="1" x14ac:dyDescent="0.3">
      <c r="A853" s="509"/>
      <c r="B853" s="509"/>
      <c r="C853" s="509"/>
      <c r="D853" s="509"/>
      <c r="E853" s="509"/>
      <c r="F853" s="509"/>
      <c r="G853" s="509"/>
      <c r="H853" s="509"/>
      <c r="I853" s="509"/>
      <c r="J853" s="509"/>
      <c r="K853" s="509"/>
      <c r="L853" s="509"/>
      <c r="M853" s="509"/>
      <c r="N853" s="509"/>
      <c r="O853" s="509"/>
      <c r="P853" s="509"/>
      <c r="Q853" s="509"/>
      <c r="R853" s="509"/>
      <c r="S853" s="509"/>
      <c r="T853" s="509"/>
      <c r="U853" s="509"/>
      <c r="V853" s="509"/>
      <c r="W853" s="509"/>
      <c r="X853" s="509"/>
      <c r="Y853" s="509"/>
      <c r="Z853" s="509"/>
    </row>
    <row r="854" spans="1:26" ht="16.5" customHeight="1" x14ac:dyDescent="0.3">
      <c r="A854" s="509"/>
      <c r="B854" s="509"/>
      <c r="C854" s="509"/>
      <c r="D854" s="509"/>
      <c r="E854" s="509"/>
      <c r="F854" s="509"/>
      <c r="G854" s="509"/>
      <c r="H854" s="509"/>
      <c r="I854" s="509"/>
      <c r="J854" s="509"/>
      <c r="K854" s="509"/>
      <c r="L854" s="509"/>
      <c r="M854" s="509"/>
      <c r="N854" s="509"/>
      <c r="O854" s="509"/>
      <c r="P854" s="509"/>
      <c r="Q854" s="509"/>
      <c r="R854" s="509"/>
      <c r="S854" s="509"/>
      <c r="T854" s="509"/>
      <c r="U854" s="509"/>
      <c r="V854" s="509"/>
      <c r="W854" s="509"/>
      <c r="X854" s="509"/>
      <c r="Y854" s="509"/>
      <c r="Z854" s="509"/>
    </row>
    <row r="855" spans="1:26" ht="16.5" customHeight="1" x14ac:dyDescent="0.3">
      <c r="A855" s="509"/>
      <c r="B855" s="509"/>
      <c r="C855" s="509"/>
      <c r="D855" s="509"/>
      <c r="E855" s="509"/>
      <c r="F855" s="509"/>
      <c r="G855" s="509"/>
      <c r="H855" s="509"/>
      <c r="I855" s="509"/>
      <c r="J855" s="509"/>
      <c r="K855" s="509"/>
      <c r="L855" s="509"/>
      <c r="M855" s="509"/>
      <c r="N855" s="509"/>
      <c r="O855" s="509"/>
      <c r="P855" s="509"/>
      <c r="Q855" s="509"/>
      <c r="R855" s="509"/>
      <c r="S855" s="509"/>
      <c r="T855" s="509"/>
      <c r="U855" s="509"/>
      <c r="V855" s="509"/>
      <c r="W855" s="509"/>
      <c r="X855" s="509"/>
      <c r="Y855" s="509"/>
      <c r="Z855" s="509"/>
    </row>
    <row r="856" spans="1:26" ht="16.5" customHeight="1" x14ac:dyDescent="0.3">
      <c r="A856" s="509"/>
      <c r="B856" s="509"/>
      <c r="C856" s="509"/>
      <c r="D856" s="509"/>
      <c r="E856" s="509"/>
      <c r="F856" s="509"/>
      <c r="G856" s="509"/>
      <c r="H856" s="509"/>
      <c r="I856" s="509"/>
      <c r="J856" s="509"/>
      <c r="K856" s="509"/>
      <c r="L856" s="509"/>
      <c r="M856" s="509"/>
      <c r="N856" s="509"/>
      <c r="O856" s="509"/>
      <c r="P856" s="509"/>
      <c r="Q856" s="509"/>
      <c r="R856" s="509"/>
      <c r="S856" s="509"/>
      <c r="T856" s="509"/>
      <c r="U856" s="509"/>
      <c r="V856" s="509"/>
      <c r="W856" s="509"/>
      <c r="X856" s="509"/>
      <c r="Y856" s="509"/>
      <c r="Z856" s="509"/>
    </row>
    <row r="857" spans="1:26" ht="16.5" customHeight="1" x14ac:dyDescent="0.3">
      <c r="A857" s="509"/>
      <c r="B857" s="509"/>
      <c r="C857" s="509"/>
      <c r="D857" s="509"/>
      <c r="E857" s="509"/>
      <c r="F857" s="509"/>
      <c r="G857" s="509"/>
      <c r="H857" s="509"/>
      <c r="I857" s="509"/>
      <c r="J857" s="509"/>
      <c r="K857" s="509"/>
      <c r="L857" s="509"/>
      <c r="M857" s="509"/>
      <c r="N857" s="509"/>
      <c r="O857" s="509"/>
      <c r="P857" s="509"/>
      <c r="Q857" s="509"/>
      <c r="R857" s="509"/>
      <c r="S857" s="509"/>
      <c r="T857" s="509"/>
      <c r="U857" s="509"/>
      <c r="V857" s="509"/>
      <c r="W857" s="509"/>
      <c r="X857" s="509"/>
      <c r="Y857" s="509"/>
      <c r="Z857" s="509"/>
    </row>
    <row r="858" spans="1:26" ht="16.5" customHeight="1" x14ac:dyDescent="0.3">
      <c r="A858" s="509"/>
      <c r="B858" s="509"/>
      <c r="C858" s="509"/>
      <c r="D858" s="509"/>
      <c r="E858" s="509"/>
      <c r="F858" s="509"/>
      <c r="G858" s="509"/>
      <c r="H858" s="509"/>
      <c r="I858" s="509"/>
      <c r="J858" s="509"/>
      <c r="K858" s="509"/>
      <c r="L858" s="509"/>
      <c r="M858" s="509"/>
      <c r="N858" s="509"/>
      <c r="O858" s="509"/>
      <c r="P858" s="509"/>
      <c r="Q858" s="509"/>
      <c r="R858" s="509"/>
      <c r="S858" s="509"/>
      <c r="T858" s="509"/>
      <c r="U858" s="509"/>
      <c r="V858" s="509"/>
      <c r="W858" s="509"/>
      <c r="X858" s="509"/>
      <c r="Y858" s="509"/>
      <c r="Z858" s="509"/>
    </row>
    <row r="859" spans="1:26" ht="16.5" customHeight="1" x14ac:dyDescent="0.3">
      <c r="A859" s="509"/>
      <c r="B859" s="509"/>
      <c r="C859" s="509"/>
      <c r="D859" s="509"/>
      <c r="E859" s="509"/>
      <c r="F859" s="509"/>
      <c r="G859" s="509"/>
      <c r="H859" s="509"/>
      <c r="I859" s="509"/>
      <c r="J859" s="509"/>
      <c r="K859" s="509"/>
      <c r="L859" s="509"/>
      <c r="M859" s="509"/>
      <c r="N859" s="509"/>
      <c r="O859" s="509"/>
      <c r="P859" s="509"/>
      <c r="Q859" s="509"/>
      <c r="R859" s="509"/>
      <c r="S859" s="509"/>
      <c r="T859" s="509"/>
      <c r="U859" s="509"/>
      <c r="V859" s="509"/>
      <c r="W859" s="509"/>
      <c r="X859" s="509"/>
      <c r="Y859" s="509"/>
      <c r="Z859" s="509"/>
    </row>
    <row r="860" spans="1:26" ht="16.5" customHeight="1" x14ac:dyDescent="0.3">
      <c r="A860" s="509"/>
      <c r="B860" s="509"/>
      <c r="C860" s="509"/>
      <c r="D860" s="509"/>
      <c r="E860" s="509"/>
      <c r="F860" s="509"/>
      <c r="G860" s="509"/>
      <c r="H860" s="509"/>
      <c r="I860" s="509"/>
      <c r="J860" s="509"/>
      <c r="K860" s="509"/>
      <c r="L860" s="509"/>
      <c r="M860" s="509"/>
      <c r="N860" s="509"/>
      <c r="O860" s="509"/>
      <c r="P860" s="509"/>
      <c r="Q860" s="509"/>
      <c r="R860" s="509"/>
      <c r="S860" s="509"/>
      <c r="T860" s="509"/>
      <c r="U860" s="509"/>
      <c r="V860" s="509"/>
      <c r="W860" s="509"/>
      <c r="X860" s="509"/>
      <c r="Y860" s="509"/>
      <c r="Z860" s="509"/>
    </row>
    <row r="861" spans="1:26" ht="16.5" customHeight="1" x14ac:dyDescent="0.3">
      <c r="A861" s="509"/>
      <c r="B861" s="509"/>
      <c r="C861" s="509"/>
      <c r="D861" s="509"/>
      <c r="E861" s="509"/>
      <c r="F861" s="509"/>
      <c r="G861" s="509"/>
      <c r="H861" s="509"/>
      <c r="I861" s="509"/>
      <c r="J861" s="509"/>
      <c r="K861" s="509"/>
      <c r="L861" s="509"/>
      <c r="M861" s="509"/>
      <c r="N861" s="509"/>
      <c r="O861" s="509"/>
      <c r="P861" s="509"/>
      <c r="Q861" s="509"/>
      <c r="R861" s="509"/>
      <c r="S861" s="509"/>
      <c r="T861" s="509"/>
      <c r="U861" s="509"/>
      <c r="V861" s="509"/>
      <c r="W861" s="509"/>
      <c r="X861" s="509"/>
      <c r="Y861" s="509"/>
      <c r="Z861" s="509"/>
    </row>
    <row r="862" spans="1:26" ht="16.5" customHeight="1" x14ac:dyDescent="0.3">
      <c r="A862" s="509"/>
      <c r="B862" s="509"/>
      <c r="C862" s="509"/>
      <c r="D862" s="509"/>
      <c r="E862" s="509"/>
      <c r="F862" s="509"/>
      <c r="G862" s="509"/>
      <c r="H862" s="509"/>
      <c r="I862" s="509"/>
      <c r="J862" s="509"/>
      <c r="K862" s="509"/>
      <c r="L862" s="509"/>
      <c r="M862" s="509"/>
      <c r="N862" s="509"/>
      <c r="O862" s="509"/>
      <c r="P862" s="509"/>
      <c r="Q862" s="509"/>
      <c r="R862" s="509"/>
      <c r="S862" s="509"/>
      <c r="T862" s="509"/>
      <c r="U862" s="509"/>
      <c r="V862" s="509"/>
      <c r="W862" s="509"/>
      <c r="X862" s="509"/>
      <c r="Y862" s="509"/>
      <c r="Z862" s="509"/>
    </row>
    <row r="863" spans="1:26" ht="16.5" customHeight="1" x14ac:dyDescent="0.3">
      <c r="A863" s="509"/>
      <c r="B863" s="509"/>
      <c r="C863" s="509"/>
      <c r="D863" s="509"/>
      <c r="E863" s="509"/>
      <c r="F863" s="509"/>
      <c r="G863" s="509"/>
      <c r="H863" s="509"/>
      <c r="I863" s="509"/>
      <c r="J863" s="509"/>
      <c r="K863" s="509"/>
      <c r="L863" s="509"/>
      <c r="M863" s="509"/>
      <c r="N863" s="509"/>
      <c r="O863" s="509"/>
      <c r="P863" s="509"/>
      <c r="Q863" s="509"/>
      <c r="R863" s="509"/>
      <c r="S863" s="509"/>
      <c r="T863" s="509"/>
      <c r="U863" s="509"/>
      <c r="V863" s="509"/>
      <c r="W863" s="509"/>
      <c r="X863" s="509"/>
      <c r="Y863" s="509"/>
      <c r="Z863" s="509"/>
    </row>
    <row r="864" spans="1:26" ht="16.5" customHeight="1" x14ac:dyDescent="0.3">
      <c r="A864" s="509"/>
      <c r="B864" s="509"/>
      <c r="C864" s="509"/>
      <c r="D864" s="509"/>
      <c r="E864" s="509"/>
      <c r="F864" s="509"/>
      <c r="G864" s="509"/>
      <c r="H864" s="509"/>
      <c r="I864" s="509"/>
      <c r="J864" s="509"/>
      <c r="K864" s="509"/>
      <c r="L864" s="509"/>
      <c r="M864" s="509"/>
      <c r="N864" s="509"/>
      <c r="O864" s="509"/>
      <c r="P864" s="509"/>
      <c r="Q864" s="509"/>
      <c r="R864" s="509"/>
      <c r="S864" s="509"/>
      <c r="T864" s="509"/>
      <c r="U864" s="509"/>
      <c r="V864" s="509"/>
      <c r="W864" s="509"/>
      <c r="X864" s="509"/>
      <c r="Y864" s="509"/>
      <c r="Z864" s="509"/>
    </row>
    <row r="865" spans="1:26" ht="16.5" customHeight="1" x14ac:dyDescent="0.3">
      <c r="A865" s="509"/>
      <c r="B865" s="509"/>
      <c r="C865" s="509"/>
      <c r="D865" s="509"/>
      <c r="E865" s="509"/>
      <c r="F865" s="509"/>
      <c r="G865" s="509"/>
      <c r="H865" s="509"/>
      <c r="I865" s="509"/>
      <c r="J865" s="509"/>
      <c r="K865" s="509"/>
      <c r="L865" s="509"/>
      <c r="M865" s="509"/>
      <c r="N865" s="509"/>
      <c r="O865" s="509"/>
      <c r="P865" s="509"/>
      <c r="Q865" s="509"/>
      <c r="R865" s="509"/>
      <c r="S865" s="509"/>
      <c r="T865" s="509"/>
      <c r="U865" s="509"/>
      <c r="V865" s="509"/>
      <c r="W865" s="509"/>
      <c r="X865" s="509"/>
      <c r="Y865" s="509"/>
      <c r="Z865" s="509"/>
    </row>
    <row r="866" spans="1:26" ht="16.5" customHeight="1" x14ac:dyDescent="0.3">
      <c r="A866" s="509"/>
      <c r="B866" s="509"/>
      <c r="C866" s="509"/>
      <c r="D866" s="509"/>
      <c r="E866" s="509"/>
      <c r="F866" s="509"/>
      <c r="G866" s="509"/>
      <c r="H866" s="509"/>
      <c r="I866" s="509"/>
      <c r="J866" s="509"/>
      <c r="K866" s="509"/>
      <c r="L866" s="509"/>
      <c r="M866" s="509"/>
      <c r="N866" s="509"/>
      <c r="O866" s="509"/>
      <c r="P866" s="509"/>
      <c r="Q866" s="509"/>
      <c r="R866" s="509"/>
      <c r="S866" s="509"/>
      <c r="T866" s="509"/>
      <c r="U866" s="509"/>
      <c r="V866" s="509"/>
      <c r="W866" s="509"/>
      <c r="X866" s="509"/>
      <c r="Y866" s="509"/>
      <c r="Z866" s="509"/>
    </row>
    <row r="867" spans="1:26" ht="16.5" customHeight="1" x14ac:dyDescent="0.3">
      <c r="A867" s="509"/>
      <c r="B867" s="509"/>
      <c r="C867" s="509"/>
      <c r="D867" s="509"/>
      <c r="E867" s="509"/>
      <c r="F867" s="509"/>
      <c r="G867" s="509"/>
      <c r="H867" s="509"/>
      <c r="I867" s="509"/>
      <c r="J867" s="509"/>
      <c r="K867" s="509"/>
      <c r="L867" s="509"/>
      <c r="M867" s="509"/>
      <c r="N867" s="509"/>
      <c r="O867" s="509"/>
      <c r="P867" s="509"/>
      <c r="Q867" s="509"/>
      <c r="R867" s="509"/>
      <c r="S867" s="509"/>
      <c r="T867" s="509"/>
      <c r="U867" s="509"/>
      <c r="V867" s="509"/>
      <c r="W867" s="509"/>
      <c r="X867" s="509"/>
      <c r="Y867" s="509"/>
      <c r="Z867" s="509"/>
    </row>
    <row r="868" spans="1:26" ht="16.5" customHeight="1" x14ac:dyDescent="0.3">
      <c r="A868" s="509"/>
      <c r="B868" s="509"/>
      <c r="C868" s="509"/>
      <c r="D868" s="509"/>
      <c r="E868" s="509"/>
      <c r="F868" s="509"/>
      <c r="G868" s="509"/>
      <c r="H868" s="509"/>
      <c r="I868" s="509"/>
      <c r="J868" s="509"/>
      <c r="K868" s="509"/>
      <c r="L868" s="509"/>
      <c r="M868" s="509"/>
      <c r="N868" s="509"/>
      <c r="O868" s="509"/>
      <c r="P868" s="509"/>
      <c r="Q868" s="509"/>
      <c r="R868" s="509"/>
      <c r="S868" s="509"/>
      <c r="T868" s="509"/>
      <c r="U868" s="509"/>
      <c r="V868" s="509"/>
      <c r="W868" s="509"/>
      <c r="X868" s="509"/>
      <c r="Y868" s="509"/>
      <c r="Z868" s="509"/>
    </row>
    <row r="869" spans="1:26" ht="16.5" customHeight="1" x14ac:dyDescent="0.3">
      <c r="A869" s="509"/>
      <c r="B869" s="509"/>
      <c r="C869" s="509"/>
      <c r="D869" s="509"/>
      <c r="E869" s="509"/>
      <c r="F869" s="509"/>
      <c r="G869" s="509"/>
      <c r="H869" s="509"/>
      <c r="I869" s="509"/>
      <c r="J869" s="509"/>
      <c r="K869" s="509"/>
      <c r="L869" s="509"/>
      <c r="M869" s="509"/>
      <c r="N869" s="509"/>
      <c r="O869" s="509"/>
      <c r="P869" s="509"/>
      <c r="Q869" s="509"/>
      <c r="R869" s="509"/>
      <c r="S869" s="509"/>
      <c r="T869" s="509"/>
      <c r="U869" s="509"/>
      <c r="V869" s="509"/>
      <c r="W869" s="509"/>
      <c r="X869" s="509"/>
      <c r="Y869" s="509"/>
      <c r="Z869" s="509"/>
    </row>
    <row r="870" spans="1:26" ht="16.5" customHeight="1" x14ac:dyDescent="0.3">
      <c r="A870" s="509"/>
      <c r="B870" s="509"/>
      <c r="C870" s="509"/>
      <c r="D870" s="509"/>
      <c r="E870" s="509"/>
      <c r="F870" s="509"/>
      <c r="G870" s="509"/>
      <c r="H870" s="509"/>
      <c r="I870" s="509"/>
      <c r="J870" s="509"/>
      <c r="K870" s="509"/>
      <c r="L870" s="509"/>
      <c r="M870" s="509"/>
      <c r="N870" s="509"/>
      <c r="O870" s="509"/>
      <c r="P870" s="509"/>
      <c r="Q870" s="509"/>
      <c r="R870" s="509"/>
      <c r="S870" s="509"/>
      <c r="T870" s="509"/>
      <c r="U870" s="509"/>
      <c r="V870" s="509"/>
      <c r="W870" s="509"/>
      <c r="X870" s="509"/>
      <c r="Y870" s="509"/>
      <c r="Z870" s="509"/>
    </row>
    <row r="871" spans="1:26" ht="16.5" customHeight="1" x14ac:dyDescent="0.3">
      <c r="A871" s="509"/>
      <c r="B871" s="509"/>
      <c r="C871" s="509"/>
      <c r="D871" s="509"/>
      <c r="E871" s="509"/>
      <c r="F871" s="509"/>
      <c r="G871" s="509"/>
      <c r="H871" s="509"/>
      <c r="I871" s="509"/>
      <c r="J871" s="509"/>
      <c r="K871" s="509"/>
      <c r="L871" s="509"/>
      <c r="M871" s="509"/>
      <c r="N871" s="509"/>
      <c r="O871" s="509"/>
      <c r="P871" s="509"/>
      <c r="Q871" s="509"/>
      <c r="R871" s="509"/>
      <c r="S871" s="509"/>
      <c r="T871" s="509"/>
      <c r="U871" s="509"/>
      <c r="V871" s="509"/>
      <c r="W871" s="509"/>
      <c r="X871" s="509"/>
      <c r="Y871" s="509"/>
      <c r="Z871" s="509"/>
    </row>
    <row r="872" spans="1:26" ht="16.5" customHeight="1" x14ac:dyDescent="0.3">
      <c r="A872" s="509"/>
      <c r="B872" s="509"/>
      <c r="C872" s="509"/>
      <c r="D872" s="509"/>
      <c r="E872" s="509"/>
      <c r="F872" s="509"/>
      <c r="G872" s="509"/>
      <c r="H872" s="509"/>
      <c r="I872" s="509"/>
      <c r="J872" s="509"/>
      <c r="K872" s="509"/>
      <c r="L872" s="509"/>
      <c r="M872" s="509"/>
      <c r="N872" s="509"/>
      <c r="O872" s="509"/>
      <c r="P872" s="509"/>
      <c r="Q872" s="509"/>
      <c r="R872" s="509"/>
      <c r="S872" s="509"/>
      <c r="T872" s="509"/>
      <c r="U872" s="509"/>
      <c r="V872" s="509"/>
      <c r="W872" s="509"/>
      <c r="X872" s="509"/>
      <c r="Y872" s="509"/>
      <c r="Z872" s="509"/>
    </row>
    <row r="873" spans="1:26" ht="16.5" customHeight="1" x14ac:dyDescent="0.3">
      <c r="A873" s="509"/>
      <c r="B873" s="509"/>
      <c r="C873" s="509"/>
      <c r="D873" s="509"/>
      <c r="E873" s="509"/>
      <c r="F873" s="509"/>
      <c r="G873" s="509"/>
      <c r="H873" s="509"/>
      <c r="I873" s="509"/>
      <c r="J873" s="509"/>
      <c r="K873" s="509"/>
      <c r="L873" s="509"/>
      <c r="M873" s="509"/>
      <c r="N873" s="509"/>
      <c r="O873" s="509"/>
      <c r="P873" s="509"/>
      <c r="Q873" s="509"/>
      <c r="R873" s="509"/>
      <c r="S873" s="509"/>
      <c r="T873" s="509"/>
      <c r="U873" s="509"/>
      <c r="V873" s="509"/>
      <c r="W873" s="509"/>
      <c r="X873" s="509"/>
      <c r="Y873" s="509"/>
      <c r="Z873" s="509"/>
    </row>
    <row r="874" spans="1:26" ht="16.5" customHeight="1" x14ac:dyDescent="0.3">
      <c r="A874" s="509"/>
      <c r="B874" s="509"/>
      <c r="C874" s="509"/>
      <c r="D874" s="509"/>
      <c r="E874" s="509"/>
      <c r="F874" s="509"/>
      <c r="G874" s="509"/>
      <c r="H874" s="509"/>
      <c r="I874" s="509"/>
      <c r="J874" s="509"/>
      <c r="K874" s="509"/>
      <c r="L874" s="509"/>
      <c r="M874" s="509"/>
      <c r="N874" s="509"/>
      <c r="O874" s="509"/>
      <c r="P874" s="509"/>
      <c r="Q874" s="509"/>
      <c r="R874" s="509"/>
      <c r="S874" s="509"/>
      <c r="T874" s="509"/>
      <c r="U874" s="509"/>
      <c r="V874" s="509"/>
      <c r="W874" s="509"/>
      <c r="X874" s="509"/>
      <c r="Y874" s="509"/>
      <c r="Z874" s="509"/>
    </row>
    <row r="875" spans="1:26" ht="16.5" customHeight="1" x14ac:dyDescent="0.3">
      <c r="A875" s="509"/>
      <c r="B875" s="509"/>
      <c r="C875" s="509"/>
      <c r="D875" s="509"/>
      <c r="E875" s="509"/>
      <c r="F875" s="509"/>
      <c r="G875" s="509"/>
      <c r="H875" s="509"/>
      <c r="I875" s="509"/>
      <c r="J875" s="509"/>
      <c r="K875" s="509"/>
      <c r="L875" s="509"/>
      <c r="M875" s="509"/>
      <c r="N875" s="509"/>
      <c r="O875" s="509"/>
      <c r="P875" s="509"/>
      <c r="Q875" s="509"/>
      <c r="R875" s="509"/>
      <c r="S875" s="509"/>
      <c r="T875" s="509"/>
      <c r="U875" s="509"/>
      <c r="V875" s="509"/>
      <c r="W875" s="509"/>
      <c r="X875" s="509"/>
      <c r="Y875" s="509"/>
      <c r="Z875" s="509"/>
    </row>
    <row r="876" spans="1:26" ht="16.5" customHeight="1" x14ac:dyDescent="0.3">
      <c r="A876" s="509"/>
      <c r="B876" s="509"/>
      <c r="C876" s="509"/>
      <c r="D876" s="509"/>
      <c r="E876" s="509"/>
      <c r="F876" s="509"/>
      <c r="G876" s="509"/>
      <c r="H876" s="509"/>
      <c r="I876" s="509"/>
      <c r="J876" s="509"/>
      <c r="K876" s="509"/>
      <c r="L876" s="509"/>
      <c r="M876" s="509"/>
      <c r="N876" s="509"/>
      <c r="O876" s="509"/>
      <c r="P876" s="509"/>
      <c r="Q876" s="509"/>
      <c r="R876" s="509"/>
      <c r="S876" s="509"/>
      <c r="T876" s="509"/>
      <c r="U876" s="509"/>
      <c r="V876" s="509"/>
      <c r="W876" s="509"/>
      <c r="X876" s="509"/>
      <c r="Y876" s="509"/>
      <c r="Z876" s="509"/>
    </row>
    <row r="877" spans="1:26" ht="16.5" customHeight="1" x14ac:dyDescent="0.3">
      <c r="A877" s="509"/>
      <c r="B877" s="509"/>
      <c r="C877" s="509"/>
      <c r="D877" s="509"/>
      <c r="E877" s="509"/>
      <c r="F877" s="509"/>
      <c r="G877" s="509"/>
      <c r="H877" s="509"/>
      <c r="I877" s="509"/>
      <c r="J877" s="509"/>
      <c r="K877" s="509"/>
      <c r="L877" s="509"/>
      <c r="M877" s="509"/>
      <c r="N877" s="509"/>
      <c r="O877" s="509"/>
      <c r="P877" s="509"/>
      <c r="Q877" s="509"/>
      <c r="R877" s="509"/>
      <c r="S877" s="509"/>
      <c r="T877" s="509"/>
      <c r="U877" s="509"/>
      <c r="V877" s="509"/>
      <c r="W877" s="509"/>
      <c r="X877" s="509"/>
      <c r="Y877" s="509"/>
      <c r="Z877" s="509"/>
    </row>
    <row r="878" spans="1:26" ht="16.5" customHeight="1" x14ac:dyDescent="0.3">
      <c r="A878" s="509"/>
      <c r="B878" s="509"/>
      <c r="C878" s="509"/>
      <c r="D878" s="509"/>
      <c r="E878" s="509"/>
      <c r="F878" s="509"/>
      <c r="G878" s="509"/>
      <c r="H878" s="509"/>
      <c r="I878" s="509"/>
      <c r="J878" s="509"/>
      <c r="K878" s="509"/>
      <c r="L878" s="509"/>
      <c r="M878" s="509"/>
      <c r="N878" s="509"/>
      <c r="O878" s="509"/>
      <c r="P878" s="509"/>
      <c r="Q878" s="509"/>
      <c r="R878" s="509"/>
      <c r="S878" s="509"/>
      <c r="T878" s="509"/>
      <c r="U878" s="509"/>
      <c r="V878" s="509"/>
      <c r="W878" s="509"/>
      <c r="X878" s="509"/>
      <c r="Y878" s="509"/>
      <c r="Z878" s="509"/>
    </row>
    <row r="879" spans="1:26" ht="16.5" customHeight="1" x14ac:dyDescent="0.3">
      <c r="A879" s="509"/>
      <c r="B879" s="509"/>
      <c r="C879" s="509"/>
      <c r="D879" s="509"/>
      <c r="E879" s="509"/>
      <c r="F879" s="509"/>
      <c r="G879" s="509"/>
      <c r="H879" s="509"/>
      <c r="I879" s="509"/>
      <c r="J879" s="509"/>
      <c r="K879" s="509"/>
      <c r="L879" s="509"/>
      <c r="M879" s="509"/>
      <c r="N879" s="509"/>
      <c r="O879" s="509"/>
      <c r="P879" s="509"/>
      <c r="Q879" s="509"/>
      <c r="R879" s="509"/>
      <c r="S879" s="509"/>
      <c r="T879" s="509"/>
      <c r="U879" s="509"/>
      <c r="V879" s="509"/>
      <c r="W879" s="509"/>
      <c r="X879" s="509"/>
      <c r="Y879" s="509"/>
      <c r="Z879" s="509"/>
    </row>
    <row r="880" spans="1:26" ht="16.5" customHeight="1" x14ac:dyDescent="0.3">
      <c r="A880" s="509"/>
      <c r="B880" s="509"/>
      <c r="C880" s="509"/>
      <c r="D880" s="509"/>
      <c r="E880" s="509"/>
      <c r="F880" s="509"/>
      <c r="G880" s="509"/>
      <c r="H880" s="509"/>
      <c r="I880" s="509"/>
      <c r="J880" s="509"/>
      <c r="K880" s="509"/>
      <c r="L880" s="509"/>
      <c r="M880" s="509"/>
      <c r="N880" s="509"/>
      <c r="O880" s="509"/>
      <c r="P880" s="509"/>
      <c r="Q880" s="509"/>
      <c r="R880" s="509"/>
      <c r="S880" s="509"/>
      <c r="T880" s="509"/>
      <c r="U880" s="509"/>
      <c r="V880" s="509"/>
      <c r="W880" s="509"/>
      <c r="X880" s="509"/>
      <c r="Y880" s="509"/>
      <c r="Z880" s="509"/>
    </row>
    <row r="881" spans="1:26" ht="16.5" customHeight="1" x14ac:dyDescent="0.3">
      <c r="A881" s="509"/>
      <c r="B881" s="509"/>
      <c r="C881" s="509"/>
      <c r="D881" s="509"/>
      <c r="E881" s="509"/>
      <c r="F881" s="509"/>
      <c r="G881" s="509"/>
      <c r="H881" s="509"/>
      <c r="I881" s="509"/>
      <c r="J881" s="509"/>
      <c r="K881" s="509"/>
      <c r="L881" s="509"/>
      <c r="M881" s="509"/>
      <c r="N881" s="509"/>
      <c r="O881" s="509"/>
      <c r="P881" s="509"/>
      <c r="Q881" s="509"/>
      <c r="R881" s="509"/>
      <c r="S881" s="509"/>
      <c r="T881" s="509"/>
      <c r="U881" s="509"/>
      <c r="V881" s="509"/>
      <c r="W881" s="509"/>
      <c r="X881" s="509"/>
      <c r="Y881" s="509"/>
      <c r="Z881" s="509"/>
    </row>
    <row r="882" spans="1:26" ht="16.5" customHeight="1" x14ac:dyDescent="0.3">
      <c r="A882" s="509"/>
      <c r="B882" s="509"/>
      <c r="C882" s="509"/>
      <c r="D882" s="509"/>
      <c r="E882" s="509"/>
      <c r="F882" s="509"/>
      <c r="G882" s="509"/>
      <c r="H882" s="509"/>
      <c r="I882" s="509"/>
      <c r="J882" s="509"/>
      <c r="K882" s="509"/>
      <c r="L882" s="509"/>
      <c r="M882" s="509"/>
      <c r="N882" s="509"/>
      <c r="O882" s="509"/>
      <c r="P882" s="509"/>
      <c r="Q882" s="509"/>
      <c r="R882" s="509"/>
      <c r="S882" s="509"/>
      <c r="T882" s="509"/>
      <c r="U882" s="509"/>
      <c r="V882" s="509"/>
      <c r="W882" s="509"/>
      <c r="X882" s="509"/>
      <c r="Y882" s="509"/>
      <c r="Z882" s="509"/>
    </row>
    <row r="883" spans="1:26" ht="16.5" customHeight="1" x14ac:dyDescent="0.3">
      <c r="A883" s="509"/>
      <c r="B883" s="509"/>
      <c r="C883" s="509"/>
      <c r="D883" s="509"/>
      <c r="E883" s="509"/>
      <c r="F883" s="509"/>
      <c r="G883" s="509"/>
      <c r="H883" s="509"/>
      <c r="I883" s="509"/>
      <c r="J883" s="509"/>
      <c r="K883" s="509"/>
      <c r="L883" s="509"/>
      <c r="M883" s="509"/>
      <c r="N883" s="509"/>
      <c r="O883" s="509"/>
      <c r="P883" s="509"/>
      <c r="Q883" s="509"/>
      <c r="R883" s="509"/>
      <c r="S883" s="509"/>
      <c r="T883" s="509"/>
      <c r="U883" s="509"/>
      <c r="V883" s="509"/>
      <c r="W883" s="509"/>
      <c r="X883" s="509"/>
      <c r="Y883" s="509"/>
      <c r="Z883" s="509"/>
    </row>
    <row r="884" spans="1:26" ht="16.5" customHeight="1" x14ac:dyDescent="0.3">
      <c r="A884" s="509"/>
      <c r="B884" s="509"/>
      <c r="C884" s="509"/>
      <c r="D884" s="509"/>
      <c r="E884" s="509"/>
      <c r="F884" s="509"/>
      <c r="G884" s="509"/>
      <c r="H884" s="509"/>
      <c r="I884" s="509"/>
      <c r="J884" s="509"/>
      <c r="K884" s="509"/>
      <c r="L884" s="509"/>
      <c r="M884" s="509"/>
      <c r="N884" s="509"/>
      <c r="O884" s="509"/>
      <c r="P884" s="509"/>
      <c r="Q884" s="509"/>
      <c r="R884" s="509"/>
      <c r="S884" s="509"/>
      <c r="T884" s="509"/>
      <c r="U884" s="509"/>
      <c r="V884" s="509"/>
      <c r="W884" s="509"/>
      <c r="X884" s="509"/>
      <c r="Y884" s="509"/>
      <c r="Z884" s="509"/>
    </row>
    <row r="885" spans="1:26" ht="16.5" customHeight="1" x14ac:dyDescent="0.3">
      <c r="A885" s="509"/>
      <c r="B885" s="509"/>
      <c r="C885" s="509"/>
      <c r="D885" s="509"/>
      <c r="E885" s="509"/>
      <c r="F885" s="509"/>
      <c r="G885" s="509"/>
      <c r="H885" s="509"/>
      <c r="I885" s="509"/>
      <c r="J885" s="509"/>
      <c r="K885" s="509"/>
      <c r="L885" s="509"/>
      <c r="M885" s="509"/>
      <c r="N885" s="509"/>
      <c r="O885" s="509"/>
      <c r="P885" s="509"/>
      <c r="Q885" s="509"/>
      <c r="R885" s="509"/>
      <c r="S885" s="509"/>
      <c r="T885" s="509"/>
      <c r="U885" s="509"/>
      <c r="V885" s="509"/>
      <c r="W885" s="509"/>
      <c r="X885" s="509"/>
      <c r="Y885" s="509"/>
      <c r="Z885" s="509"/>
    </row>
    <row r="886" spans="1:26" ht="16.5" customHeight="1" x14ac:dyDescent="0.3">
      <c r="A886" s="509"/>
      <c r="B886" s="509"/>
      <c r="C886" s="509"/>
      <c r="D886" s="509"/>
      <c r="E886" s="509"/>
      <c r="F886" s="509"/>
      <c r="G886" s="509"/>
      <c r="H886" s="509"/>
      <c r="I886" s="509"/>
      <c r="J886" s="509"/>
      <c r="K886" s="509"/>
      <c r="L886" s="509"/>
      <c r="M886" s="509"/>
      <c r="N886" s="509"/>
      <c r="O886" s="509"/>
      <c r="P886" s="509"/>
      <c r="Q886" s="509"/>
      <c r="R886" s="509"/>
      <c r="S886" s="509"/>
      <c r="T886" s="509"/>
      <c r="U886" s="509"/>
      <c r="V886" s="509"/>
      <c r="W886" s="509"/>
      <c r="X886" s="509"/>
      <c r="Y886" s="509"/>
      <c r="Z886" s="509"/>
    </row>
    <row r="887" spans="1:26" ht="16.5" customHeight="1" x14ac:dyDescent="0.3">
      <c r="A887" s="509"/>
      <c r="B887" s="509"/>
      <c r="C887" s="509"/>
      <c r="D887" s="509"/>
      <c r="E887" s="509"/>
      <c r="F887" s="509"/>
      <c r="G887" s="509"/>
      <c r="H887" s="509"/>
      <c r="I887" s="509"/>
      <c r="J887" s="509"/>
      <c r="K887" s="509"/>
      <c r="L887" s="509"/>
      <c r="M887" s="509"/>
      <c r="N887" s="509"/>
      <c r="O887" s="509"/>
      <c r="P887" s="509"/>
      <c r="Q887" s="509"/>
      <c r="R887" s="509"/>
      <c r="S887" s="509"/>
      <c r="T887" s="509"/>
      <c r="U887" s="509"/>
      <c r="V887" s="509"/>
      <c r="W887" s="509"/>
      <c r="X887" s="509"/>
      <c r="Y887" s="509"/>
      <c r="Z887" s="509"/>
    </row>
    <row r="888" spans="1:26" ht="16.5" customHeight="1" x14ac:dyDescent="0.3">
      <c r="A888" s="509"/>
      <c r="B888" s="509"/>
      <c r="C888" s="509"/>
      <c r="D888" s="509"/>
      <c r="E888" s="509"/>
      <c r="F888" s="509"/>
      <c r="G888" s="509"/>
      <c r="H888" s="509"/>
      <c r="I888" s="509"/>
      <c r="J888" s="509"/>
      <c r="K888" s="509"/>
      <c r="L888" s="509"/>
      <c r="M888" s="509"/>
      <c r="N888" s="509"/>
      <c r="O888" s="509"/>
      <c r="P888" s="509"/>
      <c r="Q888" s="509"/>
      <c r="R888" s="509"/>
      <c r="S888" s="509"/>
      <c r="T888" s="509"/>
      <c r="U888" s="509"/>
      <c r="V888" s="509"/>
      <c r="W888" s="509"/>
      <c r="X888" s="509"/>
      <c r="Y888" s="509"/>
      <c r="Z888" s="509"/>
    </row>
    <row r="889" spans="1:26" ht="16.5" customHeight="1" x14ac:dyDescent="0.3">
      <c r="A889" s="509"/>
      <c r="B889" s="509"/>
      <c r="C889" s="509"/>
      <c r="D889" s="509"/>
      <c r="E889" s="509"/>
      <c r="F889" s="509"/>
      <c r="G889" s="509"/>
      <c r="H889" s="509"/>
      <c r="I889" s="509"/>
      <c r="J889" s="509"/>
      <c r="K889" s="509"/>
      <c r="L889" s="509"/>
      <c r="M889" s="509"/>
      <c r="N889" s="509"/>
      <c r="O889" s="509"/>
      <c r="P889" s="509"/>
      <c r="Q889" s="509"/>
      <c r="R889" s="509"/>
      <c r="S889" s="509"/>
      <c r="T889" s="509"/>
      <c r="U889" s="509"/>
      <c r="V889" s="509"/>
      <c r="W889" s="509"/>
      <c r="X889" s="509"/>
      <c r="Y889" s="509"/>
      <c r="Z889" s="509"/>
    </row>
    <row r="890" spans="1:26" ht="16.5" customHeight="1" x14ac:dyDescent="0.3">
      <c r="A890" s="509"/>
      <c r="B890" s="509"/>
      <c r="C890" s="509"/>
      <c r="D890" s="509"/>
      <c r="E890" s="509"/>
      <c r="F890" s="509"/>
      <c r="G890" s="509"/>
      <c r="H890" s="509"/>
      <c r="I890" s="509"/>
      <c r="J890" s="509"/>
      <c r="K890" s="509"/>
      <c r="L890" s="509"/>
      <c r="M890" s="509"/>
      <c r="N890" s="509"/>
      <c r="O890" s="509"/>
      <c r="P890" s="509"/>
      <c r="Q890" s="509"/>
      <c r="R890" s="509"/>
      <c r="S890" s="509"/>
      <c r="T890" s="509"/>
      <c r="U890" s="509"/>
      <c r="V890" s="509"/>
      <c r="W890" s="509"/>
      <c r="X890" s="509"/>
      <c r="Y890" s="509"/>
      <c r="Z890" s="509"/>
    </row>
    <row r="891" spans="1:26" ht="16.5" customHeight="1" x14ac:dyDescent="0.3">
      <c r="A891" s="509"/>
      <c r="B891" s="509"/>
      <c r="C891" s="509"/>
      <c r="D891" s="509"/>
      <c r="E891" s="509"/>
      <c r="F891" s="509"/>
      <c r="G891" s="509"/>
      <c r="H891" s="509"/>
      <c r="I891" s="509"/>
      <c r="J891" s="509"/>
      <c r="K891" s="509"/>
      <c r="L891" s="509"/>
      <c r="M891" s="509"/>
      <c r="N891" s="509"/>
      <c r="O891" s="509"/>
      <c r="P891" s="509"/>
      <c r="Q891" s="509"/>
      <c r="R891" s="509"/>
      <c r="S891" s="509"/>
      <c r="T891" s="509"/>
      <c r="U891" s="509"/>
      <c r="V891" s="509"/>
      <c r="W891" s="509"/>
      <c r="X891" s="509"/>
      <c r="Y891" s="509"/>
      <c r="Z891" s="509"/>
    </row>
    <row r="892" spans="1:26" ht="16.5" customHeight="1" x14ac:dyDescent="0.3">
      <c r="A892" s="509"/>
      <c r="B892" s="509"/>
      <c r="C892" s="509"/>
      <c r="D892" s="509"/>
      <c r="E892" s="509"/>
      <c r="F892" s="509"/>
      <c r="G892" s="509"/>
      <c r="H892" s="509"/>
      <c r="I892" s="509"/>
      <c r="J892" s="509"/>
      <c r="K892" s="509"/>
      <c r="L892" s="509"/>
      <c r="M892" s="509"/>
      <c r="N892" s="509"/>
      <c r="O892" s="509"/>
      <c r="P892" s="509"/>
      <c r="Q892" s="509"/>
      <c r="R892" s="509"/>
      <c r="S892" s="509"/>
      <c r="T892" s="509"/>
      <c r="U892" s="509"/>
      <c r="V892" s="509"/>
      <c r="W892" s="509"/>
      <c r="X892" s="509"/>
      <c r="Y892" s="509"/>
      <c r="Z892" s="509"/>
    </row>
    <row r="893" spans="1:26" ht="16.5" customHeight="1" x14ac:dyDescent="0.3">
      <c r="A893" s="509"/>
      <c r="B893" s="509"/>
      <c r="C893" s="509"/>
      <c r="D893" s="509"/>
      <c r="E893" s="509"/>
      <c r="F893" s="509"/>
      <c r="G893" s="509"/>
      <c r="H893" s="509"/>
      <c r="I893" s="509"/>
      <c r="J893" s="509"/>
      <c r="K893" s="509"/>
      <c r="L893" s="509"/>
      <c r="M893" s="509"/>
      <c r="N893" s="509"/>
      <c r="O893" s="509"/>
      <c r="P893" s="509"/>
      <c r="Q893" s="509"/>
      <c r="R893" s="509"/>
      <c r="S893" s="509"/>
      <c r="T893" s="509"/>
      <c r="U893" s="509"/>
      <c r="V893" s="509"/>
      <c r="W893" s="509"/>
      <c r="X893" s="509"/>
      <c r="Y893" s="509"/>
      <c r="Z893" s="509"/>
    </row>
    <row r="894" spans="1:26" ht="16.5" customHeight="1" x14ac:dyDescent="0.3">
      <c r="A894" s="509"/>
      <c r="B894" s="509"/>
      <c r="C894" s="509"/>
      <c r="D894" s="509"/>
      <c r="E894" s="509"/>
      <c r="F894" s="509"/>
      <c r="G894" s="509"/>
      <c r="H894" s="509"/>
      <c r="I894" s="509"/>
      <c r="J894" s="509"/>
      <c r="K894" s="509"/>
      <c r="L894" s="509"/>
      <c r="M894" s="509"/>
      <c r="N894" s="509"/>
      <c r="O894" s="509"/>
      <c r="P894" s="509"/>
      <c r="Q894" s="509"/>
      <c r="R894" s="509"/>
      <c r="S894" s="509"/>
      <c r="T894" s="509"/>
      <c r="U894" s="509"/>
      <c r="V894" s="509"/>
      <c r="W894" s="509"/>
      <c r="X894" s="509"/>
      <c r="Y894" s="509"/>
      <c r="Z894" s="509"/>
    </row>
    <row r="895" spans="1:26" ht="16.5" customHeight="1" x14ac:dyDescent="0.3">
      <c r="A895" s="509"/>
      <c r="B895" s="509"/>
      <c r="C895" s="509"/>
      <c r="D895" s="509"/>
      <c r="E895" s="509"/>
      <c r="F895" s="509"/>
      <c r="G895" s="509"/>
      <c r="H895" s="509"/>
      <c r="I895" s="509"/>
      <c r="J895" s="509"/>
      <c r="K895" s="509"/>
      <c r="L895" s="509"/>
      <c r="M895" s="509"/>
      <c r="N895" s="509"/>
      <c r="O895" s="509"/>
      <c r="P895" s="509"/>
      <c r="Q895" s="509"/>
      <c r="R895" s="509"/>
      <c r="S895" s="509"/>
      <c r="T895" s="509"/>
      <c r="U895" s="509"/>
      <c r="V895" s="509"/>
      <c r="W895" s="509"/>
      <c r="X895" s="509"/>
      <c r="Y895" s="509"/>
      <c r="Z895" s="509"/>
    </row>
    <row r="896" spans="1:26" ht="16.5" customHeight="1" x14ac:dyDescent="0.3">
      <c r="A896" s="509"/>
      <c r="B896" s="509"/>
      <c r="C896" s="509"/>
      <c r="D896" s="509"/>
      <c r="E896" s="509"/>
      <c r="F896" s="509"/>
      <c r="G896" s="509"/>
      <c r="H896" s="509"/>
      <c r="I896" s="509"/>
      <c r="J896" s="509"/>
      <c r="K896" s="509"/>
      <c r="L896" s="509"/>
      <c r="M896" s="509"/>
      <c r="N896" s="509"/>
      <c r="O896" s="509"/>
      <c r="P896" s="509"/>
      <c r="Q896" s="509"/>
      <c r="R896" s="509"/>
      <c r="S896" s="509"/>
      <c r="T896" s="509"/>
      <c r="U896" s="509"/>
      <c r="V896" s="509"/>
      <c r="W896" s="509"/>
      <c r="X896" s="509"/>
      <c r="Y896" s="509"/>
      <c r="Z896" s="509"/>
    </row>
    <row r="897" spans="1:26" ht="16.5" customHeight="1" x14ac:dyDescent="0.3">
      <c r="A897" s="509"/>
      <c r="B897" s="509"/>
      <c r="C897" s="509"/>
      <c r="D897" s="509"/>
      <c r="E897" s="509"/>
      <c r="F897" s="509"/>
      <c r="G897" s="509"/>
      <c r="H897" s="509"/>
      <c r="I897" s="509"/>
      <c r="J897" s="509"/>
      <c r="K897" s="509"/>
      <c r="L897" s="509"/>
      <c r="M897" s="509"/>
      <c r="N897" s="509"/>
      <c r="O897" s="509"/>
      <c r="P897" s="509"/>
      <c r="Q897" s="509"/>
      <c r="R897" s="509"/>
      <c r="S897" s="509"/>
      <c r="T897" s="509"/>
      <c r="U897" s="509"/>
      <c r="V897" s="509"/>
      <c r="W897" s="509"/>
      <c r="X897" s="509"/>
      <c r="Y897" s="509"/>
      <c r="Z897" s="509"/>
    </row>
    <row r="898" spans="1:26" ht="16.5" customHeight="1" x14ac:dyDescent="0.3">
      <c r="A898" s="509"/>
      <c r="B898" s="509"/>
      <c r="C898" s="509"/>
      <c r="D898" s="509"/>
      <c r="E898" s="509"/>
      <c r="F898" s="509"/>
      <c r="G898" s="509"/>
      <c r="H898" s="509"/>
      <c r="I898" s="509"/>
      <c r="J898" s="509"/>
      <c r="K898" s="509"/>
      <c r="L898" s="509"/>
      <c r="M898" s="509"/>
      <c r="N898" s="509"/>
      <c r="O898" s="509"/>
      <c r="P898" s="509"/>
      <c r="Q898" s="509"/>
      <c r="R898" s="509"/>
      <c r="S898" s="509"/>
      <c r="T898" s="509"/>
      <c r="U898" s="509"/>
      <c r="V898" s="509"/>
      <c r="W898" s="509"/>
      <c r="X898" s="509"/>
      <c r="Y898" s="509"/>
      <c r="Z898" s="509"/>
    </row>
    <row r="899" spans="1:26" ht="16.5" customHeight="1" x14ac:dyDescent="0.3">
      <c r="A899" s="509"/>
      <c r="B899" s="509"/>
      <c r="C899" s="509"/>
      <c r="D899" s="509"/>
      <c r="E899" s="509"/>
      <c r="F899" s="509"/>
      <c r="G899" s="509"/>
      <c r="H899" s="509"/>
      <c r="I899" s="509"/>
      <c r="J899" s="509"/>
      <c r="K899" s="509"/>
      <c r="L899" s="509"/>
      <c r="M899" s="509"/>
      <c r="N899" s="509"/>
      <c r="O899" s="509"/>
      <c r="P899" s="509"/>
      <c r="Q899" s="509"/>
      <c r="R899" s="509"/>
      <c r="S899" s="509"/>
      <c r="T899" s="509"/>
      <c r="U899" s="509"/>
      <c r="V899" s="509"/>
      <c r="W899" s="509"/>
      <c r="X899" s="509"/>
      <c r="Y899" s="509"/>
      <c r="Z899" s="509"/>
    </row>
    <row r="900" spans="1:26" ht="16.5" customHeight="1" x14ac:dyDescent="0.3">
      <c r="A900" s="509"/>
      <c r="B900" s="509"/>
      <c r="C900" s="509"/>
      <c r="D900" s="509"/>
      <c r="E900" s="509"/>
      <c r="F900" s="509"/>
      <c r="G900" s="509"/>
      <c r="H900" s="509"/>
      <c r="I900" s="509"/>
      <c r="J900" s="509"/>
      <c r="K900" s="509"/>
      <c r="L900" s="509"/>
      <c r="M900" s="509"/>
      <c r="N900" s="509"/>
      <c r="O900" s="509"/>
      <c r="P900" s="509"/>
      <c r="Q900" s="509"/>
      <c r="R900" s="509"/>
      <c r="S900" s="509"/>
      <c r="T900" s="509"/>
      <c r="U900" s="509"/>
      <c r="V900" s="509"/>
      <c r="W900" s="509"/>
      <c r="X900" s="509"/>
      <c r="Y900" s="509"/>
      <c r="Z900" s="509"/>
    </row>
    <row r="901" spans="1:26" ht="16.5" customHeight="1" x14ac:dyDescent="0.3">
      <c r="A901" s="509"/>
      <c r="B901" s="509"/>
      <c r="C901" s="509"/>
      <c r="D901" s="509"/>
      <c r="E901" s="509"/>
      <c r="F901" s="509"/>
      <c r="G901" s="509"/>
      <c r="H901" s="509"/>
      <c r="I901" s="509"/>
      <c r="J901" s="509"/>
      <c r="K901" s="509"/>
      <c r="L901" s="509"/>
      <c r="M901" s="509"/>
      <c r="N901" s="509"/>
      <c r="O901" s="509"/>
      <c r="P901" s="509"/>
      <c r="Q901" s="509"/>
      <c r="R901" s="509"/>
      <c r="S901" s="509"/>
      <c r="T901" s="509"/>
      <c r="U901" s="509"/>
      <c r="V901" s="509"/>
      <c r="W901" s="509"/>
      <c r="X901" s="509"/>
      <c r="Y901" s="509"/>
      <c r="Z901" s="509"/>
    </row>
    <row r="902" spans="1:26" ht="16.5" customHeight="1" x14ac:dyDescent="0.3">
      <c r="A902" s="509"/>
      <c r="B902" s="509"/>
      <c r="C902" s="509"/>
      <c r="D902" s="509"/>
      <c r="E902" s="509"/>
      <c r="F902" s="509"/>
      <c r="G902" s="509"/>
      <c r="H902" s="509"/>
      <c r="I902" s="509"/>
      <c r="J902" s="509"/>
      <c r="K902" s="509"/>
      <c r="L902" s="509"/>
      <c r="M902" s="509"/>
      <c r="N902" s="509"/>
      <c r="O902" s="509"/>
      <c r="P902" s="509"/>
      <c r="Q902" s="509"/>
      <c r="R902" s="509"/>
      <c r="S902" s="509"/>
      <c r="T902" s="509"/>
      <c r="U902" s="509"/>
      <c r="V902" s="509"/>
      <c r="W902" s="509"/>
      <c r="X902" s="509"/>
      <c r="Y902" s="509"/>
      <c r="Z902" s="509"/>
    </row>
    <row r="903" spans="1:26" ht="16.5" customHeight="1" x14ac:dyDescent="0.3">
      <c r="A903" s="509"/>
      <c r="B903" s="509"/>
      <c r="C903" s="509"/>
      <c r="D903" s="509"/>
      <c r="E903" s="509"/>
      <c r="F903" s="509"/>
      <c r="G903" s="509"/>
      <c r="H903" s="509"/>
      <c r="I903" s="509"/>
      <c r="J903" s="509"/>
      <c r="K903" s="509"/>
      <c r="L903" s="509"/>
      <c r="M903" s="509"/>
      <c r="N903" s="509"/>
      <c r="O903" s="509"/>
      <c r="P903" s="509"/>
      <c r="Q903" s="509"/>
      <c r="R903" s="509"/>
      <c r="S903" s="509"/>
      <c r="T903" s="509"/>
      <c r="U903" s="509"/>
      <c r="V903" s="509"/>
      <c r="W903" s="509"/>
      <c r="X903" s="509"/>
      <c r="Y903" s="509"/>
      <c r="Z903" s="509"/>
    </row>
    <row r="904" spans="1:26" ht="16.5" customHeight="1" x14ac:dyDescent="0.3">
      <c r="A904" s="509"/>
      <c r="B904" s="509"/>
      <c r="C904" s="509"/>
      <c r="D904" s="509"/>
      <c r="E904" s="509"/>
      <c r="F904" s="509"/>
      <c r="G904" s="509"/>
      <c r="H904" s="509"/>
      <c r="I904" s="509"/>
      <c r="J904" s="509"/>
      <c r="K904" s="509"/>
      <c r="L904" s="509"/>
      <c r="M904" s="509"/>
      <c r="N904" s="509"/>
      <c r="O904" s="509"/>
      <c r="P904" s="509"/>
      <c r="Q904" s="509"/>
      <c r="R904" s="509"/>
      <c r="S904" s="509"/>
      <c r="T904" s="509"/>
      <c r="U904" s="509"/>
      <c r="V904" s="509"/>
      <c r="W904" s="509"/>
      <c r="X904" s="509"/>
      <c r="Y904" s="509"/>
      <c r="Z904" s="509"/>
    </row>
    <row r="905" spans="1:26" ht="16.5" customHeight="1" x14ac:dyDescent="0.3">
      <c r="A905" s="509"/>
      <c r="B905" s="509"/>
      <c r="C905" s="509"/>
      <c r="D905" s="509"/>
      <c r="E905" s="509"/>
      <c r="F905" s="509"/>
      <c r="G905" s="509"/>
      <c r="H905" s="509"/>
      <c r="I905" s="509"/>
      <c r="J905" s="509"/>
      <c r="K905" s="509"/>
      <c r="L905" s="509"/>
      <c r="M905" s="509"/>
      <c r="N905" s="509"/>
      <c r="O905" s="509"/>
      <c r="P905" s="509"/>
      <c r="Q905" s="509"/>
      <c r="R905" s="509"/>
      <c r="S905" s="509"/>
      <c r="T905" s="509"/>
      <c r="U905" s="509"/>
      <c r="V905" s="509"/>
      <c r="W905" s="509"/>
      <c r="X905" s="509"/>
      <c r="Y905" s="509"/>
      <c r="Z905" s="509"/>
    </row>
    <row r="906" spans="1:26" ht="16.5" customHeight="1" x14ac:dyDescent="0.3">
      <c r="A906" s="509"/>
      <c r="B906" s="509"/>
      <c r="C906" s="509"/>
      <c r="D906" s="509"/>
      <c r="E906" s="509"/>
      <c r="F906" s="509"/>
      <c r="G906" s="509"/>
      <c r="H906" s="509"/>
      <c r="I906" s="509"/>
      <c r="J906" s="509"/>
      <c r="K906" s="509"/>
      <c r="L906" s="509"/>
      <c r="M906" s="509"/>
      <c r="N906" s="509"/>
      <c r="O906" s="509"/>
      <c r="P906" s="509"/>
      <c r="Q906" s="509"/>
      <c r="R906" s="509"/>
      <c r="S906" s="509"/>
      <c r="T906" s="509"/>
      <c r="U906" s="509"/>
      <c r="V906" s="509"/>
      <c r="W906" s="509"/>
      <c r="X906" s="509"/>
      <c r="Y906" s="509"/>
      <c r="Z906" s="509"/>
    </row>
    <row r="907" spans="1:26" ht="16.5" customHeight="1" x14ac:dyDescent="0.3">
      <c r="A907" s="509"/>
      <c r="B907" s="509"/>
      <c r="C907" s="509"/>
      <c r="D907" s="509"/>
      <c r="E907" s="509"/>
      <c r="F907" s="509"/>
      <c r="G907" s="509"/>
      <c r="H907" s="509"/>
      <c r="I907" s="509"/>
      <c r="J907" s="509"/>
      <c r="K907" s="509"/>
      <c r="L907" s="509"/>
      <c r="M907" s="509"/>
      <c r="N907" s="509"/>
      <c r="O907" s="509"/>
      <c r="P907" s="509"/>
      <c r="Q907" s="509"/>
      <c r="R907" s="509"/>
      <c r="S907" s="509"/>
      <c r="T907" s="509"/>
      <c r="U907" s="509"/>
      <c r="V907" s="509"/>
      <c r="W907" s="509"/>
      <c r="X907" s="509"/>
      <c r="Y907" s="509"/>
      <c r="Z907" s="509"/>
    </row>
    <row r="908" spans="1:26" ht="16.5" customHeight="1" x14ac:dyDescent="0.3">
      <c r="A908" s="509"/>
      <c r="B908" s="509"/>
      <c r="C908" s="509"/>
      <c r="D908" s="509"/>
      <c r="E908" s="509"/>
      <c r="F908" s="509"/>
      <c r="G908" s="509"/>
      <c r="H908" s="509"/>
      <c r="I908" s="509"/>
      <c r="J908" s="509"/>
      <c r="K908" s="509"/>
      <c r="L908" s="509"/>
      <c r="M908" s="509"/>
      <c r="N908" s="509"/>
      <c r="O908" s="509"/>
      <c r="P908" s="509"/>
      <c r="Q908" s="509"/>
      <c r="R908" s="509"/>
      <c r="S908" s="509"/>
      <c r="T908" s="509"/>
      <c r="U908" s="509"/>
      <c r="V908" s="509"/>
      <c r="W908" s="509"/>
      <c r="X908" s="509"/>
      <c r="Y908" s="509"/>
      <c r="Z908" s="509"/>
    </row>
    <row r="909" spans="1:26" ht="16.5" customHeight="1" x14ac:dyDescent="0.3">
      <c r="A909" s="509"/>
      <c r="B909" s="509"/>
      <c r="C909" s="509"/>
      <c r="D909" s="509"/>
      <c r="E909" s="509"/>
      <c r="F909" s="509"/>
      <c r="G909" s="509"/>
      <c r="H909" s="509"/>
      <c r="I909" s="509"/>
      <c r="J909" s="509"/>
      <c r="K909" s="509"/>
      <c r="L909" s="509"/>
      <c r="M909" s="509"/>
      <c r="N909" s="509"/>
      <c r="O909" s="509"/>
      <c r="P909" s="509"/>
      <c r="Q909" s="509"/>
      <c r="R909" s="509"/>
      <c r="S909" s="509"/>
      <c r="T909" s="509"/>
      <c r="U909" s="509"/>
      <c r="V909" s="509"/>
      <c r="W909" s="509"/>
      <c r="X909" s="509"/>
      <c r="Y909" s="509"/>
      <c r="Z909" s="509"/>
    </row>
    <row r="910" spans="1:26" ht="16.5" customHeight="1" x14ac:dyDescent="0.3">
      <c r="A910" s="509"/>
      <c r="B910" s="509"/>
      <c r="C910" s="509"/>
      <c r="D910" s="509"/>
      <c r="E910" s="509"/>
      <c r="F910" s="509"/>
      <c r="G910" s="509"/>
      <c r="H910" s="509"/>
      <c r="I910" s="509"/>
      <c r="J910" s="509"/>
      <c r="K910" s="509"/>
      <c r="L910" s="509"/>
      <c r="M910" s="509"/>
      <c r="N910" s="509"/>
      <c r="O910" s="509"/>
      <c r="P910" s="509"/>
      <c r="Q910" s="509"/>
      <c r="R910" s="509"/>
      <c r="S910" s="509"/>
      <c r="T910" s="509"/>
      <c r="U910" s="509"/>
      <c r="V910" s="509"/>
      <c r="W910" s="509"/>
      <c r="X910" s="509"/>
      <c r="Y910" s="509"/>
      <c r="Z910" s="509"/>
    </row>
    <row r="911" spans="1:26" ht="16.5" customHeight="1" x14ac:dyDescent="0.3">
      <c r="A911" s="509"/>
      <c r="B911" s="509"/>
      <c r="C911" s="509"/>
      <c r="D911" s="509"/>
      <c r="E911" s="509"/>
      <c r="F911" s="509"/>
      <c r="G911" s="509"/>
      <c r="H911" s="509"/>
      <c r="I911" s="509"/>
      <c r="J911" s="509"/>
      <c r="K911" s="509"/>
      <c r="L911" s="509"/>
      <c r="M911" s="509"/>
      <c r="N911" s="509"/>
      <c r="O911" s="509"/>
      <c r="P911" s="509"/>
      <c r="Q911" s="509"/>
      <c r="R911" s="509"/>
      <c r="S911" s="509"/>
      <c r="T911" s="509"/>
      <c r="U911" s="509"/>
      <c r="V911" s="509"/>
      <c r="W911" s="509"/>
      <c r="X911" s="509"/>
      <c r="Y911" s="509"/>
      <c r="Z911" s="509"/>
    </row>
    <row r="912" spans="1:26" ht="16.5" customHeight="1" x14ac:dyDescent="0.3">
      <c r="A912" s="509"/>
      <c r="B912" s="509"/>
      <c r="C912" s="509"/>
      <c r="D912" s="509"/>
      <c r="E912" s="509"/>
      <c r="F912" s="509"/>
      <c r="G912" s="509"/>
      <c r="H912" s="509"/>
      <c r="I912" s="509"/>
      <c r="J912" s="509"/>
      <c r="K912" s="509"/>
      <c r="L912" s="509"/>
      <c r="M912" s="509"/>
      <c r="N912" s="509"/>
      <c r="O912" s="509"/>
      <c r="P912" s="509"/>
      <c r="Q912" s="509"/>
      <c r="R912" s="509"/>
      <c r="S912" s="509"/>
      <c r="T912" s="509"/>
      <c r="U912" s="509"/>
      <c r="V912" s="509"/>
      <c r="W912" s="509"/>
      <c r="X912" s="509"/>
      <c r="Y912" s="509"/>
      <c r="Z912" s="509"/>
    </row>
    <row r="913" spans="1:26" ht="16.5" customHeight="1" x14ac:dyDescent="0.3">
      <c r="A913" s="509"/>
      <c r="B913" s="509"/>
      <c r="C913" s="509"/>
      <c r="D913" s="509"/>
      <c r="E913" s="509"/>
      <c r="F913" s="509"/>
      <c r="G913" s="509"/>
      <c r="H913" s="509"/>
      <c r="I913" s="509"/>
      <c r="J913" s="509"/>
      <c r="K913" s="509"/>
      <c r="L913" s="509"/>
      <c r="M913" s="509"/>
      <c r="N913" s="509"/>
      <c r="O913" s="509"/>
      <c r="P913" s="509"/>
      <c r="Q913" s="509"/>
      <c r="R913" s="509"/>
      <c r="S913" s="509"/>
      <c r="T913" s="509"/>
      <c r="U913" s="509"/>
      <c r="V913" s="509"/>
      <c r="W913" s="509"/>
      <c r="X913" s="509"/>
      <c r="Y913" s="509"/>
      <c r="Z913" s="509"/>
    </row>
    <row r="914" spans="1:26" ht="16.5" customHeight="1" x14ac:dyDescent="0.3">
      <c r="A914" s="509"/>
      <c r="B914" s="509"/>
      <c r="C914" s="509"/>
      <c r="D914" s="509"/>
      <c r="E914" s="509"/>
      <c r="F914" s="509"/>
      <c r="G914" s="509"/>
      <c r="H914" s="509"/>
      <c r="I914" s="509"/>
      <c r="J914" s="509"/>
      <c r="K914" s="509"/>
      <c r="L914" s="509"/>
      <c r="M914" s="509"/>
      <c r="N914" s="509"/>
      <c r="O914" s="509"/>
      <c r="P914" s="509"/>
      <c r="Q914" s="509"/>
      <c r="R914" s="509"/>
      <c r="S914" s="509"/>
      <c r="T914" s="509"/>
      <c r="U914" s="509"/>
      <c r="V914" s="509"/>
      <c r="W914" s="509"/>
      <c r="X914" s="509"/>
      <c r="Y914" s="509"/>
      <c r="Z914" s="509"/>
    </row>
    <row r="915" spans="1:26" ht="16.5" customHeight="1" x14ac:dyDescent="0.3">
      <c r="A915" s="509"/>
      <c r="B915" s="509"/>
      <c r="C915" s="509"/>
      <c r="D915" s="509"/>
      <c r="E915" s="509"/>
      <c r="F915" s="509"/>
      <c r="G915" s="509"/>
      <c r="H915" s="509"/>
      <c r="I915" s="509"/>
      <c r="J915" s="509"/>
      <c r="K915" s="509"/>
      <c r="L915" s="509"/>
      <c r="M915" s="509"/>
      <c r="N915" s="509"/>
      <c r="O915" s="509"/>
      <c r="P915" s="509"/>
      <c r="Q915" s="509"/>
      <c r="R915" s="509"/>
      <c r="S915" s="509"/>
      <c r="T915" s="509"/>
      <c r="U915" s="509"/>
      <c r="V915" s="509"/>
      <c r="W915" s="509"/>
      <c r="X915" s="509"/>
      <c r="Y915" s="509"/>
      <c r="Z915" s="509"/>
    </row>
    <row r="916" spans="1:26" ht="16.5" customHeight="1" x14ac:dyDescent="0.3">
      <c r="A916" s="509"/>
      <c r="B916" s="509"/>
      <c r="C916" s="509"/>
      <c r="D916" s="509"/>
      <c r="E916" s="509"/>
      <c r="F916" s="509"/>
      <c r="G916" s="509"/>
      <c r="H916" s="509"/>
      <c r="I916" s="509"/>
      <c r="J916" s="509"/>
      <c r="K916" s="509"/>
      <c r="L916" s="509"/>
      <c r="M916" s="509"/>
      <c r="N916" s="509"/>
      <c r="O916" s="509"/>
      <c r="P916" s="509"/>
      <c r="Q916" s="509"/>
      <c r="R916" s="509"/>
      <c r="S916" s="509"/>
      <c r="T916" s="509"/>
      <c r="U916" s="509"/>
      <c r="V916" s="509"/>
      <c r="W916" s="509"/>
      <c r="X916" s="509"/>
      <c r="Y916" s="509"/>
      <c r="Z916" s="509"/>
    </row>
    <row r="917" spans="1:26" ht="16.5" customHeight="1" x14ac:dyDescent="0.3">
      <c r="A917" s="509"/>
      <c r="B917" s="509"/>
      <c r="C917" s="509"/>
      <c r="D917" s="509"/>
      <c r="E917" s="509"/>
      <c r="F917" s="509"/>
      <c r="G917" s="509"/>
      <c r="H917" s="509"/>
      <c r="I917" s="509"/>
      <c r="J917" s="509"/>
      <c r="K917" s="509"/>
      <c r="L917" s="509"/>
      <c r="M917" s="509"/>
      <c r="N917" s="509"/>
      <c r="O917" s="509"/>
      <c r="P917" s="509"/>
      <c r="Q917" s="509"/>
      <c r="R917" s="509"/>
      <c r="S917" s="509"/>
      <c r="T917" s="509"/>
      <c r="U917" s="509"/>
      <c r="V917" s="509"/>
      <c r="W917" s="509"/>
      <c r="X917" s="509"/>
      <c r="Y917" s="509"/>
      <c r="Z917" s="509"/>
    </row>
    <row r="918" spans="1:26" ht="16.5" customHeight="1" x14ac:dyDescent="0.3">
      <c r="A918" s="509"/>
      <c r="B918" s="509"/>
      <c r="C918" s="509"/>
      <c r="D918" s="509"/>
      <c r="E918" s="509"/>
      <c r="F918" s="509"/>
      <c r="G918" s="509"/>
      <c r="H918" s="509"/>
      <c r="I918" s="509"/>
      <c r="J918" s="509"/>
      <c r="K918" s="509"/>
      <c r="L918" s="509"/>
      <c r="M918" s="509"/>
      <c r="N918" s="509"/>
      <c r="O918" s="509"/>
      <c r="P918" s="509"/>
      <c r="Q918" s="509"/>
      <c r="R918" s="509"/>
      <c r="S918" s="509"/>
      <c r="T918" s="509"/>
      <c r="U918" s="509"/>
      <c r="V918" s="509"/>
      <c r="W918" s="509"/>
      <c r="X918" s="509"/>
      <c r="Y918" s="509"/>
      <c r="Z918" s="509"/>
    </row>
    <row r="919" spans="1:26" ht="16.5" customHeight="1" x14ac:dyDescent="0.3">
      <c r="A919" s="509"/>
      <c r="B919" s="509"/>
      <c r="C919" s="509"/>
      <c r="D919" s="509"/>
      <c r="E919" s="509"/>
      <c r="F919" s="509"/>
      <c r="G919" s="509"/>
      <c r="H919" s="509"/>
      <c r="I919" s="509"/>
      <c r="J919" s="509"/>
      <c r="K919" s="509"/>
      <c r="L919" s="509"/>
      <c r="M919" s="509"/>
      <c r="N919" s="509"/>
      <c r="O919" s="509"/>
      <c r="P919" s="509"/>
      <c r="Q919" s="509"/>
      <c r="R919" s="509"/>
      <c r="S919" s="509"/>
      <c r="T919" s="509"/>
      <c r="U919" s="509"/>
      <c r="V919" s="509"/>
      <c r="W919" s="509"/>
      <c r="X919" s="509"/>
      <c r="Y919" s="509"/>
      <c r="Z919" s="509"/>
    </row>
    <row r="920" spans="1:26" ht="16.5" customHeight="1" x14ac:dyDescent="0.3">
      <c r="A920" s="509"/>
      <c r="B920" s="509"/>
      <c r="C920" s="509"/>
      <c r="D920" s="509"/>
      <c r="E920" s="509"/>
      <c r="F920" s="509"/>
      <c r="G920" s="509"/>
      <c r="H920" s="509"/>
      <c r="I920" s="509"/>
      <c r="J920" s="509"/>
      <c r="K920" s="509"/>
      <c r="L920" s="509"/>
      <c r="M920" s="509"/>
      <c r="N920" s="509"/>
      <c r="O920" s="509"/>
      <c r="P920" s="509"/>
      <c r="Q920" s="509"/>
      <c r="R920" s="509"/>
      <c r="S920" s="509"/>
      <c r="T920" s="509"/>
      <c r="U920" s="509"/>
      <c r="V920" s="509"/>
      <c r="W920" s="509"/>
      <c r="X920" s="509"/>
      <c r="Y920" s="509"/>
      <c r="Z920" s="509"/>
    </row>
    <row r="921" spans="1:26" ht="16.5" customHeight="1" x14ac:dyDescent="0.3">
      <c r="A921" s="509"/>
      <c r="B921" s="509"/>
      <c r="C921" s="509"/>
      <c r="D921" s="509"/>
      <c r="E921" s="509"/>
      <c r="F921" s="509"/>
      <c r="G921" s="509"/>
      <c r="H921" s="509"/>
      <c r="I921" s="509"/>
      <c r="J921" s="509"/>
      <c r="K921" s="509"/>
      <c r="L921" s="509"/>
      <c r="M921" s="509"/>
      <c r="N921" s="509"/>
      <c r="O921" s="509"/>
      <c r="P921" s="509"/>
      <c r="Q921" s="509"/>
      <c r="R921" s="509"/>
      <c r="S921" s="509"/>
      <c r="T921" s="509"/>
      <c r="U921" s="509"/>
      <c r="V921" s="509"/>
      <c r="W921" s="509"/>
      <c r="X921" s="509"/>
      <c r="Y921" s="509"/>
      <c r="Z921" s="509"/>
    </row>
    <row r="922" spans="1:26" ht="16.5" customHeight="1" x14ac:dyDescent="0.3">
      <c r="A922" s="509"/>
      <c r="B922" s="509"/>
      <c r="C922" s="509"/>
      <c r="D922" s="509"/>
      <c r="E922" s="509"/>
      <c r="F922" s="509"/>
      <c r="G922" s="509"/>
      <c r="H922" s="509"/>
      <c r="I922" s="509"/>
      <c r="J922" s="509"/>
      <c r="K922" s="509"/>
      <c r="L922" s="509"/>
      <c r="M922" s="509"/>
      <c r="N922" s="509"/>
      <c r="O922" s="509"/>
      <c r="P922" s="509"/>
      <c r="Q922" s="509"/>
      <c r="R922" s="509"/>
      <c r="S922" s="509"/>
      <c r="T922" s="509"/>
      <c r="U922" s="509"/>
      <c r="V922" s="509"/>
      <c r="W922" s="509"/>
      <c r="X922" s="509"/>
      <c r="Y922" s="509"/>
      <c r="Z922" s="509"/>
    </row>
    <row r="923" spans="1:26" ht="16.5" customHeight="1" x14ac:dyDescent="0.3">
      <c r="A923" s="509"/>
      <c r="B923" s="509"/>
      <c r="C923" s="509"/>
      <c r="D923" s="509"/>
      <c r="E923" s="509"/>
      <c r="F923" s="509"/>
      <c r="G923" s="509"/>
      <c r="H923" s="509"/>
      <c r="I923" s="509"/>
      <c r="J923" s="509"/>
      <c r="K923" s="509"/>
      <c r="L923" s="509"/>
      <c r="M923" s="509"/>
      <c r="N923" s="509"/>
      <c r="O923" s="509"/>
      <c r="P923" s="509"/>
      <c r="Q923" s="509"/>
      <c r="R923" s="509"/>
      <c r="S923" s="509"/>
      <c r="T923" s="509"/>
      <c r="U923" s="509"/>
      <c r="V923" s="509"/>
      <c r="W923" s="509"/>
      <c r="X923" s="509"/>
      <c r="Y923" s="509"/>
      <c r="Z923" s="509"/>
    </row>
    <row r="924" spans="1:26" ht="16.5" customHeight="1" x14ac:dyDescent="0.3">
      <c r="A924" s="509"/>
      <c r="B924" s="509"/>
      <c r="C924" s="509"/>
      <c r="D924" s="509"/>
      <c r="E924" s="509"/>
      <c r="F924" s="509"/>
      <c r="G924" s="509"/>
      <c r="H924" s="509"/>
      <c r="I924" s="509"/>
      <c r="J924" s="509"/>
      <c r="K924" s="509"/>
      <c r="L924" s="509"/>
      <c r="M924" s="509"/>
      <c r="N924" s="509"/>
      <c r="O924" s="509"/>
      <c r="P924" s="509"/>
      <c r="Q924" s="509"/>
      <c r="R924" s="509"/>
      <c r="S924" s="509"/>
      <c r="T924" s="509"/>
      <c r="U924" s="509"/>
      <c r="V924" s="509"/>
      <c r="W924" s="509"/>
      <c r="X924" s="509"/>
      <c r="Y924" s="509"/>
      <c r="Z924" s="509"/>
    </row>
    <row r="925" spans="1:26" ht="16.5" customHeight="1" x14ac:dyDescent="0.3">
      <c r="A925" s="509"/>
      <c r="B925" s="509"/>
      <c r="C925" s="509"/>
      <c r="D925" s="509"/>
      <c r="E925" s="509"/>
      <c r="F925" s="509"/>
      <c r="G925" s="509"/>
      <c r="H925" s="509"/>
      <c r="I925" s="509"/>
      <c r="J925" s="509"/>
      <c r="K925" s="509"/>
      <c r="L925" s="509"/>
      <c r="M925" s="509"/>
      <c r="N925" s="509"/>
      <c r="O925" s="509"/>
      <c r="P925" s="509"/>
      <c r="Q925" s="509"/>
      <c r="R925" s="509"/>
      <c r="S925" s="509"/>
      <c r="T925" s="509"/>
      <c r="U925" s="509"/>
      <c r="V925" s="509"/>
      <c r="W925" s="509"/>
      <c r="X925" s="509"/>
      <c r="Y925" s="509"/>
      <c r="Z925" s="509"/>
    </row>
    <row r="926" spans="1:26" ht="16.5" customHeight="1" x14ac:dyDescent="0.3">
      <c r="A926" s="509"/>
      <c r="B926" s="509"/>
      <c r="C926" s="509"/>
      <c r="D926" s="509"/>
      <c r="E926" s="509"/>
      <c r="F926" s="509"/>
      <c r="G926" s="509"/>
      <c r="H926" s="509"/>
      <c r="I926" s="509"/>
      <c r="J926" s="509"/>
      <c r="K926" s="509"/>
      <c r="L926" s="509"/>
      <c r="M926" s="509"/>
      <c r="N926" s="509"/>
      <c r="O926" s="509"/>
      <c r="P926" s="509"/>
      <c r="Q926" s="509"/>
      <c r="R926" s="509"/>
      <c r="S926" s="509"/>
      <c r="T926" s="509"/>
      <c r="U926" s="509"/>
      <c r="V926" s="509"/>
      <c r="W926" s="509"/>
      <c r="X926" s="509"/>
      <c r="Y926" s="509"/>
      <c r="Z926" s="509"/>
    </row>
    <row r="927" spans="1:26" ht="16.5" customHeight="1" x14ac:dyDescent="0.3">
      <c r="A927" s="509"/>
      <c r="B927" s="509"/>
      <c r="C927" s="509"/>
      <c r="D927" s="509"/>
      <c r="E927" s="509"/>
      <c r="F927" s="509"/>
      <c r="G927" s="509"/>
      <c r="H927" s="509"/>
      <c r="I927" s="509"/>
      <c r="J927" s="509"/>
      <c r="K927" s="509"/>
      <c r="L927" s="509"/>
      <c r="M927" s="509"/>
      <c r="N927" s="509"/>
      <c r="O927" s="509"/>
      <c r="P927" s="509"/>
      <c r="Q927" s="509"/>
      <c r="R927" s="509"/>
      <c r="S927" s="509"/>
      <c r="T927" s="509"/>
      <c r="U927" s="509"/>
      <c r="V927" s="509"/>
      <c r="W927" s="509"/>
      <c r="X927" s="509"/>
      <c r="Y927" s="509"/>
      <c r="Z927" s="509"/>
    </row>
    <row r="928" spans="1:26" ht="16.5" customHeight="1" x14ac:dyDescent="0.3">
      <c r="A928" s="509"/>
      <c r="B928" s="509"/>
      <c r="C928" s="509"/>
      <c r="D928" s="509"/>
      <c r="E928" s="509"/>
      <c r="F928" s="509"/>
      <c r="G928" s="509"/>
      <c r="H928" s="509"/>
      <c r="I928" s="509"/>
      <c r="J928" s="509"/>
      <c r="K928" s="509"/>
      <c r="L928" s="509"/>
      <c r="M928" s="509"/>
      <c r="N928" s="509"/>
      <c r="O928" s="509"/>
      <c r="P928" s="509"/>
      <c r="Q928" s="509"/>
      <c r="R928" s="509"/>
      <c r="S928" s="509"/>
      <c r="T928" s="509"/>
      <c r="U928" s="509"/>
      <c r="V928" s="509"/>
      <c r="W928" s="509"/>
      <c r="X928" s="509"/>
      <c r="Y928" s="509"/>
      <c r="Z928" s="509"/>
    </row>
    <row r="929" spans="1:26" ht="16.5" customHeight="1" x14ac:dyDescent="0.3">
      <c r="A929" s="509"/>
      <c r="B929" s="509"/>
      <c r="C929" s="509"/>
      <c r="D929" s="509"/>
      <c r="E929" s="509"/>
      <c r="F929" s="509"/>
      <c r="G929" s="509"/>
      <c r="H929" s="509"/>
      <c r="I929" s="509"/>
      <c r="J929" s="509"/>
      <c r="K929" s="509"/>
      <c r="L929" s="509"/>
      <c r="M929" s="509"/>
      <c r="N929" s="509"/>
      <c r="O929" s="509"/>
      <c r="P929" s="509"/>
      <c r="Q929" s="509"/>
      <c r="R929" s="509"/>
      <c r="S929" s="509"/>
      <c r="T929" s="509"/>
      <c r="U929" s="509"/>
      <c r="V929" s="509"/>
      <c r="W929" s="509"/>
      <c r="X929" s="509"/>
      <c r="Y929" s="509"/>
      <c r="Z929" s="509"/>
    </row>
    <row r="930" spans="1:26" ht="16.5" customHeight="1" x14ac:dyDescent="0.3">
      <c r="A930" s="509"/>
      <c r="B930" s="509"/>
      <c r="C930" s="509"/>
      <c r="D930" s="509"/>
      <c r="E930" s="509"/>
      <c r="F930" s="509"/>
      <c r="G930" s="509"/>
      <c r="H930" s="509"/>
      <c r="I930" s="509"/>
      <c r="J930" s="509"/>
      <c r="K930" s="509"/>
      <c r="L930" s="509"/>
      <c r="M930" s="509"/>
      <c r="N930" s="509"/>
      <c r="O930" s="509"/>
      <c r="P930" s="509"/>
      <c r="Q930" s="509"/>
      <c r="R930" s="509"/>
      <c r="S930" s="509"/>
      <c r="T930" s="509"/>
      <c r="U930" s="509"/>
      <c r="V930" s="509"/>
      <c r="W930" s="509"/>
      <c r="X930" s="509"/>
      <c r="Y930" s="509"/>
      <c r="Z930" s="509"/>
    </row>
    <row r="931" spans="1:26" ht="16.5" customHeight="1" x14ac:dyDescent="0.3">
      <c r="A931" s="509"/>
      <c r="B931" s="509"/>
      <c r="C931" s="509"/>
      <c r="D931" s="509"/>
      <c r="E931" s="509"/>
      <c r="F931" s="509"/>
      <c r="G931" s="509"/>
      <c r="H931" s="509"/>
      <c r="I931" s="509"/>
      <c r="J931" s="509"/>
      <c r="K931" s="509"/>
      <c r="L931" s="509"/>
      <c r="M931" s="509"/>
      <c r="N931" s="509"/>
      <c r="O931" s="509"/>
      <c r="P931" s="509"/>
      <c r="Q931" s="509"/>
      <c r="R931" s="509"/>
      <c r="S931" s="509"/>
      <c r="T931" s="509"/>
      <c r="U931" s="509"/>
      <c r="V931" s="509"/>
      <c r="W931" s="509"/>
      <c r="X931" s="509"/>
      <c r="Y931" s="509"/>
      <c r="Z931" s="509"/>
    </row>
    <row r="932" spans="1:26" ht="16.5" customHeight="1" x14ac:dyDescent="0.3">
      <c r="A932" s="509"/>
      <c r="B932" s="509"/>
      <c r="C932" s="509"/>
      <c r="D932" s="509"/>
      <c r="E932" s="509"/>
      <c r="F932" s="509"/>
      <c r="G932" s="509"/>
      <c r="H932" s="509"/>
      <c r="I932" s="509"/>
      <c r="J932" s="509"/>
      <c r="K932" s="509"/>
      <c r="L932" s="509"/>
      <c r="M932" s="509"/>
      <c r="N932" s="509"/>
      <c r="O932" s="509"/>
      <c r="P932" s="509"/>
      <c r="Q932" s="509"/>
      <c r="R932" s="509"/>
      <c r="S932" s="509"/>
      <c r="T932" s="509"/>
      <c r="U932" s="509"/>
      <c r="V932" s="509"/>
      <c r="W932" s="509"/>
      <c r="X932" s="509"/>
      <c r="Y932" s="509"/>
      <c r="Z932" s="509"/>
    </row>
    <row r="933" spans="1:26" ht="16.5" customHeight="1" x14ac:dyDescent="0.3">
      <c r="A933" s="509"/>
      <c r="B933" s="509"/>
      <c r="C933" s="509"/>
      <c r="D933" s="509"/>
      <c r="E933" s="509"/>
      <c r="F933" s="509"/>
      <c r="G933" s="509"/>
      <c r="H933" s="509"/>
      <c r="I933" s="509"/>
      <c r="J933" s="509"/>
      <c r="K933" s="509"/>
      <c r="L933" s="509"/>
      <c r="M933" s="509"/>
      <c r="N933" s="509"/>
      <c r="O933" s="509"/>
      <c r="P933" s="509"/>
      <c r="Q933" s="509"/>
      <c r="R933" s="509"/>
      <c r="S933" s="509"/>
      <c r="T933" s="509"/>
      <c r="U933" s="509"/>
      <c r="V933" s="509"/>
      <c r="W933" s="509"/>
      <c r="X933" s="509"/>
      <c r="Y933" s="509"/>
      <c r="Z933" s="509"/>
    </row>
    <row r="934" spans="1:26" ht="16.5" customHeight="1" x14ac:dyDescent="0.3">
      <c r="A934" s="509"/>
      <c r="B934" s="509"/>
      <c r="C934" s="509"/>
      <c r="D934" s="509"/>
      <c r="E934" s="509"/>
      <c r="F934" s="509"/>
      <c r="G934" s="509"/>
      <c r="H934" s="509"/>
      <c r="I934" s="509"/>
      <c r="J934" s="509"/>
      <c r="K934" s="509"/>
      <c r="L934" s="509"/>
      <c r="M934" s="509"/>
      <c r="N934" s="509"/>
      <c r="O934" s="509"/>
      <c r="P934" s="509"/>
      <c r="Q934" s="509"/>
      <c r="R934" s="509"/>
      <c r="S934" s="509"/>
      <c r="T934" s="509"/>
      <c r="U934" s="509"/>
      <c r="V934" s="509"/>
      <c r="W934" s="509"/>
      <c r="X934" s="509"/>
      <c r="Y934" s="509"/>
      <c r="Z934" s="509"/>
    </row>
    <row r="935" spans="1:26" ht="16.5" customHeight="1" x14ac:dyDescent="0.3">
      <c r="A935" s="509"/>
      <c r="B935" s="509"/>
      <c r="C935" s="509"/>
      <c r="D935" s="509"/>
      <c r="E935" s="509"/>
      <c r="F935" s="509"/>
      <c r="G935" s="509"/>
      <c r="H935" s="509"/>
      <c r="I935" s="509"/>
      <c r="J935" s="509"/>
      <c r="K935" s="509"/>
      <c r="L935" s="509"/>
      <c r="M935" s="509"/>
      <c r="N935" s="509"/>
      <c r="O935" s="509"/>
      <c r="P935" s="509"/>
      <c r="Q935" s="509"/>
      <c r="R935" s="509"/>
      <c r="S935" s="509"/>
      <c r="T935" s="509"/>
      <c r="U935" s="509"/>
      <c r="V935" s="509"/>
      <c r="W935" s="509"/>
      <c r="X935" s="509"/>
      <c r="Y935" s="509"/>
      <c r="Z935" s="509"/>
    </row>
    <row r="936" spans="1:26" ht="16.5" customHeight="1" x14ac:dyDescent="0.3">
      <c r="A936" s="509"/>
      <c r="B936" s="509"/>
      <c r="C936" s="509"/>
      <c r="D936" s="509"/>
      <c r="E936" s="509"/>
      <c r="F936" s="509"/>
      <c r="G936" s="509"/>
      <c r="H936" s="509"/>
      <c r="I936" s="509"/>
      <c r="J936" s="509"/>
      <c r="K936" s="509"/>
      <c r="L936" s="509"/>
      <c r="M936" s="509"/>
      <c r="N936" s="509"/>
      <c r="O936" s="509"/>
      <c r="P936" s="509"/>
      <c r="Q936" s="509"/>
      <c r="R936" s="509"/>
      <c r="S936" s="509"/>
      <c r="T936" s="509"/>
      <c r="U936" s="509"/>
      <c r="V936" s="509"/>
      <c r="W936" s="509"/>
      <c r="X936" s="509"/>
      <c r="Y936" s="509"/>
      <c r="Z936" s="509"/>
    </row>
    <row r="937" spans="1:26" ht="16.5" customHeight="1" x14ac:dyDescent="0.3">
      <c r="A937" s="509"/>
      <c r="B937" s="509"/>
      <c r="C937" s="509"/>
      <c r="D937" s="509"/>
      <c r="E937" s="509"/>
      <c r="F937" s="509"/>
      <c r="G937" s="509"/>
      <c r="H937" s="509"/>
      <c r="I937" s="509"/>
      <c r="J937" s="509"/>
      <c r="K937" s="509"/>
      <c r="L937" s="509"/>
      <c r="M937" s="509"/>
      <c r="N937" s="509"/>
      <c r="O937" s="509"/>
      <c r="P937" s="509"/>
      <c r="Q937" s="509"/>
      <c r="R937" s="509"/>
      <c r="S937" s="509"/>
      <c r="T937" s="509"/>
      <c r="U937" s="509"/>
      <c r="V937" s="509"/>
      <c r="W937" s="509"/>
      <c r="X937" s="509"/>
      <c r="Y937" s="509"/>
      <c r="Z937" s="509"/>
    </row>
    <row r="938" spans="1:26" ht="16.5" customHeight="1" x14ac:dyDescent="0.3">
      <c r="A938" s="509"/>
      <c r="B938" s="509"/>
      <c r="C938" s="509"/>
      <c r="D938" s="509"/>
      <c r="E938" s="509"/>
      <c r="F938" s="509"/>
      <c r="G938" s="509"/>
      <c r="H938" s="509"/>
      <c r="I938" s="509"/>
      <c r="J938" s="509"/>
      <c r="K938" s="509"/>
      <c r="L938" s="509"/>
      <c r="M938" s="509"/>
      <c r="N938" s="509"/>
      <c r="O938" s="509"/>
      <c r="P938" s="509"/>
      <c r="Q938" s="509"/>
      <c r="R938" s="509"/>
      <c r="S938" s="509"/>
      <c r="T938" s="509"/>
      <c r="U938" s="509"/>
      <c r="V938" s="509"/>
      <c r="W938" s="509"/>
      <c r="X938" s="509"/>
      <c r="Y938" s="509"/>
      <c r="Z938" s="509"/>
    </row>
    <row r="939" spans="1:26" ht="16.5" customHeight="1" x14ac:dyDescent="0.3">
      <c r="A939" s="509"/>
      <c r="B939" s="509"/>
      <c r="C939" s="509"/>
      <c r="D939" s="509"/>
      <c r="E939" s="509"/>
      <c r="F939" s="509"/>
      <c r="G939" s="509"/>
      <c r="H939" s="509"/>
      <c r="I939" s="509"/>
      <c r="J939" s="509"/>
      <c r="K939" s="509"/>
      <c r="L939" s="509"/>
      <c r="M939" s="509"/>
      <c r="N939" s="509"/>
      <c r="O939" s="509"/>
      <c r="P939" s="509"/>
      <c r="Q939" s="509"/>
      <c r="R939" s="509"/>
      <c r="S939" s="509"/>
      <c r="T939" s="509"/>
      <c r="U939" s="509"/>
      <c r="V939" s="509"/>
      <c r="W939" s="509"/>
      <c r="X939" s="509"/>
      <c r="Y939" s="509"/>
      <c r="Z939" s="509"/>
    </row>
    <row r="940" spans="1:26" ht="16.5" customHeight="1" x14ac:dyDescent="0.3">
      <c r="A940" s="509"/>
      <c r="B940" s="509"/>
      <c r="C940" s="509"/>
      <c r="D940" s="509"/>
      <c r="E940" s="509"/>
      <c r="F940" s="509"/>
      <c r="G940" s="509"/>
      <c r="H940" s="509"/>
      <c r="I940" s="509"/>
      <c r="J940" s="509"/>
      <c r="K940" s="509"/>
      <c r="L940" s="509"/>
      <c r="M940" s="509"/>
      <c r="N940" s="509"/>
      <c r="O940" s="509"/>
      <c r="P940" s="509"/>
      <c r="Q940" s="509"/>
      <c r="R940" s="509"/>
      <c r="S940" s="509"/>
      <c r="T940" s="509"/>
      <c r="U940" s="509"/>
      <c r="V940" s="509"/>
      <c r="W940" s="509"/>
      <c r="X940" s="509"/>
      <c r="Y940" s="509"/>
      <c r="Z940" s="509"/>
    </row>
    <row r="941" spans="1:26" ht="16.5" customHeight="1" x14ac:dyDescent="0.3">
      <c r="A941" s="509"/>
      <c r="B941" s="509"/>
      <c r="C941" s="509"/>
      <c r="D941" s="509"/>
      <c r="E941" s="509"/>
      <c r="F941" s="509"/>
      <c r="G941" s="509"/>
      <c r="H941" s="509"/>
      <c r="I941" s="509"/>
      <c r="J941" s="509"/>
      <c r="K941" s="509"/>
      <c r="L941" s="509"/>
      <c r="M941" s="509"/>
      <c r="N941" s="509"/>
      <c r="O941" s="509"/>
      <c r="P941" s="509"/>
      <c r="Q941" s="509"/>
      <c r="R941" s="509"/>
      <c r="S941" s="509"/>
      <c r="T941" s="509"/>
      <c r="U941" s="509"/>
      <c r="V941" s="509"/>
      <c r="W941" s="509"/>
      <c r="X941" s="509"/>
      <c r="Y941" s="509"/>
      <c r="Z941" s="509"/>
    </row>
    <row r="942" spans="1:26" ht="16.5" customHeight="1" x14ac:dyDescent="0.3">
      <c r="A942" s="509"/>
      <c r="B942" s="509"/>
      <c r="C942" s="509"/>
      <c r="D942" s="509"/>
      <c r="E942" s="509"/>
      <c r="F942" s="509"/>
      <c r="G942" s="509"/>
      <c r="H942" s="509"/>
      <c r="I942" s="509"/>
      <c r="J942" s="509"/>
      <c r="K942" s="509"/>
      <c r="L942" s="509"/>
      <c r="M942" s="509"/>
      <c r="N942" s="509"/>
      <c r="O942" s="509"/>
      <c r="P942" s="509"/>
      <c r="Q942" s="509"/>
      <c r="R942" s="509"/>
      <c r="S942" s="509"/>
      <c r="T942" s="509"/>
      <c r="U942" s="509"/>
      <c r="V942" s="509"/>
      <c r="W942" s="509"/>
      <c r="X942" s="509"/>
      <c r="Y942" s="509"/>
      <c r="Z942" s="509"/>
    </row>
    <row r="943" spans="1:26" ht="16.5" customHeight="1" x14ac:dyDescent="0.3">
      <c r="A943" s="509"/>
      <c r="B943" s="509"/>
      <c r="C943" s="509"/>
      <c r="D943" s="509"/>
      <c r="E943" s="509"/>
      <c r="F943" s="509"/>
      <c r="G943" s="509"/>
      <c r="H943" s="509"/>
      <c r="I943" s="509"/>
      <c r="J943" s="509"/>
      <c r="K943" s="509"/>
      <c r="L943" s="509"/>
      <c r="M943" s="509"/>
      <c r="N943" s="509"/>
      <c r="O943" s="509"/>
      <c r="P943" s="509"/>
      <c r="Q943" s="509"/>
      <c r="R943" s="509"/>
      <c r="S943" s="509"/>
      <c r="T943" s="509"/>
      <c r="U943" s="509"/>
      <c r="V943" s="509"/>
      <c r="W943" s="509"/>
      <c r="X943" s="509"/>
      <c r="Y943" s="509"/>
      <c r="Z943" s="509"/>
    </row>
    <row r="944" spans="1:26" ht="16.5" customHeight="1" x14ac:dyDescent="0.3">
      <c r="A944" s="509"/>
      <c r="B944" s="509"/>
      <c r="C944" s="509"/>
      <c r="D944" s="509"/>
      <c r="E944" s="509"/>
      <c r="F944" s="509"/>
      <c r="G944" s="509"/>
      <c r="H944" s="509"/>
      <c r="I944" s="509"/>
      <c r="J944" s="509"/>
      <c r="K944" s="509"/>
      <c r="L944" s="509"/>
      <c r="M944" s="509"/>
      <c r="N944" s="509"/>
      <c r="O944" s="509"/>
      <c r="P944" s="509"/>
      <c r="Q944" s="509"/>
      <c r="R944" s="509"/>
      <c r="S944" s="509"/>
      <c r="T944" s="509"/>
      <c r="U944" s="509"/>
      <c r="V944" s="509"/>
      <c r="W944" s="509"/>
      <c r="X944" s="509"/>
      <c r="Y944" s="509"/>
      <c r="Z944" s="509"/>
    </row>
    <row r="945" spans="1:26" ht="16.5" customHeight="1" x14ac:dyDescent="0.3">
      <c r="A945" s="509"/>
      <c r="B945" s="509"/>
      <c r="C945" s="509"/>
      <c r="D945" s="509"/>
      <c r="E945" s="509"/>
      <c r="F945" s="509"/>
      <c r="G945" s="509"/>
      <c r="H945" s="509"/>
      <c r="I945" s="509"/>
      <c r="J945" s="509"/>
      <c r="K945" s="509"/>
      <c r="L945" s="509"/>
      <c r="M945" s="509"/>
      <c r="N945" s="509"/>
      <c r="O945" s="509"/>
      <c r="P945" s="509"/>
      <c r="Q945" s="509"/>
      <c r="R945" s="509"/>
      <c r="S945" s="509"/>
      <c r="T945" s="509"/>
      <c r="U945" s="509"/>
      <c r="V945" s="509"/>
      <c r="W945" s="509"/>
      <c r="X945" s="509"/>
      <c r="Y945" s="509"/>
      <c r="Z945" s="509"/>
    </row>
    <row r="946" spans="1:26" ht="16.5" customHeight="1" x14ac:dyDescent="0.3">
      <c r="A946" s="509"/>
      <c r="B946" s="509"/>
      <c r="C946" s="509"/>
      <c r="D946" s="509"/>
      <c r="E946" s="509"/>
      <c r="F946" s="509"/>
      <c r="G946" s="509"/>
      <c r="H946" s="509"/>
      <c r="I946" s="509"/>
      <c r="J946" s="509"/>
      <c r="K946" s="509"/>
      <c r="L946" s="509"/>
      <c r="M946" s="509"/>
      <c r="N946" s="509"/>
      <c r="O946" s="509"/>
      <c r="P946" s="509"/>
      <c r="Q946" s="509"/>
      <c r="R946" s="509"/>
      <c r="S946" s="509"/>
      <c r="T946" s="509"/>
      <c r="U946" s="509"/>
      <c r="V946" s="509"/>
      <c r="W946" s="509"/>
      <c r="X946" s="509"/>
      <c r="Y946" s="509"/>
      <c r="Z946" s="509"/>
    </row>
    <row r="947" spans="1:26" ht="16.5" customHeight="1" x14ac:dyDescent="0.3">
      <c r="A947" s="509"/>
      <c r="B947" s="509"/>
      <c r="C947" s="509"/>
      <c r="D947" s="509"/>
      <c r="E947" s="509"/>
      <c r="F947" s="509"/>
      <c r="G947" s="509"/>
      <c r="H947" s="509"/>
      <c r="I947" s="509"/>
      <c r="J947" s="509"/>
      <c r="K947" s="509"/>
      <c r="L947" s="509"/>
      <c r="M947" s="509"/>
      <c r="N947" s="509"/>
      <c r="O947" s="509"/>
      <c r="P947" s="509"/>
      <c r="Q947" s="509"/>
      <c r="R947" s="509"/>
      <c r="S947" s="509"/>
      <c r="T947" s="509"/>
      <c r="U947" s="509"/>
      <c r="V947" s="509"/>
      <c r="W947" s="509"/>
      <c r="X947" s="509"/>
      <c r="Y947" s="509"/>
      <c r="Z947" s="509"/>
    </row>
    <row r="948" spans="1:26" ht="16.5" customHeight="1" x14ac:dyDescent="0.3">
      <c r="A948" s="509"/>
      <c r="B948" s="509"/>
      <c r="C948" s="509"/>
      <c r="D948" s="509"/>
      <c r="E948" s="509"/>
      <c r="F948" s="509"/>
      <c r="G948" s="509"/>
      <c r="H948" s="509"/>
      <c r="I948" s="509"/>
      <c r="J948" s="509"/>
      <c r="K948" s="509"/>
      <c r="L948" s="509"/>
      <c r="M948" s="509"/>
      <c r="N948" s="509"/>
      <c r="O948" s="509"/>
      <c r="P948" s="509"/>
      <c r="Q948" s="509"/>
      <c r="R948" s="509"/>
      <c r="S948" s="509"/>
      <c r="T948" s="509"/>
      <c r="U948" s="509"/>
      <c r="V948" s="509"/>
      <c r="W948" s="509"/>
      <c r="X948" s="509"/>
      <c r="Y948" s="509"/>
      <c r="Z948" s="509"/>
    </row>
    <row r="949" spans="1:26" ht="16.5" customHeight="1" x14ac:dyDescent="0.3">
      <c r="A949" s="509"/>
      <c r="B949" s="509"/>
      <c r="C949" s="509"/>
      <c r="D949" s="509"/>
      <c r="E949" s="509"/>
      <c r="F949" s="509"/>
      <c r="G949" s="509"/>
      <c r="H949" s="509"/>
      <c r="I949" s="509"/>
      <c r="J949" s="509"/>
      <c r="K949" s="509"/>
      <c r="L949" s="509"/>
      <c r="M949" s="509"/>
      <c r="N949" s="509"/>
      <c r="O949" s="509"/>
      <c r="P949" s="509"/>
      <c r="Q949" s="509"/>
      <c r="R949" s="509"/>
      <c r="S949" s="509"/>
      <c r="T949" s="509"/>
      <c r="U949" s="509"/>
      <c r="V949" s="509"/>
      <c r="W949" s="509"/>
      <c r="X949" s="509"/>
      <c r="Y949" s="509"/>
      <c r="Z949" s="509"/>
    </row>
    <row r="950" spans="1:26" ht="16.5" customHeight="1" x14ac:dyDescent="0.3">
      <c r="A950" s="509"/>
      <c r="B950" s="509"/>
      <c r="C950" s="509"/>
      <c r="D950" s="509"/>
      <c r="E950" s="509"/>
      <c r="F950" s="509"/>
      <c r="G950" s="509"/>
      <c r="H950" s="509"/>
      <c r="I950" s="509"/>
      <c r="J950" s="509"/>
      <c r="K950" s="509"/>
      <c r="L950" s="509"/>
      <c r="M950" s="509"/>
      <c r="N950" s="509"/>
      <c r="O950" s="509"/>
      <c r="P950" s="509"/>
      <c r="Q950" s="509"/>
      <c r="R950" s="509"/>
      <c r="S950" s="509"/>
      <c r="T950" s="509"/>
      <c r="U950" s="509"/>
      <c r="V950" s="509"/>
      <c r="W950" s="509"/>
      <c r="X950" s="509"/>
      <c r="Y950" s="509"/>
      <c r="Z950" s="509"/>
    </row>
    <row r="951" spans="1:26" ht="16.5" customHeight="1" x14ac:dyDescent="0.3">
      <c r="A951" s="509"/>
      <c r="B951" s="509"/>
      <c r="C951" s="509"/>
      <c r="D951" s="509"/>
      <c r="E951" s="509"/>
      <c r="F951" s="509"/>
      <c r="G951" s="509"/>
      <c r="H951" s="509"/>
      <c r="I951" s="509"/>
      <c r="J951" s="509"/>
      <c r="K951" s="509"/>
      <c r="L951" s="509"/>
      <c r="M951" s="509"/>
      <c r="N951" s="509"/>
      <c r="O951" s="509"/>
      <c r="P951" s="509"/>
      <c r="Q951" s="509"/>
      <c r="R951" s="509"/>
      <c r="S951" s="509"/>
      <c r="T951" s="509"/>
      <c r="U951" s="509"/>
      <c r="V951" s="509"/>
      <c r="W951" s="509"/>
      <c r="X951" s="509"/>
      <c r="Y951" s="509"/>
      <c r="Z951" s="509"/>
    </row>
    <row r="952" spans="1:26" ht="16.5" customHeight="1" x14ac:dyDescent="0.3">
      <c r="A952" s="509"/>
      <c r="B952" s="509"/>
      <c r="C952" s="509"/>
      <c r="D952" s="509"/>
      <c r="E952" s="509"/>
      <c r="F952" s="509"/>
      <c r="G952" s="509"/>
      <c r="H952" s="509"/>
      <c r="I952" s="509"/>
      <c r="J952" s="509"/>
      <c r="K952" s="509"/>
      <c r="L952" s="509"/>
      <c r="M952" s="509"/>
      <c r="N952" s="509"/>
      <c r="O952" s="509"/>
      <c r="P952" s="509"/>
      <c r="Q952" s="509"/>
      <c r="R952" s="509"/>
      <c r="S952" s="509"/>
      <c r="T952" s="509"/>
      <c r="U952" s="509"/>
      <c r="V952" s="509"/>
      <c r="W952" s="509"/>
      <c r="X952" s="509"/>
      <c r="Y952" s="509"/>
      <c r="Z952" s="509"/>
    </row>
    <row r="953" spans="1:26" ht="16.5" customHeight="1" x14ac:dyDescent="0.3">
      <c r="A953" s="509"/>
      <c r="B953" s="509"/>
      <c r="C953" s="509"/>
      <c r="D953" s="509"/>
      <c r="E953" s="509"/>
      <c r="F953" s="509"/>
      <c r="G953" s="509"/>
      <c r="H953" s="509"/>
      <c r="I953" s="509"/>
      <c r="J953" s="509"/>
      <c r="K953" s="509"/>
      <c r="L953" s="509"/>
      <c r="M953" s="509"/>
      <c r="N953" s="509"/>
      <c r="O953" s="509"/>
      <c r="P953" s="509"/>
      <c r="Q953" s="509"/>
      <c r="R953" s="509"/>
      <c r="S953" s="509"/>
      <c r="T953" s="509"/>
      <c r="U953" s="509"/>
      <c r="V953" s="509"/>
      <c r="W953" s="509"/>
      <c r="X953" s="509"/>
      <c r="Y953" s="509"/>
      <c r="Z953" s="509"/>
    </row>
    <row r="954" spans="1:26" ht="16.5" customHeight="1" x14ac:dyDescent="0.3">
      <c r="A954" s="509"/>
      <c r="B954" s="509"/>
      <c r="C954" s="509"/>
      <c r="D954" s="509"/>
      <c r="E954" s="509"/>
      <c r="F954" s="509"/>
      <c r="G954" s="509"/>
      <c r="H954" s="509"/>
      <c r="I954" s="509"/>
      <c r="J954" s="509"/>
      <c r="K954" s="509"/>
      <c r="L954" s="509"/>
      <c r="M954" s="509"/>
      <c r="N954" s="509"/>
      <c r="O954" s="509"/>
      <c r="P954" s="509"/>
      <c r="Q954" s="509"/>
      <c r="R954" s="509"/>
      <c r="S954" s="509"/>
      <c r="T954" s="509"/>
      <c r="U954" s="509"/>
      <c r="V954" s="509"/>
      <c r="W954" s="509"/>
      <c r="X954" s="509"/>
      <c r="Y954" s="509"/>
      <c r="Z954" s="509"/>
    </row>
    <row r="955" spans="1:26" ht="16.5" customHeight="1" x14ac:dyDescent="0.3">
      <c r="A955" s="509"/>
      <c r="B955" s="509"/>
      <c r="C955" s="509"/>
      <c r="D955" s="509"/>
      <c r="E955" s="509"/>
      <c r="F955" s="509"/>
      <c r="G955" s="509"/>
      <c r="H955" s="509"/>
      <c r="I955" s="509"/>
      <c r="J955" s="509"/>
      <c r="K955" s="509"/>
      <c r="L955" s="509"/>
      <c r="M955" s="509"/>
      <c r="N955" s="509"/>
      <c r="O955" s="509"/>
      <c r="P955" s="509"/>
      <c r="Q955" s="509"/>
      <c r="R955" s="509"/>
      <c r="S955" s="509"/>
      <c r="T955" s="509"/>
      <c r="U955" s="509"/>
      <c r="V955" s="509"/>
      <c r="W955" s="509"/>
      <c r="X955" s="509"/>
      <c r="Y955" s="509"/>
      <c r="Z955" s="509"/>
    </row>
    <row r="956" spans="1:26" ht="16.5" customHeight="1" x14ac:dyDescent="0.3">
      <c r="A956" s="509"/>
      <c r="B956" s="509"/>
      <c r="C956" s="509"/>
      <c r="D956" s="509"/>
      <c r="E956" s="509"/>
      <c r="F956" s="509"/>
      <c r="G956" s="509"/>
      <c r="H956" s="509"/>
      <c r="I956" s="509"/>
      <c r="J956" s="509"/>
      <c r="K956" s="509"/>
      <c r="L956" s="509"/>
      <c r="M956" s="509"/>
      <c r="N956" s="509"/>
      <c r="O956" s="509"/>
      <c r="P956" s="509"/>
      <c r="Q956" s="509"/>
      <c r="R956" s="509"/>
      <c r="S956" s="509"/>
      <c r="T956" s="509"/>
      <c r="U956" s="509"/>
      <c r="V956" s="509"/>
      <c r="W956" s="509"/>
      <c r="X956" s="509"/>
      <c r="Y956" s="509"/>
      <c r="Z956" s="509"/>
    </row>
    <row r="957" spans="1:26" ht="16.5" customHeight="1" x14ac:dyDescent="0.3">
      <c r="A957" s="509"/>
      <c r="B957" s="509"/>
      <c r="C957" s="509"/>
      <c r="D957" s="509"/>
      <c r="E957" s="509"/>
      <c r="F957" s="509"/>
      <c r="G957" s="509"/>
      <c r="H957" s="509"/>
      <c r="I957" s="509"/>
      <c r="J957" s="509"/>
      <c r="K957" s="509"/>
      <c r="L957" s="509"/>
      <c r="M957" s="509"/>
      <c r="N957" s="509"/>
      <c r="O957" s="509"/>
      <c r="P957" s="509"/>
      <c r="Q957" s="509"/>
      <c r="R957" s="509"/>
      <c r="S957" s="509"/>
      <c r="T957" s="509"/>
      <c r="U957" s="509"/>
      <c r="V957" s="509"/>
      <c r="W957" s="509"/>
      <c r="X957" s="509"/>
      <c r="Y957" s="509"/>
      <c r="Z957" s="509"/>
    </row>
    <row r="958" spans="1:26" ht="16.5" customHeight="1" x14ac:dyDescent="0.3">
      <c r="A958" s="509"/>
      <c r="B958" s="509"/>
      <c r="C958" s="509"/>
      <c r="D958" s="509"/>
      <c r="E958" s="509"/>
      <c r="F958" s="509"/>
      <c r="G958" s="509"/>
      <c r="H958" s="509"/>
      <c r="I958" s="509"/>
      <c r="J958" s="509"/>
      <c r="K958" s="509"/>
      <c r="L958" s="509"/>
      <c r="M958" s="509"/>
      <c r="N958" s="509"/>
      <c r="O958" s="509"/>
      <c r="P958" s="509"/>
      <c r="Q958" s="509"/>
      <c r="R958" s="509"/>
      <c r="S958" s="509"/>
      <c r="T958" s="509"/>
      <c r="U958" s="509"/>
      <c r="V958" s="509"/>
      <c r="W958" s="509"/>
      <c r="X958" s="509"/>
      <c r="Y958" s="509"/>
      <c r="Z958" s="509"/>
    </row>
    <row r="959" spans="1:26" ht="16.5" customHeight="1" x14ac:dyDescent="0.3">
      <c r="A959" s="509"/>
      <c r="B959" s="509"/>
      <c r="C959" s="509"/>
      <c r="D959" s="509"/>
      <c r="E959" s="509"/>
      <c r="F959" s="509"/>
      <c r="G959" s="509"/>
      <c r="H959" s="509"/>
      <c r="I959" s="509"/>
      <c r="J959" s="509"/>
      <c r="K959" s="509"/>
      <c r="L959" s="509"/>
      <c r="M959" s="509"/>
      <c r="N959" s="509"/>
      <c r="O959" s="509"/>
      <c r="P959" s="509"/>
      <c r="Q959" s="509"/>
      <c r="R959" s="509"/>
      <c r="S959" s="509"/>
      <c r="T959" s="509"/>
      <c r="U959" s="509"/>
      <c r="V959" s="509"/>
      <c r="W959" s="509"/>
      <c r="X959" s="509"/>
      <c r="Y959" s="509"/>
      <c r="Z959" s="509"/>
    </row>
    <row r="960" spans="1:26" ht="16.5" customHeight="1" x14ac:dyDescent="0.3">
      <c r="A960" s="509"/>
      <c r="B960" s="509"/>
      <c r="C960" s="509"/>
      <c r="D960" s="509"/>
      <c r="E960" s="509"/>
      <c r="F960" s="509"/>
      <c r="G960" s="509"/>
      <c r="H960" s="509"/>
      <c r="I960" s="509"/>
      <c r="J960" s="509"/>
      <c r="K960" s="509"/>
      <c r="L960" s="509"/>
      <c r="M960" s="509"/>
      <c r="N960" s="509"/>
      <c r="O960" s="509"/>
      <c r="P960" s="509"/>
      <c r="Q960" s="509"/>
      <c r="R960" s="509"/>
      <c r="S960" s="509"/>
      <c r="T960" s="509"/>
      <c r="U960" s="509"/>
      <c r="V960" s="509"/>
      <c r="W960" s="509"/>
      <c r="X960" s="509"/>
      <c r="Y960" s="509"/>
      <c r="Z960" s="509"/>
    </row>
    <row r="961" spans="1:26" ht="16.5" customHeight="1" x14ac:dyDescent="0.3">
      <c r="A961" s="509"/>
      <c r="B961" s="509"/>
      <c r="C961" s="509"/>
      <c r="D961" s="509"/>
      <c r="E961" s="509"/>
      <c r="F961" s="509"/>
      <c r="G961" s="509"/>
      <c r="H961" s="509"/>
      <c r="I961" s="509"/>
      <c r="J961" s="509"/>
      <c r="K961" s="509"/>
      <c r="L961" s="509"/>
      <c r="M961" s="509"/>
      <c r="N961" s="509"/>
      <c r="O961" s="509"/>
      <c r="P961" s="509"/>
      <c r="Q961" s="509"/>
      <c r="R961" s="509"/>
      <c r="S961" s="509"/>
      <c r="T961" s="509"/>
      <c r="U961" s="509"/>
      <c r="V961" s="509"/>
      <c r="W961" s="509"/>
      <c r="X961" s="509"/>
      <c r="Y961" s="509"/>
      <c r="Z961" s="509"/>
    </row>
    <row r="962" spans="1:26" ht="16.5" customHeight="1" x14ac:dyDescent="0.3">
      <c r="A962" s="509"/>
      <c r="B962" s="509"/>
      <c r="C962" s="509"/>
      <c r="D962" s="509"/>
      <c r="E962" s="509"/>
      <c r="F962" s="509"/>
      <c r="G962" s="509"/>
      <c r="H962" s="509"/>
      <c r="I962" s="509"/>
      <c r="J962" s="509"/>
      <c r="K962" s="509"/>
      <c r="L962" s="509"/>
      <c r="M962" s="509"/>
      <c r="N962" s="509"/>
      <c r="O962" s="509"/>
      <c r="P962" s="509"/>
      <c r="Q962" s="509"/>
      <c r="R962" s="509"/>
      <c r="S962" s="509"/>
      <c r="T962" s="509"/>
      <c r="U962" s="509"/>
      <c r="V962" s="509"/>
      <c r="W962" s="509"/>
      <c r="X962" s="509"/>
      <c r="Y962" s="509"/>
      <c r="Z962" s="509"/>
    </row>
    <row r="963" spans="1:26" ht="16.5" customHeight="1" x14ac:dyDescent="0.3">
      <c r="A963" s="509"/>
      <c r="B963" s="509"/>
      <c r="C963" s="509"/>
      <c r="D963" s="509"/>
      <c r="E963" s="509"/>
      <c r="F963" s="509"/>
      <c r="G963" s="509"/>
      <c r="H963" s="509"/>
      <c r="I963" s="509"/>
      <c r="J963" s="509"/>
      <c r="K963" s="509"/>
      <c r="L963" s="509"/>
      <c r="M963" s="509"/>
      <c r="N963" s="509"/>
      <c r="O963" s="509"/>
      <c r="P963" s="509"/>
      <c r="Q963" s="509"/>
      <c r="R963" s="509"/>
      <c r="S963" s="509"/>
      <c r="T963" s="509"/>
      <c r="U963" s="509"/>
      <c r="V963" s="509"/>
      <c r="W963" s="509"/>
      <c r="X963" s="509"/>
      <c r="Y963" s="509"/>
      <c r="Z963" s="509"/>
    </row>
    <row r="964" spans="1:26" ht="16.5" customHeight="1" x14ac:dyDescent="0.3">
      <c r="A964" s="509"/>
      <c r="B964" s="509"/>
      <c r="C964" s="509"/>
      <c r="D964" s="509"/>
      <c r="E964" s="509"/>
      <c r="F964" s="509"/>
      <c r="G964" s="509"/>
      <c r="H964" s="509"/>
      <c r="I964" s="509"/>
      <c r="J964" s="509"/>
      <c r="K964" s="509"/>
      <c r="L964" s="509"/>
      <c r="M964" s="509"/>
      <c r="N964" s="509"/>
      <c r="O964" s="509"/>
      <c r="P964" s="509"/>
      <c r="Q964" s="509"/>
      <c r="R964" s="509"/>
      <c r="S964" s="509"/>
      <c r="T964" s="509"/>
      <c r="U964" s="509"/>
      <c r="V964" s="509"/>
      <c r="W964" s="509"/>
      <c r="X964" s="509"/>
      <c r="Y964" s="509"/>
      <c r="Z964" s="509"/>
    </row>
    <row r="965" spans="1:26" ht="16.5" customHeight="1" x14ac:dyDescent="0.3">
      <c r="A965" s="509"/>
      <c r="B965" s="509"/>
      <c r="C965" s="509"/>
      <c r="D965" s="509"/>
      <c r="E965" s="509"/>
      <c r="F965" s="509"/>
      <c r="G965" s="509"/>
      <c r="H965" s="509"/>
      <c r="I965" s="509"/>
      <c r="J965" s="509"/>
      <c r="K965" s="509"/>
      <c r="L965" s="509"/>
      <c r="M965" s="509"/>
      <c r="N965" s="509"/>
      <c r="O965" s="509"/>
      <c r="P965" s="509"/>
      <c r="Q965" s="509"/>
      <c r="R965" s="509"/>
      <c r="S965" s="509"/>
      <c r="T965" s="509"/>
      <c r="U965" s="509"/>
      <c r="V965" s="509"/>
      <c r="W965" s="509"/>
      <c r="X965" s="509"/>
      <c r="Y965" s="509"/>
      <c r="Z965" s="509"/>
    </row>
    <row r="966" spans="1:26" ht="16.5" customHeight="1" x14ac:dyDescent="0.3">
      <c r="A966" s="509"/>
      <c r="B966" s="509"/>
      <c r="C966" s="509"/>
      <c r="D966" s="509"/>
      <c r="E966" s="509"/>
      <c r="F966" s="509"/>
      <c r="G966" s="509"/>
      <c r="H966" s="509"/>
      <c r="I966" s="509"/>
      <c r="J966" s="509"/>
      <c r="K966" s="509"/>
      <c r="L966" s="509"/>
      <c r="M966" s="509"/>
      <c r="N966" s="509"/>
      <c r="O966" s="509"/>
      <c r="P966" s="509"/>
      <c r="Q966" s="509"/>
      <c r="R966" s="509"/>
      <c r="S966" s="509"/>
      <c r="T966" s="509"/>
      <c r="U966" s="509"/>
      <c r="V966" s="509"/>
      <c r="W966" s="509"/>
      <c r="X966" s="509"/>
      <c r="Y966" s="509"/>
      <c r="Z966" s="509"/>
    </row>
    <row r="967" spans="1:26" ht="16.5" customHeight="1" x14ac:dyDescent="0.3">
      <c r="A967" s="509"/>
      <c r="B967" s="509"/>
      <c r="C967" s="509"/>
      <c r="D967" s="509"/>
      <c r="E967" s="509"/>
      <c r="F967" s="509"/>
      <c r="G967" s="509"/>
      <c r="H967" s="509"/>
      <c r="I967" s="509"/>
      <c r="J967" s="509"/>
      <c r="K967" s="509"/>
      <c r="L967" s="509"/>
      <c r="M967" s="509"/>
      <c r="N967" s="509"/>
      <c r="O967" s="509"/>
      <c r="P967" s="509"/>
      <c r="Q967" s="509"/>
      <c r="R967" s="509"/>
      <c r="S967" s="509"/>
      <c r="T967" s="509"/>
      <c r="U967" s="509"/>
      <c r="V967" s="509"/>
      <c r="W967" s="509"/>
      <c r="X967" s="509"/>
      <c r="Y967" s="509"/>
      <c r="Z967" s="509"/>
    </row>
    <row r="968" spans="1:26" ht="16.5" customHeight="1" x14ac:dyDescent="0.3">
      <c r="A968" s="509"/>
      <c r="B968" s="509"/>
      <c r="C968" s="509"/>
      <c r="D968" s="509"/>
      <c r="E968" s="509"/>
      <c r="F968" s="509"/>
      <c r="G968" s="509"/>
      <c r="H968" s="509"/>
      <c r="I968" s="509"/>
      <c r="J968" s="509"/>
      <c r="K968" s="509"/>
      <c r="L968" s="509"/>
      <c r="M968" s="509"/>
      <c r="N968" s="509"/>
      <c r="O968" s="509"/>
      <c r="P968" s="509"/>
      <c r="Q968" s="509"/>
      <c r="R968" s="509"/>
      <c r="S968" s="509"/>
      <c r="T968" s="509"/>
      <c r="U968" s="509"/>
      <c r="V968" s="509"/>
      <c r="W968" s="509"/>
      <c r="X968" s="509"/>
      <c r="Y968" s="509"/>
      <c r="Z968" s="509"/>
    </row>
    <row r="969" spans="1:26" ht="16.5" customHeight="1" x14ac:dyDescent="0.3">
      <c r="A969" s="509"/>
      <c r="B969" s="509"/>
      <c r="C969" s="509"/>
      <c r="D969" s="509"/>
      <c r="E969" s="509"/>
      <c r="F969" s="509"/>
      <c r="G969" s="509"/>
      <c r="H969" s="509"/>
      <c r="I969" s="509"/>
      <c r="J969" s="509"/>
      <c r="K969" s="509"/>
      <c r="L969" s="509"/>
      <c r="M969" s="509"/>
      <c r="N969" s="509"/>
      <c r="O969" s="509"/>
      <c r="P969" s="509"/>
      <c r="Q969" s="509"/>
      <c r="R969" s="509"/>
      <c r="S969" s="509"/>
      <c r="T969" s="509"/>
      <c r="U969" s="509"/>
      <c r="V969" s="509"/>
      <c r="W969" s="509"/>
      <c r="X969" s="509"/>
      <c r="Y969" s="509"/>
      <c r="Z969" s="509"/>
    </row>
    <row r="970" spans="1:26" ht="16.5" customHeight="1" x14ac:dyDescent="0.3">
      <c r="A970" s="509"/>
      <c r="B970" s="509"/>
      <c r="C970" s="509"/>
      <c r="D970" s="509"/>
      <c r="E970" s="509"/>
      <c r="F970" s="509"/>
      <c r="G970" s="509"/>
      <c r="H970" s="509"/>
      <c r="I970" s="509"/>
      <c r="J970" s="509"/>
      <c r="K970" s="509"/>
      <c r="L970" s="509"/>
      <c r="M970" s="509"/>
      <c r="N970" s="509"/>
      <c r="O970" s="509"/>
      <c r="P970" s="509"/>
      <c r="Q970" s="509"/>
      <c r="R970" s="509"/>
      <c r="S970" s="509"/>
      <c r="T970" s="509"/>
      <c r="U970" s="509"/>
      <c r="V970" s="509"/>
      <c r="W970" s="509"/>
      <c r="X970" s="509"/>
      <c r="Y970" s="509"/>
      <c r="Z970" s="509"/>
    </row>
    <row r="971" spans="1:26" ht="16.5" customHeight="1" x14ac:dyDescent="0.3">
      <c r="A971" s="509"/>
      <c r="B971" s="509"/>
      <c r="C971" s="509"/>
      <c r="D971" s="509"/>
      <c r="E971" s="509"/>
      <c r="F971" s="509"/>
      <c r="G971" s="509"/>
      <c r="H971" s="509"/>
      <c r="I971" s="509"/>
      <c r="J971" s="509"/>
      <c r="K971" s="509"/>
      <c r="L971" s="509"/>
      <c r="M971" s="509"/>
      <c r="N971" s="509"/>
      <c r="O971" s="509"/>
      <c r="P971" s="509"/>
      <c r="Q971" s="509"/>
      <c r="R971" s="509"/>
      <c r="S971" s="509"/>
      <c r="T971" s="509"/>
      <c r="U971" s="509"/>
      <c r="V971" s="509"/>
      <c r="W971" s="509"/>
      <c r="X971" s="509"/>
      <c r="Y971" s="509"/>
      <c r="Z971" s="509"/>
    </row>
    <row r="972" spans="1:26" ht="16.5" customHeight="1" x14ac:dyDescent="0.3">
      <c r="A972" s="509"/>
      <c r="B972" s="509"/>
      <c r="C972" s="509"/>
      <c r="D972" s="509"/>
      <c r="E972" s="509"/>
      <c r="F972" s="509"/>
      <c r="G972" s="509"/>
      <c r="H972" s="509"/>
      <c r="I972" s="509"/>
      <c r="J972" s="509"/>
      <c r="K972" s="509"/>
      <c r="L972" s="509"/>
      <c r="M972" s="509"/>
      <c r="N972" s="509"/>
      <c r="O972" s="509"/>
      <c r="P972" s="509"/>
      <c r="Q972" s="509"/>
      <c r="R972" s="509"/>
      <c r="S972" s="509"/>
      <c r="T972" s="509"/>
      <c r="U972" s="509"/>
      <c r="V972" s="509"/>
      <c r="W972" s="509"/>
      <c r="X972" s="509"/>
      <c r="Y972" s="509"/>
      <c r="Z972" s="509"/>
    </row>
    <row r="973" spans="1:26" ht="16.5" customHeight="1" x14ac:dyDescent="0.3">
      <c r="A973" s="509"/>
      <c r="B973" s="509"/>
      <c r="C973" s="509"/>
      <c r="D973" s="509"/>
      <c r="E973" s="509"/>
      <c r="F973" s="509"/>
      <c r="G973" s="509"/>
      <c r="H973" s="509"/>
      <c r="I973" s="509"/>
      <c r="J973" s="509"/>
      <c r="K973" s="509"/>
      <c r="L973" s="509"/>
      <c r="M973" s="509"/>
      <c r="N973" s="509"/>
      <c r="O973" s="509"/>
      <c r="P973" s="509"/>
      <c r="Q973" s="509"/>
      <c r="R973" s="509"/>
      <c r="S973" s="509"/>
      <c r="T973" s="509"/>
      <c r="U973" s="509"/>
      <c r="V973" s="509"/>
      <c r="W973" s="509"/>
      <c r="X973" s="509"/>
      <c r="Y973" s="509"/>
      <c r="Z973" s="509"/>
    </row>
    <row r="974" spans="1:26" ht="16.5" customHeight="1" x14ac:dyDescent="0.3">
      <c r="A974" s="509"/>
      <c r="B974" s="509"/>
      <c r="C974" s="509"/>
      <c r="D974" s="509"/>
      <c r="E974" s="509"/>
      <c r="F974" s="509"/>
      <c r="G974" s="509"/>
      <c r="H974" s="509"/>
      <c r="I974" s="509"/>
      <c r="J974" s="509"/>
      <c r="K974" s="509"/>
      <c r="L974" s="509"/>
      <c r="M974" s="509"/>
      <c r="N974" s="509"/>
      <c r="O974" s="509"/>
      <c r="P974" s="509"/>
      <c r="Q974" s="509"/>
      <c r="R974" s="509"/>
      <c r="S974" s="509"/>
      <c r="T974" s="509"/>
      <c r="U974" s="509"/>
      <c r="V974" s="509"/>
      <c r="W974" s="509"/>
      <c r="X974" s="509"/>
      <c r="Y974" s="509"/>
      <c r="Z974" s="509"/>
    </row>
    <row r="975" spans="1:26" ht="16.5" customHeight="1" x14ac:dyDescent="0.3">
      <c r="A975" s="509"/>
      <c r="B975" s="509"/>
      <c r="C975" s="509"/>
      <c r="D975" s="509"/>
      <c r="E975" s="509"/>
      <c r="F975" s="509"/>
      <c r="G975" s="509"/>
      <c r="H975" s="509"/>
      <c r="I975" s="509"/>
      <c r="J975" s="509"/>
      <c r="K975" s="509"/>
      <c r="L975" s="509"/>
      <c r="M975" s="509"/>
      <c r="N975" s="509"/>
      <c r="O975" s="509"/>
      <c r="P975" s="509"/>
      <c r="Q975" s="509"/>
      <c r="R975" s="509"/>
      <c r="S975" s="509"/>
      <c r="T975" s="509"/>
      <c r="U975" s="509"/>
      <c r="V975" s="509"/>
      <c r="W975" s="509"/>
      <c r="X975" s="509"/>
      <c r="Y975" s="509"/>
      <c r="Z975" s="509"/>
    </row>
    <row r="976" spans="1:26" ht="16.5" customHeight="1" x14ac:dyDescent="0.3">
      <c r="A976" s="509"/>
      <c r="B976" s="509"/>
      <c r="C976" s="509"/>
      <c r="D976" s="509"/>
      <c r="E976" s="509"/>
      <c r="F976" s="509"/>
      <c r="G976" s="509"/>
      <c r="H976" s="509"/>
      <c r="I976" s="509"/>
      <c r="J976" s="509"/>
      <c r="K976" s="509"/>
      <c r="L976" s="509"/>
      <c r="M976" s="509"/>
      <c r="N976" s="509"/>
      <c r="O976" s="509"/>
      <c r="P976" s="509"/>
      <c r="Q976" s="509"/>
      <c r="R976" s="509"/>
      <c r="S976" s="509"/>
      <c r="T976" s="509"/>
      <c r="U976" s="509"/>
      <c r="V976" s="509"/>
      <c r="W976" s="509"/>
      <c r="X976" s="509"/>
      <c r="Y976" s="509"/>
      <c r="Z976" s="509"/>
    </row>
    <row r="977" spans="1:26" ht="16.5" customHeight="1" x14ac:dyDescent="0.3">
      <c r="A977" s="509"/>
      <c r="B977" s="509"/>
      <c r="C977" s="509"/>
      <c r="D977" s="509"/>
      <c r="E977" s="509"/>
      <c r="F977" s="509"/>
      <c r="G977" s="509"/>
      <c r="H977" s="509"/>
      <c r="I977" s="509"/>
      <c r="J977" s="509"/>
      <c r="K977" s="509"/>
      <c r="L977" s="509"/>
      <c r="M977" s="509"/>
      <c r="N977" s="509"/>
      <c r="O977" s="509"/>
      <c r="P977" s="509"/>
      <c r="Q977" s="509"/>
      <c r="R977" s="509"/>
      <c r="S977" s="509"/>
      <c r="T977" s="509"/>
      <c r="U977" s="509"/>
      <c r="V977" s="509"/>
      <c r="W977" s="509"/>
      <c r="X977" s="509"/>
      <c r="Y977" s="509"/>
      <c r="Z977" s="509"/>
    </row>
    <row r="978" spans="1:26" ht="16.5" customHeight="1" x14ac:dyDescent="0.3">
      <c r="A978" s="509"/>
      <c r="B978" s="509"/>
      <c r="C978" s="509"/>
      <c r="D978" s="509"/>
      <c r="E978" s="509"/>
      <c r="F978" s="509"/>
      <c r="G978" s="509"/>
      <c r="H978" s="509"/>
      <c r="I978" s="509"/>
      <c r="J978" s="509"/>
      <c r="K978" s="509"/>
      <c r="L978" s="509"/>
      <c r="M978" s="509"/>
      <c r="N978" s="509"/>
      <c r="O978" s="509"/>
      <c r="P978" s="509"/>
      <c r="Q978" s="509"/>
      <c r="R978" s="509"/>
      <c r="S978" s="509"/>
      <c r="T978" s="509"/>
      <c r="U978" s="509"/>
      <c r="V978" s="509"/>
      <c r="W978" s="509"/>
      <c r="X978" s="509"/>
      <c r="Y978" s="509"/>
      <c r="Z978" s="509"/>
    </row>
    <row r="979" spans="1:26" ht="16.5" customHeight="1" x14ac:dyDescent="0.3">
      <c r="A979" s="509"/>
      <c r="B979" s="509"/>
      <c r="C979" s="509"/>
      <c r="D979" s="509"/>
      <c r="E979" s="509"/>
      <c r="F979" s="509"/>
      <c r="G979" s="509"/>
      <c r="H979" s="509"/>
      <c r="I979" s="509"/>
      <c r="J979" s="509"/>
      <c r="K979" s="509"/>
      <c r="L979" s="509"/>
      <c r="M979" s="509"/>
      <c r="N979" s="509"/>
      <c r="O979" s="509"/>
      <c r="P979" s="509"/>
      <c r="Q979" s="509"/>
      <c r="R979" s="509"/>
      <c r="S979" s="509"/>
      <c r="T979" s="509"/>
      <c r="U979" s="509"/>
      <c r="V979" s="509"/>
      <c r="W979" s="509"/>
      <c r="X979" s="509"/>
      <c r="Y979" s="509"/>
      <c r="Z979" s="509"/>
    </row>
    <row r="980" spans="1:26" ht="16.5" customHeight="1" x14ac:dyDescent="0.3">
      <c r="A980" s="509"/>
      <c r="B980" s="509"/>
      <c r="C980" s="509"/>
      <c r="D980" s="509"/>
      <c r="E980" s="509"/>
      <c r="F980" s="509"/>
      <c r="G980" s="509"/>
      <c r="H980" s="509"/>
      <c r="I980" s="509"/>
      <c r="J980" s="509"/>
      <c r="K980" s="509"/>
      <c r="L980" s="509"/>
      <c r="M980" s="509"/>
      <c r="N980" s="509"/>
      <c r="O980" s="509"/>
      <c r="P980" s="509"/>
      <c r="Q980" s="509"/>
      <c r="R980" s="509"/>
      <c r="S980" s="509"/>
      <c r="T980" s="509"/>
      <c r="U980" s="509"/>
      <c r="V980" s="509"/>
      <c r="W980" s="509"/>
      <c r="X980" s="509"/>
      <c r="Y980" s="509"/>
      <c r="Z980" s="509"/>
    </row>
    <row r="981" spans="1:26" ht="16.5" customHeight="1" x14ac:dyDescent="0.3">
      <c r="A981" s="509"/>
      <c r="B981" s="509"/>
      <c r="C981" s="509"/>
      <c r="D981" s="509"/>
      <c r="E981" s="509"/>
      <c r="F981" s="509"/>
      <c r="G981" s="509"/>
      <c r="H981" s="509"/>
      <c r="I981" s="509"/>
      <c r="J981" s="509"/>
      <c r="K981" s="509"/>
      <c r="L981" s="509"/>
      <c r="M981" s="509"/>
      <c r="N981" s="509"/>
      <c r="O981" s="509"/>
      <c r="P981" s="509"/>
      <c r="Q981" s="509"/>
      <c r="R981" s="509"/>
      <c r="S981" s="509"/>
      <c r="T981" s="509"/>
      <c r="U981" s="509"/>
      <c r="V981" s="509"/>
      <c r="W981" s="509"/>
      <c r="X981" s="509"/>
      <c r="Y981" s="509"/>
      <c r="Z981" s="509"/>
    </row>
    <row r="982" spans="1:26" ht="16.5" customHeight="1" x14ac:dyDescent="0.3">
      <c r="A982" s="509"/>
      <c r="B982" s="509"/>
      <c r="C982" s="509"/>
      <c r="D982" s="509"/>
      <c r="E982" s="509"/>
      <c r="F982" s="509"/>
      <c r="G982" s="509"/>
      <c r="H982" s="509"/>
      <c r="I982" s="509"/>
      <c r="J982" s="509"/>
      <c r="K982" s="509"/>
      <c r="L982" s="509"/>
      <c r="M982" s="509"/>
      <c r="N982" s="509"/>
      <c r="O982" s="509"/>
      <c r="P982" s="509"/>
      <c r="Q982" s="509"/>
      <c r="R982" s="509"/>
      <c r="S982" s="509"/>
      <c r="T982" s="509"/>
      <c r="U982" s="509"/>
      <c r="V982" s="509"/>
      <c r="W982" s="509"/>
      <c r="X982" s="509"/>
      <c r="Y982" s="509"/>
      <c r="Z982" s="509"/>
    </row>
    <row r="983" spans="1:26" ht="16.5" customHeight="1" x14ac:dyDescent="0.3">
      <c r="A983" s="509"/>
      <c r="B983" s="509"/>
      <c r="C983" s="509"/>
      <c r="D983" s="509"/>
      <c r="E983" s="509"/>
      <c r="F983" s="509"/>
      <c r="G983" s="509"/>
      <c r="H983" s="509"/>
      <c r="I983" s="509"/>
      <c r="J983" s="509"/>
      <c r="K983" s="509"/>
      <c r="L983" s="509"/>
      <c r="M983" s="509"/>
      <c r="N983" s="509"/>
      <c r="O983" s="509"/>
      <c r="P983" s="509"/>
      <c r="Q983" s="509"/>
      <c r="R983" s="509"/>
      <c r="S983" s="509"/>
      <c r="T983" s="509"/>
      <c r="U983" s="509"/>
      <c r="V983" s="509"/>
      <c r="W983" s="509"/>
      <c r="X983" s="509"/>
      <c r="Y983" s="509"/>
      <c r="Z983" s="509"/>
    </row>
    <row r="984" spans="1:26" ht="16.5" customHeight="1" x14ac:dyDescent="0.3">
      <c r="A984" s="509"/>
      <c r="B984" s="509"/>
      <c r="C984" s="509"/>
      <c r="D984" s="509"/>
      <c r="E984" s="509"/>
      <c r="F984" s="509"/>
      <c r="G984" s="509"/>
      <c r="H984" s="509"/>
      <c r="I984" s="509"/>
      <c r="J984" s="509"/>
      <c r="K984" s="509"/>
      <c r="L984" s="509"/>
      <c r="M984" s="509"/>
      <c r="N984" s="509"/>
      <c r="O984" s="509"/>
      <c r="P984" s="509"/>
      <c r="Q984" s="509"/>
      <c r="R984" s="509"/>
      <c r="S984" s="509"/>
      <c r="T984" s="509"/>
      <c r="U984" s="509"/>
      <c r="V984" s="509"/>
      <c r="W984" s="509"/>
      <c r="X984" s="509"/>
      <c r="Y984" s="509"/>
      <c r="Z984" s="509"/>
    </row>
    <row r="985" spans="1:26" ht="16.5" customHeight="1" x14ac:dyDescent="0.3">
      <c r="A985" s="509"/>
      <c r="B985" s="509"/>
      <c r="C985" s="509"/>
      <c r="D985" s="509"/>
      <c r="E985" s="509"/>
      <c r="F985" s="509"/>
      <c r="G985" s="509"/>
      <c r="H985" s="509"/>
      <c r="I985" s="509"/>
      <c r="J985" s="509"/>
      <c r="K985" s="509"/>
      <c r="L985" s="509"/>
      <c r="M985" s="509"/>
      <c r="N985" s="509"/>
      <c r="O985" s="509"/>
      <c r="P985" s="509"/>
      <c r="Q985" s="509"/>
      <c r="R985" s="509"/>
      <c r="S985" s="509"/>
      <c r="T985" s="509"/>
      <c r="U985" s="509"/>
      <c r="V985" s="509"/>
      <c r="W985" s="509"/>
      <c r="X985" s="509"/>
      <c r="Y985" s="509"/>
      <c r="Z985" s="509"/>
    </row>
    <row r="986" spans="1:26" ht="16.5" customHeight="1" x14ac:dyDescent="0.3">
      <c r="A986" s="509"/>
      <c r="B986" s="509"/>
      <c r="C986" s="509"/>
      <c r="D986" s="509"/>
      <c r="E986" s="509"/>
      <c r="F986" s="509"/>
      <c r="G986" s="509"/>
      <c r="H986" s="509"/>
      <c r="I986" s="509"/>
      <c r="J986" s="509"/>
      <c r="K986" s="509"/>
      <c r="L986" s="509"/>
      <c r="M986" s="509"/>
      <c r="N986" s="509"/>
      <c r="O986" s="509"/>
      <c r="P986" s="509"/>
      <c r="Q986" s="509"/>
      <c r="R986" s="509"/>
      <c r="S986" s="509"/>
      <c r="T986" s="509"/>
      <c r="U986" s="509"/>
      <c r="V986" s="509"/>
      <c r="W986" s="509"/>
      <c r="X986" s="509"/>
      <c r="Y986" s="509"/>
      <c r="Z986" s="509"/>
    </row>
    <row r="987" spans="1:26" ht="16.5" customHeight="1" x14ac:dyDescent="0.3">
      <c r="A987" s="509"/>
      <c r="B987" s="509"/>
      <c r="C987" s="509"/>
      <c r="D987" s="509"/>
      <c r="E987" s="509"/>
      <c r="F987" s="509"/>
      <c r="G987" s="509"/>
      <c r="H987" s="509"/>
      <c r="I987" s="509"/>
      <c r="J987" s="509"/>
      <c r="K987" s="509"/>
      <c r="L987" s="509"/>
      <c r="M987" s="509"/>
      <c r="N987" s="509"/>
      <c r="O987" s="509"/>
      <c r="P987" s="509"/>
      <c r="Q987" s="509"/>
      <c r="R987" s="509"/>
      <c r="S987" s="509"/>
      <c r="T987" s="509"/>
      <c r="U987" s="509"/>
      <c r="V987" s="509"/>
      <c r="W987" s="509"/>
      <c r="X987" s="509"/>
      <c r="Y987" s="509"/>
      <c r="Z987" s="509"/>
    </row>
    <row r="988" spans="1:26" ht="16.5" customHeight="1" x14ac:dyDescent="0.3">
      <c r="A988" s="509"/>
      <c r="B988" s="509"/>
      <c r="C988" s="509"/>
      <c r="D988" s="509"/>
      <c r="E988" s="509"/>
      <c r="F988" s="509"/>
      <c r="G988" s="509"/>
      <c r="H988" s="509"/>
      <c r="I988" s="509"/>
      <c r="J988" s="509"/>
      <c r="K988" s="509"/>
      <c r="L988" s="509"/>
      <c r="M988" s="509"/>
      <c r="N988" s="509"/>
      <c r="O988" s="509"/>
      <c r="P988" s="509"/>
      <c r="Q988" s="509"/>
      <c r="R988" s="509"/>
      <c r="S988" s="509"/>
      <c r="T988" s="509"/>
      <c r="U988" s="509"/>
      <c r="V988" s="509"/>
      <c r="W988" s="509"/>
      <c r="X988" s="509"/>
      <c r="Y988" s="509"/>
      <c r="Z988" s="509"/>
    </row>
    <row r="989" spans="1:26" ht="16.5" customHeight="1" x14ac:dyDescent="0.3">
      <c r="A989" s="509"/>
      <c r="B989" s="509"/>
      <c r="C989" s="509"/>
      <c r="D989" s="509"/>
      <c r="E989" s="509"/>
      <c r="F989" s="509"/>
      <c r="G989" s="509"/>
      <c r="H989" s="509"/>
      <c r="I989" s="509"/>
      <c r="J989" s="509"/>
      <c r="K989" s="509"/>
      <c r="L989" s="509"/>
      <c r="M989" s="509"/>
      <c r="N989" s="509"/>
      <c r="O989" s="509"/>
      <c r="P989" s="509"/>
      <c r="Q989" s="509"/>
      <c r="R989" s="509"/>
      <c r="S989" s="509"/>
      <c r="T989" s="509"/>
      <c r="U989" s="509"/>
      <c r="V989" s="509"/>
      <c r="W989" s="509"/>
      <c r="X989" s="509"/>
      <c r="Y989" s="509"/>
      <c r="Z989" s="509"/>
    </row>
    <row r="990" spans="1:26" ht="16.5" customHeight="1" x14ac:dyDescent="0.3">
      <c r="A990" s="509"/>
      <c r="B990" s="509"/>
      <c r="C990" s="509"/>
      <c r="D990" s="509"/>
      <c r="E990" s="509"/>
      <c r="F990" s="509"/>
      <c r="G990" s="509"/>
      <c r="H990" s="509"/>
      <c r="I990" s="509"/>
      <c r="J990" s="509"/>
      <c r="K990" s="509"/>
      <c r="L990" s="509"/>
      <c r="M990" s="509"/>
      <c r="N990" s="509"/>
      <c r="O990" s="509"/>
      <c r="P990" s="509"/>
      <c r="Q990" s="509"/>
      <c r="R990" s="509"/>
      <c r="S990" s="509"/>
      <c r="T990" s="509"/>
      <c r="U990" s="509"/>
      <c r="V990" s="509"/>
      <c r="W990" s="509"/>
      <c r="X990" s="509"/>
      <c r="Y990" s="509"/>
      <c r="Z990" s="509"/>
    </row>
    <row r="991" spans="1:26" ht="16.5" customHeight="1" x14ac:dyDescent="0.3">
      <c r="A991" s="509"/>
      <c r="B991" s="509"/>
      <c r="C991" s="509"/>
      <c r="D991" s="509"/>
      <c r="E991" s="509"/>
      <c r="F991" s="509"/>
      <c r="G991" s="509"/>
      <c r="H991" s="509"/>
      <c r="I991" s="509"/>
      <c r="J991" s="509"/>
      <c r="K991" s="509"/>
      <c r="L991" s="509"/>
      <c r="M991" s="509"/>
      <c r="N991" s="509"/>
      <c r="O991" s="509"/>
      <c r="P991" s="509"/>
      <c r="Q991" s="509"/>
      <c r="R991" s="509"/>
      <c r="S991" s="509"/>
      <c r="T991" s="509"/>
      <c r="U991" s="509"/>
      <c r="V991" s="509"/>
      <c r="W991" s="509"/>
      <c r="X991" s="509"/>
      <c r="Y991" s="509"/>
      <c r="Z991" s="509"/>
    </row>
    <row r="992" spans="1:26" ht="16.5" customHeight="1" x14ac:dyDescent="0.3">
      <c r="A992" s="509"/>
      <c r="B992" s="509"/>
      <c r="C992" s="509"/>
      <c r="D992" s="509"/>
      <c r="E992" s="509"/>
      <c r="F992" s="509"/>
      <c r="G992" s="509"/>
      <c r="H992" s="509"/>
      <c r="I992" s="509"/>
      <c r="J992" s="509"/>
      <c r="K992" s="509"/>
      <c r="L992" s="509"/>
      <c r="M992" s="509"/>
      <c r="N992" s="509"/>
      <c r="O992" s="509"/>
      <c r="P992" s="509"/>
      <c r="Q992" s="509"/>
      <c r="R992" s="509"/>
      <c r="S992" s="509"/>
      <c r="T992" s="509"/>
      <c r="U992" s="509"/>
      <c r="V992" s="509"/>
      <c r="W992" s="509"/>
      <c r="X992" s="509"/>
      <c r="Y992" s="509"/>
      <c r="Z992" s="509"/>
    </row>
    <row r="993" spans="1:26" ht="16.5" customHeight="1" x14ac:dyDescent="0.3">
      <c r="A993" s="509"/>
      <c r="B993" s="509"/>
      <c r="C993" s="509"/>
      <c r="D993" s="509"/>
      <c r="E993" s="509"/>
      <c r="F993" s="509"/>
      <c r="G993" s="509"/>
      <c r="H993" s="509"/>
      <c r="I993" s="509"/>
      <c r="J993" s="509"/>
      <c r="K993" s="509"/>
      <c r="L993" s="509"/>
      <c r="M993" s="509"/>
      <c r="N993" s="509"/>
      <c r="O993" s="509"/>
      <c r="P993" s="509"/>
      <c r="Q993" s="509"/>
      <c r="R993" s="509"/>
      <c r="S993" s="509"/>
      <c r="T993" s="509"/>
      <c r="U993" s="509"/>
      <c r="V993" s="509"/>
      <c r="W993" s="509"/>
      <c r="X993" s="509"/>
      <c r="Y993" s="509"/>
      <c r="Z993" s="509"/>
    </row>
    <row r="994" spans="1:26" ht="16.5" customHeight="1" x14ac:dyDescent="0.3">
      <c r="A994" s="509"/>
      <c r="B994" s="509"/>
      <c r="C994" s="509"/>
      <c r="D994" s="509"/>
      <c r="E994" s="509"/>
      <c r="F994" s="509"/>
      <c r="G994" s="509"/>
      <c r="H994" s="509"/>
      <c r="I994" s="509"/>
      <c r="J994" s="509"/>
      <c r="K994" s="509"/>
      <c r="L994" s="509"/>
      <c r="M994" s="509"/>
      <c r="N994" s="509"/>
      <c r="O994" s="509"/>
      <c r="P994" s="509"/>
      <c r="Q994" s="509"/>
      <c r="R994" s="509"/>
      <c r="S994" s="509"/>
      <c r="T994" s="509"/>
      <c r="U994" s="509"/>
      <c r="V994" s="509"/>
      <c r="W994" s="509"/>
      <c r="X994" s="509"/>
      <c r="Y994" s="509"/>
      <c r="Z994" s="509"/>
    </row>
    <row r="995" spans="1:26" ht="16.5" customHeight="1" x14ac:dyDescent="0.3">
      <c r="A995" s="509"/>
      <c r="B995" s="509"/>
      <c r="C995" s="509"/>
      <c r="D995" s="509"/>
      <c r="E995" s="509"/>
      <c r="F995" s="509"/>
      <c r="G995" s="509"/>
      <c r="H995" s="509"/>
      <c r="I995" s="509"/>
      <c r="J995" s="509"/>
      <c r="K995" s="509"/>
      <c r="L995" s="509"/>
      <c r="M995" s="509"/>
      <c r="N995" s="509"/>
      <c r="O995" s="509"/>
      <c r="P995" s="509"/>
      <c r="Q995" s="509"/>
      <c r="R995" s="509"/>
      <c r="S995" s="509"/>
      <c r="T995" s="509"/>
      <c r="U995" s="509"/>
      <c r="V995" s="509"/>
      <c r="W995" s="509"/>
      <c r="X995" s="509"/>
      <c r="Y995" s="509"/>
      <c r="Z995" s="509"/>
    </row>
    <row r="996" spans="1:26" ht="16.5" customHeight="1" x14ac:dyDescent="0.3">
      <c r="A996" s="509"/>
      <c r="B996" s="509"/>
      <c r="C996" s="509"/>
      <c r="D996" s="509"/>
      <c r="E996" s="509"/>
      <c r="F996" s="509"/>
      <c r="G996" s="509"/>
      <c r="H996" s="509"/>
      <c r="I996" s="509"/>
      <c r="J996" s="509"/>
      <c r="K996" s="509"/>
      <c r="L996" s="509"/>
      <c r="M996" s="509"/>
      <c r="N996" s="509"/>
      <c r="O996" s="509"/>
      <c r="P996" s="509"/>
      <c r="Q996" s="509"/>
      <c r="R996" s="509"/>
      <c r="S996" s="509"/>
      <c r="T996" s="509"/>
      <c r="U996" s="509"/>
      <c r="V996" s="509"/>
      <c r="W996" s="509"/>
      <c r="X996" s="509"/>
      <c r="Y996" s="509"/>
      <c r="Z996" s="509"/>
    </row>
    <row r="997" spans="1:26" ht="16.5" customHeight="1" x14ac:dyDescent="0.3">
      <c r="A997" s="509"/>
      <c r="B997" s="509"/>
      <c r="C997" s="509"/>
      <c r="D997" s="509"/>
      <c r="E997" s="509"/>
      <c r="F997" s="509"/>
      <c r="G997" s="509"/>
      <c r="H997" s="509"/>
      <c r="I997" s="509"/>
      <c r="J997" s="509"/>
      <c r="K997" s="509"/>
      <c r="L997" s="509"/>
      <c r="M997" s="509"/>
      <c r="N997" s="509"/>
      <c r="O997" s="509"/>
      <c r="P997" s="509"/>
      <c r="Q997" s="509"/>
      <c r="R997" s="509"/>
      <c r="S997" s="509"/>
      <c r="T997" s="509"/>
      <c r="U997" s="509"/>
      <c r="V997" s="509"/>
      <c r="W997" s="509"/>
      <c r="X997" s="509"/>
      <c r="Y997" s="509"/>
      <c r="Z997" s="509"/>
    </row>
    <row r="998" spans="1:26" ht="16.5" customHeight="1" x14ac:dyDescent="0.3">
      <c r="A998" s="509"/>
      <c r="B998" s="509"/>
      <c r="C998" s="509"/>
      <c r="D998" s="509"/>
      <c r="E998" s="509"/>
      <c r="F998" s="509"/>
      <c r="G998" s="509"/>
      <c r="H998" s="509"/>
      <c r="I998" s="509"/>
      <c r="J998" s="509"/>
      <c r="K998" s="509"/>
      <c r="L998" s="509"/>
      <c r="M998" s="509"/>
      <c r="N998" s="509"/>
      <c r="O998" s="509"/>
      <c r="P998" s="509"/>
      <c r="Q998" s="509"/>
      <c r="R998" s="509"/>
      <c r="S998" s="509"/>
      <c r="T998" s="509"/>
      <c r="U998" s="509"/>
      <c r="V998" s="509"/>
      <c r="W998" s="509"/>
      <c r="X998" s="509"/>
      <c r="Y998" s="509"/>
      <c r="Z998" s="509"/>
    </row>
    <row r="999" spans="1:26" ht="16.5" customHeight="1" x14ac:dyDescent="0.3">
      <c r="A999" s="509"/>
      <c r="B999" s="509"/>
      <c r="C999" s="509"/>
      <c r="D999" s="509"/>
      <c r="E999" s="509"/>
      <c r="F999" s="509"/>
      <c r="G999" s="509"/>
      <c r="H999" s="509"/>
      <c r="I999" s="509"/>
      <c r="J999" s="509"/>
      <c r="K999" s="509"/>
      <c r="L999" s="509"/>
      <c r="M999" s="509"/>
      <c r="N999" s="509"/>
      <c r="O999" s="509"/>
      <c r="P999" s="509"/>
      <c r="Q999" s="509"/>
      <c r="R999" s="509"/>
      <c r="S999" s="509"/>
      <c r="T999" s="509"/>
      <c r="U999" s="509"/>
      <c r="V999" s="509"/>
      <c r="W999" s="509"/>
      <c r="X999" s="509"/>
      <c r="Y999" s="509"/>
      <c r="Z999" s="509"/>
    </row>
  </sheetData>
  <mergeCells count="1">
    <mergeCell ref="B2:C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DC0F-0356-48DE-9CC0-593FC811AC26}">
  <dimension ref="A1:Z1000"/>
  <sheetViews>
    <sheetView workbookViewId="0">
      <selection activeCell="G14" sqref="G14"/>
    </sheetView>
  </sheetViews>
  <sheetFormatPr defaultColWidth="14.44140625" defaultRowHeight="15" customHeight="1" x14ac:dyDescent="0.3"/>
  <cols>
    <col min="1" max="1" width="8.6640625" style="501" customWidth="1"/>
    <col min="2" max="2" width="22.109375" style="501" customWidth="1"/>
    <col min="3" max="3" width="21.5546875" style="501" bestFit="1" customWidth="1"/>
    <col min="4" max="4" width="35.44140625" style="501" bestFit="1" customWidth="1"/>
    <col min="5" max="5" width="10.77734375" style="501" bestFit="1" customWidth="1"/>
    <col min="6" max="7" width="21.5546875" style="501" bestFit="1" customWidth="1"/>
    <col min="8" max="8" width="35.44140625" style="501" bestFit="1" customWidth="1"/>
    <col min="9" max="9" width="8.88671875" style="501" bestFit="1" customWidth="1"/>
    <col min="10" max="26" width="8.6640625" style="501" customWidth="1"/>
    <col min="27" max="16384" width="14.44140625" style="501"/>
  </cols>
  <sheetData>
    <row r="1" spans="1:26" ht="19.5" customHeight="1" x14ac:dyDescent="0.3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 spans="1:26" ht="19.5" customHeight="1" x14ac:dyDescent="0.3">
      <c r="A2" s="511"/>
      <c r="B2" s="511"/>
      <c r="C2" s="503" t="s">
        <v>396</v>
      </c>
      <c r="D2" s="512" t="s">
        <v>397</v>
      </c>
      <c r="E2" s="511"/>
      <c r="G2" s="513" t="s">
        <v>396</v>
      </c>
      <c r="H2" s="514" t="s">
        <v>397</v>
      </c>
      <c r="I2" s="515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11"/>
      <c r="X2" s="511"/>
      <c r="Y2" s="511"/>
      <c r="Z2" s="511"/>
    </row>
    <row r="3" spans="1:26" ht="19.5" customHeight="1" x14ac:dyDescent="0.3">
      <c r="A3" s="511"/>
      <c r="B3" s="511"/>
      <c r="C3" s="503" t="s">
        <v>307</v>
      </c>
      <c r="D3" s="516">
        <v>150000</v>
      </c>
      <c r="E3" s="511"/>
      <c r="G3" s="513" t="s">
        <v>307</v>
      </c>
      <c r="H3" s="514">
        <v>100000</v>
      </c>
      <c r="I3" s="515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</row>
    <row r="4" spans="1:26" ht="19.5" customHeight="1" x14ac:dyDescent="0.3">
      <c r="A4" s="511"/>
      <c r="C4" s="503" t="s">
        <v>398</v>
      </c>
      <c r="D4" s="516">
        <v>50000</v>
      </c>
      <c r="E4" s="511"/>
      <c r="G4" s="513" t="s">
        <v>398</v>
      </c>
      <c r="H4" s="514">
        <v>40000</v>
      </c>
      <c r="I4" s="515"/>
      <c r="J4" s="511"/>
      <c r="K4" s="511"/>
      <c r="L4" s="511"/>
      <c r="M4" s="511"/>
      <c r="N4" s="511"/>
      <c r="O4" s="511"/>
      <c r="P4" s="511"/>
      <c r="Q4" s="511"/>
      <c r="R4" s="511"/>
      <c r="S4" s="511"/>
      <c r="T4" s="511"/>
      <c r="U4" s="511"/>
      <c r="V4" s="511"/>
      <c r="W4" s="511"/>
      <c r="X4" s="511"/>
      <c r="Y4" s="511"/>
      <c r="Z4" s="511"/>
    </row>
    <row r="5" spans="1:26" ht="19.5" customHeight="1" x14ac:dyDescent="0.3">
      <c r="A5" s="511"/>
      <c r="C5" s="503" t="s">
        <v>399</v>
      </c>
      <c r="D5" s="516">
        <v>36</v>
      </c>
      <c r="E5" s="511"/>
      <c r="G5" s="513" t="s">
        <v>399</v>
      </c>
      <c r="H5" s="514">
        <v>36</v>
      </c>
      <c r="I5" s="515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</row>
    <row r="6" spans="1:26" ht="19.5" customHeight="1" x14ac:dyDescent="0.3">
      <c r="A6" s="511"/>
      <c r="D6" s="517">
        <f>D3-D4</f>
        <v>100000</v>
      </c>
      <c r="E6" s="511"/>
      <c r="F6" s="511"/>
      <c r="G6" s="518" t="s">
        <v>400</v>
      </c>
      <c r="H6" s="519">
        <v>2500</v>
      </c>
      <c r="I6" s="520" t="s">
        <v>401</v>
      </c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</row>
    <row r="7" spans="1:26" ht="19.5" customHeight="1" x14ac:dyDescent="0.3">
      <c r="A7" s="511"/>
      <c r="C7" s="502" t="s">
        <v>400</v>
      </c>
      <c r="D7" s="521"/>
      <c r="E7" s="522" t="s">
        <v>402</v>
      </c>
      <c r="F7" s="511"/>
      <c r="G7" s="515"/>
      <c r="H7" s="515"/>
      <c r="I7" s="515"/>
      <c r="J7" s="511"/>
      <c r="K7" s="511"/>
      <c r="L7" s="511"/>
      <c r="M7" s="511"/>
      <c r="N7" s="511"/>
      <c r="O7" s="511"/>
      <c r="P7" s="511"/>
      <c r="Q7" s="511"/>
      <c r="R7" s="511"/>
      <c r="S7" s="511"/>
      <c r="T7" s="511"/>
      <c r="U7" s="511"/>
      <c r="V7" s="511"/>
      <c r="W7" s="511"/>
      <c r="X7" s="511"/>
      <c r="Y7" s="511"/>
      <c r="Z7" s="511"/>
    </row>
    <row r="8" spans="1:26" ht="19.5" customHeight="1" x14ac:dyDescent="0.3">
      <c r="A8" s="511"/>
      <c r="J8" s="511"/>
      <c r="K8" s="511"/>
      <c r="L8" s="511"/>
      <c r="M8" s="511"/>
      <c r="N8" s="511"/>
      <c r="O8" s="511"/>
      <c r="P8" s="511"/>
      <c r="Q8" s="511"/>
      <c r="R8" s="511"/>
      <c r="S8" s="511"/>
      <c r="T8" s="511"/>
      <c r="U8" s="511"/>
      <c r="V8" s="511"/>
      <c r="W8" s="511"/>
      <c r="X8" s="511"/>
      <c r="Y8" s="511"/>
      <c r="Z8" s="511"/>
    </row>
    <row r="9" spans="1:26" ht="19.5" customHeight="1" x14ac:dyDescent="0.3">
      <c r="A9" s="511"/>
      <c r="J9" s="511"/>
      <c r="K9" s="511"/>
      <c r="L9" s="511"/>
      <c r="M9" s="511"/>
      <c r="N9" s="511"/>
      <c r="O9" s="511"/>
      <c r="P9" s="511"/>
      <c r="Q9" s="511"/>
      <c r="R9" s="511"/>
      <c r="S9" s="511"/>
      <c r="T9" s="511"/>
      <c r="U9" s="511"/>
      <c r="V9" s="511"/>
      <c r="W9" s="511"/>
      <c r="X9" s="511"/>
      <c r="Y9" s="511"/>
      <c r="Z9" s="511"/>
    </row>
    <row r="10" spans="1:26" ht="19.5" customHeight="1" x14ac:dyDescent="0.3">
      <c r="A10" s="511"/>
      <c r="B10" s="511"/>
      <c r="J10" s="511"/>
      <c r="K10" s="511"/>
      <c r="L10" s="511"/>
      <c r="M10" s="511"/>
      <c r="N10" s="511"/>
      <c r="O10" s="511"/>
      <c r="P10" s="511"/>
      <c r="Q10" s="511"/>
      <c r="R10" s="511"/>
      <c r="S10" s="511"/>
      <c r="T10" s="511"/>
      <c r="U10" s="511"/>
      <c r="V10" s="511"/>
      <c r="W10" s="511"/>
      <c r="X10" s="511"/>
      <c r="Y10" s="511"/>
      <c r="Z10" s="511"/>
    </row>
    <row r="11" spans="1:26" ht="19.5" customHeight="1" x14ac:dyDescent="0.3">
      <c r="A11" s="511"/>
      <c r="B11" s="511"/>
      <c r="C11" s="503" t="s">
        <v>396</v>
      </c>
      <c r="D11" s="512" t="s">
        <v>397</v>
      </c>
      <c r="E11" s="511"/>
      <c r="J11" s="511"/>
      <c r="K11" s="511"/>
      <c r="L11" s="511"/>
      <c r="M11" s="511"/>
      <c r="N11" s="511"/>
      <c r="O11" s="511"/>
      <c r="P11" s="511"/>
      <c r="Q11" s="511"/>
      <c r="R11" s="511"/>
      <c r="S11" s="511"/>
      <c r="T11" s="511"/>
      <c r="U11" s="511"/>
      <c r="V11" s="511"/>
      <c r="W11" s="511"/>
      <c r="X11" s="511"/>
      <c r="Y11" s="511"/>
      <c r="Z11" s="511"/>
    </row>
    <row r="12" spans="1:26" ht="19.5" customHeight="1" x14ac:dyDescent="0.3">
      <c r="A12" s="511"/>
      <c r="B12" s="511"/>
      <c r="C12" s="503" t="s">
        <v>307</v>
      </c>
      <c r="D12" s="516">
        <v>150000</v>
      </c>
      <c r="E12" s="511"/>
      <c r="F12" s="511"/>
      <c r="G12" s="511"/>
      <c r="H12" s="511"/>
      <c r="I12" s="511"/>
      <c r="J12" s="511"/>
      <c r="K12" s="511"/>
      <c r="L12" s="511"/>
      <c r="M12" s="511"/>
      <c r="N12" s="511"/>
      <c r="O12" s="511"/>
      <c r="P12" s="511"/>
      <c r="Q12" s="511"/>
      <c r="R12" s="511"/>
      <c r="S12" s="511"/>
      <c r="T12" s="511"/>
      <c r="U12" s="511"/>
      <c r="V12" s="511"/>
      <c r="W12" s="511"/>
      <c r="X12" s="511"/>
      <c r="Y12" s="511"/>
      <c r="Z12" s="511"/>
    </row>
    <row r="13" spans="1:26" ht="19.5" customHeight="1" x14ac:dyDescent="0.3">
      <c r="A13" s="511"/>
      <c r="B13" s="511"/>
      <c r="C13" s="503" t="s">
        <v>398</v>
      </c>
      <c r="D13" s="516">
        <v>50000</v>
      </c>
      <c r="E13" s="511"/>
      <c r="F13" s="511"/>
      <c r="G13" s="511"/>
      <c r="H13" s="511"/>
      <c r="I13" s="511"/>
      <c r="J13" s="511"/>
      <c r="K13" s="511"/>
      <c r="L13" s="511"/>
      <c r="M13" s="511"/>
      <c r="N13" s="511"/>
      <c r="O13" s="511"/>
      <c r="P13" s="511"/>
      <c r="Q13" s="511"/>
      <c r="R13" s="511"/>
      <c r="S13" s="511"/>
      <c r="T13" s="511"/>
      <c r="U13" s="511"/>
      <c r="V13" s="511"/>
      <c r="W13" s="511"/>
      <c r="X13" s="511"/>
      <c r="Y13" s="511"/>
      <c r="Z13" s="511"/>
    </row>
    <row r="14" spans="1:26" ht="19.5" customHeight="1" x14ac:dyDescent="0.3">
      <c r="A14" s="511"/>
      <c r="B14" s="511"/>
      <c r="C14" s="503" t="s">
        <v>399</v>
      </c>
      <c r="D14" s="516">
        <v>25.000000000005993</v>
      </c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</row>
    <row r="15" spans="1:26" ht="19.5" customHeight="1" x14ac:dyDescent="0.3">
      <c r="A15" s="511"/>
      <c r="B15" s="511"/>
      <c r="D15" s="517">
        <f>D12-D13</f>
        <v>100000</v>
      </c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</row>
    <row r="16" spans="1:26" ht="19.5" customHeight="1" x14ac:dyDescent="0.3">
      <c r="A16" s="511"/>
      <c r="B16" s="511"/>
      <c r="C16" s="502" t="s">
        <v>400</v>
      </c>
      <c r="D16" s="521"/>
      <c r="E16" s="522" t="s">
        <v>402</v>
      </c>
      <c r="F16" s="511"/>
      <c r="G16" s="511"/>
      <c r="H16" s="511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</row>
    <row r="17" spans="1:26" ht="19.5" customHeight="1" x14ac:dyDescent="0.3">
      <c r="A17" s="511"/>
      <c r="B17" s="511"/>
      <c r="F17" s="511"/>
      <c r="G17" s="511"/>
      <c r="H17" s="511"/>
      <c r="I17" s="511"/>
      <c r="J17" s="511"/>
      <c r="K17" s="511"/>
      <c r="L17" s="511"/>
      <c r="M17" s="511"/>
      <c r="N17" s="511"/>
      <c r="O17" s="511"/>
      <c r="P17" s="511"/>
      <c r="Q17" s="511"/>
      <c r="R17" s="511"/>
      <c r="S17" s="511"/>
      <c r="T17" s="511"/>
      <c r="U17" s="511"/>
      <c r="V17" s="511"/>
      <c r="W17" s="511"/>
      <c r="X17" s="511"/>
      <c r="Y17" s="511"/>
      <c r="Z17" s="511"/>
    </row>
    <row r="18" spans="1:26" ht="19.5" customHeight="1" x14ac:dyDescent="0.3">
      <c r="A18" s="511"/>
      <c r="B18" s="511"/>
      <c r="C18" s="511"/>
      <c r="D18" s="511"/>
      <c r="E18" s="511"/>
      <c r="F18" s="511"/>
      <c r="G18" s="511"/>
      <c r="H18" s="511"/>
      <c r="I18" s="511"/>
      <c r="J18" s="511"/>
      <c r="K18" s="511"/>
      <c r="L18" s="511"/>
      <c r="M18" s="511"/>
      <c r="N18" s="511"/>
      <c r="O18" s="511"/>
      <c r="P18" s="511"/>
      <c r="Q18" s="511"/>
      <c r="R18" s="511"/>
      <c r="S18" s="511"/>
      <c r="T18" s="511"/>
      <c r="U18" s="511"/>
      <c r="V18" s="511"/>
      <c r="W18" s="511"/>
      <c r="X18" s="511"/>
      <c r="Y18" s="511"/>
      <c r="Z18" s="511"/>
    </row>
    <row r="19" spans="1:26" ht="19.5" customHeight="1" x14ac:dyDescent="0.3">
      <c r="A19" s="511"/>
      <c r="B19" s="511"/>
      <c r="C19" s="511"/>
      <c r="D19" s="511"/>
      <c r="E19" s="511"/>
      <c r="F19" s="511"/>
      <c r="G19" s="511"/>
      <c r="H19" s="511"/>
      <c r="I19" s="511"/>
      <c r="J19" s="511"/>
      <c r="K19" s="511"/>
      <c r="L19" s="511"/>
      <c r="M19" s="511"/>
      <c r="N19" s="511"/>
      <c r="O19" s="511"/>
      <c r="P19" s="511"/>
      <c r="Q19" s="511"/>
      <c r="R19" s="511"/>
      <c r="S19" s="511"/>
      <c r="T19" s="511"/>
      <c r="U19" s="511"/>
      <c r="V19" s="511"/>
      <c r="W19" s="511"/>
      <c r="X19" s="511"/>
      <c r="Y19" s="511"/>
      <c r="Z19" s="511"/>
    </row>
    <row r="20" spans="1:26" ht="19.5" customHeight="1" x14ac:dyDescent="0.3">
      <c r="A20" s="511"/>
      <c r="B20" s="511"/>
      <c r="C20" s="511"/>
      <c r="D20" s="511"/>
      <c r="E20" s="511"/>
      <c r="F20" s="511"/>
      <c r="G20" s="511"/>
      <c r="H20" s="511"/>
      <c r="I20" s="511"/>
      <c r="J20" s="511"/>
      <c r="K20" s="511"/>
      <c r="L20" s="511"/>
      <c r="M20" s="511"/>
      <c r="N20" s="511"/>
      <c r="O20" s="511"/>
      <c r="P20" s="511"/>
      <c r="Q20" s="511"/>
      <c r="R20" s="511"/>
      <c r="S20" s="511"/>
      <c r="T20" s="511"/>
      <c r="U20" s="511"/>
      <c r="V20" s="511"/>
      <c r="W20" s="511"/>
      <c r="X20" s="511"/>
      <c r="Y20" s="511"/>
      <c r="Z20" s="511"/>
    </row>
    <row r="21" spans="1:26" ht="19.5" customHeight="1" x14ac:dyDescent="0.3">
      <c r="A21" s="511"/>
      <c r="B21" s="511"/>
      <c r="C21" s="511"/>
      <c r="D21" s="511"/>
      <c r="E21" s="511"/>
      <c r="F21" s="511"/>
      <c r="G21" s="511"/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</row>
    <row r="22" spans="1:26" ht="19.5" customHeight="1" x14ac:dyDescent="0.3">
      <c r="A22" s="511"/>
      <c r="B22" s="511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</row>
    <row r="23" spans="1:26" ht="19.5" customHeight="1" x14ac:dyDescent="0.3">
      <c r="A23" s="511"/>
      <c r="B23" s="511"/>
      <c r="C23" s="511"/>
      <c r="D23" s="511"/>
      <c r="E23" s="511"/>
      <c r="F23" s="511"/>
      <c r="G23" s="511"/>
      <c r="H23" s="511"/>
      <c r="I23" s="511"/>
      <c r="J23" s="511"/>
      <c r="K23" s="511"/>
      <c r="L23" s="511"/>
      <c r="M23" s="511"/>
      <c r="N23" s="511"/>
      <c r="O23" s="511"/>
      <c r="P23" s="511"/>
      <c r="Q23" s="511"/>
      <c r="R23" s="511"/>
      <c r="S23" s="511"/>
      <c r="T23" s="511"/>
      <c r="U23" s="511"/>
      <c r="V23" s="511"/>
      <c r="W23" s="511"/>
      <c r="X23" s="511"/>
      <c r="Y23" s="511"/>
      <c r="Z23" s="511"/>
    </row>
    <row r="24" spans="1:26" ht="19.5" customHeight="1" x14ac:dyDescent="0.3">
      <c r="A24" s="511"/>
      <c r="B24" s="511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</row>
    <row r="25" spans="1:26" ht="19.5" customHeight="1" x14ac:dyDescent="0.3">
      <c r="A25" s="511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1"/>
      <c r="S25" s="511"/>
      <c r="T25" s="511"/>
      <c r="U25" s="511"/>
      <c r="V25" s="511"/>
      <c r="W25" s="511"/>
      <c r="X25" s="511"/>
      <c r="Y25" s="511"/>
      <c r="Z25" s="511"/>
    </row>
    <row r="26" spans="1:26" ht="19.5" customHeight="1" x14ac:dyDescent="0.3">
      <c r="A26" s="511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1"/>
      <c r="S26" s="511"/>
      <c r="T26" s="511"/>
      <c r="U26" s="511"/>
      <c r="V26" s="511"/>
      <c r="W26" s="511"/>
      <c r="X26" s="511"/>
      <c r="Y26" s="511"/>
      <c r="Z26" s="511"/>
    </row>
    <row r="27" spans="1:26" ht="19.5" customHeight="1" x14ac:dyDescent="0.3">
      <c r="A27" s="511"/>
      <c r="B27" s="511"/>
      <c r="C27" s="511"/>
      <c r="D27" s="511"/>
      <c r="E27" s="511"/>
      <c r="F27" s="511"/>
      <c r="G27" s="511"/>
      <c r="H27" s="511"/>
      <c r="I27" s="511"/>
      <c r="J27" s="511"/>
      <c r="K27" s="511"/>
      <c r="L27" s="511"/>
      <c r="M27" s="511"/>
      <c r="N27" s="511"/>
      <c r="O27" s="511"/>
      <c r="P27" s="511"/>
      <c r="Q27" s="511"/>
      <c r="R27" s="511"/>
      <c r="S27" s="511"/>
      <c r="T27" s="511"/>
      <c r="U27" s="511"/>
      <c r="V27" s="511"/>
      <c r="W27" s="511"/>
      <c r="X27" s="511"/>
      <c r="Y27" s="511"/>
      <c r="Z27" s="511"/>
    </row>
    <row r="28" spans="1:26" ht="19.5" customHeight="1" x14ac:dyDescent="0.3">
      <c r="A28" s="511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1"/>
      <c r="P28" s="511"/>
      <c r="Q28" s="511"/>
      <c r="R28" s="511"/>
      <c r="S28" s="511"/>
      <c r="T28" s="511"/>
      <c r="U28" s="511"/>
      <c r="V28" s="511"/>
      <c r="W28" s="511"/>
      <c r="X28" s="511"/>
      <c r="Y28" s="511"/>
      <c r="Z28" s="511"/>
    </row>
    <row r="29" spans="1:26" ht="19.5" customHeight="1" x14ac:dyDescent="0.3">
      <c r="A29" s="511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511"/>
      <c r="Y29" s="511"/>
      <c r="Z29" s="511"/>
    </row>
    <row r="30" spans="1:26" ht="19.5" customHeight="1" x14ac:dyDescent="0.3">
      <c r="A30" s="511"/>
      <c r="B30" s="511"/>
      <c r="C30" s="511"/>
      <c r="D30" s="511"/>
      <c r="E30" s="511"/>
      <c r="F30" s="511"/>
      <c r="G30" s="511"/>
      <c r="H30" s="511"/>
      <c r="I30" s="511"/>
      <c r="J30" s="511"/>
      <c r="K30" s="511"/>
      <c r="L30" s="511"/>
      <c r="M30" s="511"/>
      <c r="N30" s="511"/>
      <c r="O30" s="511"/>
      <c r="P30" s="511"/>
      <c r="Q30" s="511"/>
      <c r="R30" s="511"/>
      <c r="S30" s="511"/>
      <c r="T30" s="511"/>
      <c r="U30" s="511"/>
      <c r="V30" s="511"/>
      <c r="W30" s="511"/>
      <c r="X30" s="511"/>
      <c r="Y30" s="511"/>
      <c r="Z30" s="511"/>
    </row>
    <row r="31" spans="1:26" ht="19.5" customHeight="1" x14ac:dyDescent="0.3">
      <c r="A31" s="511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</row>
    <row r="32" spans="1:26" ht="19.5" customHeight="1" x14ac:dyDescent="0.3">
      <c r="A32" s="511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</row>
    <row r="33" spans="1:26" ht="19.5" customHeight="1" x14ac:dyDescent="0.3">
      <c r="A33" s="511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</row>
    <row r="34" spans="1:26" ht="19.5" customHeight="1" x14ac:dyDescent="0.3">
      <c r="A34" s="511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</row>
    <row r="35" spans="1:26" ht="19.5" customHeight="1" x14ac:dyDescent="0.3">
      <c r="A35" s="511"/>
      <c r="B35" s="511"/>
      <c r="C35" s="511"/>
      <c r="D35" s="511"/>
      <c r="E35" s="511"/>
      <c r="F35" s="511"/>
      <c r="G35" s="511"/>
      <c r="H35" s="511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</row>
    <row r="36" spans="1:26" ht="19.5" customHeight="1" x14ac:dyDescent="0.3">
      <c r="A36" s="511"/>
      <c r="B36" s="511"/>
      <c r="C36" s="511"/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</row>
    <row r="37" spans="1:26" ht="19.5" customHeight="1" x14ac:dyDescent="0.3">
      <c r="A37" s="511"/>
      <c r="B37" s="511"/>
      <c r="C37" s="511"/>
      <c r="D37" s="511"/>
      <c r="E37" s="511"/>
      <c r="F37" s="511"/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</row>
    <row r="38" spans="1:26" ht="19.5" customHeight="1" x14ac:dyDescent="0.3">
      <c r="A38" s="511"/>
      <c r="B38" s="511"/>
      <c r="C38" s="51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</row>
    <row r="39" spans="1:26" ht="19.5" customHeight="1" x14ac:dyDescent="0.3">
      <c r="A39" s="511"/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</row>
    <row r="40" spans="1:26" ht="19.5" customHeight="1" x14ac:dyDescent="0.3">
      <c r="A40" s="511"/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</row>
    <row r="41" spans="1:26" ht="19.5" customHeight="1" x14ac:dyDescent="0.3">
      <c r="A41" s="511"/>
      <c r="B41" s="511"/>
      <c r="C41" s="511"/>
      <c r="D41" s="511"/>
      <c r="E41" s="511"/>
      <c r="F41" s="511"/>
      <c r="G41" s="511"/>
      <c r="H41" s="511"/>
      <c r="I41" s="511"/>
      <c r="J41" s="511"/>
      <c r="K41" s="511"/>
      <c r="L41" s="511"/>
      <c r="M41" s="511"/>
      <c r="N41" s="511"/>
      <c r="O41" s="511"/>
      <c r="P41" s="511"/>
      <c r="Q41" s="511"/>
      <c r="R41" s="511"/>
      <c r="S41" s="511"/>
      <c r="T41" s="511"/>
      <c r="U41" s="511"/>
      <c r="V41" s="511"/>
      <c r="W41" s="511"/>
      <c r="X41" s="511"/>
      <c r="Y41" s="511"/>
      <c r="Z41" s="511"/>
    </row>
    <row r="42" spans="1:26" ht="19.5" customHeight="1" x14ac:dyDescent="0.3">
      <c r="A42" s="511"/>
      <c r="B42" s="511"/>
      <c r="C42" s="511"/>
      <c r="D42" s="511"/>
      <c r="E42" s="511"/>
      <c r="F42" s="511"/>
      <c r="G42" s="511"/>
      <c r="H42" s="511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1"/>
      <c r="T42" s="511"/>
      <c r="U42" s="511"/>
      <c r="V42" s="511"/>
      <c r="W42" s="511"/>
      <c r="X42" s="511"/>
      <c r="Y42" s="511"/>
      <c r="Z42" s="511"/>
    </row>
    <row r="43" spans="1:26" ht="19.5" customHeight="1" x14ac:dyDescent="0.3">
      <c r="A43" s="511"/>
      <c r="B43" s="511"/>
      <c r="C43" s="511"/>
      <c r="D43" s="511"/>
      <c r="E43" s="511"/>
      <c r="F43" s="511"/>
      <c r="G43" s="511"/>
      <c r="H43" s="511"/>
      <c r="I43" s="511"/>
      <c r="J43" s="511"/>
      <c r="K43" s="511"/>
      <c r="L43" s="511"/>
      <c r="M43" s="511"/>
      <c r="N43" s="511"/>
      <c r="O43" s="511"/>
      <c r="P43" s="511"/>
      <c r="Q43" s="511"/>
      <c r="R43" s="511"/>
      <c r="S43" s="511"/>
      <c r="T43" s="511"/>
      <c r="U43" s="511"/>
      <c r="V43" s="511"/>
      <c r="W43" s="511"/>
      <c r="X43" s="511"/>
      <c r="Y43" s="511"/>
      <c r="Z43" s="511"/>
    </row>
    <row r="44" spans="1:26" ht="19.5" customHeight="1" x14ac:dyDescent="0.3">
      <c r="A44" s="511"/>
      <c r="B44" s="511"/>
      <c r="C44" s="511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</row>
    <row r="45" spans="1:26" ht="19.5" customHeight="1" x14ac:dyDescent="0.3">
      <c r="A45" s="511"/>
      <c r="B45" s="511"/>
      <c r="C45" s="511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</row>
    <row r="46" spans="1:26" ht="19.5" customHeight="1" x14ac:dyDescent="0.3">
      <c r="A46" s="511"/>
      <c r="B46" s="511"/>
      <c r="C46" s="511"/>
      <c r="D46" s="511"/>
      <c r="E46" s="511"/>
      <c r="F46" s="511"/>
      <c r="G46" s="511"/>
      <c r="H46" s="511"/>
      <c r="I46" s="511"/>
      <c r="J46" s="511"/>
      <c r="K46" s="511"/>
      <c r="L46" s="511"/>
      <c r="M46" s="511"/>
      <c r="N46" s="511"/>
      <c r="O46" s="511"/>
      <c r="P46" s="511"/>
      <c r="Q46" s="511"/>
      <c r="R46" s="511"/>
      <c r="S46" s="511"/>
      <c r="T46" s="511"/>
      <c r="U46" s="511"/>
      <c r="V46" s="511"/>
      <c r="W46" s="511"/>
      <c r="X46" s="511"/>
      <c r="Y46" s="511"/>
      <c r="Z46" s="511"/>
    </row>
    <row r="47" spans="1:26" ht="19.5" customHeight="1" x14ac:dyDescent="0.3">
      <c r="A47" s="511"/>
      <c r="B47" s="511"/>
      <c r="C47" s="511"/>
      <c r="D47" s="511"/>
      <c r="E47" s="511"/>
      <c r="F47" s="511"/>
      <c r="G47" s="511"/>
      <c r="H47" s="511"/>
      <c r="I47" s="511"/>
      <c r="J47" s="511"/>
      <c r="K47" s="511"/>
      <c r="L47" s="511"/>
      <c r="M47" s="511"/>
      <c r="N47" s="511"/>
      <c r="O47" s="511"/>
      <c r="P47" s="511"/>
      <c r="Q47" s="511"/>
      <c r="R47" s="511"/>
      <c r="S47" s="511"/>
      <c r="T47" s="511"/>
      <c r="U47" s="511"/>
      <c r="V47" s="511"/>
      <c r="W47" s="511"/>
      <c r="X47" s="511"/>
      <c r="Y47" s="511"/>
      <c r="Z47" s="511"/>
    </row>
    <row r="48" spans="1:26" ht="19.5" customHeight="1" x14ac:dyDescent="0.3">
      <c r="A48" s="511"/>
      <c r="B48" s="511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</row>
    <row r="49" spans="1:26" ht="19.5" customHeight="1" x14ac:dyDescent="0.3">
      <c r="A49" s="511"/>
      <c r="B49" s="511"/>
      <c r="C49" s="511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  <c r="W49" s="511"/>
      <c r="X49" s="511"/>
      <c r="Y49" s="511"/>
      <c r="Z49" s="511"/>
    </row>
    <row r="50" spans="1:26" ht="19.5" customHeight="1" x14ac:dyDescent="0.3">
      <c r="A50" s="511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</row>
    <row r="51" spans="1:26" ht="19.5" customHeight="1" x14ac:dyDescent="0.3">
      <c r="A51" s="511"/>
      <c r="B51" s="511"/>
      <c r="C51" s="511"/>
      <c r="D51" s="511"/>
      <c r="E51" s="511"/>
      <c r="F51" s="511"/>
      <c r="G51" s="511"/>
      <c r="H51" s="511"/>
      <c r="I51" s="511"/>
      <c r="J51" s="511"/>
      <c r="K51" s="511"/>
      <c r="L51" s="511"/>
      <c r="M51" s="511"/>
      <c r="N51" s="511"/>
      <c r="O51" s="511"/>
      <c r="P51" s="511"/>
      <c r="Q51" s="511"/>
      <c r="R51" s="511"/>
      <c r="S51" s="511"/>
      <c r="T51" s="511"/>
      <c r="U51" s="511"/>
      <c r="V51" s="511"/>
      <c r="W51" s="511"/>
      <c r="X51" s="511"/>
      <c r="Y51" s="511"/>
      <c r="Z51" s="511"/>
    </row>
    <row r="52" spans="1:26" ht="19.5" customHeight="1" x14ac:dyDescent="0.3">
      <c r="A52" s="511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</row>
    <row r="53" spans="1:26" ht="19.5" customHeight="1" x14ac:dyDescent="0.3">
      <c r="A53" s="511"/>
      <c r="B53" s="511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</row>
    <row r="54" spans="1:26" ht="19.5" customHeight="1" x14ac:dyDescent="0.3">
      <c r="A54" s="511"/>
      <c r="B54" s="511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</row>
    <row r="55" spans="1:26" ht="19.5" customHeight="1" x14ac:dyDescent="0.3">
      <c r="A55" s="511"/>
      <c r="B55" s="511"/>
      <c r="C55" s="511"/>
      <c r="D55" s="511"/>
      <c r="E55" s="511"/>
      <c r="F55" s="511"/>
      <c r="G55" s="511"/>
      <c r="H55" s="511"/>
      <c r="I55" s="511"/>
      <c r="J55" s="511"/>
      <c r="K55" s="511"/>
      <c r="L55" s="511"/>
      <c r="M55" s="511"/>
      <c r="N55" s="511"/>
      <c r="O55" s="511"/>
      <c r="P55" s="511"/>
      <c r="Q55" s="511"/>
      <c r="R55" s="511"/>
      <c r="S55" s="511"/>
      <c r="T55" s="511"/>
      <c r="U55" s="511"/>
      <c r="V55" s="511"/>
      <c r="W55" s="511"/>
      <c r="X55" s="511"/>
      <c r="Y55" s="511"/>
      <c r="Z55" s="511"/>
    </row>
    <row r="56" spans="1:26" ht="19.5" customHeight="1" x14ac:dyDescent="0.3">
      <c r="A56" s="511"/>
      <c r="B56" s="511"/>
      <c r="C56" s="511"/>
      <c r="D56" s="511"/>
      <c r="E56" s="511"/>
      <c r="F56" s="511"/>
      <c r="G56" s="511"/>
      <c r="H56" s="511"/>
      <c r="I56" s="511"/>
      <c r="J56" s="511"/>
      <c r="K56" s="511"/>
      <c r="L56" s="511"/>
      <c r="M56" s="511"/>
      <c r="N56" s="511"/>
      <c r="O56" s="511"/>
      <c r="P56" s="511"/>
      <c r="Q56" s="511"/>
      <c r="R56" s="511"/>
      <c r="S56" s="511"/>
      <c r="T56" s="511"/>
      <c r="U56" s="511"/>
      <c r="V56" s="511"/>
      <c r="W56" s="511"/>
      <c r="X56" s="511"/>
      <c r="Y56" s="511"/>
      <c r="Z56" s="511"/>
    </row>
    <row r="57" spans="1:26" ht="19.5" customHeight="1" x14ac:dyDescent="0.3">
      <c r="A57" s="511"/>
      <c r="B57" s="511"/>
      <c r="C57" s="511"/>
      <c r="D57" s="511"/>
      <c r="E57" s="511"/>
      <c r="F57" s="511"/>
      <c r="G57" s="511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</row>
    <row r="58" spans="1:26" ht="19.5" customHeight="1" x14ac:dyDescent="0.3">
      <c r="A58" s="511"/>
      <c r="B58" s="511"/>
      <c r="C58" s="511"/>
      <c r="D58" s="511"/>
      <c r="E58" s="511"/>
      <c r="F58" s="511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</row>
    <row r="59" spans="1:26" ht="19.5" customHeight="1" x14ac:dyDescent="0.3">
      <c r="A59" s="511"/>
      <c r="B59" s="511"/>
      <c r="C59" s="511"/>
      <c r="D59" s="511"/>
      <c r="E59" s="511"/>
      <c r="F59" s="511"/>
      <c r="G59" s="511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</row>
    <row r="60" spans="1:26" ht="19.5" customHeight="1" x14ac:dyDescent="0.3">
      <c r="A60" s="511"/>
      <c r="B60" s="511"/>
      <c r="C60" s="511"/>
      <c r="D60" s="511"/>
      <c r="E60" s="511"/>
      <c r="F60" s="511"/>
      <c r="G60" s="511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</row>
    <row r="61" spans="1:26" ht="19.5" customHeight="1" x14ac:dyDescent="0.3">
      <c r="A61" s="511"/>
      <c r="B61" s="511"/>
      <c r="C61" s="511"/>
      <c r="D61" s="511"/>
      <c r="E61" s="511"/>
      <c r="F61" s="511"/>
      <c r="G61" s="511"/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</row>
    <row r="62" spans="1:26" ht="19.5" customHeight="1" x14ac:dyDescent="0.3">
      <c r="A62" s="511"/>
      <c r="B62" s="511"/>
      <c r="C62" s="511"/>
      <c r="D62" s="511"/>
      <c r="E62" s="511"/>
      <c r="F62" s="511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</row>
    <row r="63" spans="1:26" ht="19.5" customHeight="1" x14ac:dyDescent="0.3">
      <c r="A63" s="511"/>
      <c r="B63" s="511"/>
      <c r="C63" s="511"/>
      <c r="D63" s="511"/>
      <c r="E63" s="511"/>
      <c r="F63" s="511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</row>
    <row r="64" spans="1:26" ht="19.5" customHeight="1" x14ac:dyDescent="0.3">
      <c r="A64" s="511"/>
      <c r="B64" s="511"/>
      <c r="C64" s="511"/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</row>
    <row r="65" spans="1:26" ht="19.5" customHeight="1" x14ac:dyDescent="0.3">
      <c r="A65" s="511"/>
      <c r="B65" s="511"/>
      <c r="C65" s="511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</row>
    <row r="66" spans="1:26" ht="19.5" customHeight="1" x14ac:dyDescent="0.3">
      <c r="A66" s="511"/>
      <c r="B66" s="511"/>
      <c r="C66" s="511"/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</row>
    <row r="67" spans="1:26" ht="19.5" customHeight="1" x14ac:dyDescent="0.3">
      <c r="A67" s="511"/>
      <c r="B67" s="511"/>
      <c r="C67" s="511"/>
      <c r="D67" s="511"/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</row>
    <row r="68" spans="1:26" ht="19.5" customHeight="1" x14ac:dyDescent="0.3">
      <c r="A68" s="511"/>
      <c r="B68" s="511"/>
      <c r="C68" s="511"/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</row>
    <row r="69" spans="1:26" ht="19.5" customHeight="1" x14ac:dyDescent="0.3">
      <c r="A69" s="511"/>
      <c r="B69" s="511"/>
      <c r="C69" s="511"/>
      <c r="D69" s="511"/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</row>
    <row r="70" spans="1:26" ht="19.5" customHeight="1" x14ac:dyDescent="0.3">
      <c r="A70" s="511"/>
      <c r="B70" s="511"/>
      <c r="C70" s="511"/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</row>
    <row r="71" spans="1:26" ht="19.5" customHeight="1" x14ac:dyDescent="0.3">
      <c r="A71" s="511"/>
      <c r="B71" s="511"/>
      <c r="C71" s="511"/>
      <c r="D71" s="511"/>
      <c r="E71" s="511"/>
      <c r="F71" s="511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</row>
    <row r="72" spans="1:26" ht="19.5" customHeight="1" x14ac:dyDescent="0.3">
      <c r="A72" s="511"/>
      <c r="B72" s="511"/>
      <c r="C72" s="511"/>
      <c r="D72" s="511"/>
      <c r="E72" s="511"/>
      <c r="F72" s="511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</row>
    <row r="73" spans="1:26" ht="19.5" customHeight="1" x14ac:dyDescent="0.3">
      <c r="A73" s="511"/>
      <c r="B73" s="511"/>
      <c r="C73" s="511"/>
      <c r="D73" s="511"/>
      <c r="E73" s="511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</row>
    <row r="74" spans="1:26" ht="19.5" customHeight="1" x14ac:dyDescent="0.3">
      <c r="A74" s="511"/>
      <c r="B74" s="511"/>
      <c r="C74" s="511"/>
      <c r="D74" s="511"/>
      <c r="E74" s="511"/>
      <c r="F74" s="511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</row>
    <row r="75" spans="1:26" ht="19.5" customHeight="1" x14ac:dyDescent="0.3">
      <c r="A75" s="511"/>
      <c r="B75" s="511"/>
      <c r="C75" s="511"/>
      <c r="D75" s="511"/>
      <c r="E75" s="511"/>
      <c r="F75" s="511"/>
      <c r="G75" s="511"/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</row>
    <row r="76" spans="1:26" ht="19.5" customHeight="1" x14ac:dyDescent="0.3">
      <c r="A76" s="511"/>
      <c r="B76" s="511"/>
      <c r="C76" s="511"/>
      <c r="D76" s="511"/>
      <c r="E76" s="511"/>
      <c r="F76" s="511"/>
      <c r="G76" s="511"/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</row>
    <row r="77" spans="1:26" ht="19.5" customHeight="1" x14ac:dyDescent="0.3">
      <c r="A77" s="511"/>
      <c r="B77" s="511"/>
      <c r="C77" s="511"/>
      <c r="D77" s="511"/>
      <c r="E77" s="511"/>
      <c r="F77" s="511"/>
      <c r="G77" s="511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</row>
    <row r="78" spans="1:26" ht="19.5" customHeight="1" x14ac:dyDescent="0.3">
      <c r="A78" s="511"/>
      <c r="B78" s="511"/>
      <c r="C78" s="511"/>
      <c r="D78" s="511"/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1"/>
      <c r="W78" s="511"/>
      <c r="X78" s="511"/>
      <c r="Y78" s="511"/>
      <c r="Z78" s="511"/>
    </row>
    <row r="79" spans="1:26" ht="19.5" customHeight="1" x14ac:dyDescent="0.3">
      <c r="A79" s="511"/>
      <c r="B79" s="511"/>
      <c r="C79" s="511"/>
      <c r="D79" s="511"/>
      <c r="E79" s="511"/>
      <c r="F79" s="511"/>
      <c r="G79" s="511"/>
      <c r="H79" s="511"/>
      <c r="I79" s="511"/>
      <c r="J79" s="511"/>
      <c r="K79" s="511"/>
      <c r="L79" s="511"/>
      <c r="M79" s="511"/>
      <c r="N79" s="511"/>
      <c r="O79" s="511"/>
      <c r="P79" s="511"/>
      <c r="Q79" s="511"/>
      <c r="R79" s="511"/>
      <c r="S79" s="511"/>
      <c r="T79" s="511"/>
      <c r="U79" s="511"/>
      <c r="V79" s="511"/>
      <c r="W79" s="511"/>
      <c r="X79" s="511"/>
      <c r="Y79" s="511"/>
      <c r="Z79" s="511"/>
    </row>
    <row r="80" spans="1:26" ht="19.5" customHeight="1" x14ac:dyDescent="0.3">
      <c r="A80" s="511"/>
      <c r="B80" s="511"/>
      <c r="C80" s="511"/>
      <c r="D80" s="511"/>
      <c r="E80" s="511"/>
      <c r="F80" s="511"/>
      <c r="G80" s="511"/>
      <c r="H80" s="511"/>
      <c r="I80" s="511"/>
      <c r="J80" s="511"/>
      <c r="K80" s="511"/>
      <c r="L80" s="511"/>
      <c r="M80" s="511"/>
      <c r="N80" s="511"/>
      <c r="O80" s="511"/>
      <c r="P80" s="511"/>
      <c r="Q80" s="511"/>
      <c r="R80" s="511"/>
      <c r="S80" s="511"/>
      <c r="T80" s="511"/>
      <c r="U80" s="511"/>
      <c r="V80" s="511"/>
      <c r="W80" s="511"/>
      <c r="X80" s="511"/>
      <c r="Y80" s="511"/>
      <c r="Z80" s="511"/>
    </row>
    <row r="81" spans="1:26" ht="19.5" customHeight="1" x14ac:dyDescent="0.3">
      <c r="A81" s="511"/>
      <c r="B81" s="511"/>
      <c r="C81" s="511"/>
      <c r="D81" s="511"/>
      <c r="E81" s="511"/>
      <c r="F81" s="511"/>
      <c r="G81" s="511"/>
      <c r="H81" s="511"/>
      <c r="I81" s="511"/>
      <c r="J81" s="511"/>
      <c r="K81" s="511"/>
      <c r="L81" s="511"/>
      <c r="M81" s="511"/>
      <c r="N81" s="511"/>
      <c r="O81" s="511"/>
      <c r="P81" s="511"/>
      <c r="Q81" s="511"/>
      <c r="R81" s="511"/>
      <c r="S81" s="511"/>
      <c r="T81" s="511"/>
      <c r="U81" s="511"/>
      <c r="V81" s="511"/>
      <c r="W81" s="511"/>
      <c r="X81" s="511"/>
      <c r="Y81" s="511"/>
      <c r="Z81" s="511"/>
    </row>
    <row r="82" spans="1:26" ht="19.5" customHeight="1" x14ac:dyDescent="0.3">
      <c r="A82" s="511"/>
      <c r="B82" s="511"/>
      <c r="C82" s="511"/>
      <c r="D82" s="511"/>
      <c r="E82" s="511"/>
      <c r="F82" s="511"/>
      <c r="G82" s="511"/>
      <c r="H82" s="511"/>
      <c r="I82" s="511"/>
      <c r="J82" s="511"/>
      <c r="K82" s="511"/>
      <c r="L82" s="511"/>
      <c r="M82" s="511"/>
      <c r="N82" s="511"/>
      <c r="O82" s="511"/>
      <c r="P82" s="511"/>
      <c r="Q82" s="511"/>
      <c r="R82" s="511"/>
      <c r="S82" s="511"/>
      <c r="T82" s="511"/>
      <c r="U82" s="511"/>
      <c r="V82" s="511"/>
      <c r="W82" s="511"/>
      <c r="X82" s="511"/>
      <c r="Y82" s="511"/>
      <c r="Z82" s="511"/>
    </row>
    <row r="83" spans="1:26" ht="19.5" customHeight="1" x14ac:dyDescent="0.3">
      <c r="A83" s="511"/>
      <c r="B83" s="511"/>
      <c r="C83" s="511"/>
      <c r="D83" s="511"/>
      <c r="E83" s="511"/>
      <c r="F83" s="511"/>
      <c r="G83" s="511"/>
      <c r="H83" s="511"/>
      <c r="I83" s="511"/>
      <c r="J83" s="511"/>
      <c r="K83" s="511"/>
      <c r="L83" s="511"/>
      <c r="M83" s="511"/>
      <c r="N83" s="511"/>
      <c r="O83" s="511"/>
      <c r="P83" s="511"/>
      <c r="Q83" s="511"/>
      <c r="R83" s="511"/>
      <c r="S83" s="511"/>
      <c r="T83" s="511"/>
      <c r="U83" s="511"/>
      <c r="V83" s="511"/>
      <c r="W83" s="511"/>
      <c r="X83" s="511"/>
      <c r="Y83" s="511"/>
      <c r="Z83" s="511"/>
    </row>
    <row r="84" spans="1:26" ht="19.5" customHeight="1" x14ac:dyDescent="0.3">
      <c r="A84" s="511"/>
      <c r="B84" s="511"/>
      <c r="C84" s="511"/>
      <c r="D84" s="511"/>
      <c r="E84" s="511"/>
      <c r="F84" s="511"/>
      <c r="G84" s="511"/>
      <c r="H84" s="511"/>
      <c r="I84" s="511"/>
      <c r="J84" s="511"/>
      <c r="K84" s="511"/>
      <c r="L84" s="511"/>
      <c r="M84" s="511"/>
      <c r="N84" s="511"/>
      <c r="O84" s="511"/>
      <c r="P84" s="511"/>
      <c r="Q84" s="511"/>
      <c r="R84" s="511"/>
      <c r="S84" s="511"/>
      <c r="T84" s="511"/>
      <c r="U84" s="511"/>
      <c r="V84" s="511"/>
      <c r="W84" s="511"/>
      <c r="X84" s="511"/>
      <c r="Y84" s="511"/>
      <c r="Z84" s="511"/>
    </row>
    <row r="85" spans="1:26" ht="19.5" customHeight="1" x14ac:dyDescent="0.3">
      <c r="A85" s="511"/>
      <c r="B85" s="511"/>
      <c r="C85" s="511"/>
      <c r="D85" s="511"/>
      <c r="E85" s="511"/>
      <c r="F85" s="511"/>
      <c r="G85" s="511"/>
      <c r="H85" s="511"/>
      <c r="I85" s="511"/>
      <c r="J85" s="511"/>
      <c r="K85" s="511"/>
      <c r="L85" s="511"/>
      <c r="M85" s="511"/>
      <c r="N85" s="511"/>
      <c r="O85" s="511"/>
      <c r="P85" s="511"/>
      <c r="Q85" s="511"/>
      <c r="R85" s="511"/>
      <c r="S85" s="511"/>
      <c r="T85" s="511"/>
      <c r="U85" s="511"/>
      <c r="V85" s="511"/>
      <c r="W85" s="511"/>
      <c r="X85" s="511"/>
      <c r="Y85" s="511"/>
      <c r="Z85" s="511"/>
    </row>
    <row r="86" spans="1:26" ht="19.5" customHeight="1" x14ac:dyDescent="0.3">
      <c r="A86" s="511"/>
      <c r="B86" s="511"/>
      <c r="C86" s="511"/>
      <c r="D86" s="511"/>
      <c r="E86" s="511"/>
      <c r="F86" s="511"/>
      <c r="G86" s="511"/>
      <c r="H86" s="511"/>
      <c r="I86" s="511"/>
      <c r="J86" s="511"/>
      <c r="K86" s="511"/>
      <c r="L86" s="511"/>
      <c r="M86" s="511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11"/>
      <c r="Z86" s="511"/>
    </row>
    <row r="87" spans="1:26" ht="19.5" customHeight="1" x14ac:dyDescent="0.3">
      <c r="A87" s="511"/>
      <c r="B87" s="511"/>
      <c r="C87" s="511"/>
      <c r="D87" s="511"/>
      <c r="E87" s="511"/>
      <c r="F87" s="511"/>
      <c r="G87" s="511"/>
      <c r="H87" s="511"/>
      <c r="I87" s="511"/>
      <c r="J87" s="511"/>
      <c r="K87" s="511"/>
      <c r="L87" s="511"/>
      <c r="M87" s="511"/>
      <c r="N87" s="511"/>
      <c r="O87" s="511"/>
      <c r="P87" s="511"/>
      <c r="Q87" s="511"/>
      <c r="R87" s="511"/>
      <c r="S87" s="511"/>
      <c r="T87" s="511"/>
      <c r="U87" s="511"/>
      <c r="V87" s="511"/>
      <c r="W87" s="511"/>
      <c r="X87" s="511"/>
      <c r="Y87" s="511"/>
      <c r="Z87" s="511"/>
    </row>
    <row r="88" spans="1:26" ht="19.5" customHeight="1" x14ac:dyDescent="0.3">
      <c r="A88" s="511"/>
      <c r="B88" s="511"/>
      <c r="C88" s="511"/>
      <c r="D88" s="511"/>
      <c r="E88" s="511"/>
      <c r="F88" s="511"/>
      <c r="G88" s="511"/>
      <c r="H88" s="511"/>
      <c r="I88" s="511"/>
      <c r="J88" s="511"/>
      <c r="K88" s="511"/>
      <c r="L88" s="511"/>
      <c r="M88" s="511"/>
      <c r="N88" s="511"/>
      <c r="O88" s="511"/>
      <c r="P88" s="511"/>
      <c r="Q88" s="511"/>
      <c r="R88" s="511"/>
      <c r="S88" s="511"/>
      <c r="T88" s="511"/>
      <c r="U88" s="511"/>
      <c r="V88" s="511"/>
      <c r="W88" s="511"/>
      <c r="X88" s="511"/>
      <c r="Y88" s="511"/>
      <c r="Z88" s="511"/>
    </row>
    <row r="89" spans="1:26" ht="19.5" customHeight="1" x14ac:dyDescent="0.3">
      <c r="A89" s="511"/>
      <c r="B89" s="511"/>
      <c r="C89" s="511"/>
      <c r="D89" s="511"/>
      <c r="E89" s="511"/>
      <c r="F89" s="511"/>
      <c r="G89" s="511"/>
      <c r="H89" s="511"/>
      <c r="I89" s="511"/>
      <c r="J89" s="511"/>
      <c r="K89" s="511"/>
      <c r="L89" s="511"/>
      <c r="M89" s="511"/>
      <c r="N89" s="511"/>
      <c r="O89" s="511"/>
      <c r="P89" s="511"/>
      <c r="Q89" s="511"/>
      <c r="R89" s="511"/>
      <c r="S89" s="511"/>
      <c r="T89" s="511"/>
      <c r="U89" s="511"/>
      <c r="V89" s="511"/>
      <c r="W89" s="511"/>
      <c r="X89" s="511"/>
      <c r="Y89" s="511"/>
      <c r="Z89" s="511"/>
    </row>
    <row r="90" spans="1:26" ht="19.5" customHeight="1" x14ac:dyDescent="0.3">
      <c r="A90" s="511"/>
      <c r="B90" s="511"/>
      <c r="C90" s="511"/>
      <c r="D90" s="511"/>
      <c r="E90" s="511"/>
      <c r="F90" s="511"/>
      <c r="G90" s="511"/>
      <c r="H90" s="511"/>
      <c r="I90" s="511"/>
      <c r="J90" s="511"/>
      <c r="K90" s="511"/>
      <c r="L90" s="511"/>
      <c r="M90" s="511"/>
      <c r="N90" s="511"/>
      <c r="O90" s="511"/>
      <c r="P90" s="511"/>
      <c r="Q90" s="511"/>
      <c r="R90" s="511"/>
      <c r="S90" s="511"/>
      <c r="T90" s="511"/>
      <c r="U90" s="511"/>
      <c r="V90" s="511"/>
      <c r="W90" s="511"/>
      <c r="X90" s="511"/>
      <c r="Y90" s="511"/>
      <c r="Z90" s="511"/>
    </row>
    <row r="91" spans="1:26" ht="19.5" customHeight="1" x14ac:dyDescent="0.3">
      <c r="A91" s="511"/>
      <c r="B91" s="511"/>
      <c r="C91" s="511"/>
      <c r="D91" s="511"/>
      <c r="E91" s="511"/>
      <c r="F91" s="511"/>
      <c r="G91" s="511"/>
      <c r="H91" s="511"/>
      <c r="I91" s="511"/>
      <c r="J91" s="511"/>
      <c r="K91" s="511"/>
      <c r="L91" s="511"/>
      <c r="M91" s="511"/>
      <c r="N91" s="511"/>
      <c r="O91" s="511"/>
      <c r="P91" s="511"/>
      <c r="Q91" s="511"/>
      <c r="R91" s="511"/>
      <c r="S91" s="511"/>
      <c r="T91" s="511"/>
      <c r="U91" s="511"/>
      <c r="V91" s="511"/>
      <c r="W91" s="511"/>
      <c r="X91" s="511"/>
      <c r="Y91" s="511"/>
      <c r="Z91" s="511"/>
    </row>
    <row r="92" spans="1:26" ht="19.5" customHeight="1" x14ac:dyDescent="0.3">
      <c r="A92" s="511"/>
      <c r="B92" s="511"/>
      <c r="C92" s="511"/>
      <c r="D92" s="511"/>
      <c r="E92" s="511"/>
      <c r="F92" s="511"/>
      <c r="G92" s="511"/>
      <c r="H92" s="511"/>
      <c r="I92" s="511"/>
      <c r="J92" s="511"/>
      <c r="K92" s="511"/>
      <c r="L92" s="511"/>
      <c r="M92" s="511"/>
      <c r="N92" s="511"/>
      <c r="O92" s="511"/>
      <c r="P92" s="511"/>
      <c r="Q92" s="511"/>
      <c r="R92" s="511"/>
      <c r="S92" s="511"/>
      <c r="T92" s="511"/>
      <c r="U92" s="511"/>
      <c r="V92" s="511"/>
      <c r="W92" s="511"/>
      <c r="X92" s="511"/>
      <c r="Y92" s="511"/>
      <c r="Z92" s="511"/>
    </row>
    <row r="93" spans="1:26" ht="19.5" customHeight="1" x14ac:dyDescent="0.3">
      <c r="A93" s="511"/>
      <c r="B93" s="511"/>
      <c r="C93" s="511"/>
      <c r="D93" s="511"/>
      <c r="E93" s="511"/>
      <c r="F93" s="511"/>
      <c r="G93" s="511"/>
      <c r="H93" s="511"/>
      <c r="I93" s="511"/>
      <c r="J93" s="511"/>
      <c r="K93" s="511"/>
      <c r="L93" s="511"/>
      <c r="M93" s="511"/>
      <c r="N93" s="511"/>
      <c r="O93" s="511"/>
      <c r="P93" s="511"/>
      <c r="Q93" s="511"/>
      <c r="R93" s="511"/>
      <c r="S93" s="511"/>
      <c r="T93" s="511"/>
      <c r="U93" s="511"/>
      <c r="V93" s="511"/>
      <c r="W93" s="511"/>
      <c r="X93" s="511"/>
      <c r="Y93" s="511"/>
      <c r="Z93" s="511"/>
    </row>
    <row r="94" spans="1:26" ht="19.5" customHeight="1" x14ac:dyDescent="0.3">
      <c r="A94" s="511"/>
      <c r="B94" s="511"/>
      <c r="C94" s="511"/>
      <c r="D94" s="511"/>
      <c r="E94" s="511"/>
      <c r="F94" s="511"/>
      <c r="G94" s="511"/>
      <c r="H94" s="511"/>
      <c r="I94" s="511"/>
      <c r="J94" s="511"/>
      <c r="K94" s="511"/>
      <c r="L94" s="511"/>
      <c r="M94" s="511"/>
      <c r="N94" s="511"/>
      <c r="O94" s="511"/>
      <c r="P94" s="511"/>
      <c r="Q94" s="511"/>
      <c r="R94" s="511"/>
      <c r="S94" s="511"/>
      <c r="T94" s="511"/>
      <c r="U94" s="511"/>
      <c r="V94" s="511"/>
      <c r="W94" s="511"/>
      <c r="X94" s="511"/>
      <c r="Y94" s="511"/>
      <c r="Z94" s="511"/>
    </row>
    <row r="95" spans="1:26" ht="19.5" customHeight="1" x14ac:dyDescent="0.3">
      <c r="A95" s="511"/>
      <c r="B95" s="511"/>
      <c r="C95" s="511"/>
      <c r="D95" s="511"/>
      <c r="E95" s="511"/>
      <c r="F95" s="511"/>
      <c r="G95" s="511"/>
      <c r="H95" s="511"/>
      <c r="I95" s="511"/>
      <c r="J95" s="511"/>
      <c r="K95" s="511"/>
      <c r="L95" s="511"/>
      <c r="M95" s="511"/>
      <c r="N95" s="511"/>
      <c r="O95" s="511"/>
      <c r="P95" s="511"/>
      <c r="Q95" s="511"/>
      <c r="R95" s="511"/>
      <c r="S95" s="511"/>
      <c r="T95" s="511"/>
      <c r="U95" s="511"/>
      <c r="V95" s="511"/>
      <c r="W95" s="511"/>
      <c r="X95" s="511"/>
      <c r="Y95" s="511"/>
      <c r="Z95" s="511"/>
    </row>
    <row r="96" spans="1:26" ht="19.5" customHeight="1" x14ac:dyDescent="0.3">
      <c r="A96" s="511"/>
      <c r="B96" s="511"/>
      <c r="C96" s="511"/>
      <c r="D96" s="511"/>
      <c r="E96" s="511"/>
      <c r="F96" s="511"/>
      <c r="G96" s="511"/>
      <c r="H96" s="511"/>
      <c r="I96" s="511"/>
      <c r="J96" s="511"/>
      <c r="K96" s="511"/>
      <c r="L96" s="511"/>
      <c r="M96" s="511"/>
      <c r="N96" s="511"/>
      <c r="O96" s="511"/>
      <c r="P96" s="511"/>
      <c r="Q96" s="511"/>
      <c r="R96" s="511"/>
      <c r="S96" s="511"/>
      <c r="T96" s="511"/>
      <c r="U96" s="511"/>
      <c r="V96" s="511"/>
      <c r="W96" s="511"/>
      <c r="X96" s="511"/>
      <c r="Y96" s="511"/>
      <c r="Z96" s="511"/>
    </row>
    <row r="97" spans="1:26" ht="19.5" customHeight="1" x14ac:dyDescent="0.3">
      <c r="A97" s="511"/>
      <c r="B97" s="511"/>
      <c r="C97" s="511"/>
      <c r="D97" s="511"/>
      <c r="E97" s="511"/>
      <c r="F97" s="511"/>
      <c r="G97" s="511"/>
      <c r="H97" s="511"/>
      <c r="I97" s="511"/>
      <c r="J97" s="511"/>
      <c r="K97" s="511"/>
      <c r="L97" s="511"/>
      <c r="M97" s="511"/>
      <c r="N97" s="511"/>
      <c r="O97" s="511"/>
      <c r="P97" s="511"/>
      <c r="Q97" s="511"/>
      <c r="R97" s="511"/>
      <c r="S97" s="511"/>
      <c r="T97" s="511"/>
      <c r="U97" s="511"/>
      <c r="V97" s="511"/>
      <c r="W97" s="511"/>
      <c r="X97" s="511"/>
      <c r="Y97" s="511"/>
      <c r="Z97" s="511"/>
    </row>
    <row r="98" spans="1:26" ht="19.5" customHeight="1" x14ac:dyDescent="0.3">
      <c r="A98" s="511"/>
      <c r="B98" s="511"/>
      <c r="C98" s="511"/>
      <c r="D98" s="511"/>
      <c r="E98" s="511"/>
      <c r="F98" s="511"/>
      <c r="G98" s="511"/>
      <c r="H98" s="511"/>
      <c r="I98" s="511"/>
      <c r="J98" s="511"/>
      <c r="K98" s="511"/>
      <c r="L98" s="511"/>
      <c r="M98" s="511"/>
      <c r="N98" s="511"/>
      <c r="O98" s="511"/>
      <c r="P98" s="511"/>
      <c r="Q98" s="511"/>
      <c r="R98" s="511"/>
      <c r="S98" s="511"/>
      <c r="T98" s="511"/>
      <c r="U98" s="511"/>
      <c r="V98" s="511"/>
      <c r="W98" s="511"/>
      <c r="X98" s="511"/>
      <c r="Y98" s="511"/>
      <c r="Z98" s="511"/>
    </row>
    <row r="99" spans="1:26" ht="19.5" customHeight="1" x14ac:dyDescent="0.3">
      <c r="A99" s="511"/>
      <c r="B99" s="511"/>
      <c r="C99" s="511"/>
      <c r="D99" s="511"/>
      <c r="E99" s="511"/>
      <c r="F99" s="511"/>
      <c r="G99" s="511"/>
      <c r="H99" s="511"/>
      <c r="I99" s="511"/>
      <c r="J99" s="511"/>
      <c r="K99" s="511"/>
      <c r="L99" s="511"/>
      <c r="M99" s="511"/>
      <c r="N99" s="511"/>
      <c r="O99" s="511"/>
      <c r="P99" s="511"/>
      <c r="Q99" s="511"/>
      <c r="R99" s="511"/>
      <c r="S99" s="511"/>
      <c r="T99" s="511"/>
      <c r="U99" s="511"/>
      <c r="V99" s="511"/>
      <c r="W99" s="511"/>
      <c r="X99" s="511"/>
      <c r="Y99" s="511"/>
      <c r="Z99" s="511"/>
    </row>
    <row r="100" spans="1:26" ht="19.5" customHeight="1" x14ac:dyDescent="0.3">
      <c r="A100" s="511"/>
      <c r="B100" s="511"/>
      <c r="C100" s="511"/>
      <c r="D100" s="511"/>
      <c r="E100" s="511"/>
      <c r="F100" s="511"/>
      <c r="G100" s="511"/>
      <c r="H100" s="511"/>
      <c r="I100" s="511"/>
      <c r="J100" s="511"/>
      <c r="K100" s="511"/>
      <c r="L100" s="511"/>
      <c r="M100" s="511"/>
      <c r="N100" s="511"/>
      <c r="O100" s="511"/>
      <c r="P100" s="511"/>
      <c r="Q100" s="511"/>
      <c r="R100" s="511"/>
      <c r="S100" s="511"/>
      <c r="T100" s="511"/>
      <c r="U100" s="511"/>
      <c r="V100" s="511"/>
      <c r="W100" s="511"/>
      <c r="X100" s="511"/>
      <c r="Y100" s="511"/>
      <c r="Z100" s="511"/>
    </row>
    <row r="101" spans="1:26" ht="19.5" customHeight="1" x14ac:dyDescent="0.3">
      <c r="A101" s="511"/>
      <c r="B101" s="511"/>
      <c r="C101" s="511"/>
      <c r="D101" s="511"/>
      <c r="E101" s="511"/>
      <c r="F101" s="511"/>
      <c r="G101" s="511"/>
      <c r="H101" s="511"/>
      <c r="I101" s="511"/>
      <c r="J101" s="511"/>
      <c r="K101" s="511"/>
      <c r="L101" s="511"/>
      <c r="M101" s="511"/>
      <c r="N101" s="511"/>
      <c r="O101" s="511"/>
      <c r="P101" s="511"/>
      <c r="Q101" s="511"/>
      <c r="R101" s="511"/>
      <c r="S101" s="511"/>
      <c r="T101" s="511"/>
      <c r="U101" s="511"/>
      <c r="V101" s="511"/>
      <c r="W101" s="511"/>
      <c r="X101" s="511"/>
      <c r="Y101" s="511"/>
      <c r="Z101" s="511"/>
    </row>
    <row r="102" spans="1:26" ht="19.5" customHeight="1" x14ac:dyDescent="0.3">
      <c r="A102" s="511"/>
      <c r="B102" s="511"/>
      <c r="C102" s="511"/>
      <c r="D102" s="511"/>
      <c r="E102" s="511"/>
      <c r="F102" s="511"/>
      <c r="G102" s="511"/>
      <c r="H102" s="511"/>
      <c r="I102" s="511"/>
      <c r="J102" s="511"/>
      <c r="K102" s="511"/>
      <c r="L102" s="511"/>
      <c r="M102" s="511"/>
      <c r="N102" s="511"/>
      <c r="O102" s="511"/>
      <c r="P102" s="511"/>
      <c r="Q102" s="511"/>
      <c r="R102" s="511"/>
      <c r="S102" s="511"/>
      <c r="T102" s="511"/>
      <c r="U102" s="511"/>
      <c r="V102" s="511"/>
      <c r="W102" s="511"/>
      <c r="X102" s="511"/>
      <c r="Y102" s="511"/>
      <c r="Z102" s="511"/>
    </row>
    <row r="103" spans="1:26" ht="19.5" customHeight="1" x14ac:dyDescent="0.3">
      <c r="A103" s="511"/>
      <c r="B103" s="511"/>
      <c r="C103" s="511"/>
      <c r="D103" s="511"/>
      <c r="E103" s="511"/>
      <c r="F103" s="511"/>
      <c r="G103" s="511"/>
      <c r="H103" s="511"/>
      <c r="I103" s="511"/>
      <c r="J103" s="511"/>
      <c r="K103" s="511"/>
      <c r="L103" s="511"/>
      <c r="M103" s="511"/>
      <c r="N103" s="511"/>
      <c r="O103" s="511"/>
      <c r="P103" s="511"/>
      <c r="Q103" s="511"/>
      <c r="R103" s="511"/>
      <c r="S103" s="511"/>
      <c r="T103" s="511"/>
      <c r="U103" s="511"/>
      <c r="V103" s="511"/>
      <c r="W103" s="511"/>
      <c r="X103" s="511"/>
      <c r="Y103" s="511"/>
      <c r="Z103" s="511"/>
    </row>
    <row r="104" spans="1:26" ht="19.5" customHeight="1" x14ac:dyDescent="0.3">
      <c r="A104" s="511"/>
      <c r="B104" s="511"/>
      <c r="C104" s="511"/>
      <c r="D104" s="511"/>
      <c r="E104" s="511"/>
      <c r="F104" s="511"/>
      <c r="G104" s="511"/>
      <c r="H104" s="511"/>
      <c r="I104" s="511"/>
      <c r="J104" s="511"/>
      <c r="K104" s="511"/>
      <c r="L104" s="511"/>
      <c r="M104" s="511"/>
      <c r="N104" s="511"/>
      <c r="O104" s="511"/>
      <c r="P104" s="511"/>
      <c r="Q104" s="511"/>
      <c r="R104" s="511"/>
      <c r="S104" s="511"/>
      <c r="T104" s="511"/>
      <c r="U104" s="511"/>
      <c r="V104" s="511"/>
      <c r="W104" s="511"/>
      <c r="X104" s="511"/>
      <c r="Y104" s="511"/>
      <c r="Z104" s="511"/>
    </row>
    <row r="105" spans="1:26" ht="19.5" customHeight="1" x14ac:dyDescent="0.3">
      <c r="A105" s="511"/>
      <c r="B105" s="511"/>
      <c r="C105" s="511"/>
      <c r="D105" s="511"/>
      <c r="E105" s="511"/>
      <c r="F105" s="511"/>
      <c r="G105" s="511"/>
      <c r="H105" s="511"/>
      <c r="I105" s="511"/>
      <c r="J105" s="511"/>
      <c r="K105" s="511"/>
      <c r="L105" s="511"/>
      <c r="M105" s="511"/>
      <c r="N105" s="511"/>
      <c r="O105" s="511"/>
      <c r="P105" s="511"/>
      <c r="Q105" s="511"/>
      <c r="R105" s="511"/>
      <c r="S105" s="511"/>
      <c r="T105" s="511"/>
      <c r="U105" s="511"/>
      <c r="V105" s="511"/>
      <c r="W105" s="511"/>
      <c r="X105" s="511"/>
      <c r="Y105" s="511"/>
      <c r="Z105" s="511"/>
    </row>
    <row r="106" spans="1:26" ht="19.5" customHeight="1" x14ac:dyDescent="0.3">
      <c r="A106" s="511"/>
      <c r="B106" s="511"/>
      <c r="C106" s="511"/>
      <c r="D106" s="511"/>
      <c r="E106" s="511"/>
      <c r="F106" s="511"/>
      <c r="G106" s="511"/>
      <c r="H106" s="511"/>
      <c r="I106" s="511"/>
      <c r="J106" s="511"/>
      <c r="K106" s="511"/>
      <c r="L106" s="511"/>
      <c r="M106" s="511"/>
      <c r="N106" s="511"/>
      <c r="O106" s="511"/>
      <c r="P106" s="511"/>
      <c r="Q106" s="511"/>
      <c r="R106" s="511"/>
      <c r="S106" s="511"/>
      <c r="T106" s="511"/>
      <c r="U106" s="511"/>
      <c r="V106" s="511"/>
      <c r="W106" s="511"/>
      <c r="X106" s="511"/>
      <c r="Y106" s="511"/>
      <c r="Z106" s="511"/>
    </row>
    <row r="107" spans="1:26" ht="19.5" customHeight="1" x14ac:dyDescent="0.3">
      <c r="A107" s="511"/>
      <c r="B107" s="511"/>
      <c r="C107" s="511"/>
      <c r="D107" s="511"/>
      <c r="E107" s="511"/>
      <c r="F107" s="511"/>
      <c r="G107" s="511"/>
      <c r="H107" s="511"/>
      <c r="I107" s="511"/>
      <c r="J107" s="511"/>
      <c r="K107" s="511"/>
      <c r="L107" s="511"/>
      <c r="M107" s="511"/>
      <c r="N107" s="511"/>
      <c r="O107" s="511"/>
      <c r="P107" s="511"/>
      <c r="Q107" s="511"/>
      <c r="R107" s="511"/>
      <c r="S107" s="511"/>
      <c r="T107" s="511"/>
      <c r="U107" s="511"/>
      <c r="V107" s="511"/>
      <c r="W107" s="511"/>
      <c r="X107" s="511"/>
      <c r="Y107" s="511"/>
      <c r="Z107" s="511"/>
    </row>
    <row r="108" spans="1:26" ht="19.5" customHeight="1" x14ac:dyDescent="0.3">
      <c r="A108" s="511"/>
      <c r="B108" s="511"/>
      <c r="C108" s="511"/>
      <c r="D108" s="511"/>
      <c r="E108" s="511"/>
      <c r="F108" s="511"/>
      <c r="G108" s="511"/>
      <c r="H108" s="511"/>
      <c r="I108" s="511"/>
      <c r="J108" s="511"/>
      <c r="K108" s="511"/>
      <c r="L108" s="511"/>
      <c r="M108" s="511"/>
      <c r="N108" s="511"/>
      <c r="O108" s="511"/>
      <c r="P108" s="511"/>
      <c r="Q108" s="511"/>
      <c r="R108" s="511"/>
      <c r="S108" s="511"/>
      <c r="T108" s="511"/>
      <c r="U108" s="511"/>
      <c r="V108" s="511"/>
      <c r="W108" s="511"/>
      <c r="X108" s="511"/>
      <c r="Y108" s="511"/>
      <c r="Z108" s="511"/>
    </row>
    <row r="109" spans="1:26" ht="19.5" customHeight="1" x14ac:dyDescent="0.3">
      <c r="A109" s="511"/>
      <c r="B109" s="511"/>
      <c r="C109" s="511"/>
      <c r="D109" s="511"/>
      <c r="E109" s="511"/>
      <c r="F109" s="511"/>
      <c r="G109" s="511"/>
      <c r="H109" s="511"/>
      <c r="I109" s="511"/>
      <c r="J109" s="511"/>
      <c r="K109" s="511"/>
      <c r="L109" s="511"/>
      <c r="M109" s="511"/>
      <c r="N109" s="511"/>
      <c r="O109" s="511"/>
      <c r="P109" s="511"/>
      <c r="Q109" s="511"/>
      <c r="R109" s="511"/>
      <c r="S109" s="511"/>
      <c r="T109" s="511"/>
      <c r="U109" s="511"/>
      <c r="V109" s="511"/>
      <c r="W109" s="511"/>
      <c r="X109" s="511"/>
      <c r="Y109" s="511"/>
      <c r="Z109" s="511"/>
    </row>
    <row r="110" spans="1:26" ht="19.5" customHeight="1" x14ac:dyDescent="0.3">
      <c r="A110" s="511"/>
      <c r="B110" s="511"/>
      <c r="C110" s="511"/>
      <c r="D110" s="511"/>
      <c r="E110" s="511"/>
      <c r="F110" s="511"/>
      <c r="G110" s="511"/>
      <c r="H110" s="511"/>
      <c r="I110" s="511"/>
      <c r="J110" s="511"/>
      <c r="K110" s="511"/>
      <c r="L110" s="511"/>
      <c r="M110" s="511"/>
      <c r="N110" s="511"/>
      <c r="O110" s="511"/>
      <c r="P110" s="511"/>
      <c r="Q110" s="511"/>
      <c r="R110" s="511"/>
      <c r="S110" s="511"/>
      <c r="T110" s="511"/>
      <c r="U110" s="511"/>
      <c r="V110" s="511"/>
      <c r="W110" s="511"/>
      <c r="X110" s="511"/>
      <c r="Y110" s="511"/>
      <c r="Z110" s="511"/>
    </row>
    <row r="111" spans="1:26" ht="19.5" customHeight="1" x14ac:dyDescent="0.3">
      <c r="A111" s="511"/>
      <c r="B111" s="511"/>
      <c r="C111" s="511"/>
      <c r="D111" s="511"/>
      <c r="E111" s="511"/>
      <c r="F111" s="511"/>
      <c r="G111" s="511"/>
      <c r="H111" s="511"/>
      <c r="I111" s="511"/>
      <c r="J111" s="511"/>
      <c r="K111" s="511"/>
      <c r="L111" s="511"/>
      <c r="M111" s="511"/>
      <c r="N111" s="511"/>
      <c r="O111" s="511"/>
      <c r="P111" s="511"/>
      <c r="Q111" s="511"/>
      <c r="R111" s="511"/>
      <c r="S111" s="511"/>
      <c r="T111" s="511"/>
      <c r="U111" s="511"/>
      <c r="V111" s="511"/>
      <c r="W111" s="511"/>
      <c r="X111" s="511"/>
      <c r="Y111" s="511"/>
      <c r="Z111" s="511"/>
    </row>
    <row r="112" spans="1:26" ht="19.5" customHeight="1" x14ac:dyDescent="0.3">
      <c r="A112" s="511"/>
      <c r="B112" s="511"/>
      <c r="C112" s="511"/>
      <c r="D112" s="511"/>
      <c r="E112" s="511"/>
      <c r="F112" s="511"/>
      <c r="G112" s="511"/>
      <c r="H112" s="511"/>
      <c r="I112" s="511"/>
      <c r="J112" s="511"/>
      <c r="K112" s="511"/>
      <c r="L112" s="511"/>
      <c r="M112" s="511"/>
      <c r="N112" s="511"/>
      <c r="O112" s="511"/>
      <c r="P112" s="511"/>
      <c r="Q112" s="511"/>
      <c r="R112" s="511"/>
      <c r="S112" s="511"/>
      <c r="T112" s="511"/>
      <c r="U112" s="511"/>
      <c r="V112" s="511"/>
      <c r="W112" s="511"/>
      <c r="X112" s="511"/>
      <c r="Y112" s="511"/>
      <c r="Z112" s="511"/>
    </row>
    <row r="113" spans="1:26" ht="19.5" customHeight="1" x14ac:dyDescent="0.3">
      <c r="A113" s="511"/>
      <c r="B113" s="511"/>
      <c r="C113" s="511"/>
      <c r="D113" s="511"/>
      <c r="E113" s="511"/>
      <c r="F113" s="511"/>
      <c r="G113" s="511"/>
      <c r="H113" s="511"/>
      <c r="I113" s="511"/>
      <c r="J113" s="511"/>
      <c r="K113" s="511"/>
      <c r="L113" s="511"/>
      <c r="M113" s="511"/>
      <c r="N113" s="511"/>
      <c r="O113" s="511"/>
      <c r="P113" s="511"/>
      <c r="Q113" s="511"/>
      <c r="R113" s="511"/>
      <c r="S113" s="511"/>
      <c r="T113" s="511"/>
      <c r="U113" s="511"/>
      <c r="V113" s="511"/>
      <c r="W113" s="511"/>
      <c r="X113" s="511"/>
      <c r="Y113" s="511"/>
      <c r="Z113" s="511"/>
    </row>
    <row r="114" spans="1:26" ht="19.5" customHeight="1" x14ac:dyDescent="0.3">
      <c r="A114" s="511"/>
      <c r="B114" s="511"/>
      <c r="C114" s="511"/>
      <c r="D114" s="511"/>
      <c r="E114" s="511"/>
      <c r="F114" s="511"/>
      <c r="G114" s="511"/>
      <c r="H114" s="511"/>
      <c r="I114" s="511"/>
      <c r="J114" s="511"/>
      <c r="K114" s="511"/>
      <c r="L114" s="511"/>
      <c r="M114" s="511"/>
      <c r="N114" s="511"/>
      <c r="O114" s="511"/>
      <c r="P114" s="511"/>
      <c r="Q114" s="511"/>
      <c r="R114" s="511"/>
      <c r="S114" s="511"/>
      <c r="T114" s="511"/>
      <c r="U114" s="511"/>
      <c r="V114" s="511"/>
      <c r="W114" s="511"/>
      <c r="X114" s="511"/>
      <c r="Y114" s="511"/>
      <c r="Z114" s="511"/>
    </row>
    <row r="115" spans="1:26" ht="19.5" customHeight="1" x14ac:dyDescent="0.3">
      <c r="A115" s="511"/>
      <c r="B115" s="511"/>
      <c r="C115" s="511"/>
      <c r="D115" s="511"/>
      <c r="E115" s="511"/>
      <c r="F115" s="511"/>
      <c r="G115" s="511"/>
      <c r="H115" s="511"/>
      <c r="I115" s="511"/>
      <c r="J115" s="511"/>
      <c r="K115" s="511"/>
      <c r="L115" s="511"/>
      <c r="M115" s="511"/>
      <c r="N115" s="511"/>
      <c r="O115" s="511"/>
      <c r="P115" s="511"/>
      <c r="Q115" s="511"/>
      <c r="R115" s="511"/>
      <c r="S115" s="511"/>
      <c r="T115" s="511"/>
      <c r="U115" s="511"/>
      <c r="V115" s="511"/>
      <c r="W115" s="511"/>
      <c r="X115" s="511"/>
      <c r="Y115" s="511"/>
      <c r="Z115" s="511"/>
    </row>
    <row r="116" spans="1:26" ht="19.5" customHeight="1" x14ac:dyDescent="0.3">
      <c r="A116" s="511"/>
      <c r="B116" s="511"/>
      <c r="C116" s="511"/>
      <c r="D116" s="511"/>
      <c r="E116" s="511"/>
      <c r="F116" s="511"/>
      <c r="G116" s="511"/>
      <c r="H116" s="511"/>
      <c r="I116" s="511"/>
      <c r="J116" s="511"/>
      <c r="K116" s="511"/>
      <c r="L116" s="511"/>
      <c r="M116" s="511"/>
      <c r="N116" s="511"/>
      <c r="O116" s="511"/>
      <c r="P116" s="511"/>
      <c r="Q116" s="511"/>
      <c r="R116" s="511"/>
      <c r="S116" s="511"/>
      <c r="T116" s="511"/>
      <c r="U116" s="511"/>
      <c r="V116" s="511"/>
      <c r="W116" s="511"/>
      <c r="X116" s="511"/>
      <c r="Y116" s="511"/>
      <c r="Z116" s="511"/>
    </row>
    <row r="117" spans="1:26" ht="19.5" customHeight="1" x14ac:dyDescent="0.3">
      <c r="A117" s="511"/>
      <c r="B117" s="511"/>
      <c r="C117" s="511"/>
      <c r="D117" s="511"/>
      <c r="E117" s="511"/>
      <c r="F117" s="511"/>
      <c r="G117" s="511"/>
      <c r="H117" s="511"/>
      <c r="I117" s="511"/>
      <c r="J117" s="511"/>
      <c r="K117" s="511"/>
      <c r="L117" s="511"/>
      <c r="M117" s="511"/>
      <c r="N117" s="511"/>
      <c r="O117" s="511"/>
      <c r="P117" s="511"/>
      <c r="Q117" s="511"/>
      <c r="R117" s="511"/>
      <c r="S117" s="511"/>
      <c r="T117" s="511"/>
      <c r="U117" s="511"/>
      <c r="V117" s="511"/>
      <c r="W117" s="511"/>
      <c r="X117" s="511"/>
      <c r="Y117" s="511"/>
      <c r="Z117" s="511"/>
    </row>
    <row r="118" spans="1:26" ht="19.5" customHeight="1" x14ac:dyDescent="0.3">
      <c r="A118" s="511"/>
      <c r="B118" s="511"/>
      <c r="C118" s="511"/>
      <c r="D118" s="511"/>
      <c r="E118" s="511"/>
      <c r="F118" s="511"/>
      <c r="G118" s="511"/>
      <c r="H118" s="511"/>
      <c r="I118" s="511"/>
      <c r="J118" s="511"/>
      <c r="K118" s="511"/>
      <c r="L118" s="511"/>
      <c r="M118" s="511"/>
      <c r="N118" s="511"/>
      <c r="O118" s="511"/>
      <c r="P118" s="511"/>
      <c r="Q118" s="511"/>
      <c r="R118" s="511"/>
      <c r="S118" s="511"/>
      <c r="T118" s="511"/>
      <c r="U118" s="511"/>
      <c r="V118" s="511"/>
      <c r="W118" s="511"/>
      <c r="X118" s="511"/>
      <c r="Y118" s="511"/>
      <c r="Z118" s="511"/>
    </row>
    <row r="119" spans="1:26" ht="19.5" customHeight="1" x14ac:dyDescent="0.3">
      <c r="A119" s="511"/>
      <c r="B119" s="511"/>
      <c r="C119" s="511"/>
      <c r="D119" s="511"/>
      <c r="E119" s="511"/>
      <c r="F119" s="511"/>
      <c r="G119" s="511"/>
      <c r="H119" s="511"/>
      <c r="I119" s="511"/>
      <c r="J119" s="511"/>
      <c r="K119" s="511"/>
      <c r="L119" s="511"/>
      <c r="M119" s="511"/>
      <c r="N119" s="511"/>
      <c r="O119" s="511"/>
      <c r="P119" s="511"/>
      <c r="Q119" s="511"/>
      <c r="R119" s="511"/>
      <c r="S119" s="511"/>
      <c r="T119" s="511"/>
      <c r="U119" s="511"/>
      <c r="V119" s="511"/>
      <c r="W119" s="511"/>
      <c r="X119" s="511"/>
      <c r="Y119" s="511"/>
      <c r="Z119" s="511"/>
    </row>
    <row r="120" spans="1:26" ht="19.5" customHeight="1" x14ac:dyDescent="0.3">
      <c r="A120" s="511"/>
      <c r="B120" s="511"/>
      <c r="C120" s="511"/>
      <c r="D120" s="511"/>
      <c r="E120" s="511"/>
      <c r="F120" s="511"/>
      <c r="G120" s="511"/>
      <c r="H120" s="511"/>
      <c r="I120" s="511"/>
      <c r="J120" s="511"/>
      <c r="K120" s="511"/>
      <c r="L120" s="511"/>
      <c r="M120" s="511"/>
      <c r="N120" s="511"/>
      <c r="O120" s="511"/>
      <c r="P120" s="511"/>
      <c r="Q120" s="511"/>
      <c r="R120" s="511"/>
      <c r="S120" s="511"/>
      <c r="T120" s="511"/>
      <c r="U120" s="511"/>
      <c r="V120" s="511"/>
      <c r="W120" s="511"/>
      <c r="X120" s="511"/>
      <c r="Y120" s="511"/>
      <c r="Z120" s="511"/>
    </row>
    <row r="121" spans="1:26" ht="19.5" customHeight="1" x14ac:dyDescent="0.3">
      <c r="A121" s="511"/>
      <c r="B121" s="511"/>
      <c r="C121" s="511"/>
      <c r="D121" s="511"/>
      <c r="E121" s="511"/>
      <c r="F121" s="511"/>
      <c r="G121" s="511"/>
      <c r="H121" s="511"/>
      <c r="I121" s="511"/>
      <c r="J121" s="511"/>
      <c r="K121" s="511"/>
      <c r="L121" s="511"/>
      <c r="M121" s="511"/>
      <c r="N121" s="511"/>
      <c r="O121" s="511"/>
      <c r="P121" s="511"/>
      <c r="Q121" s="511"/>
      <c r="R121" s="511"/>
      <c r="S121" s="511"/>
      <c r="T121" s="511"/>
      <c r="U121" s="511"/>
      <c r="V121" s="511"/>
      <c r="W121" s="511"/>
      <c r="X121" s="511"/>
      <c r="Y121" s="511"/>
      <c r="Z121" s="511"/>
    </row>
    <row r="122" spans="1:26" ht="19.5" customHeight="1" x14ac:dyDescent="0.3">
      <c r="A122" s="511"/>
      <c r="B122" s="511"/>
      <c r="C122" s="511"/>
      <c r="D122" s="511"/>
      <c r="E122" s="511"/>
      <c r="F122" s="511"/>
      <c r="G122" s="511"/>
      <c r="H122" s="511"/>
      <c r="I122" s="511"/>
      <c r="J122" s="511"/>
      <c r="K122" s="511"/>
      <c r="L122" s="511"/>
      <c r="M122" s="511"/>
      <c r="N122" s="511"/>
      <c r="O122" s="511"/>
      <c r="P122" s="511"/>
      <c r="Q122" s="511"/>
      <c r="R122" s="511"/>
      <c r="S122" s="511"/>
      <c r="T122" s="511"/>
      <c r="U122" s="511"/>
      <c r="V122" s="511"/>
      <c r="W122" s="511"/>
      <c r="X122" s="511"/>
      <c r="Y122" s="511"/>
      <c r="Z122" s="511"/>
    </row>
    <row r="123" spans="1:26" ht="19.5" customHeight="1" x14ac:dyDescent="0.3">
      <c r="A123" s="511"/>
      <c r="B123" s="511"/>
      <c r="C123" s="511"/>
      <c r="D123" s="511"/>
      <c r="E123" s="511"/>
      <c r="F123" s="511"/>
      <c r="G123" s="511"/>
      <c r="H123" s="511"/>
      <c r="I123" s="511"/>
      <c r="J123" s="511"/>
      <c r="K123" s="511"/>
      <c r="L123" s="511"/>
      <c r="M123" s="511"/>
      <c r="N123" s="511"/>
      <c r="O123" s="511"/>
      <c r="P123" s="511"/>
      <c r="Q123" s="511"/>
      <c r="R123" s="511"/>
      <c r="S123" s="511"/>
      <c r="T123" s="511"/>
      <c r="U123" s="511"/>
      <c r="V123" s="511"/>
      <c r="W123" s="511"/>
      <c r="X123" s="511"/>
      <c r="Y123" s="511"/>
      <c r="Z123" s="511"/>
    </row>
    <row r="124" spans="1:26" ht="19.5" customHeight="1" x14ac:dyDescent="0.3">
      <c r="A124" s="511"/>
      <c r="B124" s="511"/>
      <c r="C124" s="511"/>
      <c r="D124" s="511"/>
      <c r="E124" s="511"/>
      <c r="F124" s="511"/>
      <c r="G124" s="511"/>
      <c r="H124" s="511"/>
      <c r="I124" s="511"/>
      <c r="J124" s="511"/>
      <c r="K124" s="511"/>
      <c r="L124" s="511"/>
      <c r="M124" s="511"/>
      <c r="N124" s="511"/>
      <c r="O124" s="511"/>
      <c r="P124" s="511"/>
      <c r="Q124" s="511"/>
      <c r="R124" s="511"/>
      <c r="S124" s="511"/>
      <c r="T124" s="511"/>
      <c r="U124" s="511"/>
      <c r="V124" s="511"/>
      <c r="W124" s="511"/>
      <c r="X124" s="511"/>
      <c r="Y124" s="511"/>
      <c r="Z124" s="511"/>
    </row>
    <row r="125" spans="1:26" ht="19.5" customHeight="1" x14ac:dyDescent="0.3">
      <c r="A125" s="511"/>
      <c r="B125" s="511"/>
      <c r="C125" s="511"/>
      <c r="D125" s="511"/>
      <c r="E125" s="511"/>
      <c r="F125" s="511"/>
      <c r="G125" s="511"/>
      <c r="H125" s="511"/>
      <c r="I125" s="511"/>
      <c r="J125" s="511"/>
      <c r="K125" s="511"/>
      <c r="L125" s="511"/>
      <c r="M125" s="511"/>
      <c r="N125" s="511"/>
      <c r="O125" s="511"/>
      <c r="P125" s="511"/>
      <c r="Q125" s="511"/>
      <c r="R125" s="511"/>
      <c r="S125" s="511"/>
      <c r="T125" s="511"/>
      <c r="U125" s="511"/>
      <c r="V125" s="511"/>
      <c r="W125" s="511"/>
      <c r="X125" s="511"/>
      <c r="Y125" s="511"/>
      <c r="Z125" s="511"/>
    </row>
    <row r="126" spans="1:26" ht="19.5" customHeight="1" x14ac:dyDescent="0.3">
      <c r="A126" s="511"/>
      <c r="B126" s="511"/>
      <c r="C126" s="511"/>
      <c r="D126" s="511"/>
      <c r="E126" s="511"/>
      <c r="F126" s="511"/>
      <c r="G126" s="511"/>
      <c r="H126" s="511"/>
      <c r="I126" s="511"/>
      <c r="J126" s="511"/>
      <c r="K126" s="511"/>
      <c r="L126" s="511"/>
      <c r="M126" s="511"/>
      <c r="N126" s="511"/>
      <c r="O126" s="511"/>
      <c r="P126" s="511"/>
      <c r="Q126" s="511"/>
      <c r="R126" s="511"/>
      <c r="S126" s="511"/>
      <c r="T126" s="511"/>
      <c r="U126" s="511"/>
      <c r="V126" s="511"/>
      <c r="W126" s="511"/>
      <c r="X126" s="511"/>
      <c r="Y126" s="511"/>
      <c r="Z126" s="511"/>
    </row>
    <row r="127" spans="1:26" ht="19.5" customHeight="1" x14ac:dyDescent="0.3">
      <c r="A127" s="511"/>
      <c r="B127" s="511"/>
      <c r="C127" s="511"/>
      <c r="D127" s="511"/>
      <c r="E127" s="511"/>
      <c r="F127" s="511"/>
      <c r="G127" s="511"/>
      <c r="H127" s="511"/>
      <c r="I127" s="511"/>
      <c r="J127" s="511"/>
      <c r="K127" s="511"/>
      <c r="L127" s="511"/>
      <c r="M127" s="511"/>
      <c r="N127" s="511"/>
      <c r="O127" s="511"/>
      <c r="P127" s="511"/>
      <c r="Q127" s="511"/>
      <c r="R127" s="511"/>
      <c r="S127" s="511"/>
      <c r="T127" s="511"/>
      <c r="U127" s="511"/>
      <c r="V127" s="511"/>
      <c r="W127" s="511"/>
      <c r="X127" s="511"/>
      <c r="Y127" s="511"/>
      <c r="Z127" s="511"/>
    </row>
    <row r="128" spans="1:26" ht="19.5" customHeight="1" x14ac:dyDescent="0.3">
      <c r="A128" s="511"/>
      <c r="B128" s="511"/>
      <c r="C128" s="511"/>
      <c r="D128" s="511"/>
      <c r="E128" s="511"/>
      <c r="F128" s="511"/>
      <c r="G128" s="511"/>
      <c r="H128" s="511"/>
      <c r="I128" s="511"/>
      <c r="J128" s="511"/>
      <c r="K128" s="511"/>
      <c r="L128" s="511"/>
      <c r="M128" s="511"/>
      <c r="N128" s="511"/>
      <c r="O128" s="511"/>
      <c r="P128" s="511"/>
      <c r="Q128" s="511"/>
      <c r="R128" s="511"/>
      <c r="S128" s="511"/>
      <c r="T128" s="511"/>
      <c r="U128" s="511"/>
      <c r="V128" s="511"/>
      <c r="W128" s="511"/>
      <c r="X128" s="511"/>
      <c r="Y128" s="511"/>
      <c r="Z128" s="511"/>
    </row>
    <row r="129" spans="1:26" ht="19.5" customHeight="1" x14ac:dyDescent="0.3">
      <c r="A129" s="511"/>
      <c r="B129" s="511"/>
      <c r="C129" s="511"/>
      <c r="D129" s="511"/>
      <c r="E129" s="511"/>
      <c r="F129" s="511"/>
      <c r="G129" s="511"/>
      <c r="H129" s="511"/>
      <c r="I129" s="511"/>
      <c r="J129" s="511"/>
      <c r="K129" s="511"/>
      <c r="L129" s="511"/>
      <c r="M129" s="511"/>
      <c r="N129" s="511"/>
      <c r="O129" s="511"/>
      <c r="P129" s="511"/>
      <c r="Q129" s="511"/>
      <c r="R129" s="511"/>
      <c r="S129" s="511"/>
      <c r="T129" s="511"/>
      <c r="U129" s="511"/>
      <c r="V129" s="511"/>
      <c r="W129" s="511"/>
      <c r="X129" s="511"/>
      <c r="Y129" s="511"/>
      <c r="Z129" s="511"/>
    </row>
    <row r="130" spans="1:26" ht="19.5" customHeight="1" x14ac:dyDescent="0.3">
      <c r="A130" s="511"/>
      <c r="B130" s="511"/>
      <c r="C130" s="511"/>
      <c r="D130" s="511"/>
      <c r="E130" s="511"/>
      <c r="F130" s="511"/>
      <c r="G130" s="511"/>
      <c r="H130" s="511"/>
      <c r="I130" s="511"/>
      <c r="J130" s="511"/>
      <c r="K130" s="511"/>
      <c r="L130" s="511"/>
      <c r="M130" s="511"/>
      <c r="N130" s="511"/>
      <c r="O130" s="511"/>
      <c r="P130" s="511"/>
      <c r="Q130" s="511"/>
      <c r="R130" s="511"/>
      <c r="S130" s="511"/>
      <c r="T130" s="511"/>
      <c r="U130" s="511"/>
      <c r="V130" s="511"/>
      <c r="W130" s="511"/>
      <c r="X130" s="511"/>
      <c r="Y130" s="511"/>
      <c r="Z130" s="511"/>
    </row>
    <row r="131" spans="1:26" ht="19.5" customHeight="1" x14ac:dyDescent="0.3">
      <c r="A131" s="511"/>
      <c r="B131" s="511"/>
      <c r="C131" s="511"/>
      <c r="D131" s="511"/>
      <c r="E131" s="511"/>
      <c r="F131" s="511"/>
      <c r="G131" s="511"/>
      <c r="H131" s="511"/>
      <c r="I131" s="511"/>
      <c r="J131" s="511"/>
      <c r="K131" s="511"/>
      <c r="L131" s="511"/>
      <c r="M131" s="511"/>
      <c r="N131" s="511"/>
      <c r="O131" s="511"/>
      <c r="P131" s="511"/>
      <c r="Q131" s="511"/>
      <c r="R131" s="511"/>
      <c r="S131" s="511"/>
      <c r="T131" s="511"/>
      <c r="U131" s="511"/>
      <c r="V131" s="511"/>
      <c r="W131" s="511"/>
      <c r="X131" s="511"/>
      <c r="Y131" s="511"/>
      <c r="Z131" s="511"/>
    </row>
    <row r="132" spans="1:26" ht="19.5" customHeight="1" x14ac:dyDescent="0.3">
      <c r="A132" s="511"/>
      <c r="B132" s="511"/>
      <c r="C132" s="511"/>
      <c r="D132" s="511"/>
      <c r="E132" s="511"/>
      <c r="F132" s="511"/>
      <c r="G132" s="511"/>
      <c r="H132" s="511"/>
      <c r="I132" s="511"/>
      <c r="J132" s="511"/>
      <c r="K132" s="511"/>
      <c r="L132" s="511"/>
      <c r="M132" s="511"/>
      <c r="N132" s="511"/>
      <c r="O132" s="511"/>
      <c r="P132" s="511"/>
      <c r="Q132" s="511"/>
      <c r="R132" s="511"/>
      <c r="S132" s="511"/>
      <c r="T132" s="511"/>
      <c r="U132" s="511"/>
      <c r="V132" s="511"/>
      <c r="W132" s="511"/>
      <c r="X132" s="511"/>
      <c r="Y132" s="511"/>
      <c r="Z132" s="511"/>
    </row>
    <row r="133" spans="1:26" ht="19.5" customHeight="1" x14ac:dyDescent="0.3">
      <c r="A133" s="511"/>
      <c r="B133" s="511"/>
      <c r="C133" s="511"/>
      <c r="D133" s="511"/>
      <c r="E133" s="511"/>
      <c r="F133" s="511"/>
      <c r="G133" s="511"/>
      <c r="H133" s="511"/>
      <c r="I133" s="511"/>
      <c r="J133" s="511"/>
      <c r="K133" s="511"/>
      <c r="L133" s="511"/>
      <c r="M133" s="511"/>
      <c r="N133" s="511"/>
      <c r="O133" s="511"/>
      <c r="P133" s="511"/>
      <c r="Q133" s="511"/>
      <c r="R133" s="511"/>
      <c r="S133" s="511"/>
      <c r="T133" s="511"/>
      <c r="U133" s="511"/>
      <c r="V133" s="511"/>
      <c r="W133" s="511"/>
      <c r="X133" s="511"/>
      <c r="Y133" s="511"/>
      <c r="Z133" s="511"/>
    </row>
    <row r="134" spans="1:26" ht="19.5" customHeight="1" x14ac:dyDescent="0.3">
      <c r="A134" s="511"/>
      <c r="B134" s="511"/>
      <c r="C134" s="511"/>
      <c r="D134" s="511"/>
      <c r="E134" s="511"/>
      <c r="F134" s="511"/>
      <c r="G134" s="511"/>
      <c r="H134" s="511"/>
      <c r="I134" s="511"/>
      <c r="J134" s="511"/>
      <c r="K134" s="511"/>
      <c r="L134" s="511"/>
      <c r="M134" s="511"/>
      <c r="N134" s="511"/>
      <c r="O134" s="511"/>
      <c r="P134" s="511"/>
      <c r="Q134" s="511"/>
      <c r="R134" s="511"/>
      <c r="S134" s="511"/>
      <c r="T134" s="511"/>
      <c r="U134" s="511"/>
      <c r="V134" s="511"/>
      <c r="W134" s="511"/>
      <c r="X134" s="511"/>
      <c r="Y134" s="511"/>
      <c r="Z134" s="511"/>
    </row>
    <row r="135" spans="1:26" ht="19.5" customHeight="1" x14ac:dyDescent="0.3">
      <c r="A135" s="511"/>
      <c r="B135" s="511"/>
      <c r="C135" s="511"/>
      <c r="D135" s="511"/>
      <c r="E135" s="511"/>
      <c r="F135" s="511"/>
      <c r="G135" s="511"/>
      <c r="H135" s="511"/>
      <c r="I135" s="511"/>
      <c r="J135" s="511"/>
      <c r="K135" s="511"/>
      <c r="L135" s="511"/>
      <c r="M135" s="511"/>
      <c r="N135" s="511"/>
      <c r="O135" s="511"/>
      <c r="P135" s="511"/>
      <c r="Q135" s="511"/>
      <c r="R135" s="511"/>
      <c r="S135" s="511"/>
      <c r="T135" s="511"/>
      <c r="U135" s="511"/>
      <c r="V135" s="511"/>
      <c r="W135" s="511"/>
      <c r="X135" s="511"/>
      <c r="Y135" s="511"/>
      <c r="Z135" s="511"/>
    </row>
    <row r="136" spans="1:26" ht="19.5" customHeight="1" x14ac:dyDescent="0.3">
      <c r="A136" s="511"/>
      <c r="B136" s="511"/>
      <c r="C136" s="511"/>
      <c r="D136" s="511"/>
      <c r="E136" s="511"/>
      <c r="F136" s="511"/>
      <c r="G136" s="511"/>
      <c r="H136" s="511"/>
      <c r="I136" s="511"/>
      <c r="J136" s="511"/>
      <c r="K136" s="511"/>
      <c r="L136" s="511"/>
      <c r="M136" s="511"/>
      <c r="N136" s="511"/>
      <c r="O136" s="511"/>
      <c r="P136" s="511"/>
      <c r="Q136" s="511"/>
      <c r="R136" s="511"/>
      <c r="S136" s="511"/>
      <c r="T136" s="511"/>
      <c r="U136" s="511"/>
      <c r="V136" s="511"/>
      <c r="W136" s="511"/>
      <c r="X136" s="511"/>
      <c r="Y136" s="511"/>
      <c r="Z136" s="511"/>
    </row>
    <row r="137" spans="1:26" ht="19.5" customHeight="1" x14ac:dyDescent="0.3">
      <c r="A137" s="511"/>
      <c r="B137" s="511"/>
      <c r="C137" s="511"/>
      <c r="D137" s="511"/>
      <c r="E137" s="511"/>
      <c r="F137" s="511"/>
      <c r="G137" s="511"/>
      <c r="H137" s="511"/>
      <c r="I137" s="511"/>
      <c r="J137" s="511"/>
      <c r="K137" s="511"/>
      <c r="L137" s="511"/>
      <c r="M137" s="511"/>
      <c r="N137" s="511"/>
      <c r="O137" s="511"/>
      <c r="P137" s="511"/>
      <c r="Q137" s="511"/>
      <c r="R137" s="511"/>
      <c r="S137" s="511"/>
      <c r="T137" s="511"/>
      <c r="U137" s="511"/>
      <c r="V137" s="511"/>
      <c r="W137" s="511"/>
      <c r="X137" s="511"/>
      <c r="Y137" s="511"/>
      <c r="Z137" s="511"/>
    </row>
    <row r="138" spans="1:26" ht="19.5" customHeight="1" x14ac:dyDescent="0.3">
      <c r="A138" s="511"/>
      <c r="B138" s="511"/>
      <c r="C138" s="511"/>
      <c r="D138" s="511"/>
      <c r="E138" s="511"/>
      <c r="F138" s="511"/>
      <c r="G138" s="511"/>
      <c r="H138" s="511"/>
      <c r="I138" s="511"/>
      <c r="J138" s="511"/>
      <c r="K138" s="511"/>
      <c r="L138" s="511"/>
      <c r="M138" s="511"/>
      <c r="N138" s="511"/>
      <c r="O138" s="511"/>
      <c r="P138" s="511"/>
      <c r="Q138" s="511"/>
      <c r="R138" s="511"/>
      <c r="S138" s="511"/>
      <c r="T138" s="511"/>
      <c r="U138" s="511"/>
      <c r="V138" s="511"/>
      <c r="W138" s="511"/>
      <c r="X138" s="511"/>
      <c r="Y138" s="511"/>
      <c r="Z138" s="511"/>
    </row>
    <row r="139" spans="1:26" ht="19.5" customHeight="1" x14ac:dyDescent="0.3">
      <c r="A139" s="511"/>
      <c r="B139" s="511"/>
      <c r="C139" s="511"/>
      <c r="D139" s="511"/>
      <c r="E139" s="511"/>
      <c r="F139" s="511"/>
      <c r="G139" s="511"/>
      <c r="H139" s="511"/>
      <c r="I139" s="511"/>
      <c r="J139" s="511"/>
      <c r="K139" s="511"/>
      <c r="L139" s="511"/>
      <c r="M139" s="511"/>
      <c r="N139" s="511"/>
      <c r="O139" s="511"/>
      <c r="P139" s="511"/>
      <c r="Q139" s="511"/>
      <c r="R139" s="511"/>
      <c r="S139" s="511"/>
      <c r="T139" s="511"/>
      <c r="U139" s="511"/>
      <c r="V139" s="511"/>
      <c r="W139" s="511"/>
      <c r="X139" s="511"/>
      <c r="Y139" s="511"/>
      <c r="Z139" s="511"/>
    </row>
    <row r="140" spans="1:26" ht="19.5" customHeight="1" x14ac:dyDescent="0.3">
      <c r="A140" s="511"/>
      <c r="B140" s="511"/>
      <c r="C140" s="511"/>
      <c r="D140" s="511"/>
      <c r="E140" s="511"/>
      <c r="F140" s="511"/>
      <c r="G140" s="511"/>
      <c r="H140" s="511"/>
      <c r="I140" s="511"/>
      <c r="J140" s="511"/>
      <c r="K140" s="511"/>
      <c r="L140" s="511"/>
      <c r="M140" s="511"/>
      <c r="N140" s="511"/>
      <c r="O140" s="511"/>
      <c r="P140" s="511"/>
      <c r="Q140" s="511"/>
      <c r="R140" s="511"/>
      <c r="S140" s="511"/>
      <c r="T140" s="511"/>
      <c r="U140" s="511"/>
      <c r="V140" s="511"/>
      <c r="W140" s="511"/>
      <c r="X140" s="511"/>
      <c r="Y140" s="511"/>
      <c r="Z140" s="511"/>
    </row>
    <row r="141" spans="1:26" ht="19.5" customHeight="1" x14ac:dyDescent="0.3">
      <c r="A141" s="511"/>
      <c r="B141" s="511"/>
      <c r="C141" s="511"/>
      <c r="D141" s="511"/>
      <c r="E141" s="511"/>
      <c r="F141" s="511"/>
      <c r="G141" s="511"/>
      <c r="H141" s="511"/>
      <c r="I141" s="511"/>
      <c r="J141" s="511"/>
      <c r="K141" s="511"/>
      <c r="L141" s="511"/>
      <c r="M141" s="511"/>
      <c r="N141" s="511"/>
      <c r="O141" s="511"/>
      <c r="P141" s="511"/>
      <c r="Q141" s="511"/>
      <c r="R141" s="511"/>
      <c r="S141" s="511"/>
      <c r="T141" s="511"/>
      <c r="U141" s="511"/>
      <c r="V141" s="511"/>
      <c r="W141" s="511"/>
      <c r="X141" s="511"/>
      <c r="Y141" s="511"/>
      <c r="Z141" s="511"/>
    </row>
    <row r="142" spans="1:26" ht="19.5" customHeight="1" x14ac:dyDescent="0.3">
      <c r="A142" s="511"/>
      <c r="B142" s="511"/>
      <c r="C142" s="511"/>
      <c r="D142" s="511"/>
      <c r="E142" s="511"/>
      <c r="F142" s="511"/>
      <c r="G142" s="511"/>
      <c r="H142" s="511"/>
      <c r="I142" s="511"/>
      <c r="J142" s="511"/>
      <c r="K142" s="511"/>
      <c r="L142" s="511"/>
      <c r="M142" s="511"/>
      <c r="N142" s="511"/>
      <c r="O142" s="511"/>
      <c r="P142" s="511"/>
      <c r="Q142" s="511"/>
      <c r="R142" s="511"/>
      <c r="S142" s="511"/>
      <c r="T142" s="511"/>
      <c r="U142" s="511"/>
      <c r="V142" s="511"/>
      <c r="W142" s="511"/>
      <c r="X142" s="511"/>
      <c r="Y142" s="511"/>
      <c r="Z142" s="511"/>
    </row>
    <row r="143" spans="1:26" ht="19.5" customHeight="1" x14ac:dyDescent="0.3">
      <c r="A143" s="511"/>
      <c r="B143" s="511"/>
      <c r="C143" s="511"/>
      <c r="D143" s="511"/>
      <c r="E143" s="511"/>
      <c r="F143" s="511"/>
      <c r="G143" s="511"/>
      <c r="H143" s="511"/>
      <c r="I143" s="511"/>
      <c r="J143" s="511"/>
      <c r="K143" s="511"/>
      <c r="L143" s="511"/>
      <c r="M143" s="511"/>
      <c r="N143" s="511"/>
      <c r="O143" s="511"/>
      <c r="P143" s="511"/>
      <c r="Q143" s="511"/>
      <c r="R143" s="511"/>
      <c r="S143" s="511"/>
      <c r="T143" s="511"/>
      <c r="U143" s="511"/>
      <c r="V143" s="511"/>
      <c r="W143" s="511"/>
      <c r="X143" s="511"/>
      <c r="Y143" s="511"/>
      <c r="Z143" s="511"/>
    </row>
    <row r="144" spans="1:26" ht="19.5" customHeight="1" x14ac:dyDescent="0.3">
      <c r="A144" s="511"/>
      <c r="B144" s="511"/>
      <c r="C144" s="511"/>
      <c r="D144" s="511"/>
      <c r="E144" s="511"/>
      <c r="F144" s="511"/>
      <c r="G144" s="511"/>
      <c r="H144" s="511"/>
      <c r="I144" s="511"/>
      <c r="J144" s="511"/>
      <c r="K144" s="511"/>
      <c r="L144" s="511"/>
      <c r="M144" s="511"/>
      <c r="N144" s="511"/>
      <c r="O144" s="511"/>
      <c r="P144" s="511"/>
      <c r="Q144" s="511"/>
      <c r="R144" s="511"/>
      <c r="S144" s="511"/>
      <c r="T144" s="511"/>
      <c r="U144" s="511"/>
      <c r="V144" s="511"/>
      <c r="W144" s="511"/>
      <c r="X144" s="511"/>
      <c r="Y144" s="511"/>
      <c r="Z144" s="511"/>
    </row>
    <row r="145" spans="1:26" ht="19.5" customHeight="1" x14ac:dyDescent="0.3">
      <c r="A145" s="511"/>
      <c r="B145" s="511"/>
      <c r="C145" s="511"/>
      <c r="D145" s="511"/>
      <c r="E145" s="511"/>
      <c r="F145" s="511"/>
      <c r="G145" s="511"/>
      <c r="H145" s="511"/>
      <c r="I145" s="511"/>
      <c r="J145" s="511"/>
      <c r="K145" s="511"/>
      <c r="L145" s="511"/>
      <c r="M145" s="511"/>
      <c r="N145" s="511"/>
      <c r="O145" s="511"/>
      <c r="P145" s="511"/>
      <c r="Q145" s="511"/>
      <c r="R145" s="511"/>
      <c r="S145" s="511"/>
      <c r="T145" s="511"/>
      <c r="U145" s="511"/>
      <c r="V145" s="511"/>
      <c r="W145" s="511"/>
      <c r="X145" s="511"/>
      <c r="Y145" s="511"/>
      <c r="Z145" s="511"/>
    </row>
    <row r="146" spans="1:26" ht="19.5" customHeight="1" x14ac:dyDescent="0.3">
      <c r="A146" s="511"/>
      <c r="B146" s="511"/>
      <c r="C146" s="511"/>
      <c r="D146" s="511"/>
      <c r="E146" s="511"/>
      <c r="F146" s="511"/>
      <c r="G146" s="511"/>
      <c r="H146" s="511"/>
      <c r="I146" s="511"/>
      <c r="J146" s="511"/>
      <c r="K146" s="511"/>
      <c r="L146" s="511"/>
      <c r="M146" s="511"/>
      <c r="N146" s="511"/>
      <c r="O146" s="511"/>
      <c r="P146" s="511"/>
      <c r="Q146" s="511"/>
      <c r="R146" s="511"/>
      <c r="S146" s="511"/>
      <c r="T146" s="511"/>
      <c r="U146" s="511"/>
      <c r="V146" s="511"/>
      <c r="W146" s="511"/>
      <c r="X146" s="511"/>
      <c r="Y146" s="511"/>
      <c r="Z146" s="511"/>
    </row>
    <row r="147" spans="1:26" ht="19.5" customHeight="1" x14ac:dyDescent="0.3">
      <c r="A147" s="511"/>
      <c r="B147" s="511"/>
      <c r="C147" s="511"/>
      <c r="D147" s="511"/>
      <c r="E147" s="511"/>
      <c r="F147" s="511"/>
      <c r="G147" s="511"/>
      <c r="H147" s="511"/>
      <c r="I147" s="511"/>
      <c r="J147" s="511"/>
      <c r="K147" s="511"/>
      <c r="L147" s="511"/>
      <c r="M147" s="511"/>
      <c r="N147" s="511"/>
      <c r="O147" s="511"/>
      <c r="P147" s="511"/>
      <c r="Q147" s="511"/>
      <c r="R147" s="511"/>
      <c r="S147" s="511"/>
      <c r="T147" s="511"/>
      <c r="U147" s="511"/>
      <c r="V147" s="511"/>
      <c r="W147" s="511"/>
      <c r="X147" s="511"/>
      <c r="Y147" s="511"/>
      <c r="Z147" s="511"/>
    </row>
    <row r="148" spans="1:26" ht="19.5" customHeight="1" x14ac:dyDescent="0.3">
      <c r="A148" s="511"/>
      <c r="B148" s="511"/>
      <c r="C148" s="511"/>
      <c r="D148" s="511"/>
      <c r="E148" s="511"/>
      <c r="F148" s="511"/>
      <c r="G148" s="511"/>
      <c r="H148" s="511"/>
      <c r="I148" s="511"/>
      <c r="J148" s="511"/>
      <c r="K148" s="511"/>
      <c r="L148" s="511"/>
      <c r="M148" s="511"/>
      <c r="N148" s="511"/>
      <c r="O148" s="511"/>
      <c r="P148" s="511"/>
      <c r="Q148" s="511"/>
      <c r="R148" s="511"/>
      <c r="S148" s="511"/>
      <c r="T148" s="511"/>
      <c r="U148" s="511"/>
      <c r="V148" s="511"/>
      <c r="W148" s="511"/>
      <c r="X148" s="511"/>
      <c r="Y148" s="511"/>
      <c r="Z148" s="511"/>
    </row>
    <row r="149" spans="1:26" ht="19.5" customHeight="1" x14ac:dyDescent="0.3">
      <c r="A149" s="511"/>
      <c r="B149" s="511"/>
      <c r="C149" s="511"/>
      <c r="D149" s="511"/>
      <c r="E149" s="511"/>
      <c r="F149" s="511"/>
      <c r="G149" s="511"/>
      <c r="H149" s="511"/>
      <c r="I149" s="511"/>
      <c r="J149" s="511"/>
      <c r="K149" s="511"/>
      <c r="L149" s="511"/>
      <c r="M149" s="511"/>
      <c r="N149" s="511"/>
      <c r="O149" s="511"/>
      <c r="P149" s="511"/>
      <c r="Q149" s="511"/>
      <c r="R149" s="511"/>
      <c r="S149" s="511"/>
      <c r="T149" s="511"/>
      <c r="U149" s="511"/>
      <c r="V149" s="511"/>
      <c r="W149" s="511"/>
      <c r="X149" s="511"/>
      <c r="Y149" s="511"/>
      <c r="Z149" s="511"/>
    </row>
    <row r="150" spans="1:26" ht="19.5" customHeight="1" x14ac:dyDescent="0.3">
      <c r="A150" s="511"/>
      <c r="B150" s="511"/>
      <c r="C150" s="511"/>
      <c r="D150" s="511"/>
      <c r="E150" s="511"/>
      <c r="F150" s="511"/>
      <c r="G150" s="511"/>
      <c r="H150" s="511"/>
      <c r="I150" s="511"/>
      <c r="J150" s="511"/>
      <c r="K150" s="511"/>
      <c r="L150" s="511"/>
      <c r="M150" s="511"/>
      <c r="N150" s="511"/>
      <c r="O150" s="511"/>
      <c r="P150" s="511"/>
      <c r="Q150" s="511"/>
      <c r="R150" s="511"/>
      <c r="S150" s="511"/>
      <c r="T150" s="511"/>
      <c r="U150" s="511"/>
      <c r="V150" s="511"/>
      <c r="W150" s="511"/>
      <c r="X150" s="511"/>
      <c r="Y150" s="511"/>
      <c r="Z150" s="511"/>
    </row>
    <row r="151" spans="1:26" ht="19.5" customHeight="1" x14ac:dyDescent="0.3">
      <c r="A151" s="511"/>
      <c r="B151" s="511"/>
      <c r="C151" s="511"/>
      <c r="D151" s="511"/>
      <c r="E151" s="511"/>
      <c r="F151" s="511"/>
      <c r="G151" s="511"/>
      <c r="H151" s="511"/>
      <c r="I151" s="511"/>
      <c r="J151" s="511"/>
      <c r="K151" s="511"/>
      <c r="L151" s="511"/>
      <c r="M151" s="511"/>
      <c r="N151" s="511"/>
      <c r="O151" s="511"/>
      <c r="P151" s="511"/>
      <c r="Q151" s="511"/>
      <c r="R151" s="511"/>
      <c r="S151" s="511"/>
      <c r="T151" s="511"/>
      <c r="U151" s="511"/>
      <c r="V151" s="511"/>
      <c r="W151" s="511"/>
      <c r="X151" s="511"/>
      <c r="Y151" s="511"/>
      <c r="Z151" s="511"/>
    </row>
    <row r="152" spans="1:26" ht="19.5" customHeight="1" x14ac:dyDescent="0.3">
      <c r="A152" s="511"/>
      <c r="B152" s="511"/>
      <c r="C152" s="511"/>
      <c r="D152" s="511"/>
      <c r="E152" s="511"/>
      <c r="F152" s="511"/>
      <c r="G152" s="511"/>
      <c r="H152" s="511"/>
      <c r="I152" s="511"/>
      <c r="J152" s="511"/>
      <c r="K152" s="511"/>
      <c r="L152" s="511"/>
      <c r="M152" s="511"/>
      <c r="N152" s="511"/>
      <c r="O152" s="511"/>
      <c r="P152" s="511"/>
      <c r="Q152" s="511"/>
      <c r="R152" s="511"/>
      <c r="S152" s="511"/>
      <c r="T152" s="511"/>
      <c r="U152" s="511"/>
      <c r="V152" s="511"/>
      <c r="W152" s="511"/>
      <c r="X152" s="511"/>
      <c r="Y152" s="511"/>
      <c r="Z152" s="511"/>
    </row>
    <row r="153" spans="1:26" ht="19.5" customHeight="1" x14ac:dyDescent="0.3">
      <c r="A153" s="511"/>
      <c r="B153" s="511"/>
      <c r="C153" s="511"/>
      <c r="D153" s="511"/>
      <c r="E153" s="511"/>
      <c r="F153" s="511"/>
      <c r="G153" s="511"/>
      <c r="H153" s="511"/>
      <c r="I153" s="511"/>
      <c r="J153" s="511"/>
      <c r="K153" s="511"/>
      <c r="L153" s="511"/>
      <c r="M153" s="511"/>
      <c r="N153" s="511"/>
      <c r="O153" s="511"/>
      <c r="P153" s="511"/>
      <c r="Q153" s="511"/>
      <c r="R153" s="511"/>
      <c r="S153" s="511"/>
      <c r="T153" s="511"/>
      <c r="U153" s="511"/>
      <c r="V153" s="511"/>
      <c r="W153" s="511"/>
      <c r="X153" s="511"/>
      <c r="Y153" s="511"/>
      <c r="Z153" s="511"/>
    </row>
    <row r="154" spans="1:26" ht="19.5" customHeight="1" x14ac:dyDescent="0.3">
      <c r="A154" s="511"/>
      <c r="B154" s="511"/>
      <c r="C154" s="511"/>
      <c r="D154" s="511"/>
      <c r="E154" s="511"/>
      <c r="F154" s="511"/>
      <c r="G154" s="511"/>
      <c r="H154" s="511"/>
      <c r="I154" s="511"/>
      <c r="J154" s="511"/>
      <c r="K154" s="511"/>
      <c r="L154" s="511"/>
      <c r="M154" s="511"/>
      <c r="N154" s="511"/>
      <c r="O154" s="511"/>
      <c r="P154" s="511"/>
      <c r="Q154" s="511"/>
      <c r="R154" s="511"/>
      <c r="S154" s="511"/>
      <c r="T154" s="511"/>
      <c r="U154" s="511"/>
      <c r="V154" s="511"/>
      <c r="W154" s="511"/>
      <c r="X154" s="511"/>
      <c r="Y154" s="511"/>
      <c r="Z154" s="511"/>
    </row>
    <row r="155" spans="1:26" ht="19.5" customHeight="1" x14ac:dyDescent="0.3">
      <c r="A155" s="511"/>
      <c r="B155" s="511"/>
      <c r="C155" s="511"/>
      <c r="D155" s="511"/>
      <c r="E155" s="511"/>
      <c r="F155" s="511"/>
      <c r="G155" s="511"/>
      <c r="H155" s="511"/>
      <c r="I155" s="511"/>
      <c r="J155" s="511"/>
      <c r="K155" s="511"/>
      <c r="L155" s="511"/>
      <c r="M155" s="511"/>
      <c r="N155" s="511"/>
      <c r="O155" s="511"/>
      <c r="P155" s="511"/>
      <c r="Q155" s="511"/>
      <c r="R155" s="511"/>
      <c r="S155" s="511"/>
      <c r="T155" s="511"/>
      <c r="U155" s="511"/>
      <c r="V155" s="511"/>
      <c r="W155" s="511"/>
      <c r="X155" s="511"/>
      <c r="Y155" s="511"/>
      <c r="Z155" s="511"/>
    </row>
    <row r="156" spans="1:26" ht="19.5" customHeight="1" x14ac:dyDescent="0.3">
      <c r="A156" s="511"/>
      <c r="B156" s="511"/>
      <c r="C156" s="511"/>
      <c r="D156" s="511"/>
      <c r="E156" s="511"/>
      <c r="F156" s="511"/>
      <c r="G156" s="511"/>
      <c r="H156" s="511"/>
      <c r="I156" s="511"/>
      <c r="J156" s="511"/>
      <c r="K156" s="511"/>
      <c r="L156" s="511"/>
      <c r="M156" s="511"/>
      <c r="N156" s="511"/>
      <c r="O156" s="511"/>
      <c r="P156" s="511"/>
      <c r="Q156" s="511"/>
      <c r="R156" s="511"/>
      <c r="S156" s="511"/>
      <c r="T156" s="511"/>
      <c r="U156" s="511"/>
      <c r="V156" s="511"/>
      <c r="W156" s="511"/>
      <c r="X156" s="511"/>
      <c r="Y156" s="511"/>
      <c r="Z156" s="511"/>
    </row>
    <row r="157" spans="1:26" ht="19.5" customHeight="1" x14ac:dyDescent="0.3">
      <c r="A157" s="511"/>
      <c r="B157" s="511"/>
      <c r="C157" s="511"/>
      <c r="D157" s="511"/>
      <c r="E157" s="511"/>
      <c r="F157" s="511"/>
      <c r="G157" s="511"/>
      <c r="H157" s="511"/>
      <c r="I157" s="511"/>
      <c r="J157" s="511"/>
      <c r="K157" s="511"/>
      <c r="L157" s="511"/>
      <c r="M157" s="511"/>
      <c r="N157" s="511"/>
      <c r="O157" s="511"/>
      <c r="P157" s="511"/>
      <c r="Q157" s="511"/>
      <c r="R157" s="511"/>
      <c r="S157" s="511"/>
      <c r="T157" s="511"/>
      <c r="U157" s="511"/>
      <c r="V157" s="511"/>
      <c r="W157" s="511"/>
      <c r="X157" s="511"/>
      <c r="Y157" s="511"/>
      <c r="Z157" s="511"/>
    </row>
    <row r="158" spans="1:26" ht="19.5" customHeight="1" x14ac:dyDescent="0.3">
      <c r="A158" s="511"/>
      <c r="B158" s="511"/>
      <c r="C158" s="511"/>
      <c r="D158" s="511"/>
      <c r="E158" s="511"/>
      <c r="F158" s="511"/>
      <c r="G158" s="511"/>
      <c r="H158" s="511"/>
      <c r="I158" s="511"/>
      <c r="J158" s="511"/>
      <c r="K158" s="511"/>
      <c r="L158" s="511"/>
      <c r="M158" s="511"/>
      <c r="N158" s="511"/>
      <c r="O158" s="511"/>
      <c r="P158" s="511"/>
      <c r="Q158" s="511"/>
      <c r="R158" s="511"/>
      <c r="S158" s="511"/>
      <c r="T158" s="511"/>
      <c r="U158" s="511"/>
      <c r="V158" s="511"/>
      <c r="W158" s="511"/>
      <c r="X158" s="511"/>
      <c r="Y158" s="511"/>
      <c r="Z158" s="511"/>
    </row>
    <row r="159" spans="1:26" ht="19.5" customHeight="1" x14ac:dyDescent="0.3">
      <c r="A159" s="511"/>
      <c r="B159" s="511"/>
      <c r="C159" s="511"/>
      <c r="D159" s="511"/>
      <c r="E159" s="511"/>
      <c r="F159" s="511"/>
      <c r="G159" s="511"/>
      <c r="H159" s="511"/>
      <c r="I159" s="511"/>
      <c r="J159" s="511"/>
      <c r="K159" s="511"/>
      <c r="L159" s="511"/>
      <c r="M159" s="511"/>
      <c r="N159" s="511"/>
      <c r="O159" s="511"/>
      <c r="P159" s="511"/>
      <c r="Q159" s="511"/>
      <c r="R159" s="511"/>
      <c r="S159" s="511"/>
      <c r="T159" s="511"/>
      <c r="U159" s="511"/>
      <c r="V159" s="511"/>
      <c r="W159" s="511"/>
      <c r="X159" s="511"/>
      <c r="Y159" s="511"/>
      <c r="Z159" s="511"/>
    </row>
    <row r="160" spans="1:26" ht="19.5" customHeight="1" x14ac:dyDescent="0.3">
      <c r="A160" s="511"/>
      <c r="B160" s="511"/>
      <c r="C160" s="511"/>
      <c r="D160" s="511"/>
      <c r="E160" s="511"/>
      <c r="F160" s="511"/>
      <c r="G160" s="511"/>
      <c r="H160" s="511"/>
      <c r="I160" s="511"/>
      <c r="J160" s="511"/>
      <c r="K160" s="511"/>
      <c r="L160" s="511"/>
      <c r="M160" s="511"/>
      <c r="N160" s="511"/>
      <c r="O160" s="511"/>
      <c r="P160" s="511"/>
      <c r="Q160" s="511"/>
      <c r="R160" s="511"/>
      <c r="S160" s="511"/>
      <c r="T160" s="511"/>
      <c r="U160" s="511"/>
      <c r="V160" s="511"/>
      <c r="W160" s="511"/>
      <c r="X160" s="511"/>
      <c r="Y160" s="511"/>
      <c r="Z160" s="511"/>
    </row>
    <row r="161" spans="1:26" ht="19.5" customHeight="1" x14ac:dyDescent="0.3">
      <c r="A161" s="511"/>
      <c r="B161" s="511"/>
      <c r="C161" s="511"/>
      <c r="D161" s="511"/>
      <c r="E161" s="511"/>
      <c r="F161" s="511"/>
      <c r="G161" s="511"/>
      <c r="H161" s="511"/>
      <c r="I161" s="511"/>
      <c r="J161" s="511"/>
      <c r="K161" s="511"/>
      <c r="L161" s="511"/>
      <c r="M161" s="511"/>
      <c r="N161" s="511"/>
      <c r="O161" s="511"/>
      <c r="P161" s="511"/>
      <c r="Q161" s="511"/>
      <c r="R161" s="511"/>
      <c r="S161" s="511"/>
      <c r="T161" s="511"/>
      <c r="U161" s="511"/>
      <c r="V161" s="511"/>
      <c r="W161" s="511"/>
      <c r="X161" s="511"/>
      <c r="Y161" s="511"/>
      <c r="Z161" s="511"/>
    </row>
    <row r="162" spans="1:26" ht="19.5" customHeight="1" x14ac:dyDescent="0.3">
      <c r="A162" s="511"/>
      <c r="B162" s="511"/>
      <c r="C162" s="511"/>
      <c r="D162" s="511"/>
      <c r="E162" s="511"/>
      <c r="F162" s="511"/>
      <c r="G162" s="511"/>
      <c r="H162" s="511"/>
      <c r="I162" s="511"/>
      <c r="J162" s="511"/>
      <c r="K162" s="511"/>
      <c r="L162" s="511"/>
      <c r="M162" s="511"/>
      <c r="N162" s="511"/>
      <c r="O162" s="511"/>
      <c r="P162" s="511"/>
      <c r="Q162" s="511"/>
      <c r="R162" s="511"/>
      <c r="S162" s="511"/>
      <c r="T162" s="511"/>
      <c r="U162" s="511"/>
      <c r="V162" s="511"/>
      <c r="W162" s="511"/>
      <c r="X162" s="511"/>
      <c r="Y162" s="511"/>
      <c r="Z162" s="511"/>
    </row>
    <row r="163" spans="1:26" ht="19.5" customHeight="1" x14ac:dyDescent="0.3">
      <c r="A163" s="511"/>
      <c r="B163" s="511"/>
      <c r="C163" s="511"/>
      <c r="D163" s="511"/>
      <c r="E163" s="511"/>
      <c r="F163" s="511"/>
      <c r="G163" s="511"/>
      <c r="H163" s="511"/>
      <c r="I163" s="511"/>
      <c r="J163" s="511"/>
      <c r="K163" s="511"/>
      <c r="L163" s="511"/>
      <c r="M163" s="511"/>
      <c r="N163" s="511"/>
      <c r="O163" s="511"/>
      <c r="P163" s="511"/>
      <c r="Q163" s="511"/>
      <c r="R163" s="511"/>
      <c r="S163" s="511"/>
      <c r="T163" s="511"/>
      <c r="U163" s="511"/>
      <c r="V163" s="511"/>
      <c r="W163" s="511"/>
      <c r="X163" s="511"/>
      <c r="Y163" s="511"/>
      <c r="Z163" s="511"/>
    </row>
    <row r="164" spans="1:26" ht="19.5" customHeight="1" x14ac:dyDescent="0.3">
      <c r="A164" s="511"/>
      <c r="B164" s="511"/>
      <c r="C164" s="511"/>
      <c r="D164" s="511"/>
      <c r="E164" s="511"/>
      <c r="F164" s="511"/>
      <c r="G164" s="511"/>
      <c r="H164" s="511"/>
      <c r="I164" s="511"/>
      <c r="J164" s="511"/>
      <c r="K164" s="511"/>
      <c r="L164" s="511"/>
      <c r="M164" s="511"/>
      <c r="N164" s="511"/>
      <c r="O164" s="511"/>
      <c r="P164" s="511"/>
      <c r="Q164" s="511"/>
      <c r="R164" s="511"/>
      <c r="S164" s="511"/>
      <c r="T164" s="511"/>
      <c r="U164" s="511"/>
      <c r="V164" s="511"/>
      <c r="W164" s="511"/>
      <c r="X164" s="511"/>
      <c r="Y164" s="511"/>
      <c r="Z164" s="511"/>
    </row>
    <row r="165" spans="1:26" ht="19.5" customHeight="1" x14ac:dyDescent="0.3">
      <c r="A165" s="511"/>
      <c r="B165" s="511"/>
      <c r="C165" s="511"/>
      <c r="D165" s="511"/>
      <c r="E165" s="511"/>
      <c r="F165" s="511"/>
      <c r="G165" s="511"/>
      <c r="H165" s="511"/>
      <c r="I165" s="511"/>
      <c r="J165" s="511"/>
      <c r="K165" s="511"/>
      <c r="L165" s="511"/>
      <c r="M165" s="511"/>
      <c r="N165" s="511"/>
      <c r="O165" s="511"/>
      <c r="P165" s="511"/>
      <c r="Q165" s="511"/>
      <c r="R165" s="511"/>
      <c r="S165" s="511"/>
      <c r="T165" s="511"/>
      <c r="U165" s="511"/>
      <c r="V165" s="511"/>
      <c r="W165" s="511"/>
      <c r="X165" s="511"/>
      <c r="Y165" s="511"/>
      <c r="Z165" s="511"/>
    </row>
    <row r="166" spans="1:26" ht="19.5" customHeight="1" x14ac:dyDescent="0.3">
      <c r="A166" s="511"/>
      <c r="B166" s="511"/>
      <c r="C166" s="511"/>
      <c r="D166" s="511"/>
      <c r="E166" s="511"/>
      <c r="F166" s="511"/>
      <c r="G166" s="511"/>
      <c r="H166" s="511"/>
      <c r="I166" s="511"/>
      <c r="J166" s="511"/>
      <c r="K166" s="511"/>
      <c r="L166" s="511"/>
      <c r="M166" s="511"/>
      <c r="N166" s="511"/>
      <c r="O166" s="511"/>
      <c r="P166" s="511"/>
      <c r="Q166" s="511"/>
      <c r="R166" s="511"/>
      <c r="S166" s="511"/>
      <c r="T166" s="511"/>
      <c r="U166" s="511"/>
      <c r="V166" s="511"/>
      <c r="W166" s="511"/>
      <c r="X166" s="511"/>
      <c r="Y166" s="511"/>
      <c r="Z166" s="511"/>
    </row>
    <row r="167" spans="1:26" ht="19.5" customHeight="1" x14ac:dyDescent="0.3">
      <c r="A167" s="511"/>
      <c r="B167" s="511"/>
      <c r="C167" s="511"/>
      <c r="D167" s="511"/>
      <c r="E167" s="511"/>
      <c r="F167" s="511"/>
      <c r="G167" s="511"/>
      <c r="H167" s="511"/>
      <c r="I167" s="511"/>
      <c r="J167" s="511"/>
      <c r="K167" s="511"/>
      <c r="L167" s="511"/>
      <c r="M167" s="511"/>
      <c r="N167" s="511"/>
      <c r="O167" s="511"/>
      <c r="P167" s="511"/>
      <c r="Q167" s="511"/>
      <c r="R167" s="511"/>
      <c r="S167" s="511"/>
      <c r="T167" s="511"/>
      <c r="U167" s="511"/>
      <c r="V167" s="511"/>
      <c r="W167" s="511"/>
      <c r="X167" s="511"/>
      <c r="Y167" s="511"/>
      <c r="Z167" s="511"/>
    </row>
    <row r="168" spans="1:26" ht="19.5" customHeight="1" x14ac:dyDescent="0.3">
      <c r="A168" s="511"/>
      <c r="B168" s="511"/>
      <c r="C168" s="511"/>
      <c r="D168" s="511"/>
      <c r="E168" s="511"/>
      <c r="F168" s="511"/>
      <c r="G168" s="511"/>
      <c r="H168" s="511"/>
      <c r="I168" s="511"/>
      <c r="J168" s="511"/>
      <c r="K168" s="511"/>
      <c r="L168" s="511"/>
      <c r="M168" s="511"/>
      <c r="N168" s="511"/>
      <c r="O168" s="511"/>
      <c r="P168" s="511"/>
      <c r="Q168" s="511"/>
      <c r="R168" s="511"/>
      <c r="S168" s="511"/>
      <c r="T168" s="511"/>
      <c r="U168" s="511"/>
      <c r="V168" s="511"/>
      <c r="W168" s="511"/>
      <c r="X168" s="511"/>
      <c r="Y168" s="511"/>
      <c r="Z168" s="511"/>
    </row>
    <row r="169" spans="1:26" ht="19.5" customHeight="1" x14ac:dyDescent="0.3">
      <c r="A169" s="511"/>
      <c r="B169" s="511"/>
      <c r="C169" s="511"/>
      <c r="D169" s="511"/>
      <c r="E169" s="511"/>
      <c r="F169" s="511"/>
      <c r="G169" s="511"/>
      <c r="H169" s="511"/>
      <c r="I169" s="511"/>
      <c r="J169" s="511"/>
      <c r="K169" s="511"/>
      <c r="L169" s="511"/>
      <c r="M169" s="511"/>
      <c r="N169" s="511"/>
      <c r="O169" s="511"/>
      <c r="P169" s="511"/>
      <c r="Q169" s="511"/>
      <c r="R169" s="511"/>
      <c r="S169" s="511"/>
      <c r="T169" s="511"/>
      <c r="U169" s="511"/>
      <c r="V169" s="511"/>
      <c r="W169" s="511"/>
      <c r="X169" s="511"/>
      <c r="Y169" s="511"/>
      <c r="Z169" s="511"/>
    </row>
    <row r="170" spans="1:26" ht="19.5" customHeight="1" x14ac:dyDescent="0.3">
      <c r="A170" s="511"/>
      <c r="B170" s="511"/>
      <c r="C170" s="511"/>
      <c r="D170" s="511"/>
      <c r="E170" s="511"/>
      <c r="F170" s="511"/>
      <c r="G170" s="511"/>
      <c r="H170" s="511"/>
      <c r="I170" s="511"/>
      <c r="J170" s="511"/>
      <c r="K170" s="511"/>
      <c r="L170" s="511"/>
      <c r="M170" s="511"/>
      <c r="N170" s="511"/>
      <c r="O170" s="511"/>
      <c r="P170" s="511"/>
      <c r="Q170" s="511"/>
      <c r="R170" s="511"/>
      <c r="S170" s="511"/>
      <c r="T170" s="511"/>
      <c r="U170" s="511"/>
      <c r="V170" s="511"/>
      <c r="W170" s="511"/>
      <c r="X170" s="511"/>
      <c r="Y170" s="511"/>
      <c r="Z170" s="511"/>
    </row>
    <row r="171" spans="1:26" ht="19.5" customHeight="1" x14ac:dyDescent="0.3">
      <c r="A171" s="511"/>
      <c r="B171" s="511"/>
      <c r="C171" s="511"/>
      <c r="D171" s="511"/>
      <c r="E171" s="511"/>
      <c r="F171" s="511"/>
      <c r="G171" s="511"/>
      <c r="H171" s="511"/>
      <c r="I171" s="511"/>
      <c r="J171" s="511"/>
      <c r="K171" s="511"/>
      <c r="L171" s="511"/>
      <c r="M171" s="511"/>
      <c r="N171" s="511"/>
      <c r="O171" s="511"/>
      <c r="P171" s="511"/>
      <c r="Q171" s="511"/>
      <c r="R171" s="511"/>
      <c r="S171" s="511"/>
      <c r="T171" s="511"/>
      <c r="U171" s="511"/>
      <c r="V171" s="511"/>
      <c r="W171" s="511"/>
      <c r="X171" s="511"/>
      <c r="Y171" s="511"/>
      <c r="Z171" s="511"/>
    </row>
    <row r="172" spans="1:26" ht="19.5" customHeight="1" x14ac:dyDescent="0.3">
      <c r="A172" s="511"/>
      <c r="B172" s="511"/>
      <c r="C172" s="511"/>
      <c r="D172" s="511"/>
      <c r="E172" s="511"/>
      <c r="F172" s="511"/>
      <c r="G172" s="511"/>
      <c r="H172" s="511"/>
      <c r="I172" s="511"/>
      <c r="J172" s="511"/>
      <c r="K172" s="511"/>
      <c r="L172" s="511"/>
      <c r="M172" s="511"/>
      <c r="N172" s="511"/>
      <c r="O172" s="511"/>
      <c r="P172" s="511"/>
      <c r="Q172" s="511"/>
      <c r="R172" s="511"/>
      <c r="S172" s="511"/>
      <c r="T172" s="511"/>
      <c r="U172" s="511"/>
      <c r="V172" s="511"/>
      <c r="W172" s="511"/>
      <c r="X172" s="511"/>
      <c r="Y172" s="511"/>
      <c r="Z172" s="511"/>
    </row>
    <row r="173" spans="1:26" ht="19.5" customHeight="1" x14ac:dyDescent="0.3">
      <c r="A173" s="511"/>
      <c r="B173" s="511"/>
      <c r="C173" s="511"/>
      <c r="D173" s="511"/>
      <c r="E173" s="511"/>
      <c r="F173" s="511"/>
      <c r="G173" s="511"/>
      <c r="H173" s="511"/>
      <c r="I173" s="511"/>
      <c r="J173" s="511"/>
      <c r="K173" s="511"/>
      <c r="L173" s="511"/>
      <c r="M173" s="511"/>
      <c r="N173" s="511"/>
      <c r="O173" s="511"/>
      <c r="P173" s="511"/>
      <c r="Q173" s="511"/>
      <c r="R173" s="511"/>
      <c r="S173" s="511"/>
      <c r="T173" s="511"/>
      <c r="U173" s="511"/>
      <c r="V173" s="511"/>
      <c r="W173" s="511"/>
      <c r="X173" s="511"/>
      <c r="Y173" s="511"/>
      <c r="Z173" s="511"/>
    </row>
    <row r="174" spans="1:26" ht="19.5" customHeight="1" x14ac:dyDescent="0.3">
      <c r="A174" s="511"/>
      <c r="B174" s="511"/>
      <c r="C174" s="511"/>
      <c r="D174" s="511"/>
      <c r="E174" s="511"/>
      <c r="F174" s="511"/>
      <c r="G174" s="511"/>
      <c r="H174" s="511"/>
      <c r="I174" s="511"/>
      <c r="J174" s="511"/>
      <c r="K174" s="511"/>
      <c r="L174" s="511"/>
      <c r="M174" s="511"/>
      <c r="N174" s="511"/>
      <c r="O174" s="511"/>
      <c r="P174" s="511"/>
      <c r="Q174" s="511"/>
      <c r="R174" s="511"/>
      <c r="S174" s="511"/>
      <c r="T174" s="511"/>
      <c r="U174" s="511"/>
      <c r="V174" s="511"/>
      <c r="W174" s="511"/>
      <c r="X174" s="511"/>
      <c r="Y174" s="511"/>
      <c r="Z174" s="511"/>
    </row>
    <row r="175" spans="1:26" ht="19.5" customHeight="1" x14ac:dyDescent="0.3">
      <c r="A175" s="511"/>
      <c r="B175" s="511"/>
      <c r="C175" s="511"/>
      <c r="D175" s="511"/>
      <c r="E175" s="511"/>
      <c r="F175" s="511"/>
      <c r="G175" s="511"/>
      <c r="H175" s="511"/>
      <c r="I175" s="511"/>
      <c r="J175" s="511"/>
      <c r="K175" s="511"/>
      <c r="L175" s="511"/>
      <c r="M175" s="511"/>
      <c r="N175" s="511"/>
      <c r="O175" s="511"/>
      <c r="P175" s="511"/>
      <c r="Q175" s="511"/>
      <c r="R175" s="511"/>
      <c r="S175" s="511"/>
      <c r="T175" s="511"/>
      <c r="U175" s="511"/>
      <c r="V175" s="511"/>
      <c r="W175" s="511"/>
      <c r="X175" s="511"/>
      <c r="Y175" s="511"/>
      <c r="Z175" s="511"/>
    </row>
    <row r="176" spans="1:26" ht="19.5" customHeight="1" x14ac:dyDescent="0.3">
      <c r="A176" s="511"/>
      <c r="B176" s="511"/>
      <c r="C176" s="511"/>
      <c r="D176" s="511"/>
      <c r="E176" s="511"/>
      <c r="F176" s="511"/>
      <c r="G176" s="511"/>
      <c r="H176" s="511"/>
      <c r="I176" s="511"/>
      <c r="J176" s="511"/>
      <c r="K176" s="511"/>
      <c r="L176" s="511"/>
      <c r="M176" s="511"/>
      <c r="N176" s="511"/>
      <c r="O176" s="511"/>
      <c r="P176" s="511"/>
      <c r="Q176" s="511"/>
      <c r="R176" s="511"/>
      <c r="S176" s="511"/>
      <c r="T176" s="511"/>
      <c r="U176" s="511"/>
      <c r="V176" s="511"/>
      <c r="W176" s="511"/>
      <c r="X176" s="511"/>
      <c r="Y176" s="511"/>
      <c r="Z176" s="511"/>
    </row>
    <row r="177" spans="1:26" ht="19.5" customHeight="1" x14ac:dyDescent="0.3">
      <c r="A177" s="511"/>
      <c r="B177" s="511"/>
      <c r="C177" s="511"/>
      <c r="D177" s="511"/>
      <c r="E177" s="511"/>
      <c r="F177" s="511"/>
      <c r="G177" s="511"/>
      <c r="H177" s="511"/>
      <c r="I177" s="511"/>
      <c r="J177" s="511"/>
      <c r="K177" s="511"/>
      <c r="L177" s="511"/>
      <c r="M177" s="511"/>
      <c r="N177" s="511"/>
      <c r="O177" s="511"/>
      <c r="P177" s="511"/>
      <c r="Q177" s="511"/>
      <c r="R177" s="511"/>
      <c r="S177" s="511"/>
      <c r="T177" s="511"/>
      <c r="U177" s="511"/>
      <c r="V177" s="511"/>
      <c r="W177" s="511"/>
      <c r="X177" s="511"/>
      <c r="Y177" s="511"/>
      <c r="Z177" s="511"/>
    </row>
    <row r="178" spans="1:26" ht="19.5" customHeight="1" x14ac:dyDescent="0.3">
      <c r="A178" s="511"/>
      <c r="B178" s="511"/>
      <c r="C178" s="511"/>
      <c r="D178" s="511"/>
      <c r="E178" s="511"/>
      <c r="F178" s="511"/>
      <c r="G178" s="511"/>
      <c r="H178" s="511"/>
      <c r="I178" s="511"/>
      <c r="J178" s="511"/>
      <c r="K178" s="511"/>
      <c r="L178" s="511"/>
      <c r="M178" s="511"/>
      <c r="N178" s="511"/>
      <c r="O178" s="511"/>
      <c r="P178" s="511"/>
      <c r="Q178" s="511"/>
      <c r="R178" s="511"/>
      <c r="S178" s="511"/>
      <c r="T178" s="511"/>
      <c r="U178" s="511"/>
      <c r="V178" s="511"/>
      <c r="W178" s="511"/>
      <c r="X178" s="511"/>
      <c r="Y178" s="511"/>
      <c r="Z178" s="511"/>
    </row>
    <row r="179" spans="1:26" ht="19.5" customHeight="1" x14ac:dyDescent="0.3">
      <c r="A179" s="511"/>
      <c r="B179" s="511"/>
      <c r="C179" s="511"/>
      <c r="D179" s="511"/>
      <c r="E179" s="511"/>
      <c r="F179" s="511"/>
      <c r="G179" s="511"/>
      <c r="H179" s="511"/>
      <c r="I179" s="511"/>
      <c r="J179" s="511"/>
      <c r="K179" s="511"/>
      <c r="L179" s="511"/>
      <c r="M179" s="511"/>
      <c r="N179" s="511"/>
      <c r="O179" s="511"/>
      <c r="P179" s="511"/>
      <c r="Q179" s="511"/>
      <c r="R179" s="511"/>
      <c r="S179" s="511"/>
      <c r="T179" s="511"/>
      <c r="U179" s="511"/>
      <c r="V179" s="511"/>
      <c r="W179" s="511"/>
      <c r="X179" s="511"/>
      <c r="Y179" s="511"/>
      <c r="Z179" s="511"/>
    </row>
    <row r="180" spans="1:26" ht="19.5" customHeight="1" x14ac:dyDescent="0.3">
      <c r="A180" s="511"/>
      <c r="B180" s="511"/>
      <c r="C180" s="511"/>
      <c r="D180" s="511"/>
      <c r="E180" s="511"/>
      <c r="F180" s="511"/>
      <c r="G180" s="511"/>
      <c r="H180" s="511"/>
      <c r="I180" s="511"/>
      <c r="J180" s="511"/>
      <c r="K180" s="511"/>
      <c r="L180" s="511"/>
      <c r="M180" s="511"/>
      <c r="N180" s="511"/>
      <c r="O180" s="511"/>
      <c r="P180" s="511"/>
      <c r="Q180" s="511"/>
      <c r="R180" s="511"/>
      <c r="S180" s="511"/>
      <c r="T180" s="511"/>
      <c r="U180" s="511"/>
      <c r="V180" s="511"/>
      <c r="W180" s="511"/>
      <c r="X180" s="511"/>
      <c r="Y180" s="511"/>
      <c r="Z180" s="511"/>
    </row>
    <row r="181" spans="1:26" ht="19.5" customHeight="1" x14ac:dyDescent="0.3">
      <c r="A181" s="511"/>
      <c r="B181" s="511"/>
      <c r="C181" s="511"/>
      <c r="D181" s="511"/>
      <c r="E181" s="511"/>
      <c r="F181" s="511"/>
      <c r="G181" s="511"/>
      <c r="H181" s="511"/>
      <c r="I181" s="511"/>
      <c r="J181" s="511"/>
      <c r="K181" s="511"/>
      <c r="L181" s="511"/>
      <c r="M181" s="511"/>
      <c r="N181" s="511"/>
      <c r="O181" s="511"/>
      <c r="P181" s="511"/>
      <c r="Q181" s="511"/>
      <c r="R181" s="511"/>
      <c r="S181" s="511"/>
      <c r="T181" s="511"/>
      <c r="U181" s="511"/>
      <c r="V181" s="511"/>
      <c r="W181" s="511"/>
      <c r="X181" s="511"/>
      <c r="Y181" s="511"/>
      <c r="Z181" s="511"/>
    </row>
    <row r="182" spans="1:26" ht="19.5" customHeight="1" x14ac:dyDescent="0.3">
      <c r="A182" s="511"/>
      <c r="B182" s="511"/>
      <c r="C182" s="511"/>
      <c r="D182" s="511"/>
      <c r="E182" s="511"/>
      <c r="F182" s="511"/>
      <c r="G182" s="511"/>
      <c r="H182" s="511"/>
      <c r="I182" s="511"/>
      <c r="J182" s="511"/>
      <c r="K182" s="511"/>
      <c r="L182" s="511"/>
      <c r="M182" s="511"/>
      <c r="N182" s="511"/>
      <c r="O182" s="511"/>
      <c r="P182" s="511"/>
      <c r="Q182" s="511"/>
      <c r="R182" s="511"/>
      <c r="S182" s="511"/>
      <c r="T182" s="511"/>
      <c r="U182" s="511"/>
      <c r="V182" s="511"/>
      <c r="W182" s="511"/>
      <c r="X182" s="511"/>
      <c r="Y182" s="511"/>
      <c r="Z182" s="511"/>
    </row>
    <row r="183" spans="1:26" ht="19.5" customHeight="1" x14ac:dyDescent="0.3">
      <c r="A183" s="511"/>
      <c r="B183" s="511"/>
      <c r="C183" s="511"/>
      <c r="D183" s="511"/>
      <c r="E183" s="511"/>
      <c r="F183" s="511"/>
      <c r="G183" s="511"/>
      <c r="H183" s="511"/>
      <c r="I183" s="511"/>
      <c r="J183" s="511"/>
      <c r="K183" s="511"/>
      <c r="L183" s="511"/>
      <c r="M183" s="511"/>
      <c r="N183" s="511"/>
      <c r="O183" s="511"/>
      <c r="P183" s="511"/>
      <c r="Q183" s="511"/>
      <c r="R183" s="511"/>
      <c r="S183" s="511"/>
      <c r="T183" s="511"/>
      <c r="U183" s="511"/>
      <c r="V183" s="511"/>
      <c r="W183" s="511"/>
      <c r="X183" s="511"/>
      <c r="Y183" s="511"/>
      <c r="Z183" s="511"/>
    </row>
    <row r="184" spans="1:26" ht="19.5" customHeight="1" x14ac:dyDescent="0.3">
      <c r="A184" s="511"/>
      <c r="B184" s="511"/>
      <c r="C184" s="511"/>
      <c r="D184" s="511"/>
      <c r="E184" s="511"/>
      <c r="F184" s="511"/>
      <c r="G184" s="511"/>
      <c r="H184" s="511"/>
      <c r="I184" s="511"/>
      <c r="J184" s="511"/>
      <c r="K184" s="511"/>
      <c r="L184" s="511"/>
      <c r="M184" s="511"/>
      <c r="N184" s="511"/>
      <c r="O184" s="511"/>
      <c r="P184" s="511"/>
      <c r="Q184" s="511"/>
      <c r="R184" s="511"/>
      <c r="S184" s="511"/>
      <c r="T184" s="511"/>
      <c r="U184" s="511"/>
      <c r="V184" s="511"/>
      <c r="W184" s="511"/>
      <c r="X184" s="511"/>
      <c r="Y184" s="511"/>
      <c r="Z184" s="511"/>
    </row>
    <row r="185" spans="1:26" ht="19.5" customHeight="1" x14ac:dyDescent="0.3">
      <c r="A185" s="511"/>
      <c r="B185" s="511"/>
      <c r="C185" s="511"/>
      <c r="D185" s="511"/>
      <c r="E185" s="511"/>
      <c r="F185" s="511"/>
      <c r="G185" s="511"/>
      <c r="H185" s="511"/>
      <c r="I185" s="511"/>
      <c r="J185" s="511"/>
      <c r="K185" s="511"/>
      <c r="L185" s="511"/>
      <c r="M185" s="511"/>
      <c r="N185" s="511"/>
      <c r="O185" s="511"/>
      <c r="P185" s="511"/>
      <c r="Q185" s="511"/>
      <c r="R185" s="511"/>
      <c r="S185" s="511"/>
      <c r="T185" s="511"/>
      <c r="U185" s="511"/>
      <c r="V185" s="511"/>
      <c r="W185" s="511"/>
      <c r="X185" s="511"/>
      <c r="Y185" s="511"/>
      <c r="Z185" s="511"/>
    </row>
    <row r="186" spans="1:26" ht="19.5" customHeight="1" x14ac:dyDescent="0.3">
      <c r="A186" s="511"/>
      <c r="B186" s="511"/>
      <c r="C186" s="511"/>
      <c r="D186" s="511"/>
      <c r="E186" s="511"/>
      <c r="F186" s="511"/>
      <c r="G186" s="511"/>
      <c r="H186" s="511"/>
      <c r="I186" s="511"/>
      <c r="J186" s="511"/>
      <c r="K186" s="511"/>
      <c r="L186" s="511"/>
      <c r="M186" s="511"/>
      <c r="N186" s="511"/>
      <c r="O186" s="511"/>
      <c r="P186" s="511"/>
      <c r="Q186" s="511"/>
      <c r="R186" s="511"/>
      <c r="S186" s="511"/>
      <c r="T186" s="511"/>
      <c r="U186" s="511"/>
      <c r="V186" s="511"/>
      <c r="W186" s="511"/>
      <c r="X186" s="511"/>
      <c r="Y186" s="511"/>
      <c r="Z186" s="511"/>
    </row>
    <row r="187" spans="1:26" ht="19.5" customHeight="1" x14ac:dyDescent="0.3">
      <c r="A187" s="511"/>
      <c r="B187" s="511"/>
      <c r="C187" s="511"/>
      <c r="D187" s="511"/>
      <c r="E187" s="511"/>
      <c r="F187" s="511"/>
      <c r="G187" s="511"/>
      <c r="H187" s="511"/>
      <c r="I187" s="511"/>
      <c r="J187" s="511"/>
      <c r="K187" s="511"/>
      <c r="L187" s="511"/>
      <c r="M187" s="511"/>
      <c r="N187" s="511"/>
      <c r="O187" s="511"/>
      <c r="P187" s="511"/>
      <c r="Q187" s="511"/>
      <c r="R187" s="511"/>
      <c r="S187" s="511"/>
      <c r="T187" s="511"/>
      <c r="U187" s="511"/>
      <c r="V187" s="511"/>
      <c r="W187" s="511"/>
      <c r="X187" s="511"/>
      <c r="Y187" s="511"/>
      <c r="Z187" s="511"/>
    </row>
    <row r="188" spans="1:26" ht="19.5" customHeight="1" x14ac:dyDescent="0.3">
      <c r="A188" s="511"/>
      <c r="B188" s="511"/>
      <c r="C188" s="511"/>
      <c r="D188" s="511"/>
      <c r="E188" s="511"/>
      <c r="F188" s="511"/>
      <c r="G188" s="511"/>
      <c r="H188" s="511"/>
      <c r="I188" s="511"/>
      <c r="J188" s="511"/>
      <c r="K188" s="511"/>
      <c r="L188" s="511"/>
      <c r="M188" s="511"/>
      <c r="N188" s="511"/>
      <c r="O188" s="511"/>
      <c r="P188" s="511"/>
      <c r="Q188" s="511"/>
      <c r="R188" s="511"/>
      <c r="S188" s="511"/>
      <c r="T188" s="511"/>
      <c r="U188" s="511"/>
      <c r="V188" s="511"/>
      <c r="W188" s="511"/>
      <c r="X188" s="511"/>
      <c r="Y188" s="511"/>
      <c r="Z188" s="511"/>
    </row>
    <row r="189" spans="1:26" ht="19.5" customHeight="1" x14ac:dyDescent="0.3">
      <c r="A189" s="511"/>
      <c r="B189" s="511"/>
      <c r="C189" s="511"/>
      <c r="D189" s="511"/>
      <c r="E189" s="511"/>
      <c r="F189" s="511"/>
      <c r="G189" s="511"/>
      <c r="H189" s="511"/>
      <c r="I189" s="511"/>
      <c r="J189" s="511"/>
      <c r="K189" s="511"/>
      <c r="L189" s="511"/>
      <c r="M189" s="511"/>
      <c r="N189" s="511"/>
      <c r="O189" s="511"/>
      <c r="P189" s="511"/>
      <c r="Q189" s="511"/>
      <c r="R189" s="511"/>
      <c r="S189" s="511"/>
      <c r="T189" s="511"/>
      <c r="U189" s="511"/>
      <c r="V189" s="511"/>
      <c r="W189" s="511"/>
      <c r="X189" s="511"/>
      <c r="Y189" s="511"/>
      <c r="Z189" s="511"/>
    </row>
    <row r="190" spans="1:26" ht="19.5" customHeight="1" x14ac:dyDescent="0.3">
      <c r="A190" s="511"/>
      <c r="B190" s="511"/>
      <c r="C190" s="511"/>
      <c r="D190" s="511"/>
      <c r="E190" s="511"/>
      <c r="F190" s="511"/>
      <c r="G190" s="511"/>
      <c r="H190" s="511"/>
      <c r="I190" s="511"/>
      <c r="J190" s="511"/>
      <c r="K190" s="511"/>
      <c r="L190" s="511"/>
      <c r="M190" s="511"/>
      <c r="N190" s="511"/>
      <c r="O190" s="511"/>
      <c r="P190" s="511"/>
      <c r="Q190" s="511"/>
      <c r="R190" s="511"/>
      <c r="S190" s="511"/>
      <c r="T190" s="511"/>
      <c r="U190" s="511"/>
      <c r="V190" s="511"/>
      <c r="W190" s="511"/>
      <c r="X190" s="511"/>
      <c r="Y190" s="511"/>
      <c r="Z190" s="511"/>
    </row>
    <row r="191" spans="1:26" ht="19.5" customHeight="1" x14ac:dyDescent="0.3">
      <c r="A191" s="511"/>
      <c r="B191" s="511"/>
      <c r="C191" s="511"/>
      <c r="D191" s="511"/>
      <c r="E191" s="511"/>
      <c r="F191" s="511"/>
      <c r="G191" s="511"/>
      <c r="H191" s="511"/>
      <c r="I191" s="511"/>
      <c r="J191" s="511"/>
      <c r="K191" s="511"/>
      <c r="L191" s="511"/>
      <c r="M191" s="511"/>
      <c r="N191" s="511"/>
      <c r="O191" s="511"/>
      <c r="P191" s="511"/>
      <c r="Q191" s="511"/>
      <c r="R191" s="511"/>
      <c r="S191" s="511"/>
      <c r="T191" s="511"/>
      <c r="U191" s="511"/>
      <c r="V191" s="511"/>
      <c r="W191" s="511"/>
      <c r="X191" s="511"/>
      <c r="Y191" s="511"/>
      <c r="Z191" s="511"/>
    </row>
    <row r="192" spans="1:26" ht="19.5" customHeight="1" x14ac:dyDescent="0.3">
      <c r="A192" s="511"/>
      <c r="B192" s="511"/>
      <c r="C192" s="511"/>
      <c r="D192" s="511"/>
      <c r="E192" s="511"/>
      <c r="F192" s="511"/>
      <c r="G192" s="511"/>
      <c r="H192" s="511"/>
      <c r="I192" s="511"/>
      <c r="J192" s="511"/>
      <c r="K192" s="511"/>
      <c r="L192" s="511"/>
      <c r="M192" s="511"/>
      <c r="N192" s="511"/>
      <c r="O192" s="511"/>
      <c r="P192" s="511"/>
      <c r="Q192" s="511"/>
      <c r="R192" s="511"/>
      <c r="S192" s="511"/>
      <c r="T192" s="511"/>
      <c r="U192" s="511"/>
      <c r="V192" s="511"/>
      <c r="W192" s="511"/>
      <c r="X192" s="511"/>
      <c r="Y192" s="511"/>
      <c r="Z192" s="511"/>
    </row>
    <row r="193" spans="1:26" ht="19.5" customHeight="1" x14ac:dyDescent="0.3">
      <c r="A193" s="511"/>
      <c r="B193" s="511"/>
      <c r="C193" s="511"/>
      <c r="D193" s="511"/>
      <c r="E193" s="511"/>
      <c r="F193" s="511"/>
      <c r="G193" s="511"/>
      <c r="H193" s="511"/>
      <c r="I193" s="511"/>
      <c r="J193" s="511"/>
      <c r="K193" s="511"/>
      <c r="L193" s="511"/>
      <c r="M193" s="511"/>
      <c r="N193" s="511"/>
      <c r="O193" s="511"/>
      <c r="P193" s="511"/>
      <c r="Q193" s="511"/>
      <c r="R193" s="511"/>
      <c r="S193" s="511"/>
      <c r="T193" s="511"/>
      <c r="U193" s="511"/>
      <c r="V193" s="511"/>
      <c r="W193" s="511"/>
      <c r="X193" s="511"/>
      <c r="Y193" s="511"/>
      <c r="Z193" s="511"/>
    </row>
    <row r="194" spans="1:26" ht="19.5" customHeight="1" x14ac:dyDescent="0.3">
      <c r="A194" s="511"/>
      <c r="B194" s="511"/>
      <c r="C194" s="511"/>
      <c r="D194" s="511"/>
      <c r="E194" s="511"/>
      <c r="F194" s="511"/>
      <c r="G194" s="511"/>
      <c r="H194" s="511"/>
      <c r="I194" s="511"/>
      <c r="J194" s="511"/>
      <c r="K194" s="511"/>
      <c r="L194" s="511"/>
      <c r="M194" s="511"/>
      <c r="N194" s="511"/>
      <c r="O194" s="511"/>
      <c r="P194" s="511"/>
      <c r="Q194" s="511"/>
      <c r="R194" s="511"/>
      <c r="S194" s="511"/>
      <c r="T194" s="511"/>
      <c r="U194" s="511"/>
      <c r="V194" s="511"/>
      <c r="W194" s="511"/>
      <c r="X194" s="511"/>
      <c r="Y194" s="511"/>
      <c r="Z194" s="511"/>
    </row>
    <row r="195" spans="1:26" ht="19.5" customHeight="1" x14ac:dyDescent="0.3">
      <c r="A195" s="511"/>
      <c r="B195" s="511"/>
      <c r="C195" s="511"/>
      <c r="D195" s="511"/>
      <c r="E195" s="511"/>
      <c r="F195" s="511"/>
      <c r="G195" s="511"/>
      <c r="H195" s="511"/>
      <c r="I195" s="511"/>
      <c r="J195" s="511"/>
      <c r="K195" s="511"/>
      <c r="L195" s="511"/>
      <c r="M195" s="511"/>
      <c r="N195" s="511"/>
      <c r="O195" s="511"/>
      <c r="P195" s="511"/>
      <c r="Q195" s="511"/>
      <c r="R195" s="511"/>
      <c r="S195" s="511"/>
      <c r="T195" s="511"/>
      <c r="U195" s="511"/>
      <c r="V195" s="511"/>
      <c r="W195" s="511"/>
      <c r="X195" s="511"/>
      <c r="Y195" s="511"/>
      <c r="Z195" s="511"/>
    </row>
    <row r="196" spans="1:26" ht="19.5" customHeight="1" x14ac:dyDescent="0.3">
      <c r="A196" s="511"/>
      <c r="B196" s="511"/>
      <c r="C196" s="511"/>
      <c r="D196" s="511"/>
      <c r="E196" s="511"/>
      <c r="F196" s="511"/>
      <c r="G196" s="511"/>
      <c r="H196" s="511"/>
      <c r="I196" s="511"/>
      <c r="J196" s="511"/>
      <c r="K196" s="511"/>
      <c r="L196" s="511"/>
      <c r="M196" s="511"/>
      <c r="N196" s="511"/>
      <c r="O196" s="511"/>
      <c r="P196" s="511"/>
      <c r="Q196" s="511"/>
      <c r="R196" s="511"/>
      <c r="S196" s="511"/>
      <c r="T196" s="511"/>
      <c r="U196" s="511"/>
      <c r="V196" s="511"/>
      <c r="W196" s="511"/>
      <c r="X196" s="511"/>
      <c r="Y196" s="511"/>
      <c r="Z196" s="511"/>
    </row>
    <row r="197" spans="1:26" ht="19.5" customHeight="1" x14ac:dyDescent="0.3">
      <c r="A197" s="511"/>
      <c r="B197" s="511"/>
      <c r="C197" s="511"/>
      <c r="D197" s="511"/>
      <c r="E197" s="511"/>
      <c r="F197" s="511"/>
      <c r="G197" s="511"/>
      <c r="H197" s="511"/>
      <c r="I197" s="511"/>
      <c r="J197" s="511"/>
      <c r="K197" s="511"/>
      <c r="L197" s="511"/>
      <c r="M197" s="511"/>
      <c r="N197" s="511"/>
      <c r="O197" s="511"/>
      <c r="P197" s="511"/>
      <c r="Q197" s="511"/>
      <c r="R197" s="511"/>
      <c r="S197" s="511"/>
      <c r="T197" s="511"/>
      <c r="U197" s="511"/>
      <c r="V197" s="511"/>
      <c r="W197" s="511"/>
      <c r="X197" s="511"/>
      <c r="Y197" s="511"/>
      <c r="Z197" s="511"/>
    </row>
    <row r="198" spans="1:26" ht="19.5" customHeight="1" x14ac:dyDescent="0.3">
      <c r="A198" s="511"/>
      <c r="B198" s="511"/>
      <c r="C198" s="511"/>
      <c r="D198" s="511"/>
      <c r="E198" s="511"/>
      <c r="F198" s="511"/>
      <c r="G198" s="511"/>
      <c r="H198" s="511"/>
      <c r="I198" s="511"/>
      <c r="J198" s="511"/>
      <c r="K198" s="511"/>
      <c r="L198" s="511"/>
      <c r="M198" s="511"/>
      <c r="N198" s="511"/>
      <c r="O198" s="511"/>
      <c r="P198" s="511"/>
      <c r="Q198" s="511"/>
      <c r="R198" s="511"/>
      <c r="S198" s="511"/>
      <c r="T198" s="511"/>
      <c r="U198" s="511"/>
      <c r="V198" s="511"/>
      <c r="W198" s="511"/>
      <c r="X198" s="511"/>
      <c r="Y198" s="511"/>
      <c r="Z198" s="511"/>
    </row>
    <row r="199" spans="1:26" ht="19.5" customHeight="1" x14ac:dyDescent="0.3">
      <c r="A199" s="511"/>
      <c r="B199" s="511"/>
      <c r="C199" s="511"/>
      <c r="D199" s="511"/>
      <c r="E199" s="511"/>
      <c r="F199" s="511"/>
      <c r="G199" s="511"/>
      <c r="H199" s="511"/>
      <c r="I199" s="511"/>
      <c r="J199" s="511"/>
      <c r="K199" s="511"/>
      <c r="L199" s="511"/>
      <c r="M199" s="511"/>
      <c r="N199" s="511"/>
      <c r="O199" s="511"/>
      <c r="P199" s="511"/>
      <c r="Q199" s="511"/>
      <c r="R199" s="511"/>
      <c r="S199" s="511"/>
      <c r="T199" s="511"/>
      <c r="U199" s="511"/>
      <c r="V199" s="511"/>
      <c r="W199" s="511"/>
      <c r="X199" s="511"/>
      <c r="Y199" s="511"/>
      <c r="Z199" s="511"/>
    </row>
    <row r="200" spans="1:26" ht="19.5" customHeight="1" x14ac:dyDescent="0.3">
      <c r="A200" s="511"/>
      <c r="B200" s="511"/>
      <c r="C200" s="511"/>
      <c r="D200" s="511"/>
      <c r="E200" s="511"/>
      <c r="F200" s="511"/>
      <c r="G200" s="511"/>
      <c r="H200" s="511"/>
      <c r="I200" s="511"/>
      <c r="J200" s="511"/>
      <c r="K200" s="511"/>
      <c r="L200" s="511"/>
      <c r="M200" s="511"/>
      <c r="N200" s="511"/>
      <c r="O200" s="511"/>
      <c r="P200" s="511"/>
      <c r="Q200" s="511"/>
      <c r="R200" s="511"/>
      <c r="S200" s="511"/>
      <c r="T200" s="511"/>
      <c r="U200" s="511"/>
      <c r="V200" s="511"/>
      <c r="W200" s="511"/>
      <c r="X200" s="511"/>
      <c r="Y200" s="511"/>
      <c r="Z200" s="511"/>
    </row>
    <row r="201" spans="1:26" ht="19.5" customHeight="1" x14ac:dyDescent="0.3">
      <c r="A201" s="511"/>
      <c r="B201" s="511"/>
      <c r="C201" s="511"/>
      <c r="D201" s="511"/>
      <c r="E201" s="511"/>
      <c r="F201" s="511"/>
      <c r="G201" s="511"/>
      <c r="H201" s="511"/>
      <c r="I201" s="511"/>
      <c r="J201" s="511"/>
      <c r="K201" s="511"/>
      <c r="L201" s="511"/>
      <c r="M201" s="511"/>
      <c r="N201" s="511"/>
      <c r="O201" s="511"/>
      <c r="P201" s="511"/>
      <c r="Q201" s="511"/>
      <c r="R201" s="511"/>
      <c r="S201" s="511"/>
      <c r="T201" s="511"/>
      <c r="U201" s="511"/>
      <c r="V201" s="511"/>
      <c r="W201" s="511"/>
      <c r="X201" s="511"/>
      <c r="Y201" s="511"/>
      <c r="Z201" s="511"/>
    </row>
    <row r="202" spans="1:26" ht="19.5" customHeight="1" x14ac:dyDescent="0.3">
      <c r="A202" s="511"/>
      <c r="B202" s="511"/>
      <c r="C202" s="511"/>
      <c r="D202" s="511"/>
      <c r="E202" s="511"/>
      <c r="F202" s="511"/>
      <c r="G202" s="511"/>
      <c r="H202" s="511"/>
      <c r="I202" s="511"/>
      <c r="J202" s="511"/>
      <c r="K202" s="511"/>
      <c r="L202" s="511"/>
      <c r="M202" s="511"/>
      <c r="N202" s="511"/>
      <c r="O202" s="511"/>
      <c r="P202" s="511"/>
      <c r="Q202" s="511"/>
      <c r="R202" s="511"/>
      <c r="S202" s="511"/>
      <c r="T202" s="511"/>
      <c r="U202" s="511"/>
      <c r="V202" s="511"/>
      <c r="W202" s="511"/>
      <c r="X202" s="511"/>
      <c r="Y202" s="511"/>
      <c r="Z202" s="511"/>
    </row>
    <row r="203" spans="1:26" ht="19.5" customHeight="1" x14ac:dyDescent="0.3">
      <c r="A203" s="511"/>
      <c r="B203" s="511"/>
      <c r="C203" s="511"/>
      <c r="D203" s="511"/>
      <c r="E203" s="511"/>
      <c r="F203" s="511"/>
      <c r="G203" s="511"/>
      <c r="H203" s="511"/>
      <c r="I203" s="511"/>
      <c r="J203" s="511"/>
      <c r="K203" s="511"/>
      <c r="L203" s="511"/>
      <c r="M203" s="511"/>
      <c r="N203" s="511"/>
      <c r="O203" s="511"/>
      <c r="P203" s="511"/>
      <c r="Q203" s="511"/>
      <c r="R203" s="511"/>
      <c r="S203" s="511"/>
      <c r="T203" s="511"/>
      <c r="U203" s="511"/>
      <c r="V203" s="511"/>
      <c r="W203" s="511"/>
      <c r="X203" s="511"/>
      <c r="Y203" s="511"/>
      <c r="Z203" s="511"/>
    </row>
    <row r="204" spans="1:26" ht="19.5" customHeight="1" x14ac:dyDescent="0.3">
      <c r="A204" s="511"/>
      <c r="B204" s="511"/>
      <c r="C204" s="511"/>
      <c r="D204" s="511"/>
      <c r="E204" s="511"/>
      <c r="F204" s="511"/>
      <c r="G204" s="511"/>
      <c r="H204" s="511"/>
      <c r="I204" s="511"/>
      <c r="J204" s="511"/>
      <c r="K204" s="511"/>
      <c r="L204" s="511"/>
      <c r="M204" s="511"/>
      <c r="N204" s="511"/>
      <c r="O204" s="511"/>
      <c r="P204" s="511"/>
      <c r="Q204" s="511"/>
      <c r="R204" s="511"/>
      <c r="S204" s="511"/>
      <c r="T204" s="511"/>
      <c r="U204" s="511"/>
      <c r="V204" s="511"/>
      <c r="W204" s="511"/>
      <c r="X204" s="511"/>
      <c r="Y204" s="511"/>
      <c r="Z204" s="511"/>
    </row>
    <row r="205" spans="1:26" ht="19.5" customHeight="1" x14ac:dyDescent="0.3">
      <c r="A205" s="511"/>
      <c r="B205" s="511"/>
      <c r="C205" s="511"/>
      <c r="D205" s="511"/>
      <c r="E205" s="511"/>
      <c r="F205" s="511"/>
      <c r="G205" s="511"/>
      <c r="H205" s="511"/>
      <c r="I205" s="511"/>
      <c r="J205" s="511"/>
      <c r="K205" s="511"/>
      <c r="L205" s="511"/>
      <c r="M205" s="511"/>
      <c r="N205" s="511"/>
      <c r="O205" s="511"/>
      <c r="P205" s="511"/>
      <c r="Q205" s="511"/>
      <c r="R205" s="511"/>
      <c r="S205" s="511"/>
      <c r="T205" s="511"/>
      <c r="U205" s="511"/>
      <c r="V205" s="511"/>
      <c r="W205" s="511"/>
      <c r="X205" s="511"/>
      <c r="Y205" s="511"/>
      <c r="Z205" s="511"/>
    </row>
    <row r="206" spans="1:26" ht="19.5" customHeight="1" x14ac:dyDescent="0.3">
      <c r="A206" s="511"/>
      <c r="B206" s="511"/>
      <c r="C206" s="511"/>
      <c r="D206" s="511"/>
      <c r="E206" s="511"/>
      <c r="F206" s="511"/>
      <c r="G206" s="511"/>
      <c r="H206" s="511"/>
      <c r="I206" s="511"/>
      <c r="J206" s="511"/>
      <c r="K206" s="511"/>
      <c r="L206" s="511"/>
      <c r="M206" s="511"/>
      <c r="N206" s="511"/>
      <c r="O206" s="511"/>
      <c r="P206" s="511"/>
      <c r="Q206" s="511"/>
      <c r="R206" s="511"/>
      <c r="S206" s="511"/>
      <c r="T206" s="511"/>
      <c r="U206" s="511"/>
      <c r="V206" s="511"/>
      <c r="W206" s="511"/>
      <c r="X206" s="511"/>
      <c r="Y206" s="511"/>
      <c r="Z206" s="511"/>
    </row>
    <row r="207" spans="1:26" ht="19.5" customHeight="1" x14ac:dyDescent="0.3">
      <c r="A207" s="511"/>
      <c r="B207" s="511"/>
      <c r="C207" s="511"/>
      <c r="D207" s="511"/>
      <c r="E207" s="511"/>
      <c r="F207" s="511"/>
      <c r="G207" s="511"/>
      <c r="H207" s="511"/>
      <c r="I207" s="511"/>
      <c r="J207" s="511"/>
      <c r="K207" s="511"/>
      <c r="L207" s="511"/>
      <c r="M207" s="511"/>
      <c r="N207" s="511"/>
      <c r="O207" s="511"/>
      <c r="P207" s="511"/>
      <c r="Q207" s="511"/>
      <c r="R207" s="511"/>
      <c r="S207" s="511"/>
      <c r="T207" s="511"/>
      <c r="U207" s="511"/>
      <c r="V207" s="511"/>
      <c r="W207" s="511"/>
      <c r="X207" s="511"/>
      <c r="Y207" s="511"/>
      <c r="Z207" s="511"/>
    </row>
    <row r="208" spans="1:26" ht="19.5" customHeight="1" x14ac:dyDescent="0.3">
      <c r="A208" s="511"/>
      <c r="B208" s="511"/>
      <c r="C208" s="511"/>
      <c r="D208" s="511"/>
      <c r="E208" s="511"/>
      <c r="F208" s="511"/>
      <c r="G208" s="511"/>
      <c r="H208" s="511"/>
      <c r="I208" s="511"/>
      <c r="J208" s="511"/>
      <c r="K208" s="511"/>
      <c r="L208" s="511"/>
      <c r="M208" s="511"/>
      <c r="N208" s="511"/>
      <c r="O208" s="511"/>
      <c r="P208" s="511"/>
      <c r="Q208" s="511"/>
      <c r="R208" s="511"/>
      <c r="S208" s="511"/>
      <c r="T208" s="511"/>
      <c r="U208" s="511"/>
      <c r="V208" s="511"/>
      <c r="W208" s="511"/>
      <c r="X208" s="511"/>
      <c r="Y208" s="511"/>
      <c r="Z208" s="511"/>
    </row>
    <row r="209" spans="1:26" ht="19.5" customHeight="1" x14ac:dyDescent="0.3">
      <c r="A209" s="511"/>
      <c r="B209" s="511"/>
      <c r="C209" s="511"/>
      <c r="D209" s="511"/>
      <c r="E209" s="511"/>
      <c r="F209" s="511"/>
      <c r="G209" s="511"/>
      <c r="H209" s="511"/>
      <c r="I209" s="511"/>
      <c r="J209" s="511"/>
      <c r="K209" s="511"/>
      <c r="L209" s="511"/>
      <c r="M209" s="511"/>
      <c r="N209" s="511"/>
      <c r="O209" s="511"/>
      <c r="P209" s="511"/>
      <c r="Q209" s="511"/>
      <c r="R209" s="511"/>
      <c r="S209" s="511"/>
      <c r="T209" s="511"/>
      <c r="U209" s="511"/>
      <c r="V209" s="511"/>
      <c r="W209" s="511"/>
      <c r="X209" s="511"/>
      <c r="Y209" s="511"/>
      <c r="Z209" s="511"/>
    </row>
    <row r="210" spans="1:26" ht="19.5" customHeight="1" x14ac:dyDescent="0.3">
      <c r="A210" s="511"/>
      <c r="B210" s="511"/>
      <c r="C210" s="511"/>
      <c r="D210" s="511"/>
      <c r="E210" s="511"/>
      <c r="F210" s="511"/>
      <c r="G210" s="511"/>
      <c r="H210" s="511"/>
      <c r="I210" s="511"/>
      <c r="J210" s="511"/>
      <c r="K210" s="511"/>
      <c r="L210" s="511"/>
      <c r="M210" s="511"/>
      <c r="N210" s="511"/>
      <c r="O210" s="511"/>
      <c r="P210" s="511"/>
      <c r="Q210" s="511"/>
      <c r="R210" s="511"/>
      <c r="S210" s="511"/>
      <c r="T210" s="511"/>
      <c r="U210" s="511"/>
      <c r="V210" s="511"/>
      <c r="W210" s="511"/>
      <c r="X210" s="511"/>
      <c r="Y210" s="511"/>
      <c r="Z210" s="511"/>
    </row>
    <row r="211" spans="1:26" ht="19.5" customHeight="1" x14ac:dyDescent="0.3">
      <c r="A211" s="511"/>
      <c r="B211" s="511"/>
      <c r="C211" s="511"/>
      <c r="D211" s="511"/>
      <c r="E211" s="511"/>
      <c r="F211" s="511"/>
      <c r="G211" s="511"/>
      <c r="H211" s="511"/>
      <c r="I211" s="511"/>
      <c r="J211" s="511"/>
      <c r="K211" s="511"/>
      <c r="L211" s="511"/>
      <c r="M211" s="511"/>
      <c r="N211" s="511"/>
      <c r="O211" s="511"/>
      <c r="P211" s="511"/>
      <c r="Q211" s="511"/>
      <c r="R211" s="511"/>
      <c r="S211" s="511"/>
      <c r="T211" s="511"/>
      <c r="U211" s="511"/>
      <c r="V211" s="511"/>
      <c r="W211" s="511"/>
      <c r="X211" s="511"/>
      <c r="Y211" s="511"/>
      <c r="Z211" s="511"/>
    </row>
    <row r="212" spans="1:26" ht="19.5" customHeight="1" x14ac:dyDescent="0.3">
      <c r="A212" s="511"/>
      <c r="B212" s="511"/>
      <c r="C212" s="511"/>
      <c r="D212" s="511"/>
      <c r="E212" s="511"/>
      <c r="F212" s="511"/>
      <c r="G212" s="511"/>
      <c r="H212" s="511"/>
      <c r="I212" s="511"/>
      <c r="J212" s="511"/>
      <c r="K212" s="511"/>
      <c r="L212" s="511"/>
      <c r="M212" s="511"/>
      <c r="N212" s="511"/>
      <c r="O212" s="511"/>
      <c r="P212" s="511"/>
      <c r="Q212" s="511"/>
      <c r="R212" s="511"/>
      <c r="S212" s="511"/>
      <c r="T212" s="511"/>
      <c r="U212" s="511"/>
      <c r="V212" s="511"/>
      <c r="W212" s="511"/>
      <c r="X212" s="511"/>
      <c r="Y212" s="511"/>
      <c r="Z212" s="511"/>
    </row>
    <row r="213" spans="1:26" ht="19.5" customHeight="1" x14ac:dyDescent="0.3">
      <c r="A213" s="511"/>
      <c r="B213" s="511"/>
      <c r="C213" s="511"/>
      <c r="D213" s="511"/>
      <c r="E213" s="511"/>
      <c r="F213" s="511"/>
      <c r="G213" s="511"/>
      <c r="H213" s="511"/>
      <c r="I213" s="511"/>
      <c r="J213" s="511"/>
      <c r="K213" s="511"/>
      <c r="L213" s="511"/>
      <c r="M213" s="511"/>
      <c r="N213" s="511"/>
      <c r="O213" s="511"/>
      <c r="P213" s="511"/>
      <c r="Q213" s="511"/>
      <c r="R213" s="511"/>
      <c r="S213" s="511"/>
      <c r="T213" s="511"/>
      <c r="U213" s="511"/>
      <c r="V213" s="511"/>
      <c r="W213" s="511"/>
      <c r="X213" s="511"/>
      <c r="Y213" s="511"/>
      <c r="Z213" s="511"/>
    </row>
    <row r="214" spans="1:26" ht="19.5" customHeight="1" x14ac:dyDescent="0.3">
      <c r="A214" s="511"/>
      <c r="B214" s="511"/>
      <c r="C214" s="511"/>
      <c r="D214" s="511"/>
      <c r="E214" s="511"/>
      <c r="F214" s="511"/>
      <c r="G214" s="511"/>
      <c r="H214" s="511"/>
      <c r="I214" s="511"/>
      <c r="J214" s="511"/>
      <c r="K214" s="511"/>
      <c r="L214" s="511"/>
      <c r="M214" s="511"/>
      <c r="N214" s="511"/>
      <c r="O214" s="511"/>
      <c r="P214" s="511"/>
      <c r="Q214" s="511"/>
      <c r="R214" s="511"/>
      <c r="S214" s="511"/>
      <c r="T214" s="511"/>
      <c r="U214" s="511"/>
      <c r="V214" s="511"/>
      <c r="W214" s="511"/>
      <c r="X214" s="511"/>
      <c r="Y214" s="511"/>
      <c r="Z214" s="511"/>
    </row>
    <row r="215" spans="1:26" ht="19.5" customHeight="1" x14ac:dyDescent="0.3">
      <c r="A215" s="511"/>
      <c r="B215" s="511"/>
      <c r="C215" s="511"/>
      <c r="D215" s="511"/>
      <c r="E215" s="511"/>
      <c r="F215" s="511"/>
      <c r="G215" s="511"/>
      <c r="H215" s="511"/>
      <c r="I215" s="511"/>
      <c r="J215" s="511"/>
      <c r="K215" s="511"/>
      <c r="L215" s="511"/>
      <c r="M215" s="511"/>
      <c r="N215" s="511"/>
      <c r="O215" s="511"/>
      <c r="P215" s="511"/>
      <c r="Q215" s="511"/>
      <c r="R215" s="511"/>
      <c r="S215" s="511"/>
      <c r="T215" s="511"/>
      <c r="U215" s="511"/>
      <c r="V215" s="511"/>
      <c r="W215" s="511"/>
      <c r="X215" s="511"/>
      <c r="Y215" s="511"/>
      <c r="Z215" s="511"/>
    </row>
    <row r="216" spans="1:26" ht="19.5" customHeight="1" x14ac:dyDescent="0.3">
      <c r="A216" s="511"/>
      <c r="B216" s="511"/>
      <c r="C216" s="511"/>
      <c r="D216" s="511"/>
      <c r="E216" s="511"/>
      <c r="F216" s="511"/>
      <c r="G216" s="511"/>
      <c r="H216" s="511"/>
      <c r="I216" s="511"/>
      <c r="J216" s="511"/>
      <c r="K216" s="511"/>
      <c r="L216" s="511"/>
      <c r="M216" s="511"/>
      <c r="N216" s="511"/>
      <c r="O216" s="511"/>
      <c r="P216" s="511"/>
      <c r="Q216" s="511"/>
      <c r="R216" s="511"/>
      <c r="S216" s="511"/>
      <c r="T216" s="511"/>
      <c r="U216" s="511"/>
      <c r="V216" s="511"/>
      <c r="W216" s="511"/>
      <c r="X216" s="511"/>
      <c r="Y216" s="511"/>
      <c r="Z216" s="511"/>
    </row>
    <row r="217" spans="1:26" ht="19.5" customHeight="1" x14ac:dyDescent="0.3">
      <c r="A217" s="511"/>
      <c r="B217" s="511"/>
      <c r="C217" s="511"/>
      <c r="D217" s="511"/>
      <c r="E217" s="511"/>
      <c r="F217" s="511"/>
      <c r="G217" s="511"/>
      <c r="H217" s="511"/>
      <c r="I217" s="511"/>
      <c r="J217" s="511"/>
      <c r="K217" s="511"/>
      <c r="L217" s="511"/>
      <c r="M217" s="511"/>
      <c r="N217" s="511"/>
      <c r="O217" s="511"/>
      <c r="P217" s="511"/>
      <c r="Q217" s="511"/>
      <c r="R217" s="511"/>
      <c r="S217" s="511"/>
      <c r="T217" s="511"/>
      <c r="U217" s="511"/>
      <c r="V217" s="511"/>
      <c r="W217" s="511"/>
      <c r="X217" s="511"/>
      <c r="Y217" s="511"/>
      <c r="Z217" s="511"/>
    </row>
    <row r="218" spans="1:26" ht="19.5" customHeight="1" x14ac:dyDescent="0.3">
      <c r="A218" s="511"/>
      <c r="B218" s="511"/>
      <c r="C218" s="511"/>
      <c r="D218" s="511"/>
      <c r="E218" s="511"/>
      <c r="F218" s="511"/>
      <c r="G218" s="511"/>
      <c r="H218" s="511"/>
      <c r="I218" s="511"/>
      <c r="J218" s="511"/>
      <c r="K218" s="511"/>
      <c r="L218" s="511"/>
      <c r="M218" s="511"/>
      <c r="N218" s="511"/>
      <c r="O218" s="511"/>
      <c r="P218" s="511"/>
      <c r="Q218" s="511"/>
      <c r="R218" s="511"/>
      <c r="S218" s="511"/>
      <c r="T218" s="511"/>
      <c r="U218" s="511"/>
      <c r="V218" s="511"/>
      <c r="W218" s="511"/>
      <c r="X218" s="511"/>
      <c r="Y218" s="511"/>
      <c r="Z218" s="511"/>
    </row>
    <row r="219" spans="1:26" ht="19.5" customHeight="1" x14ac:dyDescent="0.3">
      <c r="A219" s="511"/>
      <c r="B219" s="511"/>
      <c r="C219" s="511"/>
      <c r="D219" s="511"/>
      <c r="E219" s="511"/>
      <c r="F219" s="511"/>
      <c r="G219" s="511"/>
      <c r="H219" s="511"/>
      <c r="I219" s="511"/>
      <c r="J219" s="511"/>
      <c r="K219" s="511"/>
      <c r="L219" s="511"/>
      <c r="M219" s="511"/>
      <c r="N219" s="511"/>
      <c r="O219" s="511"/>
      <c r="P219" s="511"/>
      <c r="Q219" s="511"/>
      <c r="R219" s="511"/>
      <c r="S219" s="511"/>
      <c r="T219" s="511"/>
      <c r="U219" s="511"/>
      <c r="V219" s="511"/>
      <c r="W219" s="511"/>
      <c r="X219" s="511"/>
      <c r="Y219" s="511"/>
      <c r="Z219" s="511"/>
    </row>
    <row r="220" spans="1:26" ht="19.5" customHeight="1" x14ac:dyDescent="0.3">
      <c r="A220" s="511"/>
      <c r="B220" s="511"/>
      <c r="C220" s="511"/>
      <c r="D220" s="511"/>
      <c r="E220" s="511"/>
      <c r="F220" s="511"/>
      <c r="G220" s="511"/>
      <c r="H220" s="511"/>
      <c r="I220" s="511"/>
      <c r="J220" s="511"/>
      <c r="K220" s="511"/>
      <c r="L220" s="511"/>
      <c r="M220" s="511"/>
      <c r="N220" s="511"/>
      <c r="O220" s="511"/>
      <c r="P220" s="511"/>
      <c r="Q220" s="511"/>
      <c r="R220" s="511"/>
      <c r="S220" s="511"/>
      <c r="T220" s="511"/>
      <c r="U220" s="511"/>
      <c r="V220" s="511"/>
      <c r="W220" s="511"/>
      <c r="X220" s="511"/>
      <c r="Y220" s="511"/>
      <c r="Z220" s="511"/>
    </row>
    <row r="221" spans="1:26" ht="19.5" customHeight="1" x14ac:dyDescent="0.3">
      <c r="A221" s="511"/>
      <c r="B221" s="511"/>
      <c r="C221" s="511"/>
      <c r="D221" s="511"/>
      <c r="E221" s="511"/>
      <c r="F221" s="511"/>
      <c r="G221" s="511"/>
      <c r="H221" s="511"/>
      <c r="I221" s="511"/>
      <c r="J221" s="511"/>
      <c r="K221" s="511"/>
      <c r="L221" s="511"/>
      <c r="M221" s="511"/>
      <c r="N221" s="511"/>
      <c r="O221" s="511"/>
      <c r="P221" s="511"/>
      <c r="Q221" s="511"/>
      <c r="R221" s="511"/>
      <c r="S221" s="511"/>
      <c r="T221" s="511"/>
      <c r="U221" s="511"/>
      <c r="V221" s="511"/>
      <c r="W221" s="511"/>
      <c r="X221" s="511"/>
      <c r="Y221" s="511"/>
      <c r="Z221" s="511"/>
    </row>
    <row r="222" spans="1:26" ht="19.5" customHeight="1" x14ac:dyDescent="0.3">
      <c r="A222" s="511"/>
      <c r="B222" s="511"/>
      <c r="C222" s="511"/>
      <c r="D222" s="511"/>
      <c r="E222" s="511"/>
      <c r="F222" s="511"/>
      <c r="G222" s="511"/>
      <c r="H222" s="511"/>
      <c r="I222" s="511"/>
      <c r="J222" s="511"/>
      <c r="K222" s="511"/>
      <c r="L222" s="511"/>
      <c r="M222" s="511"/>
      <c r="N222" s="511"/>
      <c r="O222" s="511"/>
      <c r="P222" s="511"/>
      <c r="Q222" s="511"/>
      <c r="R222" s="511"/>
      <c r="S222" s="511"/>
      <c r="T222" s="511"/>
      <c r="U222" s="511"/>
      <c r="V222" s="511"/>
      <c r="W222" s="511"/>
      <c r="X222" s="511"/>
      <c r="Y222" s="511"/>
      <c r="Z222" s="511"/>
    </row>
    <row r="223" spans="1:26" ht="19.5" customHeight="1" x14ac:dyDescent="0.3">
      <c r="A223" s="511"/>
      <c r="B223" s="511"/>
      <c r="C223" s="511"/>
      <c r="D223" s="511"/>
      <c r="E223" s="511"/>
      <c r="F223" s="511"/>
      <c r="G223" s="511"/>
      <c r="H223" s="511"/>
      <c r="I223" s="511"/>
      <c r="J223" s="511"/>
      <c r="K223" s="511"/>
      <c r="L223" s="511"/>
      <c r="M223" s="511"/>
      <c r="N223" s="511"/>
      <c r="O223" s="511"/>
      <c r="P223" s="511"/>
      <c r="Q223" s="511"/>
      <c r="R223" s="511"/>
      <c r="S223" s="511"/>
      <c r="T223" s="511"/>
      <c r="U223" s="511"/>
      <c r="V223" s="511"/>
      <c r="W223" s="511"/>
      <c r="X223" s="511"/>
      <c r="Y223" s="511"/>
      <c r="Z223" s="511"/>
    </row>
    <row r="224" spans="1:26" ht="19.5" customHeight="1" x14ac:dyDescent="0.3">
      <c r="A224" s="511"/>
      <c r="B224" s="511"/>
      <c r="C224" s="511"/>
      <c r="D224" s="511"/>
      <c r="E224" s="511"/>
      <c r="F224" s="511"/>
      <c r="G224" s="511"/>
      <c r="H224" s="511"/>
      <c r="I224" s="511"/>
      <c r="J224" s="511"/>
      <c r="K224" s="511"/>
      <c r="L224" s="511"/>
      <c r="M224" s="511"/>
      <c r="N224" s="511"/>
      <c r="O224" s="511"/>
      <c r="P224" s="511"/>
      <c r="Q224" s="511"/>
      <c r="R224" s="511"/>
      <c r="S224" s="511"/>
      <c r="T224" s="511"/>
      <c r="U224" s="511"/>
      <c r="V224" s="511"/>
      <c r="W224" s="511"/>
      <c r="X224" s="511"/>
      <c r="Y224" s="511"/>
      <c r="Z224" s="511"/>
    </row>
    <row r="225" spans="1:26" ht="19.5" customHeight="1" x14ac:dyDescent="0.3">
      <c r="A225" s="511"/>
      <c r="B225" s="511"/>
      <c r="C225" s="511"/>
      <c r="D225" s="511"/>
      <c r="E225" s="511"/>
      <c r="F225" s="511"/>
      <c r="G225" s="511"/>
      <c r="H225" s="511"/>
      <c r="I225" s="511"/>
      <c r="J225" s="511"/>
      <c r="K225" s="511"/>
      <c r="L225" s="511"/>
      <c r="M225" s="511"/>
      <c r="N225" s="511"/>
      <c r="O225" s="511"/>
      <c r="P225" s="511"/>
      <c r="Q225" s="511"/>
      <c r="R225" s="511"/>
      <c r="S225" s="511"/>
      <c r="T225" s="511"/>
      <c r="U225" s="511"/>
      <c r="V225" s="511"/>
      <c r="W225" s="511"/>
      <c r="X225" s="511"/>
      <c r="Y225" s="511"/>
      <c r="Z225" s="511"/>
    </row>
    <row r="226" spans="1:26" ht="19.5" customHeight="1" x14ac:dyDescent="0.3">
      <c r="A226" s="511"/>
      <c r="B226" s="511"/>
      <c r="C226" s="511"/>
      <c r="D226" s="511"/>
      <c r="E226" s="511"/>
      <c r="F226" s="511"/>
      <c r="G226" s="511"/>
      <c r="H226" s="511"/>
      <c r="I226" s="511"/>
      <c r="J226" s="511"/>
      <c r="K226" s="511"/>
      <c r="L226" s="511"/>
      <c r="M226" s="511"/>
      <c r="N226" s="511"/>
      <c r="O226" s="511"/>
      <c r="P226" s="511"/>
      <c r="Q226" s="511"/>
      <c r="R226" s="511"/>
      <c r="S226" s="511"/>
      <c r="T226" s="511"/>
      <c r="U226" s="511"/>
      <c r="V226" s="511"/>
      <c r="W226" s="511"/>
      <c r="X226" s="511"/>
      <c r="Y226" s="511"/>
      <c r="Z226" s="511"/>
    </row>
    <row r="227" spans="1:26" ht="19.5" customHeight="1" x14ac:dyDescent="0.3">
      <c r="A227" s="511"/>
      <c r="B227" s="511"/>
      <c r="C227" s="511"/>
      <c r="D227" s="511"/>
      <c r="E227" s="511"/>
      <c r="F227" s="511"/>
      <c r="G227" s="511"/>
      <c r="H227" s="511"/>
      <c r="I227" s="511"/>
      <c r="J227" s="511"/>
      <c r="K227" s="511"/>
      <c r="L227" s="511"/>
      <c r="M227" s="511"/>
      <c r="N227" s="511"/>
      <c r="O227" s="511"/>
      <c r="P227" s="511"/>
      <c r="Q227" s="511"/>
      <c r="R227" s="511"/>
      <c r="S227" s="511"/>
      <c r="T227" s="511"/>
      <c r="U227" s="511"/>
      <c r="V227" s="511"/>
      <c r="W227" s="511"/>
      <c r="X227" s="511"/>
      <c r="Y227" s="511"/>
      <c r="Z227" s="511"/>
    </row>
    <row r="228" spans="1:26" ht="19.5" customHeight="1" x14ac:dyDescent="0.3">
      <c r="A228" s="511"/>
      <c r="B228" s="511"/>
      <c r="C228" s="511"/>
      <c r="D228" s="511"/>
      <c r="E228" s="511"/>
      <c r="F228" s="511"/>
      <c r="G228" s="511"/>
      <c r="H228" s="511"/>
      <c r="I228" s="511"/>
      <c r="J228" s="511"/>
      <c r="K228" s="511"/>
      <c r="L228" s="511"/>
      <c r="M228" s="511"/>
      <c r="N228" s="511"/>
      <c r="O228" s="511"/>
      <c r="P228" s="511"/>
      <c r="Q228" s="511"/>
      <c r="R228" s="511"/>
      <c r="S228" s="511"/>
      <c r="T228" s="511"/>
      <c r="U228" s="511"/>
      <c r="V228" s="511"/>
      <c r="W228" s="511"/>
      <c r="X228" s="511"/>
      <c r="Y228" s="511"/>
      <c r="Z228" s="511"/>
    </row>
    <row r="229" spans="1:26" ht="19.5" customHeight="1" x14ac:dyDescent="0.3">
      <c r="A229" s="511"/>
      <c r="B229" s="511"/>
      <c r="C229" s="511"/>
      <c r="D229" s="511"/>
      <c r="E229" s="511"/>
      <c r="F229" s="511"/>
      <c r="G229" s="511"/>
      <c r="H229" s="511"/>
      <c r="I229" s="511"/>
      <c r="J229" s="511"/>
      <c r="K229" s="511"/>
      <c r="L229" s="511"/>
      <c r="M229" s="511"/>
      <c r="N229" s="511"/>
      <c r="O229" s="511"/>
      <c r="P229" s="511"/>
      <c r="Q229" s="511"/>
      <c r="R229" s="511"/>
      <c r="S229" s="511"/>
      <c r="T229" s="511"/>
      <c r="U229" s="511"/>
      <c r="V229" s="511"/>
      <c r="W229" s="511"/>
      <c r="X229" s="511"/>
      <c r="Y229" s="511"/>
      <c r="Z229" s="511"/>
    </row>
    <row r="230" spans="1:26" ht="19.5" customHeight="1" x14ac:dyDescent="0.3">
      <c r="A230" s="511"/>
      <c r="B230" s="511"/>
      <c r="C230" s="511"/>
      <c r="D230" s="511"/>
      <c r="E230" s="511"/>
      <c r="F230" s="511"/>
      <c r="G230" s="511"/>
      <c r="H230" s="511"/>
      <c r="I230" s="511"/>
      <c r="J230" s="511"/>
      <c r="K230" s="511"/>
      <c r="L230" s="511"/>
      <c r="M230" s="511"/>
      <c r="N230" s="511"/>
      <c r="O230" s="511"/>
      <c r="P230" s="511"/>
      <c r="Q230" s="511"/>
      <c r="R230" s="511"/>
      <c r="S230" s="511"/>
      <c r="T230" s="511"/>
      <c r="U230" s="511"/>
      <c r="V230" s="511"/>
      <c r="W230" s="511"/>
      <c r="X230" s="511"/>
      <c r="Y230" s="511"/>
      <c r="Z230" s="511"/>
    </row>
    <row r="231" spans="1:26" ht="19.5" customHeight="1" x14ac:dyDescent="0.3">
      <c r="A231" s="511"/>
      <c r="B231" s="511"/>
      <c r="C231" s="511"/>
      <c r="D231" s="511"/>
      <c r="E231" s="511"/>
      <c r="F231" s="511"/>
      <c r="G231" s="511"/>
      <c r="H231" s="511"/>
      <c r="I231" s="511"/>
      <c r="J231" s="511"/>
      <c r="K231" s="511"/>
      <c r="L231" s="511"/>
      <c r="M231" s="511"/>
      <c r="N231" s="511"/>
      <c r="O231" s="511"/>
      <c r="P231" s="511"/>
      <c r="Q231" s="511"/>
      <c r="R231" s="511"/>
      <c r="S231" s="511"/>
      <c r="T231" s="511"/>
      <c r="U231" s="511"/>
      <c r="V231" s="511"/>
      <c r="W231" s="511"/>
      <c r="X231" s="511"/>
      <c r="Y231" s="511"/>
      <c r="Z231" s="511"/>
    </row>
    <row r="232" spans="1:26" ht="19.5" customHeight="1" x14ac:dyDescent="0.3">
      <c r="A232" s="511"/>
      <c r="B232" s="511"/>
      <c r="C232" s="511"/>
      <c r="D232" s="511"/>
      <c r="E232" s="511"/>
      <c r="F232" s="511"/>
      <c r="G232" s="511"/>
      <c r="H232" s="511"/>
      <c r="I232" s="511"/>
      <c r="J232" s="511"/>
      <c r="K232" s="511"/>
      <c r="L232" s="511"/>
      <c r="M232" s="511"/>
      <c r="N232" s="511"/>
      <c r="O232" s="511"/>
      <c r="P232" s="511"/>
      <c r="Q232" s="511"/>
      <c r="R232" s="511"/>
      <c r="S232" s="511"/>
      <c r="T232" s="511"/>
      <c r="U232" s="511"/>
      <c r="V232" s="511"/>
      <c r="W232" s="511"/>
      <c r="X232" s="511"/>
      <c r="Y232" s="511"/>
      <c r="Z232" s="511"/>
    </row>
    <row r="233" spans="1:26" ht="19.5" customHeight="1" x14ac:dyDescent="0.3">
      <c r="A233" s="511"/>
      <c r="B233" s="511"/>
      <c r="C233" s="511"/>
      <c r="D233" s="511"/>
      <c r="E233" s="511"/>
      <c r="F233" s="511"/>
      <c r="G233" s="511"/>
      <c r="H233" s="511"/>
      <c r="I233" s="511"/>
      <c r="J233" s="511"/>
      <c r="K233" s="511"/>
      <c r="L233" s="511"/>
      <c r="M233" s="511"/>
      <c r="N233" s="511"/>
      <c r="O233" s="511"/>
      <c r="P233" s="511"/>
      <c r="Q233" s="511"/>
      <c r="R233" s="511"/>
      <c r="S233" s="511"/>
      <c r="T233" s="511"/>
      <c r="U233" s="511"/>
      <c r="V233" s="511"/>
      <c r="W233" s="511"/>
      <c r="X233" s="511"/>
      <c r="Y233" s="511"/>
      <c r="Z233" s="511"/>
    </row>
    <row r="234" spans="1:26" ht="19.5" customHeight="1" x14ac:dyDescent="0.3">
      <c r="A234" s="511"/>
      <c r="B234" s="511"/>
      <c r="C234" s="511"/>
      <c r="D234" s="511"/>
      <c r="E234" s="511"/>
      <c r="F234" s="511"/>
      <c r="G234" s="511"/>
      <c r="H234" s="511"/>
      <c r="I234" s="511"/>
      <c r="J234" s="511"/>
      <c r="K234" s="511"/>
      <c r="L234" s="511"/>
      <c r="M234" s="511"/>
      <c r="N234" s="511"/>
      <c r="O234" s="511"/>
      <c r="P234" s="511"/>
      <c r="Q234" s="511"/>
      <c r="R234" s="511"/>
      <c r="S234" s="511"/>
      <c r="T234" s="511"/>
      <c r="U234" s="511"/>
      <c r="V234" s="511"/>
      <c r="W234" s="511"/>
      <c r="X234" s="511"/>
      <c r="Y234" s="511"/>
      <c r="Z234" s="511"/>
    </row>
    <row r="235" spans="1:26" ht="19.5" customHeight="1" x14ac:dyDescent="0.3">
      <c r="A235" s="511"/>
      <c r="B235" s="511"/>
      <c r="C235" s="511"/>
      <c r="D235" s="511"/>
      <c r="E235" s="511"/>
      <c r="F235" s="511"/>
      <c r="G235" s="511"/>
      <c r="H235" s="511"/>
      <c r="I235" s="511"/>
      <c r="J235" s="511"/>
      <c r="K235" s="511"/>
      <c r="L235" s="511"/>
      <c r="M235" s="511"/>
      <c r="N235" s="511"/>
      <c r="O235" s="511"/>
      <c r="P235" s="511"/>
      <c r="Q235" s="511"/>
      <c r="R235" s="511"/>
      <c r="S235" s="511"/>
      <c r="T235" s="511"/>
      <c r="U235" s="511"/>
      <c r="V235" s="511"/>
      <c r="W235" s="511"/>
      <c r="X235" s="511"/>
      <c r="Y235" s="511"/>
      <c r="Z235" s="511"/>
    </row>
    <row r="236" spans="1:26" ht="19.5" customHeight="1" x14ac:dyDescent="0.3">
      <c r="A236" s="511"/>
      <c r="B236" s="511"/>
      <c r="C236" s="511"/>
      <c r="D236" s="511"/>
      <c r="E236" s="511"/>
      <c r="F236" s="511"/>
      <c r="G236" s="511"/>
      <c r="H236" s="511"/>
      <c r="I236" s="511"/>
      <c r="J236" s="511"/>
      <c r="K236" s="511"/>
      <c r="L236" s="511"/>
      <c r="M236" s="511"/>
      <c r="N236" s="511"/>
      <c r="O236" s="511"/>
      <c r="P236" s="511"/>
      <c r="Q236" s="511"/>
      <c r="R236" s="511"/>
      <c r="S236" s="511"/>
      <c r="T236" s="511"/>
      <c r="U236" s="511"/>
      <c r="V236" s="511"/>
      <c r="W236" s="511"/>
      <c r="X236" s="511"/>
      <c r="Y236" s="511"/>
      <c r="Z236" s="511"/>
    </row>
    <row r="237" spans="1:26" ht="19.5" customHeight="1" x14ac:dyDescent="0.3">
      <c r="A237" s="511"/>
      <c r="B237" s="511"/>
      <c r="C237" s="511"/>
      <c r="D237" s="511"/>
      <c r="E237" s="511"/>
      <c r="F237" s="511"/>
      <c r="G237" s="511"/>
      <c r="H237" s="511"/>
      <c r="I237" s="511"/>
      <c r="J237" s="511"/>
      <c r="K237" s="511"/>
      <c r="L237" s="511"/>
      <c r="M237" s="511"/>
      <c r="N237" s="511"/>
      <c r="O237" s="511"/>
      <c r="P237" s="511"/>
      <c r="Q237" s="511"/>
      <c r="R237" s="511"/>
      <c r="S237" s="511"/>
      <c r="T237" s="511"/>
      <c r="U237" s="511"/>
      <c r="V237" s="511"/>
      <c r="W237" s="511"/>
      <c r="X237" s="511"/>
      <c r="Y237" s="511"/>
      <c r="Z237" s="511"/>
    </row>
    <row r="238" spans="1:26" ht="19.5" customHeight="1" x14ac:dyDescent="0.3">
      <c r="A238" s="511"/>
      <c r="B238" s="511"/>
      <c r="C238" s="511"/>
      <c r="D238" s="511"/>
      <c r="E238" s="511"/>
      <c r="F238" s="511"/>
      <c r="G238" s="511"/>
      <c r="H238" s="511"/>
      <c r="I238" s="511"/>
      <c r="J238" s="511"/>
      <c r="K238" s="511"/>
      <c r="L238" s="511"/>
      <c r="M238" s="511"/>
      <c r="N238" s="511"/>
      <c r="O238" s="511"/>
      <c r="P238" s="511"/>
      <c r="Q238" s="511"/>
      <c r="R238" s="511"/>
      <c r="S238" s="511"/>
      <c r="T238" s="511"/>
      <c r="U238" s="511"/>
      <c r="V238" s="511"/>
      <c r="W238" s="511"/>
      <c r="X238" s="511"/>
      <c r="Y238" s="511"/>
      <c r="Z238" s="511"/>
    </row>
    <row r="239" spans="1:26" ht="19.5" customHeight="1" x14ac:dyDescent="0.3">
      <c r="A239" s="511"/>
      <c r="B239" s="511"/>
      <c r="C239" s="511"/>
      <c r="D239" s="511"/>
      <c r="E239" s="511"/>
      <c r="F239" s="511"/>
      <c r="G239" s="511"/>
      <c r="H239" s="511"/>
      <c r="I239" s="511"/>
      <c r="J239" s="511"/>
      <c r="K239" s="511"/>
      <c r="L239" s="511"/>
      <c r="M239" s="511"/>
      <c r="N239" s="511"/>
      <c r="O239" s="511"/>
      <c r="P239" s="511"/>
      <c r="Q239" s="511"/>
      <c r="R239" s="511"/>
      <c r="S239" s="511"/>
      <c r="T239" s="511"/>
      <c r="U239" s="511"/>
      <c r="V239" s="511"/>
      <c r="W239" s="511"/>
      <c r="X239" s="511"/>
      <c r="Y239" s="511"/>
      <c r="Z239" s="511"/>
    </row>
    <row r="240" spans="1:26" ht="19.5" customHeight="1" x14ac:dyDescent="0.3">
      <c r="A240" s="511"/>
      <c r="B240" s="511"/>
      <c r="C240" s="511"/>
      <c r="D240" s="511"/>
      <c r="E240" s="511"/>
      <c r="F240" s="511"/>
      <c r="G240" s="511"/>
      <c r="H240" s="511"/>
      <c r="I240" s="511"/>
      <c r="J240" s="511"/>
      <c r="K240" s="511"/>
      <c r="L240" s="511"/>
      <c r="M240" s="511"/>
      <c r="N240" s="511"/>
      <c r="O240" s="511"/>
      <c r="P240" s="511"/>
      <c r="Q240" s="511"/>
      <c r="R240" s="511"/>
      <c r="S240" s="511"/>
      <c r="T240" s="511"/>
      <c r="U240" s="511"/>
      <c r="V240" s="511"/>
      <c r="W240" s="511"/>
      <c r="X240" s="511"/>
      <c r="Y240" s="511"/>
      <c r="Z240" s="511"/>
    </row>
    <row r="241" spans="1:26" ht="19.5" customHeight="1" x14ac:dyDescent="0.3">
      <c r="A241" s="511"/>
      <c r="B241" s="511"/>
      <c r="C241" s="511"/>
      <c r="D241" s="511"/>
      <c r="E241" s="511"/>
      <c r="F241" s="511"/>
      <c r="G241" s="511"/>
      <c r="H241" s="511"/>
      <c r="I241" s="511"/>
      <c r="J241" s="511"/>
      <c r="K241" s="511"/>
      <c r="L241" s="511"/>
      <c r="M241" s="511"/>
      <c r="N241" s="511"/>
      <c r="O241" s="511"/>
      <c r="P241" s="511"/>
      <c r="Q241" s="511"/>
      <c r="R241" s="511"/>
      <c r="S241" s="511"/>
      <c r="T241" s="511"/>
      <c r="U241" s="511"/>
      <c r="V241" s="511"/>
      <c r="W241" s="511"/>
      <c r="X241" s="511"/>
      <c r="Y241" s="511"/>
      <c r="Z241" s="511"/>
    </row>
    <row r="242" spans="1:26" ht="19.5" customHeight="1" x14ac:dyDescent="0.3">
      <c r="A242" s="511"/>
      <c r="B242" s="511"/>
      <c r="C242" s="511"/>
      <c r="D242" s="511"/>
      <c r="E242" s="511"/>
      <c r="F242" s="511"/>
      <c r="G242" s="511"/>
      <c r="H242" s="511"/>
      <c r="I242" s="511"/>
      <c r="J242" s="511"/>
      <c r="K242" s="511"/>
      <c r="L242" s="511"/>
      <c r="M242" s="511"/>
      <c r="N242" s="511"/>
      <c r="O242" s="511"/>
      <c r="P242" s="511"/>
      <c r="Q242" s="511"/>
      <c r="R242" s="511"/>
      <c r="S242" s="511"/>
      <c r="T242" s="511"/>
      <c r="U242" s="511"/>
      <c r="V242" s="511"/>
      <c r="W242" s="511"/>
      <c r="X242" s="511"/>
      <c r="Y242" s="511"/>
      <c r="Z242" s="511"/>
    </row>
    <row r="243" spans="1:26" ht="19.5" customHeight="1" x14ac:dyDescent="0.3">
      <c r="A243" s="511"/>
      <c r="B243" s="511"/>
      <c r="C243" s="511"/>
      <c r="D243" s="511"/>
      <c r="E243" s="511"/>
      <c r="F243" s="511"/>
      <c r="G243" s="511"/>
      <c r="H243" s="511"/>
      <c r="I243" s="511"/>
      <c r="J243" s="511"/>
      <c r="K243" s="511"/>
      <c r="L243" s="511"/>
      <c r="M243" s="511"/>
      <c r="N243" s="511"/>
      <c r="O243" s="511"/>
      <c r="P243" s="511"/>
      <c r="Q243" s="511"/>
      <c r="R243" s="511"/>
      <c r="S243" s="511"/>
      <c r="T243" s="511"/>
      <c r="U243" s="511"/>
      <c r="V243" s="511"/>
      <c r="W243" s="511"/>
      <c r="X243" s="511"/>
      <c r="Y243" s="511"/>
      <c r="Z243" s="511"/>
    </row>
    <row r="244" spans="1:26" ht="19.5" customHeight="1" x14ac:dyDescent="0.3">
      <c r="A244" s="511"/>
      <c r="B244" s="511"/>
      <c r="C244" s="511"/>
      <c r="D244" s="511"/>
      <c r="E244" s="511"/>
      <c r="F244" s="511"/>
      <c r="G244" s="511"/>
      <c r="H244" s="511"/>
      <c r="I244" s="511"/>
      <c r="J244" s="511"/>
      <c r="K244" s="511"/>
      <c r="L244" s="511"/>
      <c r="M244" s="511"/>
      <c r="N244" s="511"/>
      <c r="O244" s="511"/>
      <c r="P244" s="511"/>
      <c r="Q244" s="511"/>
      <c r="R244" s="511"/>
      <c r="S244" s="511"/>
      <c r="T244" s="511"/>
      <c r="U244" s="511"/>
      <c r="V244" s="511"/>
      <c r="W244" s="511"/>
      <c r="X244" s="511"/>
      <c r="Y244" s="511"/>
      <c r="Z244" s="511"/>
    </row>
    <row r="245" spans="1:26" ht="19.5" customHeight="1" x14ac:dyDescent="0.3">
      <c r="A245" s="511"/>
      <c r="B245" s="511"/>
      <c r="C245" s="511"/>
      <c r="D245" s="511"/>
      <c r="E245" s="511"/>
      <c r="F245" s="511"/>
      <c r="G245" s="511"/>
      <c r="H245" s="511"/>
      <c r="I245" s="511"/>
      <c r="J245" s="511"/>
      <c r="K245" s="511"/>
      <c r="L245" s="511"/>
      <c r="M245" s="511"/>
      <c r="N245" s="511"/>
      <c r="O245" s="511"/>
      <c r="P245" s="511"/>
      <c r="Q245" s="511"/>
      <c r="R245" s="511"/>
      <c r="S245" s="511"/>
      <c r="T245" s="511"/>
      <c r="U245" s="511"/>
      <c r="V245" s="511"/>
      <c r="W245" s="511"/>
      <c r="X245" s="511"/>
      <c r="Y245" s="511"/>
      <c r="Z245" s="511"/>
    </row>
    <row r="246" spans="1:26" ht="19.5" customHeight="1" x14ac:dyDescent="0.3">
      <c r="A246" s="511"/>
      <c r="B246" s="511"/>
      <c r="C246" s="511"/>
      <c r="D246" s="511"/>
      <c r="E246" s="511"/>
      <c r="F246" s="511"/>
      <c r="G246" s="511"/>
      <c r="H246" s="511"/>
      <c r="I246" s="511"/>
      <c r="J246" s="511"/>
      <c r="K246" s="511"/>
      <c r="L246" s="511"/>
      <c r="M246" s="511"/>
      <c r="N246" s="511"/>
      <c r="O246" s="511"/>
      <c r="P246" s="511"/>
      <c r="Q246" s="511"/>
      <c r="R246" s="511"/>
      <c r="S246" s="511"/>
      <c r="T246" s="511"/>
      <c r="U246" s="511"/>
      <c r="V246" s="511"/>
      <c r="W246" s="511"/>
      <c r="X246" s="511"/>
      <c r="Y246" s="511"/>
      <c r="Z246" s="511"/>
    </row>
    <row r="247" spans="1:26" ht="19.5" customHeight="1" x14ac:dyDescent="0.3">
      <c r="A247" s="511"/>
      <c r="B247" s="511"/>
      <c r="C247" s="511"/>
      <c r="D247" s="511"/>
      <c r="E247" s="511"/>
      <c r="F247" s="511"/>
      <c r="G247" s="511"/>
      <c r="H247" s="511"/>
      <c r="I247" s="511"/>
      <c r="J247" s="511"/>
      <c r="K247" s="511"/>
      <c r="L247" s="511"/>
      <c r="M247" s="511"/>
      <c r="N247" s="511"/>
      <c r="O247" s="511"/>
      <c r="P247" s="511"/>
      <c r="Q247" s="511"/>
      <c r="R247" s="511"/>
      <c r="S247" s="511"/>
      <c r="T247" s="511"/>
      <c r="U247" s="511"/>
      <c r="V247" s="511"/>
      <c r="W247" s="511"/>
      <c r="X247" s="511"/>
      <c r="Y247" s="511"/>
      <c r="Z247" s="511"/>
    </row>
    <row r="248" spans="1:26" ht="19.5" customHeight="1" x14ac:dyDescent="0.3">
      <c r="A248" s="511"/>
      <c r="B248" s="511"/>
      <c r="C248" s="511"/>
      <c r="D248" s="511"/>
      <c r="E248" s="511"/>
      <c r="F248" s="511"/>
      <c r="G248" s="511"/>
      <c r="H248" s="511"/>
      <c r="I248" s="511"/>
      <c r="J248" s="511"/>
      <c r="K248" s="511"/>
      <c r="L248" s="511"/>
      <c r="M248" s="511"/>
      <c r="N248" s="511"/>
      <c r="O248" s="511"/>
      <c r="P248" s="511"/>
      <c r="Q248" s="511"/>
      <c r="R248" s="511"/>
      <c r="S248" s="511"/>
      <c r="T248" s="511"/>
      <c r="U248" s="511"/>
      <c r="V248" s="511"/>
      <c r="W248" s="511"/>
      <c r="X248" s="511"/>
      <c r="Y248" s="511"/>
      <c r="Z248" s="511"/>
    </row>
    <row r="249" spans="1:26" ht="19.5" customHeight="1" x14ac:dyDescent="0.3">
      <c r="A249" s="511"/>
      <c r="B249" s="511"/>
      <c r="C249" s="511"/>
      <c r="D249" s="511"/>
      <c r="E249" s="511"/>
      <c r="F249" s="511"/>
      <c r="G249" s="511"/>
      <c r="H249" s="511"/>
      <c r="I249" s="511"/>
      <c r="J249" s="511"/>
      <c r="K249" s="511"/>
      <c r="L249" s="511"/>
      <c r="M249" s="511"/>
      <c r="N249" s="511"/>
      <c r="O249" s="511"/>
      <c r="P249" s="511"/>
      <c r="Q249" s="511"/>
      <c r="R249" s="511"/>
      <c r="S249" s="511"/>
      <c r="T249" s="511"/>
      <c r="U249" s="511"/>
      <c r="V249" s="511"/>
      <c r="W249" s="511"/>
      <c r="X249" s="511"/>
      <c r="Y249" s="511"/>
      <c r="Z249" s="511"/>
    </row>
    <row r="250" spans="1:26" ht="19.5" customHeight="1" x14ac:dyDescent="0.3">
      <c r="A250" s="511"/>
      <c r="B250" s="511"/>
      <c r="C250" s="511"/>
      <c r="D250" s="511"/>
      <c r="E250" s="511"/>
      <c r="F250" s="511"/>
      <c r="G250" s="511"/>
      <c r="H250" s="511"/>
      <c r="I250" s="511"/>
      <c r="J250" s="511"/>
      <c r="K250" s="511"/>
      <c r="L250" s="511"/>
      <c r="M250" s="511"/>
      <c r="N250" s="511"/>
      <c r="O250" s="511"/>
      <c r="P250" s="511"/>
      <c r="Q250" s="511"/>
      <c r="R250" s="511"/>
      <c r="S250" s="511"/>
      <c r="T250" s="511"/>
      <c r="U250" s="511"/>
      <c r="V250" s="511"/>
      <c r="W250" s="511"/>
      <c r="X250" s="511"/>
      <c r="Y250" s="511"/>
      <c r="Z250" s="511"/>
    </row>
    <row r="251" spans="1:26" ht="19.5" customHeight="1" x14ac:dyDescent="0.3">
      <c r="A251" s="511"/>
      <c r="B251" s="511"/>
      <c r="C251" s="511"/>
      <c r="D251" s="511"/>
      <c r="E251" s="511"/>
      <c r="F251" s="511"/>
      <c r="G251" s="511"/>
      <c r="H251" s="511"/>
      <c r="I251" s="511"/>
      <c r="J251" s="511"/>
      <c r="K251" s="511"/>
      <c r="L251" s="511"/>
      <c r="M251" s="511"/>
      <c r="N251" s="511"/>
      <c r="O251" s="511"/>
      <c r="P251" s="511"/>
      <c r="Q251" s="511"/>
      <c r="R251" s="511"/>
      <c r="S251" s="511"/>
      <c r="T251" s="511"/>
      <c r="U251" s="511"/>
      <c r="V251" s="511"/>
      <c r="W251" s="511"/>
      <c r="X251" s="511"/>
      <c r="Y251" s="511"/>
      <c r="Z251" s="511"/>
    </row>
    <row r="252" spans="1:26" ht="19.5" customHeight="1" x14ac:dyDescent="0.3">
      <c r="A252" s="511"/>
      <c r="B252" s="511"/>
      <c r="C252" s="511"/>
      <c r="D252" s="511"/>
      <c r="E252" s="511"/>
      <c r="F252" s="511"/>
      <c r="G252" s="511"/>
      <c r="H252" s="511"/>
      <c r="I252" s="511"/>
      <c r="J252" s="511"/>
      <c r="K252" s="511"/>
      <c r="L252" s="511"/>
      <c r="M252" s="511"/>
      <c r="N252" s="511"/>
      <c r="O252" s="511"/>
      <c r="P252" s="511"/>
      <c r="Q252" s="511"/>
      <c r="R252" s="511"/>
      <c r="S252" s="511"/>
      <c r="T252" s="511"/>
      <c r="U252" s="511"/>
      <c r="V252" s="511"/>
      <c r="W252" s="511"/>
      <c r="X252" s="511"/>
      <c r="Y252" s="511"/>
      <c r="Z252" s="511"/>
    </row>
    <row r="253" spans="1:26" ht="19.5" customHeight="1" x14ac:dyDescent="0.3">
      <c r="A253" s="511"/>
      <c r="B253" s="511"/>
      <c r="C253" s="511"/>
      <c r="D253" s="511"/>
      <c r="E253" s="511"/>
      <c r="F253" s="511"/>
      <c r="G253" s="511"/>
      <c r="H253" s="511"/>
      <c r="I253" s="511"/>
      <c r="J253" s="511"/>
      <c r="K253" s="511"/>
      <c r="L253" s="511"/>
      <c r="M253" s="511"/>
      <c r="N253" s="511"/>
      <c r="O253" s="511"/>
      <c r="P253" s="511"/>
      <c r="Q253" s="511"/>
      <c r="R253" s="511"/>
      <c r="S253" s="511"/>
      <c r="T253" s="511"/>
      <c r="U253" s="511"/>
      <c r="V253" s="511"/>
      <c r="W253" s="511"/>
      <c r="X253" s="511"/>
      <c r="Y253" s="511"/>
      <c r="Z253" s="511"/>
    </row>
    <row r="254" spans="1:26" ht="19.5" customHeight="1" x14ac:dyDescent="0.3">
      <c r="A254" s="511"/>
      <c r="B254" s="511"/>
      <c r="C254" s="511"/>
      <c r="D254" s="511"/>
      <c r="E254" s="511"/>
      <c r="F254" s="511"/>
      <c r="G254" s="511"/>
      <c r="H254" s="511"/>
      <c r="I254" s="511"/>
      <c r="J254" s="511"/>
      <c r="K254" s="511"/>
      <c r="L254" s="511"/>
      <c r="M254" s="511"/>
      <c r="N254" s="511"/>
      <c r="O254" s="511"/>
      <c r="P254" s="511"/>
      <c r="Q254" s="511"/>
      <c r="R254" s="511"/>
      <c r="S254" s="511"/>
      <c r="T254" s="511"/>
      <c r="U254" s="511"/>
      <c r="V254" s="511"/>
      <c r="W254" s="511"/>
      <c r="X254" s="511"/>
      <c r="Y254" s="511"/>
      <c r="Z254" s="511"/>
    </row>
    <row r="255" spans="1:26" ht="19.5" customHeight="1" x14ac:dyDescent="0.3">
      <c r="A255" s="511"/>
      <c r="B255" s="511"/>
      <c r="C255" s="511"/>
      <c r="D255" s="511"/>
      <c r="E255" s="511"/>
      <c r="F255" s="511"/>
      <c r="G255" s="511"/>
      <c r="H255" s="511"/>
      <c r="I255" s="511"/>
      <c r="J255" s="511"/>
      <c r="K255" s="511"/>
      <c r="L255" s="511"/>
      <c r="M255" s="511"/>
      <c r="N255" s="511"/>
      <c r="O255" s="511"/>
      <c r="P255" s="511"/>
      <c r="Q255" s="511"/>
      <c r="R255" s="511"/>
      <c r="S255" s="511"/>
      <c r="T255" s="511"/>
      <c r="U255" s="511"/>
      <c r="V255" s="511"/>
      <c r="W255" s="511"/>
      <c r="X255" s="511"/>
      <c r="Y255" s="511"/>
      <c r="Z255" s="511"/>
    </row>
    <row r="256" spans="1:26" ht="19.5" customHeight="1" x14ac:dyDescent="0.3">
      <c r="A256" s="511"/>
      <c r="B256" s="511"/>
      <c r="C256" s="511"/>
      <c r="D256" s="511"/>
      <c r="E256" s="511"/>
      <c r="F256" s="511"/>
      <c r="G256" s="511"/>
      <c r="H256" s="511"/>
      <c r="I256" s="511"/>
      <c r="J256" s="511"/>
      <c r="K256" s="511"/>
      <c r="L256" s="511"/>
      <c r="M256" s="511"/>
      <c r="N256" s="511"/>
      <c r="O256" s="511"/>
      <c r="P256" s="511"/>
      <c r="Q256" s="511"/>
      <c r="R256" s="511"/>
      <c r="S256" s="511"/>
      <c r="T256" s="511"/>
      <c r="U256" s="511"/>
      <c r="V256" s="511"/>
      <c r="W256" s="511"/>
      <c r="X256" s="511"/>
      <c r="Y256" s="511"/>
      <c r="Z256" s="511"/>
    </row>
    <row r="257" spans="1:26" ht="19.5" customHeight="1" x14ac:dyDescent="0.3">
      <c r="A257" s="511"/>
      <c r="B257" s="511"/>
      <c r="C257" s="511"/>
      <c r="D257" s="511"/>
      <c r="E257" s="511"/>
      <c r="F257" s="511"/>
      <c r="G257" s="511"/>
      <c r="H257" s="511"/>
      <c r="I257" s="511"/>
      <c r="J257" s="511"/>
      <c r="K257" s="511"/>
      <c r="L257" s="511"/>
      <c r="M257" s="511"/>
      <c r="N257" s="511"/>
      <c r="O257" s="511"/>
      <c r="P257" s="511"/>
      <c r="Q257" s="511"/>
      <c r="R257" s="511"/>
      <c r="S257" s="511"/>
      <c r="T257" s="511"/>
      <c r="U257" s="511"/>
      <c r="V257" s="511"/>
      <c r="W257" s="511"/>
      <c r="X257" s="511"/>
      <c r="Y257" s="511"/>
      <c r="Z257" s="511"/>
    </row>
    <row r="258" spans="1:26" ht="19.5" customHeight="1" x14ac:dyDescent="0.3">
      <c r="A258" s="511"/>
      <c r="B258" s="511"/>
      <c r="C258" s="511"/>
      <c r="D258" s="511"/>
      <c r="E258" s="511"/>
      <c r="F258" s="511"/>
      <c r="G258" s="511"/>
      <c r="H258" s="511"/>
      <c r="I258" s="511"/>
      <c r="J258" s="511"/>
      <c r="K258" s="511"/>
      <c r="L258" s="511"/>
      <c r="M258" s="511"/>
      <c r="N258" s="511"/>
      <c r="O258" s="511"/>
      <c r="P258" s="511"/>
      <c r="Q258" s="511"/>
      <c r="R258" s="511"/>
      <c r="S258" s="511"/>
      <c r="T258" s="511"/>
      <c r="U258" s="511"/>
      <c r="V258" s="511"/>
      <c r="W258" s="511"/>
      <c r="X258" s="511"/>
      <c r="Y258" s="511"/>
      <c r="Z258" s="511"/>
    </row>
    <row r="259" spans="1:26" ht="19.5" customHeight="1" x14ac:dyDescent="0.3">
      <c r="A259" s="511"/>
      <c r="B259" s="511"/>
      <c r="C259" s="511"/>
      <c r="D259" s="511"/>
      <c r="E259" s="511"/>
      <c r="F259" s="511"/>
      <c r="G259" s="511"/>
      <c r="H259" s="511"/>
      <c r="I259" s="511"/>
      <c r="J259" s="511"/>
      <c r="K259" s="511"/>
      <c r="L259" s="511"/>
      <c r="M259" s="511"/>
      <c r="N259" s="511"/>
      <c r="O259" s="511"/>
      <c r="P259" s="511"/>
      <c r="Q259" s="511"/>
      <c r="R259" s="511"/>
      <c r="S259" s="511"/>
      <c r="T259" s="511"/>
      <c r="U259" s="511"/>
      <c r="V259" s="511"/>
      <c r="W259" s="511"/>
      <c r="X259" s="511"/>
      <c r="Y259" s="511"/>
      <c r="Z259" s="511"/>
    </row>
    <row r="260" spans="1:26" ht="19.5" customHeight="1" x14ac:dyDescent="0.3">
      <c r="A260" s="511"/>
      <c r="B260" s="511"/>
      <c r="C260" s="511"/>
      <c r="D260" s="511"/>
      <c r="E260" s="511"/>
      <c r="F260" s="511"/>
      <c r="G260" s="511"/>
      <c r="H260" s="511"/>
      <c r="I260" s="511"/>
      <c r="J260" s="511"/>
      <c r="K260" s="511"/>
      <c r="L260" s="511"/>
      <c r="M260" s="511"/>
      <c r="N260" s="511"/>
      <c r="O260" s="511"/>
      <c r="P260" s="511"/>
      <c r="Q260" s="511"/>
      <c r="R260" s="511"/>
      <c r="S260" s="511"/>
      <c r="T260" s="511"/>
      <c r="U260" s="511"/>
      <c r="V260" s="511"/>
      <c r="W260" s="511"/>
      <c r="X260" s="511"/>
      <c r="Y260" s="511"/>
      <c r="Z260" s="511"/>
    </row>
    <row r="261" spans="1:26" ht="19.5" customHeight="1" x14ac:dyDescent="0.3">
      <c r="A261" s="511"/>
      <c r="B261" s="511"/>
      <c r="C261" s="511"/>
      <c r="D261" s="511"/>
      <c r="E261" s="511"/>
      <c r="F261" s="511"/>
      <c r="G261" s="511"/>
      <c r="H261" s="511"/>
      <c r="I261" s="511"/>
      <c r="J261" s="511"/>
      <c r="K261" s="511"/>
      <c r="L261" s="511"/>
      <c r="M261" s="511"/>
      <c r="N261" s="511"/>
      <c r="O261" s="511"/>
      <c r="P261" s="511"/>
      <c r="Q261" s="511"/>
      <c r="R261" s="511"/>
      <c r="S261" s="511"/>
      <c r="T261" s="511"/>
      <c r="U261" s="511"/>
      <c r="V261" s="511"/>
      <c r="W261" s="511"/>
      <c r="X261" s="511"/>
      <c r="Y261" s="511"/>
      <c r="Z261" s="511"/>
    </row>
    <row r="262" spans="1:26" ht="19.5" customHeight="1" x14ac:dyDescent="0.3">
      <c r="A262" s="511"/>
      <c r="B262" s="511"/>
      <c r="C262" s="511"/>
      <c r="D262" s="511"/>
      <c r="E262" s="511"/>
      <c r="F262" s="511"/>
      <c r="G262" s="511"/>
      <c r="H262" s="511"/>
      <c r="I262" s="511"/>
      <c r="J262" s="511"/>
      <c r="K262" s="511"/>
      <c r="L262" s="511"/>
      <c r="M262" s="511"/>
      <c r="N262" s="511"/>
      <c r="O262" s="511"/>
      <c r="P262" s="511"/>
      <c r="Q262" s="511"/>
      <c r="R262" s="511"/>
      <c r="S262" s="511"/>
      <c r="T262" s="511"/>
      <c r="U262" s="511"/>
      <c r="V262" s="511"/>
      <c r="W262" s="511"/>
      <c r="X262" s="511"/>
      <c r="Y262" s="511"/>
      <c r="Z262" s="511"/>
    </row>
    <row r="263" spans="1:26" ht="19.5" customHeight="1" x14ac:dyDescent="0.3">
      <c r="A263" s="511"/>
      <c r="B263" s="511"/>
      <c r="C263" s="511"/>
      <c r="D263" s="511"/>
      <c r="E263" s="511"/>
      <c r="F263" s="511"/>
      <c r="G263" s="511"/>
      <c r="H263" s="511"/>
      <c r="I263" s="511"/>
      <c r="J263" s="511"/>
      <c r="K263" s="511"/>
      <c r="L263" s="511"/>
      <c r="M263" s="511"/>
      <c r="N263" s="511"/>
      <c r="O263" s="511"/>
      <c r="P263" s="511"/>
      <c r="Q263" s="511"/>
      <c r="R263" s="511"/>
      <c r="S263" s="511"/>
      <c r="T263" s="511"/>
      <c r="U263" s="511"/>
      <c r="V263" s="511"/>
      <c r="W263" s="511"/>
      <c r="X263" s="511"/>
      <c r="Y263" s="511"/>
      <c r="Z263" s="511"/>
    </row>
    <row r="264" spans="1:26" ht="19.5" customHeight="1" x14ac:dyDescent="0.3">
      <c r="A264" s="511"/>
      <c r="B264" s="511"/>
      <c r="C264" s="511"/>
      <c r="D264" s="511"/>
      <c r="E264" s="511"/>
      <c r="F264" s="511"/>
      <c r="G264" s="511"/>
      <c r="H264" s="511"/>
      <c r="I264" s="511"/>
      <c r="J264" s="511"/>
      <c r="K264" s="511"/>
      <c r="L264" s="511"/>
      <c r="M264" s="511"/>
      <c r="N264" s="511"/>
      <c r="O264" s="511"/>
      <c r="P264" s="511"/>
      <c r="Q264" s="511"/>
      <c r="R264" s="511"/>
      <c r="S264" s="511"/>
      <c r="T264" s="511"/>
      <c r="U264" s="511"/>
      <c r="V264" s="511"/>
      <c r="W264" s="511"/>
      <c r="X264" s="511"/>
      <c r="Y264" s="511"/>
      <c r="Z264" s="511"/>
    </row>
    <row r="265" spans="1:26" ht="19.5" customHeight="1" x14ac:dyDescent="0.3">
      <c r="A265" s="511"/>
      <c r="B265" s="511"/>
      <c r="C265" s="511"/>
      <c r="D265" s="511"/>
      <c r="E265" s="511"/>
      <c r="F265" s="511"/>
      <c r="G265" s="511"/>
      <c r="H265" s="511"/>
      <c r="I265" s="511"/>
      <c r="J265" s="511"/>
      <c r="K265" s="511"/>
      <c r="L265" s="511"/>
      <c r="M265" s="511"/>
      <c r="N265" s="511"/>
      <c r="O265" s="511"/>
      <c r="P265" s="511"/>
      <c r="Q265" s="511"/>
      <c r="R265" s="511"/>
      <c r="S265" s="511"/>
      <c r="T265" s="511"/>
      <c r="U265" s="511"/>
      <c r="V265" s="511"/>
      <c r="W265" s="511"/>
      <c r="X265" s="511"/>
      <c r="Y265" s="511"/>
      <c r="Z265" s="511"/>
    </row>
    <row r="266" spans="1:26" ht="19.5" customHeight="1" x14ac:dyDescent="0.3">
      <c r="A266" s="511"/>
      <c r="B266" s="511"/>
      <c r="C266" s="511"/>
      <c r="D266" s="511"/>
      <c r="E266" s="511"/>
      <c r="F266" s="511"/>
      <c r="G266" s="511"/>
      <c r="H266" s="511"/>
      <c r="I266" s="511"/>
      <c r="J266" s="511"/>
      <c r="K266" s="511"/>
      <c r="L266" s="511"/>
      <c r="M266" s="511"/>
      <c r="N266" s="511"/>
      <c r="O266" s="511"/>
      <c r="P266" s="511"/>
      <c r="Q266" s="511"/>
      <c r="R266" s="511"/>
      <c r="S266" s="511"/>
      <c r="T266" s="511"/>
      <c r="U266" s="511"/>
      <c r="V266" s="511"/>
      <c r="W266" s="511"/>
      <c r="X266" s="511"/>
      <c r="Y266" s="511"/>
      <c r="Z266" s="511"/>
    </row>
    <row r="267" spans="1:26" ht="19.5" customHeight="1" x14ac:dyDescent="0.3">
      <c r="A267" s="511"/>
      <c r="B267" s="511"/>
      <c r="C267" s="511"/>
      <c r="D267" s="511"/>
      <c r="E267" s="511"/>
      <c r="F267" s="511"/>
      <c r="G267" s="511"/>
      <c r="H267" s="511"/>
      <c r="I267" s="511"/>
      <c r="J267" s="511"/>
      <c r="K267" s="511"/>
      <c r="L267" s="511"/>
      <c r="M267" s="511"/>
      <c r="N267" s="511"/>
      <c r="O267" s="511"/>
      <c r="P267" s="511"/>
      <c r="Q267" s="511"/>
      <c r="R267" s="511"/>
      <c r="S267" s="511"/>
      <c r="T267" s="511"/>
      <c r="U267" s="511"/>
      <c r="V267" s="511"/>
      <c r="W267" s="511"/>
      <c r="X267" s="511"/>
      <c r="Y267" s="511"/>
      <c r="Z267" s="511"/>
    </row>
    <row r="268" spans="1:26" ht="19.5" customHeight="1" x14ac:dyDescent="0.3">
      <c r="A268" s="511"/>
      <c r="B268" s="511"/>
      <c r="C268" s="511"/>
      <c r="D268" s="511"/>
      <c r="E268" s="511"/>
      <c r="F268" s="511"/>
      <c r="G268" s="511"/>
      <c r="H268" s="511"/>
      <c r="I268" s="511"/>
      <c r="J268" s="511"/>
      <c r="K268" s="511"/>
      <c r="L268" s="511"/>
      <c r="M268" s="511"/>
      <c r="N268" s="511"/>
      <c r="O268" s="511"/>
      <c r="P268" s="511"/>
      <c r="Q268" s="511"/>
      <c r="R268" s="511"/>
      <c r="S268" s="511"/>
      <c r="T268" s="511"/>
      <c r="U268" s="511"/>
      <c r="V268" s="511"/>
      <c r="W268" s="511"/>
      <c r="X268" s="511"/>
      <c r="Y268" s="511"/>
      <c r="Z268" s="511"/>
    </row>
    <row r="269" spans="1:26" ht="19.5" customHeight="1" x14ac:dyDescent="0.3">
      <c r="A269" s="511"/>
      <c r="B269" s="511"/>
      <c r="C269" s="511"/>
      <c r="D269" s="511"/>
      <c r="E269" s="511"/>
      <c r="F269" s="511"/>
      <c r="G269" s="511"/>
      <c r="H269" s="511"/>
      <c r="I269" s="511"/>
      <c r="J269" s="511"/>
      <c r="K269" s="511"/>
      <c r="L269" s="511"/>
      <c r="M269" s="511"/>
      <c r="N269" s="511"/>
      <c r="O269" s="511"/>
      <c r="P269" s="511"/>
      <c r="Q269" s="511"/>
      <c r="R269" s="511"/>
      <c r="S269" s="511"/>
      <c r="T269" s="511"/>
      <c r="U269" s="511"/>
      <c r="V269" s="511"/>
      <c r="W269" s="511"/>
      <c r="X269" s="511"/>
      <c r="Y269" s="511"/>
      <c r="Z269" s="511"/>
    </row>
    <row r="270" spans="1:26" ht="19.5" customHeight="1" x14ac:dyDescent="0.3">
      <c r="A270" s="511"/>
      <c r="B270" s="511"/>
      <c r="C270" s="511"/>
      <c r="D270" s="511"/>
      <c r="E270" s="511"/>
      <c r="F270" s="511"/>
      <c r="G270" s="511"/>
      <c r="H270" s="511"/>
      <c r="I270" s="511"/>
      <c r="J270" s="511"/>
      <c r="K270" s="511"/>
      <c r="L270" s="511"/>
      <c r="M270" s="511"/>
      <c r="N270" s="511"/>
      <c r="O270" s="511"/>
      <c r="P270" s="511"/>
      <c r="Q270" s="511"/>
      <c r="R270" s="511"/>
      <c r="S270" s="511"/>
      <c r="T270" s="511"/>
      <c r="U270" s="511"/>
      <c r="V270" s="511"/>
      <c r="W270" s="511"/>
      <c r="X270" s="511"/>
      <c r="Y270" s="511"/>
      <c r="Z270" s="511"/>
    </row>
    <row r="271" spans="1:26" ht="19.5" customHeight="1" x14ac:dyDescent="0.3">
      <c r="A271" s="511"/>
      <c r="B271" s="511"/>
      <c r="C271" s="511"/>
      <c r="D271" s="511"/>
      <c r="E271" s="511"/>
      <c r="F271" s="511"/>
      <c r="G271" s="511"/>
      <c r="H271" s="511"/>
      <c r="I271" s="511"/>
      <c r="J271" s="511"/>
      <c r="K271" s="511"/>
      <c r="L271" s="511"/>
      <c r="M271" s="511"/>
      <c r="N271" s="511"/>
      <c r="O271" s="511"/>
      <c r="P271" s="511"/>
      <c r="Q271" s="511"/>
      <c r="R271" s="511"/>
      <c r="S271" s="511"/>
      <c r="T271" s="511"/>
      <c r="U271" s="511"/>
      <c r="V271" s="511"/>
      <c r="W271" s="511"/>
      <c r="X271" s="511"/>
      <c r="Y271" s="511"/>
      <c r="Z271" s="511"/>
    </row>
    <row r="272" spans="1:26" ht="19.5" customHeight="1" x14ac:dyDescent="0.3">
      <c r="A272" s="511"/>
      <c r="B272" s="511"/>
      <c r="C272" s="511"/>
      <c r="D272" s="511"/>
      <c r="E272" s="511"/>
      <c r="F272" s="511"/>
      <c r="G272" s="511"/>
      <c r="H272" s="511"/>
      <c r="I272" s="511"/>
      <c r="J272" s="511"/>
      <c r="K272" s="511"/>
      <c r="L272" s="511"/>
      <c r="M272" s="511"/>
      <c r="N272" s="511"/>
      <c r="O272" s="511"/>
      <c r="P272" s="511"/>
      <c r="Q272" s="511"/>
      <c r="R272" s="511"/>
      <c r="S272" s="511"/>
      <c r="T272" s="511"/>
      <c r="U272" s="511"/>
      <c r="V272" s="511"/>
      <c r="W272" s="511"/>
      <c r="X272" s="511"/>
      <c r="Y272" s="511"/>
      <c r="Z272" s="511"/>
    </row>
    <row r="273" spans="1:26" ht="19.5" customHeight="1" x14ac:dyDescent="0.3">
      <c r="A273" s="511"/>
      <c r="B273" s="511"/>
      <c r="C273" s="511"/>
      <c r="D273" s="511"/>
      <c r="E273" s="511"/>
      <c r="F273" s="511"/>
      <c r="G273" s="511"/>
      <c r="H273" s="511"/>
      <c r="I273" s="511"/>
      <c r="J273" s="511"/>
      <c r="K273" s="511"/>
      <c r="L273" s="511"/>
      <c r="M273" s="511"/>
      <c r="N273" s="511"/>
      <c r="O273" s="511"/>
      <c r="P273" s="511"/>
      <c r="Q273" s="511"/>
      <c r="R273" s="511"/>
      <c r="S273" s="511"/>
      <c r="T273" s="511"/>
      <c r="U273" s="511"/>
      <c r="V273" s="511"/>
      <c r="W273" s="511"/>
      <c r="X273" s="511"/>
      <c r="Y273" s="511"/>
      <c r="Z273" s="511"/>
    </row>
    <row r="274" spans="1:26" ht="19.5" customHeight="1" x14ac:dyDescent="0.3">
      <c r="A274" s="511"/>
      <c r="B274" s="511"/>
      <c r="C274" s="511"/>
      <c r="D274" s="511"/>
      <c r="E274" s="511"/>
      <c r="F274" s="511"/>
      <c r="G274" s="511"/>
      <c r="H274" s="511"/>
      <c r="I274" s="511"/>
      <c r="J274" s="511"/>
      <c r="K274" s="511"/>
      <c r="L274" s="511"/>
      <c r="M274" s="511"/>
      <c r="N274" s="511"/>
      <c r="O274" s="511"/>
      <c r="P274" s="511"/>
      <c r="Q274" s="511"/>
      <c r="R274" s="511"/>
      <c r="S274" s="511"/>
      <c r="T274" s="511"/>
      <c r="U274" s="511"/>
      <c r="V274" s="511"/>
      <c r="W274" s="511"/>
      <c r="X274" s="511"/>
      <c r="Y274" s="511"/>
      <c r="Z274" s="511"/>
    </row>
    <row r="275" spans="1:26" ht="19.5" customHeight="1" x14ac:dyDescent="0.3">
      <c r="A275" s="511"/>
      <c r="B275" s="511"/>
      <c r="C275" s="511"/>
      <c r="D275" s="511"/>
      <c r="E275" s="511"/>
      <c r="F275" s="511"/>
      <c r="G275" s="511"/>
      <c r="H275" s="511"/>
      <c r="I275" s="511"/>
      <c r="J275" s="511"/>
      <c r="K275" s="511"/>
      <c r="L275" s="511"/>
      <c r="M275" s="511"/>
      <c r="N275" s="511"/>
      <c r="O275" s="511"/>
      <c r="P275" s="511"/>
      <c r="Q275" s="511"/>
      <c r="R275" s="511"/>
      <c r="S275" s="511"/>
      <c r="T275" s="511"/>
      <c r="U275" s="511"/>
      <c r="V275" s="511"/>
      <c r="W275" s="511"/>
      <c r="X275" s="511"/>
      <c r="Y275" s="511"/>
      <c r="Z275" s="511"/>
    </row>
    <row r="276" spans="1:26" ht="19.5" customHeight="1" x14ac:dyDescent="0.3">
      <c r="A276" s="511"/>
      <c r="B276" s="511"/>
      <c r="C276" s="511"/>
      <c r="D276" s="511"/>
      <c r="E276" s="511"/>
      <c r="F276" s="511"/>
      <c r="G276" s="511"/>
      <c r="H276" s="511"/>
      <c r="I276" s="511"/>
      <c r="J276" s="511"/>
      <c r="K276" s="511"/>
      <c r="L276" s="511"/>
      <c r="M276" s="511"/>
      <c r="N276" s="511"/>
      <c r="O276" s="511"/>
      <c r="P276" s="511"/>
      <c r="Q276" s="511"/>
      <c r="R276" s="511"/>
      <c r="S276" s="511"/>
      <c r="T276" s="511"/>
      <c r="U276" s="511"/>
      <c r="V276" s="511"/>
      <c r="W276" s="511"/>
      <c r="X276" s="511"/>
      <c r="Y276" s="511"/>
      <c r="Z276" s="511"/>
    </row>
    <row r="277" spans="1:26" ht="19.5" customHeight="1" x14ac:dyDescent="0.3">
      <c r="A277" s="511"/>
      <c r="B277" s="511"/>
      <c r="C277" s="511"/>
      <c r="D277" s="511"/>
      <c r="E277" s="511"/>
      <c r="F277" s="511"/>
      <c r="G277" s="511"/>
      <c r="H277" s="511"/>
      <c r="I277" s="511"/>
      <c r="J277" s="511"/>
      <c r="K277" s="511"/>
      <c r="L277" s="511"/>
      <c r="M277" s="511"/>
      <c r="N277" s="511"/>
      <c r="O277" s="511"/>
      <c r="P277" s="511"/>
      <c r="Q277" s="511"/>
      <c r="R277" s="511"/>
      <c r="S277" s="511"/>
      <c r="T277" s="511"/>
      <c r="U277" s="511"/>
      <c r="V277" s="511"/>
      <c r="W277" s="511"/>
      <c r="X277" s="511"/>
      <c r="Y277" s="511"/>
      <c r="Z277" s="511"/>
    </row>
    <row r="278" spans="1:26" ht="19.5" customHeight="1" x14ac:dyDescent="0.3">
      <c r="A278" s="511"/>
      <c r="B278" s="511"/>
      <c r="C278" s="511"/>
      <c r="D278" s="511"/>
      <c r="E278" s="511"/>
      <c r="F278" s="511"/>
      <c r="G278" s="511"/>
      <c r="H278" s="511"/>
      <c r="I278" s="511"/>
      <c r="J278" s="511"/>
      <c r="K278" s="511"/>
      <c r="L278" s="511"/>
      <c r="M278" s="511"/>
      <c r="N278" s="511"/>
      <c r="O278" s="511"/>
      <c r="P278" s="511"/>
      <c r="Q278" s="511"/>
      <c r="R278" s="511"/>
      <c r="S278" s="511"/>
      <c r="T278" s="511"/>
      <c r="U278" s="511"/>
      <c r="V278" s="511"/>
      <c r="W278" s="511"/>
      <c r="X278" s="511"/>
      <c r="Y278" s="511"/>
      <c r="Z278" s="511"/>
    </row>
    <row r="279" spans="1:26" ht="19.5" customHeight="1" x14ac:dyDescent="0.3">
      <c r="A279" s="511"/>
      <c r="B279" s="511"/>
      <c r="C279" s="511"/>
      <c r="D279" s="511"/>
      <c r="E279" s="511"/>
      <c r="F279" s="511"/>
      <c r="G279" s="511"/>
      <c r="H279" s="511"/>
      <c r="I279" s="511"/>
      <c r="J279" s="511"/>
      <c r="K279" s="511"/>
      <c r="L279" s="511"/>
      <c r="M279" s="511"/>
      <c r="N279" s="511"/>
      <c r="O279" s="511"/>
      <c r="P279" s="511"/>
      <c r="Q279" s="511"/>
      <c r="R279" s="511"/>
      <c r="S279" s="511"/>
      <c r="T279" s="511"/>
      <c r="U279" s="511"/>
      <c r="V279" s="511"/>
      <c r="W279" s="511"/>
      <c r="X279" s="511"/>
      <c r="Y279" s="511"/>
      <c r="Z279" s="511"/>
    </row>
    <row r="280" spans="1:26" ht="19.5" customHeight="1" x14ac:dyDescent="0.3">
      <c r="A280" s="511"/>
      <c r="B280" s="511"/>
      <c r="C280" s="511"/>
      <c r="D280" s="511"/>
      <c r="E280" s="511"/>
      <c r="F280" s="511"/>
      <c r="G280" s="511"/>
      <c r="H280" s="511"/>
      <c r="I280" s="511"/>
      <c r="J280" s="511"/>
      <c r="K280" s="511"/>
      <c r="L280" s="511"/>
      <c r="M280" s="511"/>
      <c r="N280" s="511"/>
      <c r="O280" s="511"/>
      <c r="P280" s="511"/>
      <c r="Q280" s="511"/>
      <c r="R280" s="511"/>
      <c r="S280" s="511"/>
      <c r="T280" s="511"/>
      <c r="U280" s="511"/>
      <c r="V280" s="511"/>
      <c r="W280" s="511"/>
      <c r="X280" s="511"/>
      <c r="Y280" s="511"/>
      <c r="Z280" s="511"/>
    </row>
    <row r="281" spans="1:26" ht="19.5" customHeight="1" x14ac:dyDescent="0.3">
      <c r="A281" s="511"/>
      <c r="B281" s="511"/>
      <c r="C281" s="511"/>
      <c r="D281" s="511"/>
      <c r="E281" s="511"/>
      <c r="F281" s="511"/>
      <c r="G281" s="511"/>
      <c r="H281" s="511"/>
      <c r="I281" s="511"/>
      <c r="J281" s="511"/>
      <c r="K281" s="511"/>
      <c r="L281" s="511"/>
      <c r="M281" s="511"/>
      <c r="N281" s="511"/>
      <c r="O281" s="511"/>
      <c r="P281" s="511"/>
      <c r="Q281" s="511"/>
      <c r="R281" s="511"/>
      <c r="S281" s="511"/>
      <c r="T281" s="511"/>
      <c r="U281" s="511"/>
      <c r="V281" s="511"/>
      <c r="W281" s="511"/>
      <c r="X281" s="511"/>
      <c r="Y281" s="511"/>
      <c r="Z281" s="511"/>
    </row>
    <row r="282" spans="1:26" ht="19.5" customHeight="1" x14ac:dyDescent="0.3">
      <c r="A282" s="511"/>
      <c r="B282" s="511"/>
      <c r="C282" s="511"/>
      <c r="D282" s="511"/>
      <c r="E282" s="511"/>
      <c r="F282" s="511"/>
      <c r="G282" s="511"/>
      <c r="H282" s="511"/>
      <c r="I282" s="511"/>
      <c r="J282" s="511"/>
      <c r="K282" s="511"/>
      <c r="L282" s="511"/>
      <c r="M282" s="511"/>
      <c r="N282" s="511"/>
      <c r="O282" s="511"/>
      <c r="P282" s="511"/>
      <c r="Q282" s="511"/>
      <c r="R282" s="511"/>
      <c r="S282" s="511"/>
      <c r="T282" s="511"/>
      <c r="U282" s="511"/>
      <c r="V282" s="511"/>
      <c r="W282" s="511"/>
      <c r="X282" s="511"/>
      <c r="Y282" s="511"/>
      <c r="Z282" s="511"/>
    </row>
    <row r="283" spans="1:26" ht="19.5" customHeight="1" x14ac:dyDescent="0.3">
      <c r="A283" s="511"/>
      <c r="B283" s="511"/>
      <c r="C283" s="511"/>
      <c r="D283" s="511"/>
      <c r="E283" s="511"/>
      <c r="F283" s="511"/>
      <c r="G283" s="511"/>
      <c r="H283" s="511"/>
      <c r="I283" s="511"/>
      <c r="J283" s="511"/>
      <c r="K283" s="511"/>
      <c r="L283" s="511"/>
      <c r="M283" s="511"/>
      <c r="N283" s="511"/>
      <c r="O283" s="511"/>
      <c r="P283" s="511"/>
      <c r="Q283" s="511"/>
      <c r="R283" s="511"/>
      <c r="S283" s="511"/>
      <c r="T283" s="511"/>
      <c r="U283" s="511"/>
      <c r="V283" s="511"/>
      <c r="W283" s="511"/>
      <c r="X283" s="511"/>
      <c r="Y283" s="511"/>
      <c r="Z283" s="511"/>
    </row>
    <row r="284" spans="1:26" ht="19.5" customHeight="1" x14ac:dyDescent="0.3">
      <c r="A284" s="511"/>
      <c r="B284" s="511"/>
      <c r="C284" s="511"/>
      <c r="D284" s="511"/>
      <c r="E284" s="511"/>
      <c r="F284" s="511"/>
      <c r="G284" s="511"/>
      <c r="H284" s="511"/>
      <c r="I284" s="511"/>
      <c r="J284" s="511"/>
      <c r="K284" s="511"/>
      <c r="L284" s="511"/>
      <c r="M284" s="511"/>
      <c r="N284" s="511"/>
      <c r="O284" s="511"/>
      <c r="P284" s="511"/>
      <c r="Q284" s="511"/>
      <c r="R284" s="511"/>
      <c r="S284" s="511"/>
      <c r="T284" s="511"/>
      <c r="U284" s="511"/>
      <c r="V284" s="511"/>
      <c r="W284" s="511"/>
      <c r="X284" s="511"/>
      <c r="Y284" s="511"/>
      <c r="Z284" s="511"/>
    </row>
    <row r="285" spans="1:26" ht="19.5" customHeight="1" x14ac:dyDescent="0.3">
      <c r="A285" s="511"/>
      <c r="B285" s="511"/>
      <c r="C285" s="511"/>
      <c r="D285" s="511"/>
      <c r="E285" s="511"/>
      <c r="F285" s="511"/>
      <c r="G285" s="511"/>
      <c r="H285" s="511"/>
      <c r="I285" s="511"/>
      <c r="J285" s="511"/>
      <c r="K285" s="511"/>
      <c r="L285" s="511"/>
      <c r="M285" s="511"/>
      <c r="N285" s="511"/>
      <c r="O285" s="511"/>
      <c r="P285" s="511"/>
      <c r="Q285" s="511"/>
      <c r="R285" s="511"/>
      <c r="S285" s="511"/>
      <c r="T285" s="511"/>
      <c r="U285" s="511"/>
      <c r="V285" s="511"/>
      <c r="W285" s="511"/>
      <c r="X285" s="511"/>
      <c r="Y285" s="511"/>
      <c r="Z285" s="511"/>
    </row>
    <row r="286" spans="1:26" ht="19.5" customHeight="1" x14ac:dyDescent="0.3">
      <c r="A286" s="511"/>
      <c r="B286" s="511"/>
      <c r="C286" s="511"/>
      <c r="D286" s="511"/>
      <c r="E286" s="511"/>
      <c r="F286" s="511"/>
      <c r="G286" s="511"/>
      <c r="H286" s="511"/>
      <c r="I286" s="511"/>
      <c r="J286" s="511"/>
      <c r="K286" s="511"/>
      <c r="L286" s="511"/>
      <c r="M286" s="511"/>
      <c r="N286" s="511"/>
      <c r="O286" s="511"/>
      <c r="P286" s="511"/>
      <c r="Q286" s="511"/>
      <c r="R286" s="511"/>
      <c r="S286" s="511"/>
      <c r="T286" s="511"/>
      <c r="U286" s="511"/>
      <c r="V286" s="511"/>
      <c r="W286" s="511"/>
      <c r="X286" s="511"/>
      <c r="Y286" s="511"/>
      <c r="Z286" s="511"/>
    </row>
    <row r="287" spans="1:26" ht="19.5" customHeight="1" x14ac:dyDescent="0.3">
      <c r="A287" s="511"/>
      <c r="B287" s="511"/>
      <c r="C287" s="511"/>
      <c r="D287" s="511"/>
      <c r="E287" s="511"/>
      <c r="F287" s="511"/>
      <c r="G287" s="511"/>
      <c r="H287" s="511"/>
      <c r="I287" s="511"/>
      <c r="J287" s="511"/>
      <c r="K287" s="511"/>
      <c r="L287" s="511"/>
      <c r="M287" s="511"/>
      <c r="N287" s="511"/>
      <c r="O287" s="511"/>
      <c r="P287" s="511"/>
      <c r="Q287" s="511"/>
      <c r="R287" s="511"/>
      <c r="S287" s="511"/>
      <c r="T287" s="511"/>
      <c r="U287" s="511"/>
      <c r="V287" s="511"/>
      <c r="W287" s="511"/>
      <c r="X287" s="511"/>
      <c r="Y287" s="511"/>
      <c r="Z287" s="511"/>
    </row>
    <row r="288" spans="1:26" ht="19.5" customHeight="1" x14ac:dyDescent="0.3">
      <c r="A288" s="511"/>
      <c r="B288" s="511"/>
      <c r="C288" s="511"/>
      <c r="D288" s="511"/>
      <c r="E288" s="511"/>
      <c r="F288" s="511"/>
      <c r="G288" s="511"/>
      <c r="H288" s="511"/>
      <c r="I288" s="511"/>
      <c r="J288" s="511"/>
      <c r="K288" s="511"/>
      <c r="L288" s="511"/>
      <c r="M288" s="511"/>
      <c r="N288" s="511"/>
      <c r="O288" s="511"/>
      <c r="P288" s="511"/>
      <c r="Q288" s="511"/>
      <c r="R288" s="511"/>
      <c r="S288" s="511"/>
      <c r="T288" s="511"/>
      <c r="U288" s="511"/>
      <c r="V288" s="511"/>
      <c r="W288" s="511"/>
      <c r="X288" s="511"/>
      <c r="Y288" s="511"/>
      <c r="Z288" s="511"/>
    </row>
    <row r="289" spans="1:26" ht="19.5" customHeight="1" x14ac:dyDescent="0.3">
      <c r="A289" s="511"/>
      <c r="B289" s="511"/>
      <c r="C289" s="511"/>
      <c r="D289" s="511"/>
      <c r="E289" s="511"/>
      <c r="F289" s="511"/>
      <c r="G289" s="511"/>
      <c r="H289" s="511"/>
      <c r="I289" s="511"/>
      <c r="J289" s="511"/>
      <c r="K289" s="511"/>
      <c r="L289" s="511"/>
      <c r="M289" s="511"/>
      <c r="N289" s="511"/>
      <c r="O289" s="511"/>
      <c r="P289" s="511"/>
      <c r="Q289" s="511"/>
      <c r="R289" s="511"/>
      <c r="S289" s="511"/>
      <c r="T289" s="511"/>
      <c r="U289" s="511"/>
      <c r="V289" s="511"/>
      <c r="W289" s="511"/>
      <c r="X289" s="511"/>
      <c r="Y289" s="511"/>
      <c r="Z289" s="511"/>
    </row>
    <row r="290" spans="1:26" ht="19.5" customHeight="1" x14ac:dyDescent="0.3">
      <c r="A290" s="511"/>
      <c r="B290" s="511"/>
      <c r="C290" s="511"/>
      <c r="D290" s="511"/>
      <c r="E290" s="511"/>
      <c r="F290" s="511"/>
      <c r="G290" s="511"/>
      <c r="H290" s="511"/>
      <c r="I290" s="511"/>
      <c r="J290" s="511"/>
      <c r="K290" s="511"/>
      <c r="L290" s="511"/>
      <c r="M290" s="511"/>
      <c r="N290" s="511"/>
      <c r="O290" s="511"/>
      <c r="P290" s="511"/>
      <c r="Q290" s="511"/>
      <c r="R290" s="511"/>
      <c r="S290" s="511"/>
      <c r="T290" s="511"/>
      <c r="U290" s="511"/>
      <c r="V290" s="511"/>
      <c r="W290" s="511"/>
      <c r="X290" s="511"/>
      <c r="Y290" s="511"/>
      <c r="Z290" s="511"/>
    </row>
    <row r="291" spans="1:26" ht="19.5" customHeight="1" x14ac:dyDescent="0.3">
      <c r="A291" s="511"/>
      <c r="B291" s="511"/>
      <c r="C291" s="511"/>
      <c r="D291" s="511"/>
      <c r="E291" s="511"/>
      <c r="F291" s="511"/>
      <c r="G291" s="511"/>
      <c r="H291" s="511"/>
      <c r="I291" s="511"/>
      <c r="J291" s="511"/>
      <c r="K291" s="511"/>
      <c r="L291" s="511"/>
      <c r="M291" s="511"/>
      <c r="N291" s="511"/>
      <c r="O291" s="511"/>
      <c r="P291" s="511"/>
      <c r="Q291" s="511"/>
      <c r="R291" s="511"/>
      <c r="S291" s="511"/>
      <c r="T291" s="511"/>
      <c r="U291" s="511"/>
      <c r="V291" s="511"/>
      <c r="W291" s="511"/>
      <c r="X291" s="511"/>
      <c r="Y291" s="511"/>
      <c r="Z291" s="511"/>
    </row>
    <row r="292" spans="1:26" ht="19.5" customHeight="1" x14ac:dyDescent="0.3">
      <c r="A292" s="511"/>
      <c r="B292" s="511"/>
      <c r="C292" s="511"/>
      <c r="D292" s="511"/>
      <c r="E292" s="511"/>
      <c r="F292" s="511"/>
      <c r="G292" s="511"/>
      <c r="H292" s="511"/>
      <c r="I292" s="511"/>
      <c r="J292" s="511"/>
      <c r="K292" s="511"/>
      <c r="L292" s="511"/>
      <c r="M292" s="511"/>
      <c r="N292" s="511"/>
      <c r="O292" s="511"/>
      <c r="P292" s="511"/>
      <c r="Q292" s="511"/>
      <c r="R292" s="511"/>
      <c r="S292" s="511"/>
      <c r="T292" s="511"/>
      <c r="U292" s="511"/>
      <c r="V292" s="511"/>
      <c r="W292" s="511"/>
      <c r="X292" s="511"/>
      <c r="Y292" s="511"/>
      <c r="Z292" s="511"/>
    </row>
    <row r="293" spans="1:26" ht="19.5" customHeight="1" x14ac:dyDescent="0.3">
      <c r="A293" s="511"/>
      <c r="B293" s="511"/>
      <c r="C293" s="511"/>
      <c r="D293" s="511"/>
      <c r="E293" s="511"/>
      <c r="F293" s="511"/>
      <c r="G293" s="511"/>
      <c r="H293" s="511"/>
      <c r="I293" s="511"/>
      <c r="J293" s="511"/>
      <c r="K293" s="511"/>
      <c r="L293" s="511"/>
      <c r="M293" s="511"/>
      <c r="N293" s="511"/>
      <c r="O293" s="511"/>
      <c r="P293" s="511"/>
      <c r="Q293" s="511"/>
      <c r="R293" s="511"/>
      <c r="S293" s="511"/>
      <c r="T293" s="511"/>
      <c r="U293" s="511"/>
      <c r="V293" s="511"/>
      <c r="W293" s="511"/>
      <c r="X293" s="511"/>
      <c r="Y293" s="511"/>
      <c r="Z293" s="511"/>
    </row>
    <row r="294" spans="1:26" ht="19.5" customHeight="1" x14ac:dyDescent="0.3">
      <c r="A294" s="511"/>
      <c r="B294" s="511"/>
      <c r="C294" s="511"/>
      <c r="D294" s="511"/>
      <c r="E294" s="511"/>
      <c r="F294" s="511"/>
      <c r="G294" s="511"/>
      <c r="H294" s="511"/>
      <c r="I294" s="511"/>
      <c r="J294" s="511"/>
      <c r="K294" s="511"/>
      <c r="L294" s="511"/>
      <c r="M294" s="511"/>
      <c r="N294" s="511"/>
      <c r="O294" s="511"/>
      <c r="P294" s="511"/>
      <c r="Q294" s="511"/>
      <c r="R294" s="511"/>
      <c r="S294" s="511"/>
      <c r="T294" s="511"/>
      <c r="U294" s="511"/>
      <c r="V294" s="511"/>
      <c r="W294" s="511"/>
      <c r="X294" s="511"/>
      <c r="Y294" s="511"/>
      <c r="Z294" s="511"/>
    </row>
    <row r="295" spans="1:26" ht="19.5" customHeight="1" x14ac:dyDescent="0.3">
      <c r="A295" s="511"/>
      <c r="B295" s="511"/>
      <c r="C295" s="511"/>
      <c r="D295" s="511"/>
      <c r="E295" s="511"/>
      <c r="F295" s="511"/>
      <c r="G295" s="511"/>
      <c r="H295" s="511"/>
      <c r="I295" s="511"/>
      <c r="J295" s="511"/>
      <c r="K295" s="511"/>
      <c r="L295" s="511"/>
      <c r="M295" s="511"/>
      <c r="N295" s="511"/>
      <c r="O295" s="511"/>
      <c r="P295" s="511"/>
      <c r="Q295" s="511"/>
      <c r="R295" s="511"/>
      <c r="S295" s="511"/>
      <c r="T295" s="511"/>
      <c r="U295" s="511"/>
      <c r="V295" s="511"/>
      <c r="W295" s="511"/>
      <c r="X295" s="511"/>
      <c r="Y295" s="511"/>
      <c r="Z295" s="511"/>
    </row>
    <row r="296" spans="1:26" ht="19.5" customHeight="1" x14ac:dyDescent="0.3">
      <c r="A296" s="511"/>
      <c r="B296" s="511"/>
      <c r="C296" s="511"/>
      <c r="D296" s="511"/>
      <c r="E296" s="511"/>
      <c r="F296" s="511"/>
      <c r="G296" s="511"/>
      <c r="H296" s="511"/>
      <c r="I296" s="511"/>
      <c r="J296" s="511"/>
      <c r="K296" s="511"/>
      <c r="L296" s="511"/>
      <c r="M296" s="511"/>
      <c r="N296" s="511"/>
      <c r="O296" s="511"/>
      <c r="P296" s="511"/>
      <c r="Q296" s="511"/>
      <c r="R296" s="511"/>
      <c r="S296" s="511"/>
      <c r="T296" s="511"/>
      <c r="U296" s="511"/>
      <c r="V296" s="511"/>
      <c r="W296" s="511"/>
      <c r="X296" s="511"/>
      <c r="Y296" s="511"/>
      <c r="Z296" s="511"/>
    </row>
    <row r="297" spans="1:26" ht="19.5" customHeight="1" x14ac:dyDescent="0.3">
      <c r="A297" s="511"/>
      <c r="B297" s="511"/>
      <c r="C297" s="511"/>
      <c r="D297" s="511"/>
      <c r="E297" s="511"/>
      <c r="F297" s="511"/>
      <c r="G297" s="511"/>
      <c r="H297" s="511"/>
      <c r="I297" s="511"/>
      <c r="J297" s="511"/>
      <c r="K297" s="511"/>
      <c r="L297" s="511"/>
      <c r="M297" s="511"/>
      <c r="N297" s="511"/>
      <c r="O297" s="511"/>
      <c r="P297" s="511"/>
      <c r="Q297" s="511"/>
      <c r="R297" s="511"/>
      <c r="S297" s="511"/>
      <c r="T297" s="511"/>
      <c r="U297" s="511"/>
      <c r="V297" s="511"/>
      <c r="W297" s="511"/>
      <c r="X297" s="511"/>
      <c r="Y297" s="511"/>
      <c r="Z297" s="511"/>
    </row>
    <row r="298" spans="1:26" ht="19.5" customHeight="1" x14ac:dyDescent="0.3">
      <c r="A298" s="511"/>
      <c r="B298" s="511"/>
      <c r="C298" s="511"/>
      <c r="D298" s="511"/>
      <c r="E298" s="511"/>
      <c r="F298" s="511"/>
      <c r="G298" s="511"/>
      <c r="H298" s="511"/>
      <c r="I298" s="511"/>
      <c r="J298" s="511"/>
      <c r="K298" s="511"/>
      <c r="L298" s="511"/>
      <c r="M298" s="511"/>
      <c r="N298" s="511"/>
      <c r="O298" s="511"/>
      <c r="P298" s="511"/>
      <c r="Q298" s="511"/>
      <c r="R298" s="511"/>
      <c r="S298" s="511"/>
      <c r="T298" s="511"/>
      <c r="U298" s="511"/>
      <c r="V298" s="511"/>
      <c r="W298" s="511"/>
      <c r="X298" s="511"/>
      <c r="Y298" s="511"/>
      <c r="Z298" s="511"/>
    </row>
    <row r="299" spans="1:26" ht="19.5" customHeight="1" x14ac:dyDescent="0.3">
      <c r="A299" s="511"/>
      <c r="B299" s="511"/>
      <c r="C299" s="511"/>
      <c r="D299" s="511"/>
      <c r="E299" s="511"/>
      <c r="F299" s="511"/>
      <c r="G299" s="511"/>
      <c r="H299" s="511"/>
      <c r="I299" s="511"/>
      <c r="J299" s="511"/>
      <c r="K299" s="511"/>
      <c r="L299" s="511"/>
      <c r="M299" s="511"/>
      <c r="N299" s="511"/>
      <c r="O299" s="511"/>
      <c r="P299" s="511"/>
      <c r="Q299" s="511"/>
      <c r="R299" s="511"/>
      <c r="S299" s="511"/>
      <c r="T299" s="511"/>
      <c r="U299" s="511"/>
      <c r="V299" s="511"/>
      <c r="W299" s="511"/>
      <c r="X299" s="511"/>
      <c r="Y299" s="511"/>
      <c r="Z299" s="511"/>
    </row>
    <row r="300" spans="1:26" ht="19.5" customHeight="1" x14ac:dyDescent="0.3">
      <c r="A300" s="511"/>
      <c r="B300" s="511"/>
      <c r="C300" s="511"/>
      <c r="D300" s="511"/>
      <c r="E300" s="511"/>
      <c r="F300" s="511"/>
      <c r="G300" s="511"/>
      <c r="H300" s="511"/>
      <c r="I300" s="511"/>
      <c r="J300" s="511"/>
      <c r="K300" s="511"/>
      <c r="L300" s="511"/>
      <c r="M300" s="511"/>
      <c r="N300" s="511"/>
      <c r="O300" s="511"/>
      <c r="P300" s="511"/>
      <c r="Q300" s="511"/>
      <c r="R300" s="511"/>
      <c r="S300" s="511"/>
      <c r="T300" s="511"/>
      <c r="U300" s="511"/>
      <c r="V300" s="511"/>
      <c r="W300" s="511"/>
      <c r="X300" s="511"/>
      <c r="Y300" s="511"/>
      <c r="Z300" s="511"/>
    </row>
    <row r="301" spans="1:26" ht="19.5" customHeight="1" x14ac:dyDescent="0.3">
      <c r="A301" s="511"/>
      <c r="B301" s="511"/>
      <c r="C301" s="511"/>
      <c r="D301" s="511"/>
      <c r="E301" s="511"/>
      <c r="F301" s="511"/>
      <c r="G301" s="511"/>
      <c r="H301" s="511"/>
      <c r="I301" s="511"/>
      <c r="J301" s="511"/>
      <c r="K301" s="511"/>
      <c r="L301" s="511"/>
      <c r="M301" s="511"/>
      <c r="N301" s="511"/>
      <c r="O301" s="511"/>
      <c r="P301" s="511"/>
      <c r="Q301" s="511"/>
      <c r="R301" s="511"/>
      <c r="S301" s="511"/>
      <c r="T301" s="511"/>
      <c r="U301" s="511"/>
      <c r="V301" s="511"/>
      <c r="W301" s="511"/>
      <c r="X301" s="511"/>
      <c r="Y301" s="511"/>
      <c r="Z301" s="511"/>
    </row>
    <row r="302" spans="1:26" ht="19.5" customHeight="1" x14ac:dyDescent="0.3">
      <c r="A302" s="511"/>
      <c r="B302" s="511"/>
      <c r="C302" s="511"/>
      <c r="D302" s="511"/>
      <c r="E302" s="511"/>
      <c r="F302" s="511"/>
      <c r="G302" s="511"/>
      <c r="H302" s="511"/>
      <c r="I302" s="511"/>
      <c r="J302" s="511"/>
      <c r="K302" s="511"/>
      <c r="L302" s="511"/>
      <c r="M302" s="511"/>
      <c r="N302" s="511"/>
      <c r="O302" s="511"/>
      <c r="P302" s="511"/>
      <c r="Q302" s="511"/>
      <c r="R302" s="511"/>
      <c r="S302" s="511"/>
      <c r="T302" s="511"/>
      <c r="U302" s="511"/>
      <c r="V302" s="511"/>
      <c r="W302" s="511"/>
      <c r="X302" s="511"/>
      <c r="Y302" s="511"/>
      <c r="Z302" s="511"/>
    </row>
    <row r="303" spans="1:26" ht="19.5" customHeight="1" x14ac:dyDescent="0.3">
      <c r="A303" s="511"/>
      <c r="B303" s="511"/>
      <c r="C303" s="511"/>
      <c r="D303" s="511"/>
      <c r="E303" s="511"/>
      <c r="F303" s="511"/>
      <c r="G303" s="511"/>
      <c r="H303" s="511"/>
      <c r="I303" s="511"/>
      <c r="J303" s="511"/>
      <c r="K303" s="511"/>
      <c r="L303" s="511"/>
      <c r="M303" s="511"/>
      <c r="N303" s="511"/>
      <c r="O303" s="511"/>
      <c r="P303" s="511"/>
      <c r="Q303" s="511"/>
      <c r="R303" s="511"/>
      <c r="S303" s="511"/>
      <c r="T303" s="511"/>
      <c r="U303" s="511"/>
      <c r="V303" s="511"/>
      <c r="W303" s="511"/>
      <c r="X303" s="511"/>
      <c r="Y303" s="511"/>
      <c r="Z303" s="511"/>
    </row>
    <row r="304" spans="1:26" ht="19.5" customHeight="1" x14ac:dyDescent="0.3">
      <c r="A304" s="511"/>
      <c r="B304" s="511"/>
      <c r="C304" s="511"/>
      <c r="D304" s="511"/>
      <c r="E304" s="511"/>
      <c r="F304" s="511"/>
      <c r="G304" s="511"/>
      <c r="H304" s="511"/>
      <c r="I304" s="511"/>
      <c r="J304" s="511"/>
      <c r="K304" s="511"/>
      <c r="L304" s="511"/>
      <c r="M304" s="511"/>
      <c r="N304" s="511"/>
      <c r="O304" s="511"/>
      <c r="P304" s="511"/>
      <c r="Q304" s="511"/>
      <c r="R304" s="511"/>
      <c r="S304" s="511"/>
      <c r="T304" s="511"/>
      <c r="U304" s="511"/>
      <c r="V304" s="511"/>
      <c r="W304" s="511"/>
      <c r="X304" s="511"/>
      <c r="Y304" s="511"/>
      <c r="Z304" s="511"/>
    </row>
    <row r="305" spans="1:26" ht="19.5" customHeight="1" x14ac:dyDescent="0.3">
      <c r="A305" s="511"/>
      <c r="B305" s="511"/>
      <c r="C305" s="511"/>
      <c r="D305" s="511"/>
      <c r="E305" s="511"/>
      <c r="F305" s="511"/>
      <c r="G305" s="511"/>
      <c r="H305" s="511"/>
      <c r="I305" s="511"/>
      <c r="J305" s="511"/>
      <c r="K305" s="511"/>
      <c r="L305" s="511"/>
      <c r="M305" s="511"/>
      <c r="N305" s="511"/>
      <c r="O305" s="511"/>
      <c r="P305" s="511"/>
      <c r="Q305" s="511"/>
      <c r="R305" s="511"/>
      <c r="S305" s="511"/>
      <c r="T305" s="511"/>
      <c r="U305" s="511"/>
      <c r="V305" s="511"/>
      <c r="W305" s="511"/>
      <c r="X305" s="511"/>
      <c r="Y305" s="511"/>
      <c r="Z305" s="511"/>
    </row>
    <row r="306" spans="1:26" ht="19.5" customHeight="1" x14ac:dyDescent="0.3">
      <c r="A306" s="511"/>
      <c r="B306" s="511"/>
      <c r="C306" s="511"/>
      <c r="D306" s="511"/>
      <c r="E306" s="511"/>
      <c r="F306" s="511"/>
      <c r="G306" s="511"/>
      <c r="H306" s="511"/>
      <c r="I306" s="511"/>
      <c r="J306" s="511"/>
      <c r="K306" s="511"/>
      <c r="L306" s="511"/>
      <c r="M306" s="511"/>
      <c r="N306" s="511"/>
      <c r="O306" s="511"/>
      <c r="P306" s="511"/>
      <c r="Q306" s="511"/>
      <c r="R306" s="511"/>
      <c r="S306" s="511"/>
      <c r="T306" s="511"/>
      <c r="U306" s="511"/>
      <c r="V306" s="511"/>
      <c r="W306" s="511"/>
      <c r="X306" s="511"/>
      <c r="Y306" s="511"/>
      <c r="Z306" s="511"/>
    </row>
    <row r="307" spans="1:26" ht="19.5" customHeight="1" x14ac:dyDescent="0.3">
      <c r="A307" s="511"/>
      <c r="B307" s="511"/>
      <c r="C307" s="511"/>
      <c r="D307" s="511"/>
      <c r="E307" s="511"/>
      <c r="F307" s="511"/>
      <c r="G307" s="511"/>
      <c r="H307" s="511"/>
      <c r="I307" s="511"/>
      <c r="J307" s="511"/>
      <c r="K307" s="511"/>
      <c r="L307" s="511"/>
      <c r="M307" s="511"/>
      <c r="N307" s="511"/>
      <c r="O307" s="511"/>
      <c r="P307" s="511"/>
      <c r="Q307" s="511"/>
      <c r="R307" s="511"/>
      <c r="S307" s="511"/>
      <c r="T307" s="511"/>
      <c r="U307" s="511"/>
      <c r="V307" s="511"/>
      <c r="W307" s="511"/>
      <c r="X307" s="511"/>
      <c r="Y307" s="511"/>
      <c r="Z307" s="511"/>
    </row>
    <row r="308" spans="1:26" ht="19.5" customHeight="1" x14ac:dyDescent="0.3">
      <c r="A308" s="511"/>
      <c r="B308" s="511"/>
      <c r="C308" s="511"/>
      <c r="D308" s="511"/>
      <c r="E308" s="511"/>
      <c r="F308" s="511"/>
      <c r="G308" s="511"/>
      <c r="H308" s="511"/>
      <c r="I308" s="511"/>
      <c r="J308" s="511"/>
      <c r="K308" s="511"/>
      <c r="L308" s="511"/>
      <c r="M308" s="511"/>
      <c r="N308" s="511"/>
      <c r="O308" s="511"/>
      <c r="P308" s="511"/>
      <c r="Q308" s="511"/>
      <c r="R308" s="511"/>
      <c r="S308" s="511"/>
      <c r="T308" s="511"/>
      <c r="U308" s="511"/>
      <c r="V308" s="511"/>
      <c r="W308" s="511"/>
      <c r="X308" s="511"/>
      <c r="Y308" s="511"/>
      <c r="Z308" s="511"/>
    </row>
    <row r="309" spans="1:26" ht="19.5" customHeight="1" x14ac:dyDescent="0.3">
      <c r="A309" s="511"/>
      <c r="B309" s="511"/>
      <c r="C309" s="511"/>
      <c r="D309" s="511"/>
      <c r="E309" s="511"/>
      <c r="F309" s="511"/>
      <c r="G309" s="511"/>
      <c r="H309" s="511"/>
      <c r="I309" s="511"/>
      <c r="J309" s="511"/>
      <c r="K309" s="511"/>
      <c r="L309" s="511"/>
      <c r="M309" s="511"/>
      <c r="N309" s="511"/>
      <c r="O309" s="511"/>
      <c r="P309" s="511"/>
      <c r="Q309" s="511"/>
      <c r="R309" s="511"/>
      <c r="S309" s="511"/>
      <c r="T309" s="511"/>
      <c r="U309" s="511"/>
      <c r="V309" s="511"/>
      <c r="W309" s="511"/>
      <c r="X309" s="511"/>
      <c r="Y309" s="511"/>
      <c r="Z309" s="511"/>
    </row>
    <row r="310" spans="1:26" ht="19.5" customHeight="1" x14ac:dyDescent="0.3">
      <c r="A310" s="511"/>
      <c r="B310" s="511"/>
      <c r="C310" s="511"/>
      <c r="D310" s="511"/>
      <c r="E310" s="511"/>
      <c r="F310" s="511"/>
      <c r="G310" s="511"/>
      <c r="H310" s="511"/>
      <c r="I310" s="511"/>
      <c r="J310" s="511"/>
      <c r="K310" s="511"/>
      <c r="L310" s="511"/>
      <c r="M310" s="511"/>
      <c r="N310" s="511"/>
      <c r="O310" s="511"/>
      <c r="P310" s="511"/>
      <c r="Q310" s="511"/>
      <c r="R310" s="511"/>
      <c r="S310" s="511"/>
      <c r="T310" s="511"/>
      <c r="U310" s="511"/>
      <c r="V310" s="511"/>
      <c r="W310" s="511"/>
      <c r="X310" s="511"/>
      <c r="Y310" s="511"/>
      <c r="Z310" s="511"/>
    </row>
    <row r="311" spans="1:26" ht="19.5" customHeight="1" x14ac:dyDescent="0.3">
      <c r="A311" s="511"/>
      <c r="B311" s="511"/>
      <c r="C311" s="511"/>
      <c r="D311" s="511"/>
      <c r="E311" s="511"/>
      <c r="F311" s="511"/>
      <c r="G311" s="511"/>
      <c r="H311" s="511"/>
      <c r="I311" s="511"/>
      <c r="J311" s="511"/>
      <c r="K311" s="511"/>
      <c r="L311" s="511"/>
      <c r="M311" s="511"/>
      <c r="N311" s="511"/>
      <c r="O311" s="511"/>
      <c r="P311" s="511"/>
      <c r="Q311" s="511"/>
      <c r="R311" s="511"/>
      <c r="S311" s="511"/>
      <c r="T311" s="511"/>
      <c r="U311" s="511"/>
      <c r="V311" s="511"/>
      <c r="W311" s="511"/>
      <c r="X311" s="511"/>
      <c r="Y311" s="511"/>
      <c r="Z311" s="511"/>
    </row>
    <row r="312" spans="1:26" ht="19.5" customHeight="1" x14ac:dyDescent="0.3">
      <c r="A312" s="511"/>
      <c r="B312" s="511"/>
      <c r="C312" s="511"/>
      <c r="D312" s="511"/>
      <c r="E312" s="511"/>
      <c r="F312" s="511"/>
      <c r="G312" s="511"/>
      <c r="H312" s="511"/>
      <c r="I312" s="511"/>
      <c r="J312" s="511"/>
      <c r="K312" s="511"/>
      <c r="L312" s="511"/>
      <c r="M312" s="511"/>
      <c r="N312" s="511"/>
      <c r="O312" s="511"/>
      <c r="P312" s="511"/>
      <c r="Q312" s="511"/>
      <c r="R312" s="511"/>
      <c r="S312" s="511"/>
      <c r="T312" s="511"/>
      <c r="U312" s="511"/>
      <c r="V312" s="511"/>
      <c r="W312" s="511"/>
      <c r="X312" s="511"/>
      <c r="Y312" s="511"/>
      <c r="Z312" s="511"/>
    </row>
    <row r="313" spans="1:26" ht="19.5" customHeight="1" x14ac:dyDescent="0.3">
      <c r="A313" s="511"/>
      <c r="B313" s="511"/>
      <c r="C313" s="511"/>
      <c r="D313" s="511"/>
      <c r="E313" s="511"/>
      <c r="F313" s="511"/>
      <c r="G313" s="511"/>
      <c r="H313" s="511"/>
      <c r="I313" s="511"/>
      <c r="J313" s="511"/>
      <c r="K313" s="511"/>
      <c r="L313" s="511"/>
      <c r="M313" s="511"/>
      <c r="N313" s="511"/>
      <c r="O313" s="511"/>
      <c r="P313" s="511"/>
      <c r="Q313" s="511"/>
      <c r="R313" s="511"/>
      <c r="S313" s="511"/>
      <c r="T313" s="511"/>
      <c r="U313" s="511"/>
      <c r="V313" s="511"/>
      <c r="W313" s="511"/>
      <c r="X313" s="511"/>
      <c r="Y313" s="511"/>
      <c r="Z313" s="511"/>
    </row>
    <row r="314" spans="1:26" ht="19.5" customHeight="1" x14ac:dyDescent="0.3">
      <c r="A314" s="511"/>
      <c r="B314" s="511"/>
      <c r="C314" s="511"/>
      <c r="D314" s="511"/>
      <c r="E314" s="511"/>
      <c r="F314" s="511"/>
      <c r="G314" s="511"/>
      <c r="H314" s="511"/>
      <c r="I314" s="511"/>
      <c r="J314" s="511"/>
      <c r="K314" s="511"/>
      <c r="L314" s="511"/>
      <c r="M314" s="511"/>
      <c r="N314" s="511"/>
      <c r="O314" s="511"/>
      <c r="P314" s="511"/>
      <c r="Q314" s="511"/>
      <c r="R314" s="511"/>
      <c r="S314" s="511"/>
      <c r="T314" s="511"/>
      <c r="U314" s="511"/>
      <c r="V314" s="511"/>
      <c r="W314" s="511"/>
      <c r="X314" s="511"/>
      <c r="Y314" s="511"/>
      <c r="Z314" s="511"/>
    </row>
    <row r="315" spans="1:26" ht="19.5" customHeight="1" x14ac:dyDescent="0.3">
      <c r="A315" s="511"/>
      <c r="B315" s="511"/>
      <c r="C315" s="511"/>
      <c r="D315" s="511"/>
      <c r="E315" s="511"/>
      <c r="F315" s="511"/>
      <c r="G315" s="511"/>
      <c r="H315" s="511"/>
      <c r="I315" s="511"/>
      <c r="J315" s="511"/>
      <c r="K315" s="511"/>
      <c r="L315" s="511"/>
      <c r="M315" s="511"/>
      <c r="N315" s="511"/>
      <c r="O315" s="511"/>
      <c r="P315" s="511"/>
      <c r="Q315" s="511"/>
      <c r="R315" s="511"/>
      <c r="S315" s="511"/>
      <c r="T315" s="511"/>
      <c r="U315" s="511"/>
      <c r="V315" s="511"/>
      <c r="W315" s="511"/>
      <c r="X315" s="511"/>
      <c r="Y315" s="511"/>
      <c r="Z315" s="511"/>
    </row>
    <row r="316" spans="1:26" ht="19.5" customHeight="1" x14ac:dyDescent="0.3">
      <c r="A316" s="511"/>
      <c r="B316" s="511"/>
      <c r="C316" s="511"/>
      <c r="D316" s="511"/>
      <c r="E316" s="511"/>
      <c r="F316" s="511"/>
      <c r="G316" s="511"/>
      <c r="H316" s="511"/>
      <c r="I316" s="511"/>
      <c r="J316" s="511"/>
      <c r="K316" s="511"/>
      <c r="L316" s="511"/>
      <c r="M316" s="511"/>
      <c r="N316" s="511"/>
      <c r="O316" s="511"/>
      <c r="P316" s="511"/>
      <c r="Q316" s="511"/>
      <c r="R316" s="511"/>
      <c r="S316" s="511"/>
      <c r="T316" s="511"/>
      <c r="U316" s="511"/>
      <c r="V316" s="511"/>
      <c r="W316" s="511"/>
      <c r="X316" s="511"/>
      <c r="Y316" s="511"/>
      <c r="Z316" s="511"/>
    </row>
    <row r="317" spans="1:26" ht="19.5" customHeight="1" x14ac:dyDescent="0.3">
      <c r="A317" s="511"/>
      <c r="B317" s="511"/>
      <c r="C317" s="511"/>
      <c r="D317" s="511"/>
      <c r="E317" s="511"/>
      <c r="F317" s="511"/>
      <c r="G317" s="511"/>
      <c r="H317" s="511"/>
      <c r="I317" s="511"/>
      <c r="J317" s="511"/>
      <c r="K317" s="511"/>
      <c r="L317" s="511"/>
      <c r="M317" s="511"/>
      <c r="N317" s="511"/>
      <c r="O317" s="511"/>
      <c r="P317" s="511"/>
      <c r="Q317" s="511"/>
      <c r="R317" s="511"/>
      <c r="S317" s="511"/>
      <c r="T317" s="511"/>
      <c r="U317" s="511"/>
      <c r="V317" s="511"/>
      <c r="W317" s="511"/>
      <c r="X317" s="511"/>
      <c r="Y317" s="511"/>
      <c r="Z317" s="511"/>
    </row>
    <row r="318" spans="1:26" ht="19.5" customHeight="1" x14ac:dyDescent="0.3">
      <c r="A318" s="511"/>
      <c r="B318" s="511"/>
      <c r="C318" s="511"/>
      <c r="D318" s="511"/>
      <c r="E318" s="511"/>
      <c r="F318" s="511"/>
      <c r="G318" s="511"/>
      <c r="H318" s="511"/>
      <c r="I318" s="511"/>
      <c r="J318" s="511"/>
      <c r="K318" s="511"/>
      <c r="L318" s="511"/>
      <c r="M318" s="511"/>
      <c r="N318" s="511"/>
      <c r="O318" s="511"/>
      <c r="P318" s="511"/>
      <c r="Q318" s="511"/>
      <c r="R318" s="511"/>
      <c r="S318" s="511"/>
      <c r="T318" s="511"/>
      <c r="U318" s="511"/>
      <c r="V318" s="511"/>
      <c r="W318" s="511"/>
      <c r="X318" s="511"/>
      <c r="Y318" s="511"/>
      <c r="Z318" s="511"/>
    </row>
    <row r="319" spans="1:26" ht="19.5" customHeight="1" x14ac:dyDescent="0.3">
      <c r="A319" s="511"/>
      <c r="B319" s="511"/>
      <c r="C319" s="511"/>
      <c r="D319" s="511"/>
      <c r="E319" s="511"/>
      <c r="F319" s="511"/>
      <c r="G319" s="511"/>
      <c r="H319" s="511"/>
      <c r="I319" s="511"/>
      <c r="J319" s="511"/>
      <c r="K319" s="511"/>
      <c r="L319" s="511"/>
      <c r="M319" s="511"/>
      <c r="N319" s="511"/>
      <c r="O319" s="511"/>
      <c r="P319" s="511"/>
      <c r="Q319" s="511"/>
      <c r="R319" s="511"/>
      <c r="S319" s="511"/>
      <c r="T319" s="511"/>
      <c r="U319" s="511"/>
      <c r="V319" s="511"/>
      <c r="W319" s="511"/>
      <c r="X319" s="511"/>
      <c r="Y319" s="511"/>
      <c r="Z319" s="511"/>
    </row>
    <row r="320" spans="1:26" ht="19.5" customHeight="1" x14ac:dyDescent="0.3">
      <c r="A320" s="511"/>
      <c r="B320" s="511"/>
      <c r="C320" s="511"/>
      <c r="D320" s="511"/>
      <c r="E320" s="511"/>
      <c r="F320" s="511"/>
      <c r="G320" s="511"/>
      <c r="H320" s="511"/>
      <c r="I320" s="511"/>
      <c r="J320" s="511"/>
      <c r="K320" s="511"/>
      <c r="L320" s="511"/>
      <c r="M320" s="511"/>
      <c r="N320" s="511"/>
      <c r="O320" s="511"/>
      <c r="P320" s="511"/>
      <c r="Q320" s="511"/>
      <c r="R320" s="511"/>
      <c r="S320" s="511"/>
      <c r="T320" s="511"/>
      <c r="U320" s="511"/>
      <c r="V320" s="511"/>
      <c r="W320" s="511"/>
      <c r="X320" s="511"/>
      <c r="Y320" s="511"/>
      <c r="Z320" s="511"/>
    </row>
    <row r="321" spans="1:26" ht="19.5" customHeight="1" x14ac:dyDescent="0.3">
      <c r="A321" s="511"/>
      <c r="B321" s="511"/>
      <c r="C321" s="511"/>
      <c r="D321" s="511"/>
      <c r="E321" s="511"/>
      <c r="F321" s="511"/>
      <c r="G321" s="511"/>
      <c r="H321" s="511"/>
      <c r="I321" s="511"/>
      <c r="J321" s="511"/>
      <c r="K321" s="511"/>
      <c r="L321" s="511"/>
      <c r="M321" s="511"/>
      <c r="N321" s="511"/>
      <c r="O321" s="511"/>
      <c r="P321" s="511"/>
      <c r="Q321" s="511"/>
      <c r="R321" s="511"/>
      <c r="S321" s="511"/>
      <c r="T321" s="511"/>
      <c r="U321" s="511"/>
      <c r="V321" s="511"/>
      <c r="W321" s="511"/>
      <c r="X321" s="511"/>
      <c r="Y321" s="511"/>
      <c r="Z321" s="511"/>
    </row>
    <row r="322" spans="1:26" ht="19.5" customHeight="1" x14ac:dyDescent="0.3">
      <c r="A322" s="511"/>
      <c r="B322" s="511"/>
      <c r="C322" s="511"/>
      <c r="D322" s="511"/>
      <c r="E322" s="511"/>
      <c r="F322" s="511"/>
      <c r="G322" s="511"/>
      <c r="H322" s="511"/>
      <c r="I322" s="511"/>
      <c r="J322" s="511"/>
      <c r="K322" s="511"/>
      <c r="L322" s="511"/>
      <c r="M322" s="511"/>
      <c r="N322" s="511"/>
      <c r="O322" s="511"/>
      <c r="P322" s="511"/>
      <c r="Q322" s="511"/>
      <c r="R322" s="511"/>
      <c r="S322" s="511"/>
      <c r="T322" s="511"/>
      <c r="U322" s="511"/>
      <c r="V322" s="511"/>
      <c r="W322" s="511"/>
      <c r="X322" s="511"/>
      <c r="Y322" s="511"/>
      <c r="Z322" s="511"/>
    </row>
    <row r="323" spans="1:26" ht="19.5" customHeight="1" x14ac:dyDescent="0.3">
      <c r="A323" s="511"/>
      <c r="B323" s="511"/>
      <c r="C323" s="511"/>
      <c r="D323" s="511"/>
      <c r="E323" s="511"/>
      <c r="F323" s="511"/>
      <c r="G323" s="511"/>
      <c r="H323" s="511"/>
      <c r="I323" s="511"/>
      <c r="J323" s="511"/>
      <c r="K323" s="511"/>
      <c r="L323" s="511"/>
      <c r="M323" s="511"/>
      <c r="N323" s="511"/>
      <c r="O323" s="511"/>
      <c r="P323" s="511"/>
      <c r="Q323" s="511"/>
      <c r="R323" s="511"/>
      <c r="S323" s="511"/>
      <c r="T323" s="511"/>
      <c r="U323" s="511"/>
      <c r="V323" s="511"/>
      <c r="W323" s="511"/>
      <c r="X323" s="511"/>
      <c r="Y323" s="511"/>
      <c r="Z323" s="511"/>
    </row>
    <row r="324" spans="1:26" ht="19.5" customHeight="1" x14ac:dyDescent="0.3">
      <c r="A324" s="511"/>
      <c r="B324" s="511"/>
      <c r="C324" s="511"/>
      <c r="D324" s="511"/>
      <c r="E324" s="511"/>
      <c r="F324" s="511"/>
      <c r="G324" s="511"/>
      <c r="H324" s="511"/>
      <c r="I324" s="511"/>
      <c r="J324" s="511"/>
      <c r="K324" s="511"/>
      <c r="L324" s="511"/>
      <c r="M324" s="511"/>
      <c r="N324" s="511"/>
      <c r="O324" s="511"/>
      <c r="P324" s="511"/>
      <c r="Q324" s="511"/>
      <c r="R324" s="511"/>
      <c r="S324" s="511"/>
      <c r="T324" s="511"/>
      <c r="U324" s="511"/>
      <c r="V324" s="511"/>
      <c r="W324" s="511"/>
      <c r="X324" s="511"/>
      <c r="Y324" s="511"/>
      <c r="Z324" s="511"/>
    </row>
    <row r="325" spans="1:26" ht="19.5" customHeight="1" x14ac:dyDescent="0.3">
      <c r="A325" s="511"/>
      <c r="B325" s="511"/>
      <c r="C325" s="511"/>
      <c r="D325" s="511"/>
      <c r="E325" s="511"/>
      <c r="F325" s="511"/>
      <c r="G325" s="511"/>
      <c r="H325" s="511"/>
      <c r="I325" s="511"/>
      <c r="J325" s="511"/>
      <c r="K325" s="511"/>
      <c r="L325" s="511"/>
      <c r="M325" s="511"/>
      <c r="N325" s="511"/>
      <c r="O325" s="511"/>
      <c r="P325" s="511"/>
      <c r="Q325" s="511"/>
      <c r="R325" s="511"/>
      <c r="S325" s="511"/>
      <c r="T325" s="511"/>
      <c r="U325" s="511"/>
      <c r="V325" s="511"/>
      <c r="W325" s="511"/>
      <c r="X325" s="511"/>
      <c r="Y325" s="511"/>
      <c r="Z325" s="511"/>
    </row>
    <row r="326" spans="1:26" ht="19.5" customHeight="1" x14ac:dyDescent="0.3">
      <c r="A326" s="511"/>
      <c r="B326" s="511"/>
      <c r="C326" s="511"/>
      <c r="D326" s="511"/>
      <c r="E326" s="511"/>
      <c r="F326" s="511"/>
      <c r="G326" s="511"/>
      <c r="H326" s="511"/>
      <c r="I326" s="511"/>
      <c r="J326" s="511"/>
      <c r="K326" s="511"/>
      <c r="L326" s="511"/>
      <c r="M326" s="511"/>
      <c r="N326" s="511"/>
      <c r="O326" s="511"/>
      <c r="P326" s="511"/>
      <c r="Q326" s="511"/>
      <c r="R326" s="511"/>
      <c r="S326" s="511"/>
      <c r="T326" s="511"/>
      <c r="U326" s="511"/>
      <c r="V326" s="511"/>
      <c r="W326" s="511"/>
      <c r="X326" s="511"/>
      <c r="Y326" s="511"/>
      <c r="Z326" s="511"/>
    </row>
    <row r="327" spans="1:26" ht="19.5" customHeight="1" x14ac:dyDescent="0.3">
      <c r="A327" s="511"/>
      <c r="B327" s="511"/>
      <c r="C327" s="511"/>
      <c r="D327" s="511"/>
      <c r="E327" s="511"/>
      <c r="F327" s="511"/>
      <c r="G327" s="511"/>
      <c r="H327" s="511"/>
      <c r="I327" s="511"/>
      <c r="J327" s="511"/>
      <c r="K327" s="511"/>
      <c r="L327" s="511"/>
      <c r="M327" s="511"/>
      <c r="N327" s="511"/>
      <c r="O327" s="511"/>
      <c r="P327" s="511"/>
      <c r="Q327" s="511"/>
      <c r="R327" s="511"/>
      <c r="S327" s="511"/>
      <c r="T327" s="511"/>
      <c r="U327" s="511"/>
      <c r="V327" s="511"/>
      <c r="W327" s="511"/>
      <c r="X327" s="511"/>
      <c r="Y327" s="511"/>
      <c r="Z327" s="511"/>
    </row>
    <row r="328" spans="1:26" ht="19.5" customHeight="1" x14ac:dyDescent="0.3">
      <c r="A328" s="511"/>
      <c r="B328" s="511"/>
      <c r="C328" s="511"/>
      <c r="D328" s="511"/>
      <c r="E328" s="511"/>
      <c r="F328" s="511"/>
      <c r="G328" s="511"/>
      <c r="H328" s="511"/>
      <c r="I328" s="511"/>
      <c r="J328" s="511"/>
      <c r="K328" s="511"/>
      <c r="L328" s="511"/>
      <c r="M328" s="511"/>
      <c r="N328" s="511"/>
      <c r="O328" s="511"/>
      <c r="P328" s="511"/>
      <c r="Q328" s="511"/>
      <c r="R328" s="511"/>
      <c r="S328" s="511"/>
      <c r="T328" s="511"/>
      <c r="U328" s="511"/>
      <c r="V328" s="511"/>
      <c r="W328" s="511"/>
      <c r="X328" s="511"/>
      <c r="Y328" s="511"/>
      <c r="Z328" s="511"/>
    </row>
    <row r="329" spans="1:26" ht="19.5" customHeight="1" x14ac:dyDescent="0.3">
      <c r="A329" s="511"/>
      <c r="B329" s="511"/>
      <c r="C329" s="511"/>
      <c r="D329" s="511"/>
      <c r="E329" s="511"/>
      <c r="F329" s="511"/>
      <c r="G329" s="511"/>
      <c r="H329" s="511"/>
      <c r="I329" s="511"/>
      <c r="J329" s="511"/>
      <c r="K329" s="511"/>
      <c r="L329" s="511"/>
      <c r="M329" s="511"/>
      <c r="N329" s="511"/>
      <c r="O329" s="511"/>
      <c r="P329" s="511"/>
      <c r="Q329" s="511"/>
      <c r="R329" s="511"/>
      <c r="S329" s="511"/>
      <c r="T329" s="511"/>
      <c r="U329" s="511"/>
      <c r="V329" s="511"/>
      <c r="W329" s="511"/>
      <c r="X329" s="511"/>
      <c r="Y329" s="511"/>
      <c r="Z329" s="511"/>
    </row>
    <row r="330" spans="1:26" ht="19.5" customHeight="1" x14ac:dyDescent="0.3">
      <c r="A330" s="511"/>
      <c r="B330" s="511"/>
      <c r="C330" s="511"/>
      <c r="D330" s="511"/>
      <c r="E330" s="511"/>
      <c r="F330" s="511"/>
      <c r="G330" s="511"/>
      <c r="H330" s="511"/>
      <c r="I330" s="511"/>
      <c r="J330" s="511"/>
      <c r="K330" s="511"/>
      <c r="L330" s="511"/>
      <c r="M330" s="511"/>
      <c r="N330" s="511"/>
      <c r="O330" s="511"/>
      <c r="P330" s="511"/>
      <c r="Q330" s="511"/>
      <c r="R330" s="511"/>
      <c r="S330" s="511"/>
      <c r="T330" s="511"/>
      <c r="U330" s="511"/>
      <c r="V330" s="511"/>
      <c r="W330" s="511"/>
      <c r="X330" s="511"/>
      <c r="Y330" s="511"/>
      <c r="Z330" s="511"/>
    </row>
    <row r="331" spans="1:26" ht="19.5" customHeight="1" x14ac:dyDescent="0.3">
      <c r="A331" s="511"/>
      <c r="B331" s="511"/>
      <c r="C331" s="511"/>
      <c r="D331" s="511"/>
      <c r="E331" s="511"/>
      <c r="F331" s="511"/>
      <c r="G331" s="511"/>
      <c r="H331" s="511"/>
      <c r="I331" s="511"/>
      <c r="J331" s="511"/>
      <c r="K331" s="511"/>
      <c r="L331" s="511"/>
      <c r="M331" s="511"/>
      <c r="N331" s="511"/>
      <c r="O331" s="511"/>
      <c r="P331" s="511"/>
      <c r="Q331" s="511"/>
      <c r="R331" s="511"/>
      <c r="S331" s="511"/>
      <c r="T331" s="511"/>
      <c r="U331" s="511"/>
      <c r="V331" s="511"/>
      <c r="W331" s="511"/>
      <c r="X331" s="511"/>
      <c r="Y331" s="511"/>
      <c r="Z331" s="511"/>
    </row>
    <row r="332" spans="1:26" ht="19.5" customHeight="1" x14ac:dyDescent="0.3">
      <c r="A332" s="511"/>
      <c r="B332" s="511"/>
      <c r="C332" s="511"/>
      <c r="D332" s="511"/>
      <c r="E332" s="511"/>
      <c r="F332" s="511"/>
      <c r="G332" s="511"/>
      <c r="H332" s="511"/>
      <c r="I332" s="511"/>
      <c r="J332" s="511"/>
      <c r="K332" s="511"/>
      <c r="L332" s="511"/>
      <c r="M332" s="511"/>
      <c r="N332" s="511"/>
      <c r="O332" s="511"/>
      <c r="P332" s="511"/>
      <c r="Q332" s="511"/>
      <c r="R332" s="511"/>
      <c r="S332" s="511"/>
      <c r="T332" s="511"/>
      <c r="U332" s="511"/>
      <c r="V332" s="511"/>
      <c r="W332" s="511"/>
      <c r="X332" s="511"/>
      <c r="Y332" s="511"/>
      <c r="Z332" s="511"/>
    </row>
    <row r="333" spans="1:26" ht="19.5" customHeight="1" x14ac:dyDescent="0.3">
      <c r="A333" s="511"/>
      <c r="B333" s="511"/>
      <c r="C333" s="511"/>
      <c r="D333" s="511"/>
      <c r="E333" s="511"/>
      <c r="F333" s="511"/>
      <c r="G333" s="511"/>
      <c r="H333" s="511"/>
      <c r="I333" s="511"/>
      <c r="J333" s="511"/>
      <c r="K333" s="511"/>
      <c r="L333" s="511"/>
      <c r="M333" s="511"/>
      <c r="N333" s="511"/>
      <c r="O333" s="511"/>
      <c r="P333" s="511"/>
      <c r="Q333" s="511"/>
      <c r="R333" s="511"/>
      <c r="S333" s="511"/>
      <c r="T333" s="511"/>
      <c r="U333" s="511"/>
      <c r="V333" s="511"/>
      <c r="W333" s="511"/>
      <c r="X333" s="511"/>
      <c r="Y333" s="511"/>
      <c r="Z333" s="511"/>
    </row>
    <row r="334" spans="1:26" ht="19.5" customHeight="1" x14ac:dyDescent="0.3">
      <c r="A334" s="511"/>
      <c r="B334" s="511"/>
      <c r="C334" s="511"/>
      <c r="D334" s="511"/>
      <c r="E334" s="511"/>
      <c r="F334" s="511"/>
      <c r="G334" s="511"/>
      <c r="H334" s="511"/>
      <c r="I334" s="511"/>
      <c r="J334" s="511"/>
      <c r="K334" s="511"/>
      <c r="L334" s="511"/>
      <c r="M334" s="511"/>
      <c r="N334" s="511"/>
      <c r="O334" s="511"/>
      <c r="P334" s="511"/>
      <c r="Q334" s="511"/>
      <c r="R334" s="511"/>
      <c r="S334" s="511"/>
      <c r="T334" s="511"/>
      <c r="U334" s="511"/>
      <c r="V334" s="511"/>
      <c r="W334" s="511"/>
      <c r="X334" s="511"/>
      <c r="Y334" s="511"/>
      <c r="Z334" s="511"/>
    </row>
    <row r="335" spans="1:26" ht="19.5" customHeight="1" x14ac:dyDescent="0.3">
      <c r="A335" s="511"/>
      <c r="B335" s="511"/>
      <c r="C335" s="511"/>
      <c r="D335" s="511"/>
      <c r="E335" s="511"/>
      <c r="F335" s="511"/>
      <c r="G335" s="511"/>
      <c r="H335" s="511"/>
      <c r="I335" s="511"/>
      <c r="J335" s="511"/>
      <c r="K335" s="511"/>
      <c r="L335" s="511"/>
      <c r="M335" s="511"/>
      <c r="N335" s="511"/>
      <c r="O335" s="511"/>
      <c r="P335" s="511"/>
      <c r="Q335" s="511"/>
      <c r="R335" s="511"/>
      <c r="S335" s="511"/>
      <c r="T335" s="511"/>
      <c r="U335" s="511"/>
      <c r="V335" s="511"/>
      <c r="W335" s="511"/>
      <c r="X335" s="511"/>
      <c r="Y335" s="511"/>
      <c r="Z335" s="511"/>
    </row>
    <row r="336" spans="1:26" ht="19.5" customHeight="1" x14ac:dyDescent="0.3">
      <c r="A336" s="511"/>
      <c r="B336" s="511"/>
      <c r="C336" s="511"/>
      <c r="D336" s="511"/>
      <c r="E336" s="511"/>
      <c r="F336" s="511"/>
      <c r="G336" s="511"/>
      <c r="H336" s="511"/>
      <c r="I336" s="511"/>
      <c r="J336" s="511"/>
      <c r="K336" s="511"/>
      <c r="L336" s="511"/>
      <c r="M336" s="511"/>
      <c r="N336" s="511"/>
      <c r="O336" s="511"/>
      <c r="P336" s="511"/>
      <c r="Q336" s="511"/>
      <c r="R336" s="511"/>
      <c r="S336" s="511"/>
      <c r="T336" s="511"/>
      <c r="U336" s="511"/>
      <c r="V336" s="511"/>
      <c r="W336" s="511"/>
      <c r="X336" s="511"/>
      <c r="Y336" s="511"/>
      <c r="Z336" s="511"/>
    </row>
    <row r="337" spans="1:26" ht="19.5" customHeight="1" x14ac:dyDescent="0.3">
      <c r="A337" s="511"/>
      <c r="B337" s="511"/>
      <c r="C337" s="511"/>
      <c r="D337" s="511"/>
      <c r="E337" s="511"/>
      <c r="F337" s="511"/>
      <c r="G337" s="511"/>
      <c r="H337" s="511"/>
      <c r="I337" s="511"/>
      <c r="J337" s="511"/>
      <c r="K337" s="511"/>
      <c r="L337" s="511"/>
      <c r="M337" s="511"/>
      <c r="N337" s="511"/>
      <c r="O337" s="511"/>
      <c r="P337" s="511"/>
      <c r="Q337" s="511"/>
      <c r="R337" s="511"/>
      <c r="S337" s="511"/>
      <c r="T337" s="511"/>
      <c r="U337" s="511"/>
      <c r="V337" s="511"/>
      <c r="W337" s="511"/>
      <c r="X337" s="511"/>
      <c r="Y337" s="511"/>
      <c r="Z337" s="511"/>
    </row>
    <row r="338" spans="1:26" ht="19.5" customHeight="1" x14ac:dyDescent="0.3">
      <c r="A338" s="511"/>
      <c r="B338" s="511"/>
      <c r="C338" s="511"/>
      <c r="D338" s="511"/>
      <c r="E338" s="511"/>
      <c r="F338" s="511"/>
      <c r="G338" s="511"/>
      <c r="H338" s="511"/>
      <c r="I338" s="511"/>
      <c r="J338" s="511"/>
      <c r="K338" s="511"/>
      <c r="L338" s="511"/>
      <c r="M338" s="511"/>
      <c r="N338" s="511"/>
      <c r="O338" s="511"/>
      <c r="P338" s="511"/>
      <c r="Q338" s="511"/>
      <c r="R338" s="511"/>
      <c r="S338" s="511"/>
      <c r="T338" s="511"/>
      <c r="U338" s="511"/>
      <c r="V338" s="511"/>
      <c r="W338" s="511"/>
      <c r="X338" s="511"/>
      <c r="Y338" s="511"/>
      <c r="Z338" s="511"/>
    </row>
    <row r="339" spans="1:26" ht="19.5" customHeight="1" x14ac:dyDescent="0.3">
      <c r="A339" s="511"/>
      <c r="B339" s="511"/>
      <c r="C339" s="511"/>
      <c r="D339" s="511"/>
      <c r="E339" s="511"/>
      <c r="F339" s="511"/>
      <c r="G339" s="511"/>
      <c r="H339" s="511"/>
      <c r="I339" s="511"/>
      <c r="J339" s="511"/>
      <c r="K339" s="511"/>
      <c r="L339" s="511"/>
      <c r="M339" s="511"/>
      <c r="N339" s="511"/>
      <c r="O339" s="511"/>
      <c r="P339" s="511"/>
      <c r="Q339" s="511"/>
      <c r="R339" s="511"/>
      <c r="S339" s="511"/>
      <c r="T339" s="511"/>
      <c r="U339" s="511"/>
      <c r="V339" s="511"/>
      <c r="W339" s="511"/>
      <c r="X339" s="511"/>
      <c r="Y339" s="511"/>
      <c r="Z339" s="511"/>
    </row>
    <row r="340" spans="1:26" ht="19.5" customHeight="1" x14ac:dyDescent="0.3">
      <c r="A340" s="511"/>
      <c r="B340" s="511"/>
      <c r="C340" s="511"/>
      <c r="D340" s="511"/>
      <c r="E340" s="511"/>
      <c r="F340" s="511"/>
      <c r="G340" s="511"/>
      <c r="H340" s="511"/>
      <c r="I340" s="511"/>
      <c r="J340" s="511"/>
      <c r="K340" s="511"/>
      <c r="L340" s="511"/>
      <c r="M340" s="511"/>
      <c r="N340" s="511"/>
      <c r="O340" s="511"/>
      <c r="P340" s="511"/>
      <c r="Q340" s="511"/>
      <c r="R340" s="511"/>
      <c r="S340" s="511"/>
      <c r="T340" s="511"/>
      <c r="U340" s="511"/>
      <c r="V340" s="511"/>
      <c r="W340" s="511"/>
      <c r="X340" s="511"/>
      <c r="Y340" s="511"/>
      <c r="Z340" s="511"/>
    </row>
    <row r="341" spans="1:26" ht="19.5" customHeight="1" x14ac:dyDescent="0.3">
      <c r="A341" s="511"/>
      <c r="B341" s="511"/>
      <c r="C341" s="511"/>
      <c r="D341" s="511"/>
      <c r="E341" s="511"/>
      <c r="F341" s="511"/>
      <c r="G341" s="511"/>
      <c r="H341" s="511"/>
      <c r="I341" s="511"/>
      <c r="J341" s="511"/>
      <c r="K341" s="511"/>
      <c r="L341" s="511"/>
      <c r="M341" s="511"/>
      <c r="N341" s="511"/>
      <c r="O341" s="511"/>
      <c r="P341" s="511"/>
      <c r="Q341" s="511"/>
      <c r="R341" s="511"/>
      <c r="S341" s="511"/>
      <c r="T341" s="511"/>
      <c r="U341" s="511"/>
      <c r="V341" s="511"/>
      <c r="W341" s="511"/>
      <c r="X341" s="511"/>
      <c r="Y341" s="511"/>
      <c r="Z341" s="511"/>
    </row>
    <row r="342" spans="1:26" ht="19.5" customHeight="1" x14ac:dyDescent="0.3">
      <c r="A342" s="511"/>
      <c r="B342" s="511"/>
      <c r="C342" s="511"/>
      <c r="D342" s="511"/>
      <c r="E342" s="511"/>
      <c r="F342" s="511"/>
      <c r="G342" s="511"/>
      <c r="H342" s="511"/>
      <c r="I342" s="511"/>
      <c r="J342" s="511"/>
      <c r="K342" s="511"/>
      <c r="L342" s="511"/>
      <c r="M342" s="511"/>
      <c r="N342" s="511"/>
      <c r="O342" s="511"/>
      <c r="P342" s="511"/>
      <c r="Q342" s="511"/>
      <c r="R342" s="511"/>
      <c r="S342" s="511"/>
      <c r="T342" s="511"/>
      <c r="U342" s="511"/>
      <c r="V342" s="511"/>
      <c r="W342" s="511"/>
      <c r="X342" s="511"/>
      <c r="Y342" s="511"/>
      <c r="Z342" s="511"/>
    </row>
    <row r="343" spans="1:26" ht="19.5" customHeight="1" x14ac:dyDescent="0.3">
      <c r="A343" s="511"/>
      <c r="B343" s="511"/>
      <c r="C343" s="511"/>
      <c r="D343" s="511"/>
      <c r="E343" s="511"/>
      <c r="F343" s="511"/>
      <c r="G343" s="511"/>
      <c r="H343" s="511"/>
      <c r="I343" s="511"/>
      <c r="J343" s="511"/>
      <c r="K343" s="511"/>
      <c r="L343" s="511"/>
      <c r="M343" s="511"/>
      <c r="N343" s="511"/>
      <c r="O343" s="511"/>
      <c r="P343" s="511"/>
      <c r="Q343" s="511"/>
      <c r="R343" s="511"/>
      <c r="S343" s="511"/>
      <c r="T343" s="511"/>
      <c r="U343" s="511"/>
      <c r="V343" s="511"/>
      <c r="W343" s="511"/>
      <c r="X343" s="511"/>
      <c r="Y343" s="511"/>
      <c r="Z343" s="511"/>
    </row>
    <row r="344" spans="1:26" ht="19.5" customHeight="1" x14ac:dyDescent="0.3">
      <c r="A344" s="511"/>
      <c r="B344" s="511"/>
      <c r="C344" s="511"/>
      <c r="D344" s="511"/>
      <c r="E344" s="511"/>
      <c r="F344" s="511"/>
      <c r="G344" s="511"/>
      <c r="H344" s="511"/>
      <c r="I344" s="511"/>
      <c r="J344" s="511"/>
      <c r="K344" s="511"/>
      <c r="L344" s="511"/>
      <c r="M344" s="511"/>
      <c r="N344" s="511"/>
      <c r="O344" s="511"/>
      <c r="P344" s="511"/>
      <c r="Q344" s="511"/>
      <c r="R344" s="511"/>
      <c r="S344" s="511"/>
      <c r="T344" s="511"/>
      <c r="U344" s="511"/>
      <c r="V344" s="511"/>
      <c r="W344" s="511"/>
      <c r="X344" s="511"/>
      <c r="Y344" s="511"/>
      <c r="Z344" s="511"/>
    </row>
    <row r="345" spans="1:26" ht="19.5" customHeight="1" x14ac:dyDescent="0.3">
      <c r="A345" s="511"/>
      <c r="B345" s="511"/>
      <c r="C345" s="511"/>
      <c r="D345" s="511"/>
      <c r="E345" s="511"/>
      <c r="F345" s="511"/>
      <c r="G345" s="511"/>
      <c r="H345" s="511"/>
      <c r="I345" s="511"/>
      <c r="J345" s="511"/>
      <c r="K345" s="511"/>
      <c r="L345" s="511"/>
      <c r="M345" s="511"/>
      <c r="N345" s="511"/>
      <c r="O345" s="511"/>
      <c r="P345" s="511"/>
      <c r="Q345" s="511"/>
      <c r="R345" s="511"/>
      <c r="S345" s="511"/>
      <c r="T345" s="511"/>
      <c r="U345" s="511"/>
      <c r="V345" s="511"/>
      <c r="W345" s="511"/>
      <c r="X345" s="511"/>
      <c r="Y345" s="511"/>
      <c r="Z345" s="511"/>
    </row>
    <row r="346" spans="1:26" ht="19.5" customHeight="1" x14ac:dyDescent="0.3">
      <c r="A346" s="511"/>
      <c r="B346" s="511"/>
      <c r="C346" s="511"/>
      <c r="D346" s="511"/>
      <c r="E346" s="511"/>
      <c r="F346" s="511"/>
      <c r="G346" s="511"/>
      <c r="H346" s="511"/>
      <c r="I346" s="511"/>
      <c r="J346" s="511"/>
      <c r="K346" s="511"/>
      <c r="L346" s="511"/>
      <c r="M346" s="511"/>
      <c r="N346" s="511"/>
      <c r="O346" s="511"/>
      <c r="P346" s="511"/>
      <c r="Q346" s="511"/>
      <c r="R346" s="511"/>
      <c r="S346" s="511"/>
      <c r="T346" s="511"/>
      <c r="U346" s="511"/>
      <c r="V346" s="511"/>
      <c r="W346" s="511"/>
      <c r="X346" s="511"/>
      <c r="Y346" s="511"/>
      <c r="Z346" s="511"/>
    </row>
    <row r="347" spans="1:26" ht="19.5" customHeight="1" x14ac:dyDescent="0.3">
      <c r="A347" s="511"/>
      <c r="B347" s="511"/>
      <c r="C347" s="511"/>
      <c r="D347" s="511"/>
      <c r="E347" s="511"/>
      <c r="F347" s="511"/>
      <c r="G347" s="511"/>
      <c r="H347" s="511"/>
      <c r="I347" s="511"/>
      <c r="J347" s="511"/>
      <c r="K347" s="511"/>
      <c r="L347" s="511"/>
      <c r="M347" s="511"/>
      <c r="N347" s="511"/>
      <c r="O347" s="511"/>
      <c r="P347" s="511"/>
      <c r="Q347" s="511"/>
      <c r="R347" s="511"/>
      <c r="S347" s="511"/>
      <c r="T347" s="511"/>
      <c r="U347" s="511"/>
      <c r="V347" s="511"/>
      <c r="W347" s="511"/>
      <c r="X347" s="511"/>
      <c r="Y347" s="511"/>
      <c r="Z347" s="511"/>
    </row>
    <row r="348" spans="1:26" ht="19.5" customHeight="1" x14ac:dyDescent="0.3">
      <c r="A348" s="511"/>
      <c r="B348" s="511"/>
      <c r="C348" s="511"/>
      <c r="D348" s="511"/>
      <c r="E348" s="511"/>
      <c r="F348" s="511"/>
      <c r="G348" s="511"/>
      <c r="H348" s="511"/>
      <c r="I348" s="511"/>
      <c r="J348" s="511"/>
      <c r="K348" s="511"/>
      <c r="L348" s="511"/>
      <c r="M348" s="511"/>
      <c r="N348" s="511"/>
      <c r="O348" s="511"/>
      <c r="P348" s="511"/>
      <c r="Q348" s="511"/>
      <c r="R348" s="511"/>
      <c r="S348" s="511"/>
      <c r="T348" s="511"/>
      <c r="U348" s="511"/>
      <c r="V348" s="511"/>
      <c r="W348" s="511"/>
      <c r="X348" s="511"/>
      <c r="Y348" s="511"/>
      <c r="Z348" s="511"/>
    </row>
    <row r="349" spans="1:26" ht="19.5" customHeight="1" x14ac:dyDescent="0.3">
      <c r="A349" s="511"/>
      <c r="B349" s="511"/>
      <c r="C349" s="511"/>
      <c r="D349" s="511"/>
      <c r="E349" s="511"/>
      <c r="F349" s="511"/>
      <c r="G349" s="511"/>
      <c r="H349" s="511"/>
      <c r="I349" s="511"/>
      <c r="J349" s="511"/>
      <c r="K349" s="511"/>
      <c r="L349" s="511"/>
      <c r="M349" s="511"/>
      <c r="N349" s="511"/>
      <c r="O349" s="511"/>
      <c r="P349" s="511"/>
      <c r="Q349" s="511"/>
      <c r="R349" s="511"/>
      <c r="S349" s="511"/>
      <c r="T349" s="511"/>
      <c r="U349" s="511"/>
      <c r="V349" s="511"/>
      <c r="W349" s="511"/>
      <c r="X349" s="511"/>
      <c r="Y349" s="511"/>
      <c r="Z349" s="511"/>
    </row>
    <row r="350" spans="1:26" ht="19.5" customHeight="1" x14ac:dyDescent="0.3">
      <c r="A350" s="511"/>
      <c r="B350" s="511"/>
      <c r="C350" s="511"/>
      <c r="D350" s="511"/>
      <c r="E350" s="511"/>
      <c r="F350" s="511"/>
      <c r="G350" s="511"/>
      <c r="H350" s="511"/>
      <c r="I350" s="511"/>
      <c r="J350" s="511"/>
      <c r="K350" s="511"/>
      <c r="L350" s="511"/>
      <c r="M350" s="511"/>
      <c r="N350" s="511"/>
      <c r="O350" s="511"/>
      <c r="P350" s="511"/>
      <c r="Q350" s="511"/>
      <c r="R350" s="511"/>
      <c r="S350" s="511"/>
      <c r="T350" s="511"/>
      <c r="U350" s="511"/>
      <c r="V350" s="511"/>
      <c r="W350" s="511"/>
      <c r="X350" s="511"/>
      <c r="Y350" s="511"/>
      <c r="Z350" s="511"/>
    </row>
    <row r="351" spans="1:26" ht="19.5" customHeight="1" x14ac:dyDescent="0.3">
      <c r="A351" s="511"/>
      <c r="B351" s="511"/>
      <c r="C351" s="511"/>
      <c r="D351" s="511"/>
      <c r="E351" s="511"/>
      <c r="F351" s="511"/>
      <c r="G351" s="511"/>
      <c r="H351" s="511"/>
      <c r="I351" s="511"/>
      <c r="J351" s="511"/>
      <c r="K351" s="511"/>
      <c r="L351" s="511"/>
      <c r="M351" s="511"/>
      <c r="N351" s="511"/>
      <c r="O351" s="511"/>
      <c r="P351" s="511"/>
      <c r="Q351" s="511"/>
      <c r="R351" s="511"/>
      <c r="S351" s="511"/>
      <c r="T351" s="511"/>
      <c r="U351" s="511"/>
      <c r="V351" s="511"/>
      <c r="W351" s="511"/>
      <c r="X351" s="511"/>
      <c r="Y351" s="511"/>
      <c r="Z351" s="511"/>
    </row>
    <row r="352" spans="1:26" ht="19.5" customHeight="1" x14ac:dyDescent="0.3">
      <c r="A352" s="511"/>
      <c r="B352" s="511"/>
      <c r="C352" s="511"/>
      <c r="D352" s="511"/>
      <c r="E352" s="511"/>
      <c r="F352" s="511"/>
      <c r="G352" s="511"/>
      <c r="H352" s="511"/>
      <c r="I352" s="511"/>
      <c r="J352" s="511"/>
      <c r="K352" s="511"/>
      <c r="L352" s="511"/>
      <c r="M352" s="511"/>
      <c r="N352" s="511"/>
      <c r="O352" s="511"/>
      <c r="P352" s="511"/>
      <c r="Q352" s="511"/>
      <c r="R352" s="511"/>
      <c r="S352" s="511"/>
      <c r="T352" s="511"/>
      <c r="U352" s="511"/>
      <c r="V352" s="511"/>
      <c r="W352" s="511"/>
      <c r="X352" s="511"/>
      <c r="Y352" s="511"/>
      <c r="Z352" s="511"/>
    </row>
    <row r="353" spans="1:26" ht="19.5" customHeight="1" x14ac:dyDescent="0.3">
      <c r="A353" s="511"/>
      <c r="B353" s="511"/>
      <c r="C353" s="511"/>
      <c r="D353" s="511"/>
      <c r="E353" s="511"/>
      <c r="F353" s="511"/>
      <c r="G353" s="511"/>
      <c r="H353" s="511"/>
      <c r="I353" s="511"/>
      <c r="J353" s="511"/>
      <c r="K353" s="511"/>
      <c r="L353" s="511"/>
      <c r="M353" s="511"/>
      <c r="N353" s="511"/>
      <c r="O353" s="511"/>
      <c r="P353" s="511"/>
      <c r="Q353" s="511"/>
      <c r="R353" s="511"/>
      <c r="S353" s="511"/>
      <c r="T353" s="511"/>
      <c r="U353" s="511"/>
      <c r="V353" s="511"/>
      <c r="W353" s="511"/>
      <c r="X353" s="511"/>
      <c r="Y353" s="511"/>
      <c r="Z353" s="511"/>
    </row>
    <row r="354" spans="1:26" ht="19.5" customHeight="1" x14ac:dyDescent="0.3">
      <c r="A354" s="511"/>
      <c r="B354" s="511"/>
      <c r="C354" s="511"/>
      <c r="D354" s="511"/>
      <c r="E354" s="511"/>
      <c r="F354" s="511"/>
      <c r="G354" s="511"/>
      <c r="H354" s="511"/>
      <c r="I354" s="511"/>
      <c r="J354" s="511"/>
      <c r="K354" s="511"/>
      <c r="L354" s="511"/>
      <c r="M354" s="511"/>
      <c r="N354" s="511"/>
      <c r="O354" s="511"/>
      <c r="P354" s="511"/>
      <c r="Q354" s="511"/>
      <c r="R354" s="511"/>
      <c r="S354" s="511"/>
      <c r="T354" s="511"/>
      <c r="U354" s="511"/>
      <c r="V354" s="511"/>
      <c r="W354" s="511"/>
      <c r="X354" s="511"/>
      <c r="Y354" s="511"/>
      <c r="Z354" s="511"/>
    </row>
    <row r="355" spans="1:26" ht="19.5" customHeight="1" x14ac:dyDescent="0.3">
      <c r="A355" s="511"/>
      <c r="B355" s="511"/>
      <c r="C355" s="511"/>
      <c r="D355" s="511"/>
      <c r="E355" s="511"/>
      <c r="F355" s="511"/>
      <c r="G355" s="511"/>
      <c r="H355" s="511"/>
      <c r="I355" s="511"/>
      <c r="J355" s="511"/>
      <c r="K355" s="511"/>
      <c r="L355" s="511"/>
      <c r="M355" s="511"/>
      <c r="N355" s="511"/>
      <c r="O355" s="511"/>
      <c r="P355" s="511"/>
      <c r="Q355" s="511"/>
      <c r="R355" s="511"/>
      <c r="S355" s="511"/>
      <c r="T355" s="511"/>
      <c r="U355" s="511"/>
      <c r="V355" s="511"/>
      <c r="W355" s="511"/>
      <c r="X355" s="511"/>
      <c r="Y355" s="511"/>
      <c r="Z355" s="511"/>
    </row>
    <row r="356" spans="1:26" ht="19.5" customHeight="1" x14ac:dyDescent="0.3">
      <c r="A356" s="511"/>
      <c r="B356" s="511"/>
      <c r="C356" s="511"/>
      <c r="D356" s="511"/>
      <c r="E356" s="511"/>
      <c r="F356" s="511"/>
      <c r="G356" s="511"/>
      <c r="H356" s="511"/>
      <c r="I356" s="511"/>
      <c r="J356" s="511"/>
      <c r="K356" s="511"/>
      <c r="L356" s="511"/>
      <c r="M356" s="511"/>
      <c r="N356" s="511"/>
      <c r="O356" s="511"/>
      <c r="P356" s="511"/>
      <c r="Q356" s="511"/>
      <c r="R356" s="511"/>
      <c r="S356" s="511"/>
      <c r="T356" s="511"/>
      <c r="U356" s="511"/>
      <c r="V356" s="511"/>
      <c r="W356" s="511"/>
      <c r="X356" s="511"/>
      <c r="Y356" s="511"/>
      <c r="Z356" s="511"/>
    </row>
    <row r="357" spans="1:26" ht="19.5" customHeight="1" x14ac:dyDescent="0.3">
      <c r="A357" s="511"/>
      <c r="B357" s="511"/>
      <c r="C357" s="511"/>
      <c r="D357" s="511"/>
      <c r="E357" s="511"/>
      <c r="F357" s="511"/>
      <c r="G357" s="511"/>
      <c r="H357" s="511"/>
      <c r="I357" s="511"/>
      <c r="J357" s="511"/>
      <c r="K357" s="511"/>
      <c r="L357" s="511"/>
      <c r="M357" s="511"/>
      <c r="N357" s="511"/>
      <c r="O357" s="511"/>
      <c r="P357" s="511"/>
      <c r="Q357" s="511"/>
      <c r="R357" s="511"/>
      <c r="S357" s="511"/>
      <c r="T357" s="511"/>
      <c r="U357" s="511"/>
      <c r="V357" s="511"/>
      <c r="W357" s="511"/>
      <c r="X357" s="511"/>
      <c r="Y357" s="511"/>
      <c r="Z357" s="511"/>
    </row>
    <row r="358" spans="1:26" ht="19.5" customHeight="1" x14ac:dyDescent="0.3">
      <c r="A358" s="511"/>
      <c r="B358" s="511"/>
      <c r="C358" s="511"/>
      <c r="D358" s="511"/>
      <c r="E358" s="511"/>
      <c r="F358" s="511"/>
      <c r="G358" s="511"/>
      <c r="H358" s="511"/>
      <c r="I358" s="511"/>
      <c r="J358" s="511"/>
      <c r="K358" s="511"/>
      <c r="L358" s="511"/>
      <c r="M358" s="511"/>
      <c r="N358" s="511"/>
      <c r="O358" s="511"/>
      <c r="P358" s="511"/>
      <c r="Q358" s="511"/>
      <c r="R358" s="511"/>
      <c r="S358" s="511"/>
      <c r="T358" s="511"/>
      <c r="U358" s="511"/>
      <c r="V358" s="511"/>
      <c r="W358" s="511"/>
      <c r="X358" s="511"/>
      <c r="Y358" s="511"/>
      <c r="Z358" s="511"/>
    </row>
    <row r="359" spans="1:26" ht="19.5" customHeight="1" x14ac:dyDescent="0.3">
      <c r="A359" s="511"/>
      <c r="B359" s="511"/>
      <c r="C359" s="511"/>
      <c r="D359" s="511"/>
      <c r="E359" s="511"/>
      <c r="F359" s="511"/>
      <c r="G359" s="511"/>
      <c r="H359" s="511"/>
      <c r="I359" s="511"/>
      <c r="J359" s="511"/>
      <c r="K359" s="511"/>
      <c r="L359" s="511"/>
      <c r="M359" s="511"/>
      <c r="N359" s="511"/>
      <c r="O359" s="511"/>
      <c r="P359" s="511"/>
      <c r="Q359" s="511"/>
      <c r="R359" s="511"/>
      <c r="S359" s="511"/>
      <c r="T359" s="511"/>
      <c r="U359" s="511"/>
      <c r="V359" s="511"/>
      <c r="W359" s="511"/>
      <c r="X359" s="511"/>
      <c r="Y359" s="511"/>
      <c r="Z359" s="511"/>
    </row>
    <row r="360" spans="1:26" ht="19.5" customHeight="1" x14ac:dyDescent="0.3">
      <c r="A360" s="511"/>
      <c r="B360" s="511"/>
      <c r="C360" s="511"/>
      <c r="D360" s="511"/>
      <c r="E360" s="511"/>
      <c r="F360" s="511"/>
      <c r="G360" s="511"/>
      <c r="H360" s="511"/>
      <c r="I360" s="511"/>
      <c r="J360" s="511"/>
      <c r="K360" s="511"/>
      <c r="L360" s="511"/>
      <c r="M360" s="511"/>
      <c r="N360" s="511"/>
      <c r="O360" s="511"/>
      <c r="P360" s="511"/>
      <c r="Q360" s="511"/>
      <c r="R360" s="511"/>
      <c r="S360" s="511"/>
      <c r="T360" s="511"/>
      <c r="U360" s="511"/>
      <c r="V360" s="511"/>
      <c r="W360" s="511"/>
      <c r="X360" s="511"/>
      <c r="Y360" s="511"/>
      <c r="Z360" s="511"/>
    </row>
    <row r="361" spans="1:26" ht="19.5" customHeight="1" x14ac:dyDescent="0.3">
      <c r="A361" s="511"/>
      <c r="B361" s="511"/>
      <c r="C361" s="511"/>
      <c r="D361" s="511"/>
      <c r="E361" s="511"/>
      <c r="F361" s="511"/>
      <c r="G361" s="511"/>
      <c r="H361" s="511"/>
      <c r="I361" s="511"/>
      <c r="J361" s="511"/>
      <c r="K361" s="511"/>
      <c r="L361" s="511"/>
      <c r="M361" s="511"/>
      <c r="N361" s="511"/>
      <c r="O361" s="511"/>
      <c r="P361" s="511"/>
      <c r="Q361" s="511"/>
      <c r="R361" s="511"/>
      <c r="S361" s="511"/>
      <c r="T361" s="511"/>
      <c r="U361" s="511"/>
      <c r="V361" s="511"/>
      <c r="W361" s="511"/>
      <c r="X361" s="511"/>
      <c r="Y361" s="511"/>
      <c r="Z361" s="511"/>
    </row>
    <row r="362" spans="1:26" ht="19.5" customHeight="1" x14ac:dyDescent="0.3">
      <c r="A362" s="511"/>
      <c r="B362" s="511"/>
      <c r="C362" s="511"/>
      <c r="D362" s="511"/>
      <c r="E362" s="511"/>
      <c r="F362" s="511"/>
      <c r="G362" s="511"/>
      <c r="H362" s="511"/>
      <c r="I362" s="511"/>
      <c r="J362" s="511"/>
      <c r="K362" s="511"/>
      <c r="L362" s="511"/>
      <c r="M362" s="511"/>
      <c r="N362" s="511"/>
      <c r="O362" s="511"/>
      <c r="P362" s="511"/>
      <c r="Q362" s="511"/>
      <c r="R362" s="511"/>
      <c r="S362" s="511"/>
      <c r="T362" s="511"/>
      <c r="U362" s="511"/>
      <c r="V362" s="511"/>
      <c r="W362" s="511"/>
      <c r="X362" s="511"/>
      <c r="Y362" s="511"/>
      <c r="Z362" s="511"/>
    </row>
    <row r="363" spans="1:26" ht="19.5" customHeight="1" x14ac:dyDescent="0.3">
      <c r="A363" s="511"/>
      <c r="B363" s="511"/>
      <c r="C363" s="511"/>
      <c r="D363" s="511"/>
      <c r="E363" s="511"/>
      <c r="F363" s="511"/>
      <c r="G363" s="511"/>
      <c r="H363" s="511"/>
      <c r="I363" s="511"/>
      <c r="J363" s="511"/>
      <c r="K363" s="511"/>
      <c r="L363" s="511"/>
      <c r="M363" s="511"/>
      <c r="N363" s="511"/>
      <c r="O363" s="511"/>
      <c r="P363" s="511"/>
      <c r="Q363" s="511"/>
      <c r="R363" s="511"/>
      <c r="S363" s="511"/>
      <c r="T363" s="511"/>
      <c r="U363" s="511"/>
      <c r="V363" s="511"/>
      <c r="W363" s="511"/>
      <c r="X363" s="511"/>
      <c r="Y363" s="511"/>
      <c r="Z363" s="511"/>
    </row>
    <row r="364" spans="1:26" ht="19.5" customHeight="1" x14ac:dyDescent="0.3">
      <c r="A364" s="511"/>
      <c r="B364" s="511"/>
      <c r="C364" s="511"/>
      <c r="D364" s="511"/>
      <c r="E364" s="511"/>
      <c r="F364" s="511"/>
      <c r="G364" s="511"/>
      <c r="H364" s="511"/>
      <c r="I364" s="511"/>
      <c r="J364" s="511"/>
      <c r="K364" s="511"/>
      <c r="L364" s="511"/>
      <c r="M364" s="511"/>
      <c r="N364" s="511"/>
      <c r="O364" s="511"/>
      <c r="P364" s="511"/>
      <c r="Q364" s="511"/>
      <c r="R364" s="511"/>
      <c r="S364" s="511"/>
      <c r="T364" s="511"/>
      <c r="U364" s="511"/>
      <c r="V364" s="511"/>
      <c r="W364" s="511"/>
      <c r="X364" s="511"/>
      <c r="Y364" s="511"/>
      <c r="Z364" s="511"/>
    </row>
    <row r="365" spans="1:26" ht="19.5" customHeight="1" x14ac:dyDescent="0.3">
      <c r="A365" s="511"/>
      <c r="B365" s="511"/>
      <c r="C365" s="511"/>
      <c r="D365" s="511"/>
      <c r="E365" s="511"/>
      <c r="F365" s="511"/>
      <c r="G365" s="511"/>
      <c r="H365" s="511"/>
      <c r="I365" s="511"/>
      <c r="J365" s="511"/>
      <c r="K365" s="511"/>
      <c r="L365" s="511"/>
      <c r="M365" s="511"/>
      <c r="N365" s="511"/>
      <c r="O365" s="511"/>
      <c r="P365" s="511"/>
      <c r="Q365" s="511"/>
      <c r="R365" s="511"/>
      <c r="S365" s="511"/>
      <c r="T365" s="511"/>
      <c r="U365" s="511"/>
      <c r="V365" s="511"/>
      <c r="W365" s="511"/>
      <c r="X365" s="511"/>
      <c r="Y365" s="511"/>
      <c r="Z365" s="511"/>
    </row>
    <row r="366" spans="1:26" ht="19.5" customHeight="1" x14ac:dyDescent="0.3">
      <c r="A366" s="511"/>
      <c r="B366" s="511"/>
      <c r="C366" s="511"/>
      <c r="D366" s="511"/>
      <c r="E366" s="511"/>
      <c r="F366" s="511"/>
      <c r="G366" s="511"/>
      <c r="H366" s="511"/>
      <c r="I366" s="511"/>
      <c r="J366" s="511"/>
      <c r="K366" s="511"/>
      <c r="L366" s="511"/>
      <c r="M366" s="511"/>
      <c r="N366" s="511"/>
      <c r="O366" s="511"/>
      <c r="P366" s="511"/>
      <c r="Q366" s="511"/>
      <c r="R366" s="511"/>
      <c r="S366" s="511"/>
      <c r="T366" s="511"/>
      <c r="U366" s="511"/>
      <c r="V366" s="511"/>
      <c r="W366" s="511"/>
      <c r="X366" s="511"/>
      <c r="Y366" s="511"/>
      <c r="Z366" s="511"/>
    </row>
    <row r="367" spans="1:26" ht="19.5" customHeight="1" x14ac:dyDescent="0.3">
      <c r="A367" s="511"/>
      <c r="B367" s="511"/>
      <c r="C367" s="511"/>
      <c r="D367" s="511"/>
      <c r="E367" s="511"/>
      <c r="F367" s="511"/>
      <c r="G367" s="511"/>
      <c r="H367" s="511"/>
      <c r="I367" s="511"/>
      <c r="J367" s="511"/>
      <c r="K367" s="511"/>
      <c r="L367" s="511"/>
      <c r="M367" s="511"/>
      <c r="N367" s="511"/>
      <c r="O367" s="511"/>
      <c r="P367" s="511"/>
      <c r="Q367" s="511"/>
      <c r="R367" s="511"/>
      <c r="S367" s="511"/>
      <c r="T367" s="511"/>
      <c r="U367" s="511"/>
      <c r="V367" s="511"/>
      <c r="W367" s="511"/>
      <c r="X367" s="511"/>
      <c r="Y367" s="511"/>
      <c r="Z367" s="511"/>
    </row>
    <row r="368" spans="1:26" ht="19.5" customHeight="1" x14ac:dyDescent="0.3">
      <c r="A368" s="511"/>
      <c r="B368" s="511"/>
      <c r="C368" s="511"/>
      <c r="D368" s="511"/>
      <c r="E368" s="511"/>
      <c r="F368" s="511"/>
      <c r="G368" s="511"/>
      <c r="H368" s="511"/>
      <c r="I368" s="511"/>
      <c r="J368" s="511"/>
      <c r="K368" s="511"/>
      <c r="L368" s="511"/>
      <c r="M368" s="511"/>
      <c r="N368" s="511"/>
      <c r="O368" s="511"/>
      <c r="P368" s="511"/>
      <c r="Q368" s="511"/>
      <c r="R368" s="511"/>
      <c r="S368" s="511"/>
      <c r="T368" s="511"/>
      <c r="U368" s="511"/>
      <c r="V368" s="511"/>
      <c r="W368" s="511"/>
      <c r="X368" s="511"/>
      <c r="Y368" s="511"/>
      <c r="Z368" s="511"/>
    </row>
    <row r="369" spans="1:26" ht="19.5" customHeight="1" x14ac:dyDescent="0.3">
      <c r="A369" s="511"/>
      <c r="B369" s="511"/>
      <c r="C369" s="511"/>
      <c r="D369" s="511"/>
      <c r="E369" s="511"/>
      <c r="F369" s="511"/>
      <c r="G369" s="511"/>
      <c r="H369" s="511"/>
      <c r="I369" s="511"/>
      <c r="J369" s="511"/>
      <c r="K369" s="511"/>
      <c r="L369" s="511"/>
      <c r="M369" s="511"/>
      <c r="N369" s="511"/>
      <c r="O369" s="511"/>
      <c r="P369" s="511"/>
      <c r="Q369" s="511"/>
      <c r="R369" s="511"/>
      <c r="S369" s="511"/>
      <c r="T369" s="511"/>
      <c r="U369" s="511"/>
      <c r="V369" s="511"/>
      <c r="W369" s="511"/>
      <c r="X369" s="511"/>
      <c r="Y369" s="511"/>
      <c r="Z369" s="511"/>
    </row>
    <row r="370" spans="1:26" ht="19.5" customHeight="1" x14ac:dyDescent="0.3">
      <c r="A370" s="511"/>
      <c r="B370" s="511"/>
      <c r="C370" s="511"/>
      <c r="D370" s="511"/>
      <c r="E370" s="511"/>
      <c r="F370" s="511"/>
      <c r="G370" s="511"/>
      <c r="H370" s="511"/>
      <c r="I370" s="511"/>
      <c r="J370" s="511"/>
      <c r="K370" s="511"/>
      <c r="L370" s="511"/>
      <c r="M370" s="511"/>
      <c r="N370" s="511"/>
      <c r="O370" s="511"/>
      <c r="P370" s="511"/>
      <c r="Q370" s="511"/>
      <c r="R370" s="511"/>
      <c r="S370" s="511"/>
      <c r="T370" s="511"/>
      <c r="U370" s="511"/>
      <c r="V370" s="511"/>
      <c r="W370" s="511"/>
      <c r="X370" s="511"/>
      <c r="Y370" s="511"/>
      <c r="Z370" s="511"/>
    </row>
    <row r="371" spans="1:26" ht="19.5" customHeight="1" x14ac:dyDescent="0.3">
      <c r="A371" s="511"/>
      <c r="B371" s="511"/>
      <c r="C371" s="511"/>
      <c r="D371" s="511"/>
      <c r="E371" s="511"/>
      <c r="F371" s="511"/>
      <c r="G371" s="511"/>
      <c r="H371" s="511"/>
      <c r="I371" s="511"/>
      <c r="J371" s="511"/>
      <c r="K371" s="511"/>
      <c r="L371" s="511"/>
      <c r="M371" s="511"/>
      <c r="N371" s="511"/>
      <c r="O371" s="511"/>
      <c r="P371" s="511"/>
      <c r="Q371" s="511"/>
      <c r="R371" s="511"/>
      <c r="S371" s="511"/>
      <c r="T371" s="511"/>
      <c r="U371" s="511"/>
      <c r="V371" s="511"/>
      <c r="W371" s="511"/>
      <c r="X371" s="511"/>
      <c r="Y371" s="511"/>
      <c r="Z371" s="511"/>
    </row>
    <row r="372" spans="1:26" ht="19.5" customHeight="1" x14ac:dyDescent="0.3">
      <c r="A372" s="511"/>
      <c r="B372" s="511"/>
      <c r="C372" s="511"/>
      <c r="D372" s="511"/>
      <c r="E372" s="511"/>
      <c r="F372" s="511"/>
      <c r="G372" s="511"/>
      <c r="H372" s="511"/>
      <c r="I372" s="511"/>
      <c r="J372" s="511"/>
      <c r="K372" s="511"/>
      <c r="L372" s="511"/>
      <c r="M372" s="511"/>
      <c r="N372" s="511"/>
      <c r="O372" s="511"/>
      <c r="P372" s="511"/>
      <c r="Q372" s="511"/>
      <c r="R372" s="511"/>
      <c r="S372" s="511"/>
      <c r="T372" s="511"/>
      <c r="U372" s="511"/>
      <c r="V372" s="511"/>
      <c r="W372" s="511"/>
      <c r="X372" s="511"/>
      <c r="Y372" s="511"/>
      <c r="Z372" s="511"/>
    </row>
    <row r="373" spans="1:26" ht="19.5" customHeight="1" x14ac:dyDescent="0.3">
      <c r="A373" s="511"/>
      <c r="B373" s="511"/>
      <c r="C373" s="511"/>
      <c r="D373" s="511"/>
      <c r="E373" s="511"/>
      <c r="F373" s="511"/>
      <c r="G373" s="511"/>
      <c r="H373" s="511"/>
      <c r="I373" s="511"/>
      <c r="J373" s="511"/>
      <c r="K373" s="511"/>
      <c r="L373" s="511"/>
      <c r="M373" s="511"/>
      <c r="N373" s="511"/>
      <c r="O373" s="511"/>
      <c r="P373" s="511"/>
      <c r="Q373" s="511"/>
      <c r="R373" s="511"/>
      <c r="S373" s="511"/>
      <c r="T373" s="511"/>
      <c r="U373" s="511"/>
      <c r="V373" s="511"/>
      <c r="W373" s="511"/>
      <c r="X373" s="511"/>
      <c r="Y373" s="511"/>
      <c r="Z373" s="511"/>
    </row>
    <row r="374" spans="1:26" ht="19.5" customHeight="1" x14ac:dyDescent="0.3">
      <c r="A374" s="511"/>
      <c r="B374" s="511"/>
      <c r="C374" s="511"/>
      <c r="D374" s="511"/>
      <c r="E374" s="511"/>
      <c r="F374" s="511"/>
      <c r="G374" s="511"/>
      <c r="H374" s="511"/>
      <c r="I374" s="511"/>
      <c r="J374" s="511"/>
      <c r="K374" s="511"/>
      <c r="L374" s="511"/>
      <c r="M374" s="511"/>
      <c r="N374" s="511"/>
      <c r="O374" s="511"/>
      <c r="P374" s="511"/>
      <c r="Q374" s="511"/>
      <c r="R374" s="511"/>
      <c r="S374" s="511"/>
      <c r="T374" s="511"/>
      <c r="U374" s="511"/>
      <c r="V374" s="511"/>
      <c r="W374" s="511"/>
      <c r="X374" s="511"/>
      <c r="Y374" s="511"/>
      <c r="Z374" s="511"/>
    </row>
    <row r="375" spans="1:26" ht="19.5" customHeight="1" x14ac:dyDescent="0.3">
      <c r="A375" s="511"/>
      <c r="B375" s="511"/>
      <c r="C375" s="511"/>
      <c r="D375" s="511"/>
      <c r="E375" s="511"/>
      <c r="F375" s="511"/>
      <c r="G375" s="511"/>
      <c r="H375" s="511"/>
      <c r="I375" s="511"/>
      <c r="J375" s="511"/>
      <c r="K375" s="511"/>
      <c r="L375" s="511"/>
      <c r="M375" s="511"/>
      <c r="N375" s="511"/>
      <c r="O375" s="511"/>
      <c r="P375" s="511"/>
      <c r="Q375" s="511"/>
      <c r="R375" s="511"/>
      <c r="S375" s="511"/>
      <c r="T375" s="511"/>
      <c r="U375" s="511"/>
      <c r="V375" s="511"/>
      <c r="W375" s="511"/>
      <c r="X375" s="511"/>
      <c r="Y375" s="511"/>
      <c r="Z375" s="511"/>
    </row>
    <row r="376" spans="1:26" ht="19.5" customHeight="1" x14ac:dyDescent="0.3">
      <c r="A376" s="511"/>
      <c r="B376" s="511"/>
      <c r="C376" s="511"/>
      <c r="D376" s="511"/>
      <c r="E376" s="511"/>
      <c r="F376" s="511"/>
      <c r="G376" s="511"/>
      <c r="H376" s="511"/>
      <c r="I376" s="511"/>
      <c r="J376" s="511"/>
      <c r="K376" s="511"/>
      <c r="L376" s="511"/>
      <c r="M376" s="511"/>
      <c r="N376" s="511"/>
      <c r="O376" s="511"/>
      <c r="P376" s="511"/>
      <c r="Q376" s="511"/>
      <c r="R376" s="511"/>
      <c r="S376" s="511"/>
      <c r="T376" s="511"/>
      <c r="U376" s="511"/>
      <c r="V376" s="511"/>
      <c r="W376" s="511"/>
      <c r="X376" s="511"/>
      <c r="Y376" s="511"/>
      <c r="Z376" s="511"/>
    </row>
    <row r="377" spans="1:26" ht="19.5" customHeight="1" x14ac:dyDescent="0.3">
      <c r="A377" s="511"/>
      <c r="B377" s="511"/>
      <c r="C377" s="511"/>
      <c r="D377" s="511"/>
      <c r="E377" s="511"/>
      <c r="F377" s="511"/>
      <c r="G377" s="511"/>
      <c r="H377" s="511"/>
      <c r="I377" s="511"/>
      <c r="J377" s="511"/>
      <c r="K377" s="511"/>
      <c r="L377" s="511"/>
      <c r="M377" s="511"/>
      <c r="N377" s="511"/>
      <c r="O377" s="511"/>
      <c r="P377" s="511"/>
      <c r="Q377" s="511"/>
      <c r="R377" s="511"/>
      <c r="S377" s="511"/>
      <c r="T377" s="511"/>
      <c r="U377" s="511"/>
      <c r="V377" s="511"/>
      <c r="W377" s="511"/>
      <c r="X377" s="511"/>
      <c r="Y377" s="511"/>
      <c r="Z377" s="511"/>
    </row>
    <row r="378" spans="1:26" ht="19.5" customHeight="1" x14ac:dyDescent="0.3">
      <c r="A378" s="511"/>
      <c r="B378" s="511"/>
      <c r="C378" s="511"/>
      <c r="D378" s="511"/>
      <c r="E378" s="511"/>
      <c r="F378" s="511"/>
      <c r="G378" s="511"/>
      <c r="H378" s="511"/>
      <c r="I378" s="511"/>
      <c r="J378" s="511"/>
      <c r="K378" s="511"/>
      <c r="L378" s="511"/>
      <c r="M378" s="511"/>
      <c r="N378" s="511"/>
      <c r="O378" s="511"/>
      <c r="P378" s="511"/>
      <c r="Q378" s="511"/>
      <c r="R378" s="511"/>
      <c r="S378" s="511"/>
      <c r="T378" s="511"/>
      <c r="U378" s="511"/>
      <c r="V378" s="511"/>
      <c r="W378" s="511"/>
      <c r="X378" s="511"/>
      <c r="Y378" s="511"/>
      <c r="Z378" s="511"/>
    </row>
    <row r="379" spans="1:26" ht="19.5" customHeight="1" x14ac:dyDescent="0.3">
      <c r="A379" s="511"/>
      <c r="B379" s="511"/>
      <c r="C379" s="511"/>
      <c r="D379" s="511"/>
      <c r="E379" s="511"/>
      <c r="F379" s="511"/>
      <c r="G379" s="511"/>
      <c r="H379" s="511"/>
      <c r="I379" s="511"/>
      <c r="J379" s="511"/>
      <c r="K379" s="511"/>
      <c r="L379" s="511"/>
      <c r="M379" s="511"/>
      <c r="N379" s="511"/>
      <c r="O379" s="511"/>
      <c r="P379" s="511"/>
      <c r="Q379" s="511"/>
      <c r="R379" s="511"/>
      <c r="S379" s="511"/>
      <c r="T379" s="511"/>
      <c r="U379" s="511"/>
      <c r="V379" s="511"/>
      <c r="W379" s="511"/>
      <c r="X379" s="511"/>
      <c r="Y379" s="511"/>
      <c r="Z379" s="511"/>
    </row>
    <row r="380" spans="1:26" ht="19.5" customHeight="1" x14ac:dyDescent="0.3">
      <c r="A380" s="511"/>
      <c r="B380" s="511"/>
      <c r="C380" s="511"/>
      <c r="D380" s="511"/>
      <c r="E380" s="511"/>
      <c r="F380" s="511"/>
      <c r="G380" s="511"/>
      <c r="H380" s="511"/>
      <c r="I380" s="511"/>
      <c r="J380" s="511"/>
      <c r="K380" s="511"/>
      <c r="L380" s="511"/>
      <c r="M380" s="511"/>
      <c r="N380" s="511"/>
      <c r="O380" s="511"/>
      <c r="P380" s="511"/>
      <c r="Q380" s="511"/>
      <c r="R380" s="511"/>
      <c r="S380" s="511"/>
      <c r="T380" s="511"/>
      <c r="U380" s="511"/>
      <c r="V380" s="511"/>
      <c r="W380" s="511"/>
      <c r="X380" s="511"/>
      <c r="Y380" s="511"/>
      <c r="Z380" s="511"/>
    </row>
    <row r="381" spans="1:26" ht="19.5" customHeight="1" x14ac:dyDescent="0.3">
      <c r="A381" s="511"/>
      <c r="B381" s="511"/>
      <c r="C381" s="511"/>
      <c r="D381" s="511"/>
      <c r="E381" s="511"/>
      <c r="F381" s="511"/>
      <c r="G381" s="511"/>
      <c r="H381" s="511"/>
      <c r="I381" s="511"/>
      <c r="J381" s="511"/>
      <c r="K381" s="511"/>
      <c r="L381" s="511"/>
      <c r="M381" s="511"/>
      <c r="N381" s="511"/>
      <c r="O381" s="511"/>
      <c r="P381" s="511"/>
      <c r="Q381" s="511"/>
      <c r="R381" s="511"/>
      <c r="S381" s="511"/>
      <c r="T381" s="511"/>
      <c r="U381" s="511"/>
      <c r="V381" s="511"/>
      <c r="W381" s="511"/>
      <c r="X381" s="511"/>
      <c r="Y381" s="511"/>
      <c r="Z381" s="511"/>
    </row>
    <row r="382" spans="1:26" ht="19.5" customHeight="1" x14ac:dyDescent="0.3">
      <c r="A382" s="511"/>
      <c r="B382" s="511"/>
      <c r="C382" s="511"/>
      <c r="D382" s="511"/>
      <c r="E382" s="511"/>
      <c r="F382" s="511"/>
      <c r="G382" s="511"/>
      <c r="H382" s="511"/>
      <c r="I382" s="511"/>
      <c r="J382" s="511"/>
      <c r="K382" s="511"/>
      <c r="L382" s="511"/>
      <c r="M382" s="511"/>
      <c r="N382" s="511"/>
      <c r="O382" s="511"/>
      <c r="P382" s="511"/>
      <c r="Q382" s="511"/>
      <c r="R382" s="511"/>
      <c r="S382" s="511"/>
      <c r="T382" s="511"/>
      <c r="U382" s="511"/>
      <c r="V382" s="511"/>
      <c r="W382" s="511"/>
      <c r="X382" s="511"/>
      <c r="Y382" s="511"/>
      <c r="Z382" s="511"/>
    </row>
    <row r="383" spans="1:26" ht="19.5" customHeight="1" x14ac:dyDescent="0.3">
      <c r="A383" s="511"/>
      <c r="B383" s="511"/>
      <c r="C383" s="511"/>
      <c r="D383" s="511"/>
      <c r="E383" s="511"/>
      <c r="F383" s="511"/>
      <c r="G383" s="511"/>
      <c r="H383" s="511"/>
      <c r="I383" s="511"/>
      <c r="J383" s="511"/>
      <c r="K383" s="511"/>
      <c r="L383" s="511"/>
      <c r="M383" s="511"/>
      <c r="N383" s="511"/>
      <c r="O383" s="511"/>
      <c r="P383" s="511"/>
      <c r="Q383" s="511"/>
      <c r="R383" s="511"/>
      <c r="S383" s="511"/>
      <c r="T383" s="511"/>
      <c r="U383" s="511"/>
      <c r="V383" s="511"/>
      <c r="W383" s="511"/>
      <c r="X383" s="511"/>
      <c r="Y383" s="511"/>
      <c r="Z383" s="511"/>
    </row>
    <row r="384" spans="1:26" ht="19.5" customHeight="1" x14ac:dyDescent="0.3">
      <c r="A384" s="511"/>
      <c r="B384" s="511"/>
      <c r="C384" s="511"/>
      <c r="D384" s="511"/>
      <c r="E384" s="511"/>
      <c r="F384" s="511"/>
      <c r="G384" s="511"/>
      <c r="H384" s="511"/>
      <c r="I384" s="511"/>
      <c r="J384" s="511"/>
      <c r="K384" s="511"/>
      <c r="L384" s="511"/>
      <c r="M384" s="511"/>
      <c r="N384" s="511"/>
      <c r="O384" s="511"/>
      <c r="P384" s="511"/>
      <c r="Q384" s="511"/>
      <c r="R384" s="511"/>
      <c r="S384" s="511"/>
      <c r="T384" s="511"/>
      <c r="U384" s="511"/>
      <c r="V384" s="511"/>
      <c r="W384" s="511"/>
      <c r="X384" s="511"/>
      <c r="Y384" s="511"/>
      <c r="Z384" s="511"/>
    </row>
    <row r="385" spans="1:26" ht="19.5" customHeight="1" x14ac:dyDescent="0.3">
      <c r="A385" s="511"/>
      <c r="B385" s="511"/>
      <c r="C385" s="511"/>
      <c r="D385" s="511"/>
      <c r="E385" s="511"/>
      <c r="F385" s="511"/>
      <c r="G385" s="511"/>
      <c r="H385" s="511"/>
      <c r="I385" s="511"/>
      <c r="J385" s="511"/>
      <c r="K385" s="511"/>
      <c r="L385" s="511"/>
      <c r="M385" s="511"/>
      <c r="N385" s="511"/>
      <c r="O385" s="511"/>
      <c r="P385" s="511"/>
      <c r="Q385" s="511"/>
      <c r="R385" s="511"/>
      <c r="S385" s="511"/>
      <c r="T385" s="511"/>
      <c r="U385" s="511"/>
      <c r="V385" s="511"/>
      <c r="W385" s="511"/>
      <c r="X385" s="511"/>
      <c r="Y385" s="511"/>
      <c r="Z385" s="511"/>
    </row>
    <row r="386" spans="1:26" ht="19.5" customHeight="1" x14ac:dyDescent="0.3">
      <c r="A386" s="511"/>
      <c r="B386" s="511"/>
      <c r="C386" s="511"/>
      <c r="D386" s="511"/>
      <c r="E386" s="511"/>
      <c r="F386" s="511"/>
      <c r="G386" s="511"/>
      <c r="H386" s="511"/>
      <c r="I386" s="511"/>
      <c r="J386" s="511"/>
      <c r="K386" s="511"/>
      <c r="L386" s="511"/>
      <c r="M386" s="511"/>
      <c r="N386" s="511"/>
      <c r="O386" s="511"/>
      <c r="P386" s="511"/>
      <c r="Q386" s="511"/>
      <c r="R386" s="511"/>
      <c r="S386" s="511"/>
      <c r="T386" s="511"/>
      <c r="U386" s="511"/>
      <c r="V386" s="511"/>
      <c r="W386" s="511"/>
      <c r="X386" s="511"/>
      <c r="Y386" s="511"/>
      <c r="Z386" s="511"/>
    </row>
    <row r="387" spans="1:26" ht="19.5" customHeight="1" x14ac:dyDescent="0.3">
      <c r="A387" s="511"/>
      <c r="B387" s="511"/>
      <c r="C387" s="511"/>
      <c r="D387" s="511"/>
      <c r="E387" s="511"/>
      <c r="F387" s="511"/>
      <c r="G387" s="511"/>
      <c r="H387" s="511"/>
      <c r="I387" s="511"/>
      <c r="J387" s="511"/>
      <c r="K387" s="511"/>
      <c r="L387" s="511"/>
      <c r="M387" s="511"/>
      <c r="N387" s="511"/>
      <c r="O387" s="511"/>
      <c r="P387" s="511"/>
      <c r="Q387" s="511"/>
      <c r="R387" s="511"/>
      <c r="S387" s="511"/>
      <c r="T387" s="511"/>
      <c r="U387" s="511"/>
      <c r="V387" s="511"/>
      <c r="W387" s="511"/>
      <c r="X387" s="511"/>
      <c r="Y387" s="511"/>
      <c r="Z387" s="511"/>
    </row>
    <row r="388" spans="1:26" ht="19.5" customHeight="1" x14ac:dyDescent="0.3">
      <c r="A388" s="511"/>
      <c r="B388" s="511"/>
      <c r="C388" s="511"/>
      <c r="D388" s="511"/>
      <c r="E388" s="511"/>
      <c r="F388" s="511"/>
      <c r="G388" s="511"/>
      <c r="H388" s="511"/>
      <c r="I388" s="511"/>
      <c r="J388" s="511"/>
      <c r="K388" s="511"/>
      <c r="L388" s="511"/>
      <c r="M388" s="511"/>
      <c r="N388" s="511"/>
      <c r="O388" s="511"/>
      <c r="P388" s="511"/>
      <c r="Q388" s="511"/>
      <c r="R388" s="511"/>
      <c r="S388" s="511"/>
      <c r="T388" s="511"/>
      <c r="U388" s="511"/>
      <c r="V388" s="511"/>
      <c r="W388" s="511"/>
      <c r="X388" s="511"/>
      <c r="Y388" s="511"/>
      <c r="Z388" s="511"/>
    </row>
    <row r="389" spans="1:26" ht="19.5" customHeight="1" x14ac:dyDescent="0.3">
      <c r="A389" s="511"/>
      <c r="B389" s="511"/>
      <c r="C389" s="511"/>
      <c r="D389" s="511"/>
      <c r="E389" s="511"/>
      <c r="F389" s="511"/>
      <c r="G389" s="511"/>
      <c r="H389" s="511"/>
      <c r="I389" s="511"/>
      <c r="J389" s="511"/>
      <c r="K389" s="511"/>
      <c r="L389" s="511"/>
      <c r="M389" s="511"/>
      <c r="N389" s="511"/>
      <c r="O389" s="511"/>
      <c r="P389" s="511"/>
      <c r="Q389" s="511"/>
      <c r="R389" s="511"/>
      <c r="S389" s="511"/>
      <c r="T389" s="511"/>
      <c r="U389" s="511"/>
      <c r="V389" s="511"/>
      <c r="W389" s="511"/>
      <c r="X389" s="511"/>
      <c r="Y389" s="511"/>
      <c r="Z389" s="511"/>
    </row>
    <row r="390" spans="1:26" ht="19.5" customHeight="1" x14ac:dyDescent="0.3">
      <c r="A390" s="511"/>
      <c r="B390" s="511"/>
      <c r="C390" s="511"/>
      <c r="D390" s="511"/>
      <c r="E390" s="511"/>
      <c r="F390" s="511"/>
      <c r="G390" s="511"/>
      <c r="H390" s="511"/>
      <c r="I390" s="511"/>
      <c r="J390" s="511"/>
      <c r="K390" s="511"/>
      <c r="L390" s="511"/>
      <c r="M390" s="511"/>
      <c r="N390" s="511"/>
      <c r="O390" s="511"/>
      <c r="P390" s="511"/>
      <c r="Q390" s="511"/>
      <c r="R390" s="511"/>
      <c r="S390" s="511"/>
      <c r="T390" s="511"/>
      <c r="U390" s="511"/>
      <c r="V390" s="511"/>
      <c r="W390" s="511"/>
      <c r="X390" s="511"/>
      <c r="Y390" s="511"/>
      <c r="Z390" s="511"/>
    </row>
    <row r="391" spans="1:26" ht="19.5" customHeight="1" x14ac:dyDescent="0.3">
      <c r="A391" s="511"/>
      <c r="B391" s="511"/>
      <c r="C391" s="511"/>
      <c r="D391" s="511"/>
      <c r="E391" s="511"/>
      <c r="F391" s="511"/>
      <c r="G391" s="511"/>
      <c r="H391" s="511"/>
      <c r="I391" s="511"/>
      <c r="J391" s="511"/>
      <c r="K391" s="511"/>
      <c r="L391" s="511"/>
      <c r="M391" s="511"/>
      <c r="N391" s="511"/>
      <c r="O391" s="511"/>
      <c r="P391" s="511"/>
      <c r="Q391" s="511"/>
      <c r="R391" s="511"/>
      <c r="S391" s="511"/>
      <c r="T391" s="511"/>
      <c r="U391" s="511"/>
      <c r="V391" s="511"/>
      <c r="W391" s="511"/>
      <c r="X391" s="511"/>
      <c r="Y391" s="511"/>
      <c r="Z391" s="511"/>
    </row>
    <row r="392" spans="1:26" ht="19.5" customHeight="1" x14ac:dyDescent="0.3">
      <c r="A392" s="511"/>
      <c r="B392" s="511"/>
      <c r="C392" s="511"/>
      <c r="D392" s="511"/>
      <c r="E392" s="511"/>
      <c r="F392" s="511"/>
      <c r="G392" s="511"/>
      <c r="H392" s="511"/>
      <c r="I392" s="511"/>
      <c r="J392" s="511"/>
      <c r="K392" s="511"/>
      <c r="L392" s="511"/>
      <c r="M392" s="511"/>
      <c r="N392" s="511"/>
      <c r="O392" s="511"/>
      <c r="P392" s="511"/>
      <c r="Q392" s="511"/>
      <c r="R392" s="511"/>
      <c r="S392" s="511"/>
      <c r="T392" s="511"/>
      <c r="U392" s="511"/>
      <c r="V392" s="511"/>
      <c r="W392" s="511"/>
      <c r="X392" s="511"/>
      <c r="Y392" s="511"/>
      <c r="Z392" s="511"/>
    </row>
    <row r="393" spans="1:26" ht="19.5" customHeight="1" x14ac:dyDescent="0.3">
      <c r="A393" s="511"/>
      <c r="B393" s="511"/>
      <c r="C393" s="511"/>
      <c r="D393" s="511"/>
      <c r="E393" s="511"/>
      <c r="F393" s="511"/>
      <c r="G393" s="511"/>
      <c r="H393" s="511"/>
      <c r="I393" s="511"/>
      <c r="J393" s="511"/>
      <c r="K393" s="511"/>
      <c r="L393" s="511"/>
      <c r="M393" s="511"/>
      <c r="N393" s="511"/>
      <c r="O393" s="511"/>
      <c r="P393" s="511"/>
      <c r="Q393" s="511"/>
      <c r="R393" s="511"/>
      <c r="S393" s="511"/>
      <c r="T393" s="511"/>
      <c r="U393" s="511"/>
      <c r="V393" s="511"/>
      <c r="W393" s="511"/>
      <c r="X393" s="511"/>
      <c r="Y393" s="511"/>
      <c r="Z393" s="511"/>
    </row>
    <row r="394" spans="1:26" ht="19.5" customHeight="1" x14ac:dyDescent="0.3">
      <c r="A394" s="511"/>
      <c r="B394" s="511"/>
      <c r="C394" s="511"/>
      <c r="D394" s="511"/>
      <c r="E394" s="511"/>
      <c r="F394" s="511"/>
      <c r="G394" s="511"/>
      <c r="H394" s="511"/>
      <c r="I394" s="511"/>
      <c r="J394" s="511"/>
      <c r="K394" s="511"/>
      <c r="L394" s="511"/>
      <c r="M394" s="511"/>
      <c r="N394" s="511"/>
      <c r="O394" s="511"/>
      <c r="P394" s="511"/>
      <c r="Q394" s="511"/>
      <c r="R394" s="511"/>
      <c r="S394" s="511"/>
      <c r="T394" s="511"/>
      <c r="U394" s="511"/>
      <c r="V394" s="511"/>
      <c r="W394" s="511"/>
      <c r="X394" s="511"/>
      <c r="Y394" s="511"/>
      <c r="Z394" s="511"/>
    </row>
    <row r="395" spans="1:26" ht="19.5" customHeight="1" x14ac:dyDescent="0.3">
      <c r="A395" s="511"/>
      <c r="B395" s="511"/>
      <c r="C395" s="511"/>
      <c r="D395" s="511"/>
      <c r="E395" s="511"/>
      <c r="F395" s="511"/>
      <c r="G395" s="511"/>
      <c r="H395" s="511"/>
      <c r="I395" s="511"/>
      <c r="J395" s="511"/>
      <c r="K395" s="511"/>
      <c r="L395" s="511"/>
      <c r="M395" s="511"/>
      <c r="N395" s="511"/>
      <c r="O395" s="511"/>
      <c r="P395" s="511"/>
      <c r="Q395" s="511"/>
      <c r="R395" s="511"/>
      <c r="S395" s="511"/>
      <c r="T395" s="511"/>
      <c r="U395" s="511"/>
      <c r="V395" s="511"/>
      <c r="W395" s="511"/>
      <c r="X395" s="511"/>
      <c r="Y395" s="511"/>
      <c r="Z395" s="511"/>
    </row>
    <row r="396" spans="1:26" ht="19.5" customHeight="1" x14ac:dyDescent="0.3">
      <c r="A396" s="511"/>
      <c r="B396" s="511"/>
      <c r="C396" s="511"/>
      <c r="D396" s="511"/>
      <c r="E396" s="511"/>
      <c r="F396" s="511"/>
      <c r="G396" s="511"/>
      <c r="H396" s="511"/>
      <c r="I396" s="511"/>
      <c r="J396" s="511"/>
      <c r="K396" s="511"/>
      <c r="L396" s="511"/>
      <c r="M396" s="511"/>
      <c r="N396" s="511"/>
      <c r="O396" s="511"/>
      <c r="P396" s="511"/>
      <c r="Q396" s="511"/>
      <c r="R396" s="511"/>
      <c r="S396" s="511"/>
      <c r="T396" s="511"/>
      <c r="U396" s="511"/>
      <c r="V396" s="511"/>
      <c r="W396" s="511"/>
      <c r="X396" s="511"/>
      <c r="Y396" s="511"/>
      <c r="Z396" s="511"/>
    </row>
    <row r="397" spans="1:26" ht="19.5" customHeight="1" x14ac:dyDescent="0.3">
      <c r="A397" s="511"/>
      <c r="B397" s="511"/>
      <c r="C397" s="511"/>
      <c r="D397" s="511"/>
      <c r="E397" s="511"/>
      <c r="F397" s="511"/>
      <c r="G397" s="511"/>
      <c r="H397" s="511"/>
      <c r="I397" s="511"/>
      <c r="J397" s="511"/>
      <c r="K397" s="511"/>
      <c r="L397" s="511"/>
      <c r="M397" s="511"/>
      <c r="N397" s="511"/>
      <c r="O397" s="511"/>
      <c r="P397" s="511"/>
      <c r="Q397" s="511"/>
      <c r="R397" s="511"/>
      <c r="S397" s="511"/>
      <c r="T397" s="511"/>
      <c r="U397" s="511"/>
      <c r="V397" s="511"/>
      <c r="W397" s="511"/>
      <c r="X397" s="511"/>
      <c r="Y397" s="511"/>
      <c r="Z397" s="511"/>
    </row>
    <row r="398" spans="1:26" ht="19.5" customHeight="1" x14ac:dyDescent="0.3">
      <c r="A398" s="511"/>
      <c r="B398" s="511"/>
      <c r="C398" s="511"/>
      <c r="D398" s="511"/>
      <c r="E398" s="511"/>
      <c r="F398" s="511"/>
      <c r="G398" s="511"/>
      <c r="H398" s="511"/>
      <c r="I398" s="511"/>
      <c r="J398" s="511"/>
      <c r="K398" s="511"/>
      <c r="L398" s="511"/>
      <c r="M398" s="511"/>
      <c r="N398" s="511"/>
      <c r="O398" s="511"/>
      <c r="P398" s="511"/>
      <c r="Q398" s="511"/>
      <c r="R398" s="511"/>
      <c r="S398" s="511"/>
      <c r="T398" s="511"/>
      <c r="U398" s="511"/>
      <c r="V398" s="511"/>
      <c r="W398" s="511"/>
      <c r="X398" s="511"/>
      <c r="Y398" s="511"/>
      <c r="Z398" s="511"/>
    </row>
    <row r="399" spans="1:26" ht="19.5" customHeight="1" x14ac:dyDescent="0.3">
      <c r="A399" s="511"/>
      <c r="B399" s="511"/>
      <c r="C399" s="511"/>
      <c r="D399" s="511"/>
      <c r="E399" s="511"/>
      <c r="F399" s="511"/>
      <c r="G399" s="511"/>
      <c r="H399" s="511"/>
      <c r="I399" s="511"/>
      <c r="J399" s="511"/>
      <c r="K399" s="511"/>
      <c r="L399" s="511"/>
      <c r="M399" s="511"/>
      <c r="N399" s="511"/>
      <c r="O399" s="511"/>
      <c r="P399" s="511"/>
      <c r="Q399" s="511"/>
      <c r="R399" s="511"/>
      <c r="S399" s="511"/>
      <c r="T399" s="511"/>
      <c r="U399" s="511"/>
      <c r="V399" s="511"/>
      <c r="W399" s="511"/>
      <c r="X399" s="511"/>
      <c r="Y399" s="511"/>
      <c r="Z399" s="511"/>
    </row>
    <row r="400" spans="1:26" ht="19.5" customHeight="1" x14ac:dyDescent="0.3">
      <c r="A400" s="511"/>
      <c r="B400" s="511"/>
      <c r="C400" s="511"/>
      <c r="D400" s="511"/>
      <c r="E400" s="511"/>
      <c r="F400" s="511"/>
      <c r="G400" s="511"/>
      <c r="H400" s="511"/>
      <c r="I400" s="511"/>
      <c r="J400" s="511"/>
      <c r="K400" s="511"/>
      <c r="L400" s="511"/>
      <c r="M400" s="511"/>
      <c r="N400" s="511"/>
      <c r="O400" s="511"/>
      <c r="P400" s="511"/>
      <c r="Q400" s="511"/>
      <c r="R400" s="511"/>
      <c r="S400" s="511"/>
      <c r="T400" s="511"/>
      <c r="U400" s="511"/>
      <c r="V400" s="511"/>
      <c r="W400" s="511"/>
      <c r="X400" s="511"/>
      <c r="Y400" s="511"/>
      <c r="Z400" s="511"/>
    </row>
    <row r="401" spans="1:26" ht="19.5" customHeight="1" x14ac:dyDescent="0.3">
      <c r="A401" s="511"/>
      <c r="B401" s="511"/>
      <c r="C401" s="511"/>
      <c r="D401" s="511"/>
      <c r="E401" s="511"/>
      <c r="F401" s="511"/>
      <c r="G401" s="511"/>
      <c r="H401" s="511"/>
      <c r="I401" s="511"/>
      <c r="J401" s="511"/>
      <c r="K401" s="511"/>
      <c r="L401" s="511"/>
      <c r="M401" s="511"/>
      <c r="N401" s="511"/>
      <c r="O401" s="511"/>
      <c r="P401" s="511"/>
      <c r="Q401" s="511"/>
      <c r="R401" s="511"/>
      <c r="S401" s="511"/>
      <c r="T401" s="511"/>
      <c r="U401" s="511"/>
      <c r="V401" s="511"/>
      <c r="W401" s="511"/>
      <c r="X401" s="511"/>
      <c r="Y401" s="511"/>
      <c r="Z401" s="511"/>
    </row>
    <row r="402" spans="1:26" ht="19.5" customHeight="1" x14ac:dyDescent="0.3">
      <c r="A402" s="511"/>
      <c r="B402" s="511"/>
      <c r="C402" s="511"/>
      <c r="D402" s="511"/>
      <c r="E402" s="511"/>
      <c r="F402" s="511"/>
      <c r="G402" s="511"/>
      <c r="H402" s="511"/>
      <c r="I402" s="511"/>
      <c r="J402" s="511"/>
      <c r="K402" s="511"/>
      <c r="L402" s="511"/>
      <c r="M402" s="511"/>
      <c r="N402" s="511"/>
      <c r="O402" s="511"/>
      <c r="P402" s="511"/>
      <c r="Q402" s="511"/>
      <c r="R402" s="511"/>
      <c r="S402" s="511"/>
      <c r="T402" s="511"/>
      <c r="U402" s="511"/>
      <c r="V402" s="511"/>
      <c r="W402" s="511"/>
      <c r="X402" s="511"/>
      <c r="Y402" s="511"/>
      <c r="Z402" s="511"/>
    </row>
    <row r="403" spans="1:26" ht="19.5" customHeight="1" x14ac:dyDescent="0.3">
      <c r="A403" s="511"/>
      <c r="B403" s="511"/>
      <c r="C403" s="511"/>
      <c r="D403" s="511"/>
      <c r="E403" s="511"/>
      <c r="F403" s="511"/>
      <c r="G403" s="511"/>
      <c r="H403" s="511"/>
      <c r="I403" s="511"/>
      <c r="J403" s="511"/>
      <c r="K403" s="511"/>
      <c r="L403" s="511"/>
      <c r="M403" s="511"/>
      <c r="N403" s="511"/>
      <c r="O403" s="511"/>
      <c r="P403" s="511"/>
      <c r="Q403" s="511"/>
      <c r="R403" s="511"/>
      <c r="S403" s="511"/>
      <c r="T403" s="511"/>
      <c r="U403" s="511"/>
      <c r="V403" s="511"/>
      <c r="W403" s="511"/>
      <c r="X403" s="511"/>
      <c r="Y403" s="511"/>
      <c r="Z403" s="511"/>
    </row>
    <row r="404" spans="1:26" ht="19.5" customHeight="1" x14ac:dyDescent="0.3">
      <c r="A404" s="511"/>
      <c r="B404" s="511"/>
      <c r="C404" s="511"/>
      <c r="D404" s="511"/>
      <c r="E404" s="511"/>
      <c r="F404" s="511"/>
      <c r="G404" s="511"/>
      <c r="H404" s="511"/>
      <c r="I404" s="511"/>
      <c r="J404" s="511"/>
      <c r="K404" s="511"/>
      <c r="L404" s="511"/>
      <c r="M404" s="511"/>
      <c r="N404" s="511"/>
      <c r="O404" s="511"/>
      <c r="P404" s="511"/>
      <c r="Q404" s="511"/>
      <c r="R404" s="511"/>
      <c r="S404" s="511"/>
      <c r="T404" s="511"/>
      <c r="U404" s="511"/>
      <c r="V404" s="511"/>
      <c r="W404" s="511"/>
      <c r="X404" s="511"/>
      <c r="Y404" s="511"/>
      <c r="Z404" s="511"/>
    </row>
    <row r="405" spans="1:26" ht="19.5" customHeight="1" x14ac:dyDescent="0.3">
      <c r="A405" s="511"/>
      <c r="B405" s="511"/>
      <c r="C405" s="511"/>
      <c r="D405" s="511"/>
      <c r="E405" s="511"/>
      <c r="F405" s="511"/>
      <c r="G405" s="511"/>
      <c r="H405" s="511"/>
      <c r="I405" s="511"/>
      <c r="J405" s="511"/>
      <c r="K405" s="511"/>
      <c r="L405" s="511"/>
      <c r="M405" s="511"/>
      <c r="N405" s="511"/>
      <c r="O405" s="511"/>
      <c r="P405" s="511"/>
      <c r="Q405" s="511"/>
      <c r="R405" s="511"/>
      <c r="S405" s="511"/>
      <c r="T405" s="511"/>
      <c r="U405" s="511"/>
      <c r="V405" s="511"/>
      <c r="W405" s="511"/>
      <c r="X405" s="511"/>
      <c r="Y405" s="511"/>
      <c r="Z405" s="511"/>
    </row>
    <row r="406" spans="1:26" ht="19.5" customHeight="1" x14ac:dyDescent="0.3">
      <c r="A406" s="511"/>
      <c r="B406" s="511"/>
      <c r="C406" s="511"/>
      <c r="D406" s="511"/>
      <c r="E406" s="511"/>
      <c r="F406" s="511"/>
      <c r="G406" s="511"/>
      <c r="H406" s="511"/>
      <c r="I406" s="511"/>
      <c r="J406" s="511"/>
      <c r="K406" s="511"/>
      <c r="L406" s="511"/>
      <c r="M406" s="511"/>
      <c r="N406" s="511"/>
      <c r="O406" s="511"/>
      <c r="P406" s="511"/>
      <c r="Q406" s="511"/>
      <c r="R406" s="511"/>
      <c r="S406" s="511"/>
      <c r="T406" s="511"/>
      <c r="U406" s="511"/>
      <c r="V406" s="511"/>
      <c r="W406" s="511"/>
      <c r="X406" s="511"/>
      <c r="Y406" s="511"/>
      <c r="Z406" s="511"/>
    </row>
    <row r="407" spans="1:26" ht="19.5" customHeight="1" x14ac:dyDescent="0.3">
      <c r="A407" s="511"/>
      <c r="B407" s="511"/>
      <c r="C407" s="511"/>
      <c r="D407" s="511"/>
      <c r="E407" s="511"/>
      <c r="F407" s="511"/>
      <c r="G407" s="511"/>
      <c r="H407" s="511"/>
      <c r="I407" s="511"/>
      <c r="J407" s="511"/>
      <c r="K407" s="511"/>
      <c r="L407" s="511"/>
      <c r="M407" s="511"/>
      <c r="N407" s="511"/>
      <c r="O407" s="511"/>
      <c r="P407" s="511"/>
      <c r="Q407" s="511"/>
      <c r="R407" s="511"/>
      <c r="S407" s="511"/>
      <c r="T407" s="511"/>
      <c r="U407" s="511"/>
      <c r="V407" s="511"/>
      <c r="W407" s="511"/>
      <c r="X407" s="511"/>
      <c r="Y407" s="511"/>
      <c r="Z407" s="511"/>
    </row>
    <row r="408" spans="1:26" ht="19.5" customHeight="1" x14ac:dyDescent="0.3">
      <c r="A408" s="511"/>
      <c r="B408" s="511"/>
      <c r="C408" s="511"/>
      <c r="D408" s="511"/>
      <c r="E408" s="511"/>
      <c r="F408" s="511"/>
      <c r="G408" s="511"/>
      <c r="H408" s="511"/>
      <c r="I408" s="511"/>
      <c r="J408" s="511"/>
      <c r="K408" s="511"/>
      <c r="L408" s="511"/>
      <c r="M408" s="511"/>
      <c r="N408" s="511"/>
      <c r="O408" s="511"/>
      <c r="P408" s="511"/>
      <c r="Q408" s="511"/>
      <c r="R408" s="511"/>
      <c r="S408" s="511"/>
      <c r="T408" s="511"/>
      <c r="U408" s="511"/>
      <c r="V408" s="511"/>
      <c r="W408" s="511"/>
      <c r="X408" s="511"/>
      <c r="Y408" s="511"/>
      <c r="Z408" s="511"/>
    </row>
    <row r="409" spans="1:26" ht="19.5" customHeight="1" x14ac:dyDescent="0.3">
      <c r="A409" s="511"/>
      <c r="B409" s="511"/>
      <c r="C409" s="511"/>
      <c r="D409" s="511"/>
      <c r="E409" s="511"/>
      <c r="F409" s="511"/>
      <c r="G409" s="511"/>
      <c r="H409" s="511"/>
      <c r="I409" s="511"/>
      <c r="J409" s="511"/>
      <c r="K409" s="511"/>
      <c r="L409" s="511"/>
      <c r="M409" s="511"/>
      <c r="N409" s="511"/>
      <c r="O409" s="511"/>
      <c r="P409" s="511"/>
      <c r="Q409" s="511"/>
      <c r="R409" s="511"/>
      <c r="S409" s="511"/>
      <c r="T409" s="511"/>
      <c r="U409" s="511"/>
      <c r="V409" s="511"/>
      <c r="W409" s="511"/>
      <c r="X409" s="511"/>
      <c r="Y409" s="511"/>
      <c r="Z409" s="511"/>
    </row>
    <row r="410" spans="1:26" ht="19.5" customHeight="1" x14ac:dyDescent="0.3">
      <c r="A410" s="511"/>
      <c r="B410" s="511"/>
      <c r="C410" s="511"/>
      <c r="D410" s="511"/>
      <c r="E410" s="511"/>
      <c r="F410" s="511"/>
      <c r="G410" s="511"/>
      <c r="H410" s="511"/>
      <c r="I410" s="511"/>
      <c r="J410" s="511"/>
      <c r="K410" s="511"/>
      <c r="L410" s="511"/>
      <c r="M410" s="511"/>
      <c r="N410" s="511"/>
      <c r="O410" s="511"/>
      <c r="P410" s="511"/>
      <c r="Q410" s="511"/>
      <c r="R410" s="511"/>
      <c r="S410" s="511"/>
      <c r="T410" s="511"/>
      <c r="U410" s="511"/>
      <c r="V410" s="511"/>
      <c r="W410" s="511"/>
      <c r="X410" s="511"/>
      <c r="Y410" s="511"/>
      <c r="Z410" s="511"/>
    </row>
    <row r="411" spans="1:26" ht="19.5" customHeight="1" x14ac:dyDescent="0.3">
      <c r="A411" s="511"/>
      <c r="B411" s="511"/>
      <c r="C411" s="511"/>
      <c r="D411" s="511"/>
      <c r="E411" s="511"/>
      <c r="F411" s="511"/>
      <c r="G411" s="511"/>
      <c r="H411" s="511"/>
      <c r="I411" s="511"/>
      <c r="J411" s="511"/>
      <c r="K411" s="511"/>
      <c r="L411" s="511"/>
      <c r="M411" s="511"/>
      <c r="N411" s="511"/>
      <c r="O411" s="511"/>
      <c r="P411" s="511"/>
      <c r="Q411" s="511"/>
      <c r="R411" s="511"/>
      <c r="S411" s="511"/>
      <c r="T411" s="511"/>
      <c r="U411" s="511"/>
      <c r="V411" s="511"/>
      <c r="W411" s="511"/>
      <c r="X411" s="511"/>
      <c r="Y411" s="511"/>
      <c r="Z411" s="511"/>
    </row>
    <row r="412" spans="1:26" ht="19.5" customHeight="1" x14ac:dyDescent="0.3">
      <c r="A412" s="511"/>
      <c r="B412" s="511"/>
      <c r="C412" s="511"/>
      <c r="D412" s="511"/>
      <c r="E412" s="511"/>
      <c r="F412" s="511"/>
      <c r="G412" s="511"/>
      <c r="H412" s="511"/>
      <c r="I412" s="511"/>
      <c r="J412" s="511"/>
      <c r="K412" s="511"/>
      <c r="L412" s="511"/>
      <c r="M412" s="511"/>
      <c r="N412" s="511"/>
      <c r="O412" s="511"/>
      <c r="P412" s="511"/>
      <c r="Q412" s="511"/>
      <c r="R412" s="511"/>
      <c r="S412" s="511"/>
      <c r="T412" s="511"/>
      <c r="U412" s="511"/>
      <c r="V412" s="511"/>
      <c r="W412" s="511"/>
      <c r="X412" s="511"/>
      <c r="Y412" s="511"/>
      <c r="Z412" s="511"/>
    </row>
    <row r="413" spans="1:26" ht="19.5" customHeight="1" x14ac:dyDescent="0.3">
      <c r="A413" s="511"/>
      <c r="B413" s="511"/>
      <c r="C413" s="511"/>
      <c r="D413" s="511"/>
      <c r="E413" s="511"/>
      <c r="F413" s="511"/>
      <c r="G413" s="511"/>
      <c r="H413" s="511"/>
      <c r="I413" s="511"/>
      <c r="J413" s="511"/>
      <c r="K413" s="511"/>
      <c r="L413" s="511"/>
      <c r="M413" s="511"/>
      <c r="N413" s="511"/>
      <c r="O413" s="511"/>
      <c r="P413" s="511"/>
      <c r="Q413" s="511"/>
      <c r="R413" s="511"/>
      <c r="S413" s="511"/>
      <c r="T413" s="511"/>
      <c r="U413" s="511"/>
      <c r="V413" s="511"/>
      <c r="W413" s="511"/>
      <c r="X413" s="511"/>
      <c r="Y413" s="511"/>
      <c r="Z413" s="511"/>
    </row>
    <row r="414" spans="1:26" ht="19.5" customHeight="1" x14ac:dyDescent="0.3">
      <c r="A414" s="511"/>
      <c r="B414" s="511"/>
      <c r="C414" s="511"/>
      <c r="D414" s="511"/>
      <c r="E414" s="511"/>
      <c r="F414" s="511"/>
      <c r="G414" s="511"/>
      <c r="H414" s="511"/>
      <c r="I414" s="511"/>
      <c r="J414" s="511"/>
      <c r="K414" s="511"/>
      <c r="L414" s="511"/>
      <c r="M414" s="511"/>
      <c r="N414" s="511"/>
      <c r="O414" s="511"/>
      <c r="P414" s="511"/>
      <c r="Q414" s="511"/>
      <c r="R414" s="511"/>
      <c r="S414" s="511"/>
      <c r="T414" s="511"/>
      <c r="U414" s="511"/>
      <c r="V414" s="511"/>
      <c r="W414" s="511"/>
      <c r="X414" s="511"/>
      <c r="Y414" s="511"/>
      <c r="Z414" s="511"/>
    </row>
    <row r="415" spans="1:26" ht="19.5" customHeight="1" x14ac:dyDescent="0.3">
      <c r="A415" s="511"/>
      <c r="B415" s="511"/>
      <c r="C415" s="511"/>
      <c r="D415" s="511"/>
      <c r="E415" s="511"/>
      <c r="F415" s="511"/>
      <c r="G415" s="511"/>
      <c r="H415" s="511"/>
      <c r="I415" s="511"/>
      <c r="J415" s="511"/>
      <c r="K415" s="511"/>
      <c r="L415" s="511"/>
      <c r="M415" s="511"/>
      <c r="N415" s="511"/>
      <c r="O415" s="511"/>
      <c r="P415" s="511"/>
      <c r="Q415" s="511"/>
      <c r="R415" s="511"/>
      <c r="S415" s="511"/>
      <c r="T415" s="511"/>
      <c r="U415" s="511"/>
      <c r="V415" s="511"/>
      <c r="W415" s="511"/>
      <c r="X415" s="511"/>
      <c r="Y415" s="511"/>
      <c r="Z415" s="511"/>
    </row>
    <row r="416" spans="1:26" ht="19.5" customHeight="1" x14ac:dyDescent="0.3">
      <c r="A416" s="511"/>
      <c r="B416" s="511"/>
      <c r="C416" s="511"/>
      <c r="D416" s="511"/>
      <c r="E416" s="511"/>
      <c r="F416" s="511"/>
      <c r="G416" s="511"/>
      <c r="H416" s="511"/>
      <c r="I416" s="511"/>
      <c r="J416" s="511"/>
      <c r="K416" s="511"/>
      <c r="L416" s="511"/>
      <c r="M416" s="511"/>
      <c r="N416" s="511"/>
      <c r="O416" s="511"/>
      <c r="P416" s="511"/>
      <c r="Q416" s="511"/>
      <c r="R416" s="511"/>
      <c r="S416" s="511"/>
      <c r="T416" s="511"/>
      <c r="U416" s="511"/>
      <c r="V416" s="511"/>
      <c r="W416" s="511"/>
      <c r="X416" s="511"/>
      <c r="Y416" s="511"/>
      <c r="Z416" s="511"/>
    </row>
    <row r="417" spans="1:26" ht="19.5" customHeight="1" x14ac:dyDescent="0.3">
      <c r="A417" s="511"/>
      <c r="B417" s="511"/>
      <c r="C417" s="511"/>
      <c r="D417" s="511"/>
      <c r="E417" s="511"/>
      <c r="F417" s="511"/>
      <c r="G417" s="511"/>
      <c r="H417" s="511"/>
      <c r="I417" s="511"/>
      <c r="J417" s="511"/>
      <c r="K417" s="511"/>
      <c r="L417" s="511"/>
      <c r="M417" s="511"/>
      <c r="N417" s="511"/>
      <c r="O417" s="511"/>
      <c r="P417" s="511"/>
      <c r="Q417" s="511"/>
      <c r="R417" s="511"/>
      <c r="S417" s="511"/>
      <c r="T417" s="511"/>
      <c r="U417" s="511"/>
      <c r="V417" s="511"/>
      <c r="W417" s="511"/>
      <c r="X417" s="511"/>
      <c r="Y417" s="511"/>
      <c r="Z417" s="511"/>
    </row>
    <row r="418" spans="1:26" ht="19.5" customHeight="1" x14ac:dyDescent="0.3">
      <c r="A418" s="511"/>
      <c r="B418" s="511"/>
      <c r="C418" s="511"/>
      <c r="D418" s="511"/>
      <c r="E418" s="511"/>
      <c r="F418" s="511"/>
      <c r="G418" s="511"/>
      <c r="H418" s="511"/>
      <c r="I418" s="511"/>
      <c r="J418" s="511"/>
      <c r="K418" s="511"/>
      <c r="L418" s="511"/>
      <c r="M418" s="511"/>
      <c r="N418" s="511"/>
      <c r="O418" s="511"/>
      <c r="P418" s="511"/>
      <c r="Q418" s="511"/>
      <c r="R418" s="511"/>
      <c r="S418" s="511"/>
      <c r="T418" s="511"/>
      <c r="U418" s="511"/>
      <c r="V418" s="511"/>
      <c r="W418" s="511"/>
      <c r="X418" s="511"/>
      <c r="Y418" s="511"/>
      <c r="Z418" s="511"/>
    </row>
    <row r="419" spans="1:26" ht="19.5" customHeight="1" x14ac:dyDescent="0.3">
      <c r="A419" s="511"/>
      <c r="B419" s="511"/>
      <c r="C419" s="511"/>
      <c r="D419" s="511"/>
      <c r="E419" s="511"/>
      <c r="F419" s="511"/>
      <c r="G419" s="511"/>
      <c r="H419" s="511"/>
      <c r="I419" s="511"/>
      <c r="J419" s="511"/>
      <c r="K419" s="511"/>
      <c r="L419" s="511"/>
      <c r="M419" s="511"/>
      <c r="N419" s="511"/>
      <c r="O419" s="511"/>
      <c r="P419" s="511"/>
      <c r="Q419" s="511"/>
      <c r="R419" s="511"/>
      <c r="S419" s="511"/>
      <c r="T419" s="511"/>
      <c r="U419" s="511"/>
      <c r="V419" s="511"/>
      <c r="W419" s="511"/>
      <c r="X419" s="511"/>
      <c r="Y419" s="511"/>
      <c r="Z419" s="511"/>
    </row>
    <row r="420" spans="1:26" ht="19.5" customHeight="1" x14ac:dyDescent="0.3">
      <c r="A420" s="511"/>
      <c r="B420" s="511"/>
      <c r="C420" s="511"/>
      <c r="D420" s="511"/>
      <c r="E420" s="511"/>
      <c r="F420" s="511"/>
      <c r="G420" s="511"/>
      <c r="H420" s="511"/>
      <c r="I420" s="511"/>
      <c r="J420" s="511"/>
      <c r="K420" s="511"/>
      <c r="L420" s="511"/>
      <c r="M420" s="511"/>
      <c r="N420" s="511"/>
      <c r="O420" s="511"/>
      <c r="P420" s="511"/>
      <c r="Q420" s="511"/>
      <c r="R420" s="511"/>
      <c r="S420" s="511"/>
      <c r="T420" s="511"/>
      <c r="U420" s="511"/>
      <c r="V420" s="511"/>
      <c r="W420" s="511"/>
      <c r="X420" s="511"/>
      <c r="Y420" s="511"/>
      <c r="Z420" s="511"/>
    </row>
    <row r="421" spans="1:26" ht="19.5" customHeight="1" x14ac:dyDescent="0.3">
      <c r="A421" s="511"/>
      <c r="B421" s="511"/>
      <c r="C421" s="511"/>
      <c r="D421" s="511"/>
      <c r="E421" s="511"/>
      <c r="F421" s="511"/>
      <c r="G421" s="511"/>
      <c r="H421" s="511"/>
      <c r="I421" s="511"/>
      <c r="J421" s="511"/>
      <c r="K421" s="511"/>
      <c r="L421" s="511"/>
      <c r="M421" s="511"/>
      <c r="N421" s="511"/>
      <c r="O421" s="511"/>
      <c r="P421" s="511"/>
      <c r="Q421" s="511"/>
      <c r="R421" s="511"/>
      <c r="S421" s="511"/>
      <c r="T421" s="511"/>
      <c r="U421" s="511"/>
      <c r="V421" s="511"/>
      <c r="W421" s="511"/>
      <c r="X421" s="511"/>
      <c r="Y421" s="511"/>
      <c r="Z421" s="511"/>
    </row>
    <row r="422" spans="1:26" ht="19.5" customHeight="1" x14ac:dyDescent="0.3">
      <c r="A422" s="511"/>
      <c r="B422" s="511"/>
      <c r="C422" s="511"/>
      <c r="D422" s="511"/>
      <c r="E422" s="511"/>
      <c r="F422" s="511"/>
      <c r="G422" s="511"/>
      <c r="H422" s="511"/>
      <c r="I422" s="511"/>
      <c r="J422" s="511"/>
      <c r="K422" s="511"/>
      <c r="L422" s="511"/>
      <c r="M422" s="511"/>
      <c r="N422" s="511"/>
      <c r="O422" s="511"/>
      <c r="P422" s="511"/>
      <c r="Q422" s="511"/>
      <c r="R422" s="511"/>
      <c r="S422" s="511"/>
      <c r="T422" s="511"/>
      <c r="U422" s="511"/>
      <c r="V422" s="511"/>
      <c r="W422" s="511"/>
      <c r="X422" s="511"/>
      <c r="Y422" s="511"/>
      <c r="Z422" s="511"/>
    </row>
    <row r="423" spans="1:26" ht="19.5" customHeight="1" x14ac:dyDescent="0.3">
      <c r="A423" s="511"/>
      <c r="B423" s="511"/>
      <c r="C423" s="511"/>
      <c r="D423" s="511"/>
      <c r="E423" s="511"/>
      <c r="F423" s="511"/>
      <c r="G423" s="511"/>
      <c r="H423" s="511"/>
      <c r="I423" s="511"/>
      <c r="J423" s="511"/>
      <c r="K423" s="511"/>
      <c r="L423" s="511"/>
      <c r="M423" s="511"/>
      <c r="N423" s="511"/>
      <c r="O423" s="511"/>
      <c r="P423" s="511"/>
      <c r="Q423" s="511"/>
      <c r="R423" s="511"/>
      <c r="S423" s="511"/>
      <c r="T423" s="511"/>
      <c r="U423" s="511"/>
      <c r="V423" s="511"/>
      <c r="W423" s="511"/>
      <c r="X423" s="511"/>
      <c r="Y423" s="511"/>
      <c r="Z423" s="511"/>
    </row>
    <row r="424" spans="1:26" ht="19.5" customHeight="1" x14ac:dyDescent="0.3">
      <c r="A424" s="511"/>
      <c r="B424" s="511"/>
      <c r="C424" s="511"/>
      <c r="D424" s="511"/>
      <c r="E424" s="511"/>
      <c r="F424" s="511"/>
      <c r="G424" s="511"/>
      <c r="H424" s="511"/>
      <c r="I424" s="511"/>
      <c r="J424" s="511"/>
      <c r="K424" s="511"/>
      <c r="L424" s="511"/>
      <c r="M424" s="511"/>
      <c r="N424" s="511"/>
      <c r="O424" s="511"/>
      <c r="P424" s="511"/>
      <c r="Q424" s="511"/>
      <c r="R424" s="511"/>
      <c r="S424" s="511"/>
      <c r="T424" s="511"/>
      <c r="U424" s="511"/>
      <c r="V424" s="511"/>
      <c r="W424" s="511"/>
      <c r="X424" s="511"/>
      <c r="Y424" s="511"/>
      <c r="Z424" s="511"/>
    </row>
    <row r="425" spans="1:26" ht="19.5" customHeight="1" x14ac:dyDescent="0.3">
      <c r="A425" s="511"/>
      <c r="B425" s="511"/>
      <c r="C425" s="511"/>
      <c r="D425" s="511"/>
      <c r="E425" s="511"/>
      <c r="F425" s="511"/>
      <c r="G425" s="511"/>
      <c r="H425" s="511"/>
      <c r="I425" s="511"/>
      <c r="J425" s="511"/>
      <c r="K425" s="511"/>
      <c r="L425" s="511"/>
      <c r="M425" s="511"/>
      <c r="N425" s="511"/>
      <c r="O425" s="511"/>
      <c r="P425" s="511"/>
      <c r="Q425" s="511"/>
      <c r="R425" s="511"/>
      <c r="S425" s="511"/>
      <c r="T425" s="511"/>
      <c r="U425" s="511"/>
      <c r="V425" s="511"/>
      <c r="W425" s="511"/>
      <c r="X425" s="511"/>
      <c r="Y425" s="511"/>
      <c r="Z425" s="511"/>
    </row>
    <row r="426" spans="1:26" ht="19.5" customHeight="1" x14ac:dyDescent="0.3">
      <c r="A426" s="511"/>
      <c r="B426" s="511"/>
      <c r="C426" s="511"/>
      <c r="D426" s="511"/>
      <c r="E426" s="511"/>
      <c r="F426" s="511"/>
      <c r="G426" s="511"/>
      <c r="H426" s="511"/>
      <c r="I426" s="511"/>
      <c r="J426" s="511"/>
      <c r="K426" s="511"/>
      <c r="L426" s="511"/>
      <c r="M426" s="511"/>
      <c r="N426" s="511"/>
      <c r="O426" s="511"/>
      <c r="P426" s="511"/>
      <c r="Q426" s="511"/>
      <c r="R426" s="511"/>
      <c r="S426" s="511"/>
      <c r="T426" s="511"/>
      <c r="U426" s="511"/>
      <c r="V426" s="511"/>
      <c r="W426" s="511"/>
      <c r="X426" s="511"/>
      <c r="Y426" s="511"/>
      <c r="Z426" s="511"/>
    </row>
    <row r="427" spans="1:26" ht="19.5" customHeight="1" x14ac:dyDescent="0.3">
      <c r="A427" s="511"/>
      <c r="B427" s="511"/>
      <c r="C427" s="511"/>
      <c r="D427" s="511"/>
      <c r="E427" s="511"/>
      <c r="F427" s="511"/>
      <c r="G427" s="511"/>
      <c r="H427" s="511"/>
      <c r="I427" s="511"/>
      <c r="J427" s="511"/>
      <c r="K427" s="511"/>
      <c r="L427" s="511"/>
      <c r="M427" s="511"/>
      <c r="N427" s="511"/>
      <c r="O427" s="511"/>
      <c r="P427" s="511"/>
      <c r="Q427" s="511"/>
      <c r="R427" s="511"/>
      <c r="S427" s="511"/>
      <c r="T427" s="511"/>
      <c r="U427" s="511"/>
      <c r="V427" s="511"/>
      <c r="W427" s="511"/>
      <c r="X427" s="511"/>
      <c r="Y427" s="511"/>
      <c r="Z427" s="511"/>
    </row>
    <row r="428" spans="1:26" ht="19.5" customHeight="1" x14ac:dyDescent="0.3">
      <c r="A428" s="511"/>
      <c r="B428" s="511"/>
      <c r="C428" s="511"/>
      <c r="D428" s="511"/>
      <c r="E428" s="511"/>
      <c r="F428" s="511"/>
      <c r="G428" s="511"/>
      <c r="H428" s="511"/>
      <c r="I428" s="511"/>
      <c r="J428" s="511"/>
      <c r="K428" s="511"/>
      <c r="L428" s="511"/>
      <c r="M428" s="511"/>
      <c r="N428" s="511"/>
      <c r="O428" s="511"/>
      <c r="P428" s="511"/>
      <c r="Q428" s="511"/>
      <c r="R428" s="511"/>
      <c r="S428" s="511"/>
      <c r="T428" s="511"/>
      <c r="U428" s="511"/>
      <c r="V428" s="511"/>
      <c r="W428" s="511"/>
      <c r="X428" s="511"/>
      <c r="Y428" s="511"/>
      <c r="Z428" s="511"/>
    </row>
    <row r="429" spans="1:26" ht="19.5" customHeight="1" x14ac:dyDescent="0.3">
      <c r="A429" s="511"/>
      <c r="B429" s="511"/>
      <c r="C429" s="511"/>
      <c r="D429" s="511"/>
      <c r="E429" s="511"/>
      <c r="F429" s="511"/>
      <c r="G429" s="511"/>
      <c r="H429" s="511"/>
      <c r="I429" s="511"/>
      <c r="J429" s="511"/>
      <c r="K429" s="511"/>
      <c r="L429" s="511"/>
      <c r="M429" s="511"/>
      <c r="N429" s="511"/>
      <c r="O429" s="511"/>
      <c r="P429" s="511"/>
      <c r="Q429" s="511"/>
      <c r="R429" s="511"/>
      <c r="S429" s="511"/>
      <c r="T429" s="511"/>
      <c r="U429" s="511"/>
      <c r="V429" s="511"/>
      <c r="W429" s="511"/>
      <c r="X429" s="511"/>
      <c r="Y429" s="511"/>
      <c r="Z429" s="511"/>
    </row>
    <row r="430" spans="1:26" ht="19.5" customHeight="1" x14ac:dyDescent="0.3">
      <c r="A430" s="511"/>
      <c r="B430" s="511"/>
      <c r="C430" s="511"/>
      <c r="D430" s="511"/>
      <c r="E430" s="511"/>
      <c r="F430" s="511"/>
      <c r="G430" s="511"/>
      <c r="H430" s="511"/>
      <c r="I430" s="511"/>
      <c r="J430" s="511"/>
      <c r="K430" s="511"/>
      <c r="L430" s="511"/>
      <c r="M430" s="511"/>
      <c r="N430" s="511"/>
      <c r="O430" s="511"/>
      <c r="P430" s="511"/>
      <c r="Q430" s="511"/>
      <c r="R430" s="511"/>
      <c r="S430" s="511"/>
      <c r="T430" s="511"/>
      <c r="U430" s="511"/>
      <c r="V430" s="511"/>
      <c r="W430" s="511"/>
      <c r="X430" s="511"/>
      <c r="Y430" s="511"/>
      <c r="Z430" s="511"/>
    </row>
    <row r="431" spans="1:26" ht="19.5" customHeight="1" x14ac:dyDescent="0.3">
      <c r="A431" s="511"/>
      <c r="B431" s="511"/>
      <c r="C431" s="511"/>
      <c r="D431" s="511"/>
      <c r="E431" s="511"/>
      <c r="F431" s="511"/>
      <c r="G431" s="511"/>
      <c r="H431" s="511"/>
      <c r="I431" s="511"/>
      <c r="J431" s="511"/>
      <c r="K431" s="511"/>
      <c r="L431" s="511"/>
      <c r="M431" s="511"/>
      <c r="N431" s="511"/>
      <c r="O431" s="511"/>
      <c r="P431" s="511"/>
      <c r="Q431" s="511"/>
      <c r="R431" s="511"/>
      <c r="S431" s="511"/>
      <c r="T431" s="511"/>
      <c r="U431" s="511"/>
      <c r="V431" s="511"/>
      <c r="W431" s="511"/>
      <c r="X431" s="511"/>
      <c r="Y431" s="511"/>
      <c r="Z431" s="511"/>
    </row>
    <row r="432" spans="1:26" ht="19.5" customHeight="1" x14ac:dyDescent="0.3">
      <c r="A432" s="511"/>
      <c r="B432" s="511"/>
      <c r="C432" s="511"/>
      <c r="D432" s="511"/>
      <c r="E432" s="511"/>
      <c r="F432" s="511"/>
      <c r="G432" s="511"/>
      <c r="H432" s="511"/>
      <c r="I432" s="511"/>
      <c r="J432" s="511"/>
      <c r="K432" s="511"/>
      <c r="L432" s="511"/>
      <c r="M432" s="511"/>
      <c r="N432" s="511"/>
      <c r="O432" s="511"/>
      <c r="P432" s="511"/>
      <c r="Q432" s="511"/>
      <c r="R432" s="511"/>
      <c r="S432" s="511"/>
      <c r="T432" s="511"/>
      <c r="U432" s="511"/>
      <c r="V432" s="511"/>
      <c r="W432" s="511"/>
      <c r="X432" s="511"/>
      <c r="Y432" s="511"/>
      <c r="Z432" s="511"/>
    </row>
    <row r="433" spans="1:26" ht="19.5" customHeight="1" x14ac:dyDescent="0.3">
      <c r="A433" s="511"/>
      <c r="B433" s="511"/>
      <c r="C433" s="511"/>
      <c r="D433" s="511"/>
      <c r="E433" s="511"/>
      <c r="F433" s="511"/>
      <c r="G433" s="511"/>
      <c r="H433" s="511"/>
      <c r="I433" s="511"/>
      <c r="J433" s="511"/>
      <c r="K433" s="511"/>
      <c r="L433" s="511"/>
      <c r="M433" s="511"/>
      <c r="N433" s="511"/>
      <c r="O433" s="511"/>
      <c r="P433" s="511"/>
      <c r="Q433" s="511"/>
      <c r="R433" s="511"/>
      <c r="S433" s="511"/>
      <c r="T433" s="511"/>
      <c r="U433" s="511"/>
      <c r="V433" s="511"/>
      <c r="W433" s="511"/>
      <c r="X433" s="511"/>
      <c r="Y433" s="511"/>
      <c r="Z433" s="511"/>
    </row>
    <row r="434" spans="1:26" ht="19.5" customHeight="1" x14ac:dyDescent="0.3">
      <c r="A434" s="511"/>
      <c r="B434" s="511"/>
      <c r="C434" s="511"/>
      <c r="D434" s="511"/>
      <c r="E434" s="511"/>
      <c r="F434" s="511"/>
      <c r="G434" s="511"/>
      <c r="H434" s="511"/>
      <c r="I434" s="511"/>
      <c r="J434" s="511"/>
      <c r="K434" s="511"/>
      <c r="L434" s="511"/>
      <c r="M434" s="511"/>
      <c r="N434" s="511"/>
      <c r="O434" s="511"/>
      <c r="P434" s="511"/>
      <c r="Q434" s="511"/>
      <c r="R434" s="511"/>
      <c r="S434" s="511"/>
      <c r="T434" s="511"/>
      <c r="U434" s="511"/>
      <c r="V434" s="511"/>
      <c r="W434" s="511"/>
      <c r="X434" s="511"/>
      <c r="Y434" s="511"/>
      <c r="Z434" s="511"/>
    </row>
    <row r="435" spans="1:26" ht="19.5" customHeight="1" x14ac:dyDescent="0.3">
      <c r="A435" s="511"/>
      <c r="B435" s="511"/>
      <c r="C435" s="511"/>
      <c r="D435" s="511"/>
      <c r="E435" s="511"/>
      <c r="F435" s="511"/>
      <c r="G435" s="511"/>
      <c r="H435" s="511"/>
      <c r="I435" s="511"/>
      <c r="J435" s="511"/>
      <c r="K435" s="511"/>
      <c r="L435" s="511"/>
      <c r="M435" s="511"/>
      <c r="N435" s="511"/>
      <c r="O435" s="511"/>
      <c r="P435" s="511"/>
      <c r="Q435" s="511"/>
      <c r="R435" s="511"/>
      <c r="S435" s="511"/>
      <c r="T435" s="511"/>
      <c r="U435" s="511"/>
      <c r="V435" s="511"/>
      <c r="W435" s="511"/>
      <c r="X435" s="511"/>
      <c r="Y435" s="511"/>
      <c r="Z435" s="511"/>
    </row>
    <row r="436" spans="1:26" ht="19.5" customHeight="1" x14ac:dyDescent="0.3">
      <c r="A436" s="511"/>
      <c r="B436" s="511"/>
      <c r="C436" s="511"/>
      <c r="D436" s="511"/>
      <c r="E436" s="511"/>
      <c r="F436" s="511"/>
      <c r="G436" s="511"/>
      <c r="H436" s="511"/>
      <c r="I436" s="511"/>
      <c r="J436" s="511"/>
      <c r="K436" s="511"/>
      <c r="L436" s="511"/>
      <c r="M436" s="511"/>
      <c r="N436" s="511"/>
      <c r="O436" s="511"/>
      <c r="P436" s="511"/>
      <c r="Q436" s="511"/>
      <c r="R436" s="511"/>
      <c r="S436" s="511"/>
      <c r="T436" s="511"/>
      <c r="U436" s="511"/>
      <c r="V436" s="511"/>
      <c r="W436" s="511"/>
      <c r="X436" s="511"/>
      <c r="Y436" s="511"/>
      <c r="Z436" s="511"/>
    </row>
    <row r="437" spans="1:26" ht="19.5" customHeight="1" x14ac:dyDescent="0.3">
      <c r="A437" s="511"/>
      <c r="B437" s="511"/>
      <c r="C437" s="511"/>
      <c r="D437" s="511"/>
      <c r="E437" s="511"/>
      <c r="F437" s="511"/>
      <c r="G437" s="511"/>
      <c r="H437" s="511"/>
      <c r="I437" s="511"/>
      <c r="J437" s="511"/>
      <c r="K437" s="511"/>
      <c r="L437" s="511"/>
      <c r="M437" s="511"/>
      <c r="N437" s="511"/>
      <c r="O437" s="511"/>
      <c r="P437" s="511"/>
      <c r="Q437" s="511"/>
      <c r="R437" s="511"/>
      <c r="S437" s="511"/>
      <c r="T437" s="511"/>
      <c r="U437" s="511"/>
      <c r="V437" s="511"/>
      <c r="W437" s="511"/>
      <c r="X437" s="511"/>
      <c r="Y437" s="511"/>
      <c r="Z437" s="511"/>
    </row>
    <row r="438" spans="1:26" ht="19.5" customHeight="1" x14ac:dyDescent="0.3">
      <c r="A438" s="511"/>
      <c r="B438" s="511"/>
      <c r="C438" s="511"/>
      <c r="D438" s="511"/>
      <c r="E438" s="511"/>
      <c r="F438" s="511"/>
      <c r="G438" s="511"/>
      <c r="H438" s="511"/>
      <c r="I438" s="511"/>
      <c r="J438" s="511"/>
      <c r="K438" s="511"/>
      <c r="L438" s="511"/>
      <c r="M438" s="511"/>
      <c r="N438" s="511"/>
      <c r="O438" s="511"/>
      <c r="P438" s="511"/>
      <c r="Q438" s="511"/>
      <c r="R438" s="511"/>
      <c r="S438" s="511"/>
      <c r="T438" s="511"/>
      <c r="U438" s="511"/>
      <c r="V438" s="511"/>
      <c r="W438" s="511"/>
      <c r="X438" s="511"/>
      <c r="Y438" s="511"/>
      <c r="Z438" s="511"/>
    </row>
    <row r="439" spans="1:26" ht="19.5" customHeight="1" x14ac:dyDescent="0.3">
      <c r="A439" s="511"/>
      <c r="B439" s="511"/>
      <c r="C439" s="511"/>
      <c r="D439" s="511"/>
      <c r="E439" s="511"/>
      <c r="F439" s="511"/>
      <c r="G439" s="511"/>
      <c r="H439" s="511"/>
      <c r="I439" s="511"/>
      <c r="J439" s="511"/>
      <c r="K439" s="511"/>
      <c r="L439" s="511"/>
      <c r="M439" s="511"/>
      <c r="N439" s="511"/>
      <c r="O439" s="511"/>
      <c r="P439" s="511"/>
      <c r="Q439" s="511"/>
      <c r="R439" s="511"/>
      <c r="S439" s="511"/>
      <c r="T439" s="511"/>
      <c r="U439" s="511"/>
      <c r="V439" s="511"/>
      <c r="W439" s="511"/>
      <c r="X439" s="511"/>
      <c r="Y439" s="511"/>
      <c r="Z439" s="511"/>
    </row>
    <row r="440" spans="1:26" ht="19.5" customHeight="1" x14ac:dyDescent="0.3">
      <c r="A440" s="511"/>
      <c r="B440" s="511"/>
      <c r="C440" s="511"/>
      <c r="D440" s="511"/>
      <c r="E440" s="511"/>
      <c r="F440" s="511"/>
      <c r="G440" s="511"/>
      <c r="H440" s="511"/>
      <c r="I440" s="511"/>
      <c r="J440" s="511"/>
      <c r="K440" s="511"/>
      <c r="L440" s="511"/>
      <c r="M440" s="511"/>
      <c r="N440" s="511"/>
      <c r="O440" s="511"/>
      <c r="P440" s="511"/>
      <c r="Q440" s="511"/>
      <c r="R440" s="511"/>
      <c r="S440" s="511"/>
      <c r="T440" s="511"/>
      <c r="U440" s="511"/>
      <c r="V440" s="511"/>
      <c r="W440" s="511"/>
      <c r="X440" s="511"/>
      <c r="Y440" s="511"/>
      <c r="Z440" s="511"/>
    </row>
    <row r="441" spans="1:26" ht="19.5" customHeight="1" x14ac:dyDescent="0.3">
      <c r="A441" s="511"/>
      <c r="B441" s="511"/>
      <c r="C441" s="511"/>
      <c r="D441" s="511"/>
      <c r="E441" s="511"/>
      <c r="F441" s="511"/>
      <c r="G441" s="511"/>
      <c r="H441" s="511"/>
      <c r="I441" s="511"/>
      <c r="J441" s="511"/>
      <c r="K441" s="511"/>
      <c r="L441" s="511"/>
      <c r="M441" s="511"/>
      <c r="N441" s="511"/>
      <c r="O441" s="511"/>
      <c r="P441" s="511"/>
      <c r="Q441" s="511"/>
      <c r="R441" s="511"/>
      <c r="S441" s="511"/>
      <c r="T441" s="511"/>
      <c r="U441" s="511"/>
      <c r="V441" s="511"/>
      <c r="W441" s="511"/>
      <c r="X441" s="511"/>
      <c r="Y441" s="511"/>
      <c r="Z441" s="511"/>
    </row>
    <row r="442" spans="1:26" ht="19.5" customHeight="1" x14ac:dyDescent="0.3">
      <c r="A442" s="511"/>
      <c r="B442" s="511"/>
      <c r="C442" s="511"/>
      <c r="D442" s="511"/>
      <c r="E442" s="511"/>
      <c r="F442" s="511"/>
      <c r="G442" s="511"/>
      <c r="H442" s="511"/>
      <c r="I442" s="511"/>
      <c r="J442" s="511"/>
      <c r="K442" s="511"/>
      <c r="L442" s="511"/>
      <c r="M442" s="511"/>
      <c r="N442" s="511"/>
      <c r="O442" s="511"/>
      <c r="P442" s="511"/>
      <c r="Q442" s="511"/>
      <c r="R442" s="511"/>
      <c r="S442" s="511"/>
      <c r="T442" s="511"/>
      <c r="U442" s="511"/>
      <c r="V442" s="511"/>
      <c r="W442" s="511"/>
      <c r="X442" s="511"/>
      <c r="Y442" s="511"/>
      <c r="Z442" s="511"/>
    </row>
    <row r="443" spans="1:26" ht="19.5" customHeight="1" x14ac:dyDescent="0.3">
      <c r="A443" s="511"/>
      <c r="B443" s="511"/>
      <c r="C443" s="511"/>
      <c r="D443" s="511"/>
      <c r="E443" s="511"/>
      <c r="F443" s="511"/>
      <c r="G443" s="511"/>
      <c r="H443" s="511"/>
      <c r="I443" s="511"/>
      <c r="J443" s="511"/>
      <c r="K443" s="511"/>
      <c r="L443" s="511"/>
      <c r="M443" s="511"/>
      <c r="N443" s="511"/>
      <c r="O443" s="511"/>
      <c r="P443" s="511"/>
      <c r="Q443" s="511"/>
      <c r="R443" s="511"/>
      <c r="S443" s="511"/>
      <c r="T443" s="511"/>
      <c r="U443" s="511"/>
      <c r="V443" s="511"/>
      <c r="W443" s="511"/>
      <c r="X443" s="511"/>
      <c r="Y443" s="511"/>
      <c r="Z443" s="511"/>
    </row>
    <row r="444" spans="1:26" ht="19.5" customHeight="1" x14ac:dyDescent="0.3">
      <c r="A444" s="511"/>
      <c r="B444" s="511"/>
      <c r="C444" s="511"/>
      <c r="D444" s="511"/>
      <c r="E444" s="511"/>
      <c r="F444" s="511"/>
      <c r="G444" s="511"/>
      <c r="H444" s="511"/>
      <c r="I444" s="511"/>
      <c r="J444" s="511"/>
      <c r="K444" s="511"/>
      <c r="L444" s="511"/>
      <c r="M444" s="511"/>
      <c r="N444" s="511"/>
      <c r="O444" s="511"/>
      <c r="P444" s="511"/>
      <c r="Q444" s="511"/>
      <c r="R444" s="511"/>
      <c r="S444" s="511"/>
      <c r="T444" s="511"/>
      <c r="U444" s="511"/>
      <c r="V444" s="511"/>
      <c r="W444" s="511"/>
      <c r="X444" s="511"/>
      <c r="Y444" s="511"/>
      <c r="Z444" s="511"/>
    </row>
    <row r="445" spans="1:26" ht="19.5" customHeight="1" x14ac:dyDescent="0.3">
      <c r="A445" s="511"/>
      <c r="B445" s="511"/>
      <c r="C445" s="511"/>
      <c r="D445" s="511"/>
      <c r="E445" s="511"/>
      <c r="F445" s="511"/>
      <c r="G445" s="511"/>
      <c r="H445" s="511"/>
      <c r="I445" s="511"/>
      <c r="J445" s="511"/>
      <c r="K445" s="511"/>
      <c r="L445" s="511"/>
      <c r="M445" s="511"/>
      <c r="N445" s="511"/>
      <c r="O445" s="511"/>
      <c r="P445" s="511"/>
      <c r="Q445" s="511"/>
      <c r="R445" s="511"/>
      <c r="S445" s="511"/>
      <c r="T445" s="511"/>
      <c r="U445" s="511"/>
      <c r="V445" s="511"/>
      <c r="W445" s="511"/>
      <c r="X445" s="511"/>
      <c r="Y445" s="511"/>
      <c r="Z445" s="511"/>
    </row>
    <row r="446" spans="1:26" ht="19.5" customHeight="1" x14ac:dyDescent="0.3">
      <c r="A446" s="511"/>
      <c r="B446" s="511"/>
      <c r="C446" s="511"/>
      <c r="D446" s="511"/>
      <c r="E446" s="511"/>
      <c r="F446" s="511"/>
      <c r="G446" s="511"/>
      <c r="H446" s="511"/>
      <c r="I446" s="511"/>
      <c r="J446" s="511"/>
      <c r="K446" s="511"/>
      <c r="L446" s="511"/>
      <c r="M446" s="511"/>
      <c r="N446" s="511"/>
      <c r="O446" s="511"/>
      <c r="P446" s="511"/>
      <c r="Q446" s="511"/>
      <c r="R446" s="511"/>
      <c r="S446" s="511"/>
      <c r="T446" s="511"/>
      <c r="U446" s="511"/>
      <c r="V446" s="511"/>
      <c r="W446" s="511"/>
      <c r="X446" s="511"/>
      <c r="Y446" s="511"/>
      <c r="Z446" s="511"/>
    </row>
    <row r="447" spans="1:26" ht="19.5" customHeight="1" x14ac:dyDescent="0.3">
      <c r="A447" s="511"/>
      <c r="B447" s="511"/>
      <c r="C447" s="511"/>
      <c r="D447" s="511"/>
      <c r="E447" s="511"/>
      <c r="F447" s="511"/>
      <c r="G447" s="511"/>
      <c r="H447" s="511"/>
      <c r="I447" s="511"/>
      <c r="J447" s="511"/>
      <c r="K447" s="511"/>
      <c r="L447" s="511"/>
      <c r="M447" s="511"/>
      <c r="N447" s="511"/>
      <c r="O447" s="511"/>
      <c r="P447" s="511"/>
      <c r="Q447" s="511"/>
      <c r="R447" s="511"/>
      <c r="S447" s="511"/>
      <c r="T447" s="511"/>
      <c r="U447" s="511"/>
      <c r="V447" s="511"/>
      <c r="W447" s="511"/>
      <c r="X447" s="511"/>
      <c r="Y447" s="511"/>
      <c r="Z447" s="511"/>
    </row>
    <row r="448" spans="1:26" ht="19.5" customHeight="1" x14ac:dyDescent="0.3">
      <c r="A448" s="511"/>
      <c r="B448" s="511"/>
      <c r="C448" s="511"/>
      <c r="D448" s="511"/>
      <c r="E448" s="511"/>
      <c r="F448" s="511"/>
      <c r="G448" s="511"/>
      <c r="H448" s="511"/>
      <c r="I448" s="511"/>
      <c r="J448" s="511"/>
      <c r="K448" s="511"/>
      <c r="L448" s="511"/>
      <c r="M448" s="511"/>
      <c r="N448" s="511"/>
      <c r="O448" s="511"/>
      <c r="P448" s="511"/>
      <c r="Q448" s="511"/>
      <c r="R448" s="511"/>
      <c r="S448" s="511"/>
      <c r="T448" s="511"/>
      <c r="U448" s="511"/>
      <c r="V448" s="511"/>
      <c r="W448" s="511"/>
      <c r="X448" s="511"/>
      <c r="Y448" s="511"/>
      <c r="Z448" s="511"/>
    </row>
    <row r="449" spans="1:26" ht="19.5" customHeight="1" x14ac:dyDescent="0.3">
      <c r="A449" s="511"/>
      <c r="B449" s="511"/>
      <c r="C449" s="511"/>
      <c r="D449" s="511"/>
      <c r="E449" s="511"/>
      <c r="F449" s="511"/>
      <c r="G449" s="511"/>
      <c r="H449" s="511"/>
      <c r="I449" s="511"/>
      <c r="J449" s="511"/>
      <c r="K449" s="511"/>
      <c r="L449" s="511"/>
      <c r="M449" s="511"/>
      <c r="N449" s="511"/>
      <c r="O449" s="511"/>
      <c r="P449" s="511"/>
      <c r="Q449" s="511"/>
      <c r="R449" s="511"/>
      <c r="S449" s="511"/>
      <c r="T449" s="511"/>
      <c r="U449" s="511"/>
      <c r="V449" s="511"/>
      <c r="W449" s="511"/>
      <c r="X449" s="511"/>
      <c r="Y449" s="511"/>
      <c r="Z449" s="511"/>
    </row>
    <row r="450" spans="1:26" ht="19.5" customHeight="1" x14ac:dyDescent="0.3">
      <c r="A450" s="511"/>
      <c r="B450" s="511"/>
      <c r="C450" s="511"/>
      <c r="D450" s="511"/>
      <c r="E450" s="511"/>
      <c r="F450" s="511"/>
      <c r="G450" s="511"/>
      <c r="H450" s="511"/>
      <c r="I450" s="511"/>
      <c r="J450" s="511"/>
      <c r="K450" s="511"/>
      <c r="L450" s="511"/>
      <c r="M450" s="511"/>
      <c r="N450" s="511"/>
      <c r="O450" s="511"/>
      <c r="P450" s="511"/>
      <c r="Q450" s="511"/>
      <c r="R450" s="511"/>
      <c r="S450" s="511"/>
      <c r="T450" s="511"/>
      <c r="U450" s="511"/>
      <c r="V450" s="511"/>
      <c r="W450" s="511"/>
      <c r="X450" s="511"/>
      <c r="Y450" s="511"/>
      <c r="Z450" s="511"/>
    </row>
    <row r="451" spans="1:26" ht="19.5" customHeight="1" x14ac:dyDescent="0.3">
      <c r="A451" s="511"/>
      <c r="B451" s="511"/>
      <c r="C451" s="511"/>
      <c r="D451" s="511"/>
      <c r="E451" s="511"/>
      <c r="F451" s="511"/>
      <c r="G451" s="511"/>
      <c r="H451" s="511"/>
      <c r="I451" s="511"/>
      <c r="J451" s="511"/>
      <c r="K451" s="511"/>
      <c r="L451" s="511"/>
      <c r="M451" s="511"/>
      <c r="N451" s="511"/>
      <c r="O451" s="511"/>
      <c r="P451" s="511"/>
      <c r="Q451" s="511"/>
      <c r="R451" s="511"/>
      <c r="S451" s="511"/>
      <c r="T451" s="511"/>
      <c r="U451" s="511"/>
      <c r="V451" s="511"/>
      <c r="W451" s="511"/>
      <c r="X451" s="511"/>
      <c r="Y451" s="511"/>
      <c r="Z451" s="511"/>
    </row>
    <row r="452" spans="1:26" ht="19.5" customHeight="1" x14ac:dyDescent="0.3">
      <c r="A452" s="511"/>
      <c r="B452" s="511"/>
      <c r="C452" s="511"/>
      <c r="D452" s="511"/>
      <c r="E452" s="511"/>
      <c r="F452" s="511"/>
      <c r="G452" s="511"/>
      <c r="H452" s="511"/>
      <c r="I452" s="511"/>
      <c r="J452" s="511"/>
      <c r="K452" s="511"/>
      <c r="L452" s="511"/>
      <c r="M452" s="511"/>
      <c r="N452" s="511"/>
      <c r="O452" s="511"/>
      <c r="P452" s="511"/>
      <c r="Q452" s="511"/>
      <c r="R452" s="511"/>
      <c r="S452" s="511"/>
      <c r="T452" s="511"/>
      <c r="U452" s="511"/>
      <c r="V452" s="511"/>
      <c r="W452" s="511"/>
      <c r="X452" s="511"/>
      <c r="Y452" s="511"/>
      <c r="Z452" s="511"/>
    </row>
    <row r="453" spans="1:26" ht="19.5" customHeight="1" x14ac:dyDescent="0.3">
      <c r="A453" s="511"/>
      <c r="B453" s="511"/>
      <c r="C453" s="511"/>
      <c r="D453" s="511"/>
      <c r="E453" s="511"/>
      <c r="F453" s="511"/>
      <c r="G453" s="511"/>
      <c r="H453" s="511"/>
      <c r="I453" s="511"/>
      <c r="J453" s="511"/>
      <c r="K453" s="511"/>
      <c r="L453" s="511"/>
      <c r="M453" s="511"/>
      <c r="N453" s="511"/>
      <c r="O453" s="511"/>
      <c r="P453" s="511"/>
      <c r="Q453" s="511"/>
      <c r="R453" s="511"/>
      <c r="S453" s="511"/>
      <c r="T453" s="511"/>
      <c r="U453" s="511"/>
      <c r="V453" s="511"/>
      <c r="W453" s="511"/>
      <c r="X453" s="511"/>
      <c r="Y453" s="511"/>
      <c r="Z453" s="511"/>
    </row>
    <row r="454" spans="1:26" ht="19.5" customHeight="1" x14ac:dyDescent="0.3">
      <c r="A454" s="511"/>
      <c r="B454" s="511"/>
      <c r="C454" s="511"/>
      <c r="D454" s="511"/>
      <c r="E454" s="511"/>
      <c r="F454" s="511"/>
      <c r="G454" s="511"/>
      <c r="H454" s="511"/>
      <c r="I454" s="511"/>
      <c r="J454" s="511"/>
      <c r="K454" s="511"/>
      <c r="L454" s="511"/>
      <c r="M454" s="511"/>
      <c r="N454" s="511"/>
      <c r="O454" s="511"/>
      <c r="P454" s="511"/>
      <c r="Q454" s="511"/>
      <c r="R454" s="511"/>
      <c r="S454" s="511"/>
      <c r="T454" s="511"/>
      <c r="U454" s="511"/>
      <c r="V454" s="511"/>
      <c r="W454" s="511"/>
      <c r="X454" s="511"/>
      <c r="Y454" s="511"/>
      <c r="Z454" s="511"/>
    </row>
    <row r="455" spans="1:26" ht="19.5" customHeight="1" x14ac:dyDescent="0.3">
      <c r="A455" s="511"/>
      <c r="B455" s="511"/>
      <c r="C455" s="511"/>
      <c r="D455" s="511"/>
      <c r="E455" s="511"/>
      <c r="F455" s="511"/>
      <c r="G455" s="511"/>
      <c r="H455" s="511"/>
      <c r="I455" s="511"/>
      <c r="J455" s="511"/>
      <c r="K455" s="511"/>
      <c r="L455" s="511"/>
      <c r="M455" s="511"/>
      <c r="N455" s="511"/>
      <c r="O455" s="511"/>
      <c r="P455" s="511"/>
      <c r="Q455" s="511"/>
      <c r="R455" s="511"/>
      <c r="S455" s="511"/>
      <c r="T455" s="511"/>
      <c r="U455" s="511"/>
      <c r="V455" s="511"/>
      <c r="W455" s="511"/>
      <c r="X455" s="511"/>
      <c r="Y455" s="511"/>
      <c r="Z455" s="511"/>
    </row>
    <row r="456" spans="1:26" ht="19.5" customHeight="1" x14ac:dyDescent="0.3">
      <c r="A456" s="511"/>
      <c r="B456" s="511"/>
      <c r="C456" s="511"/>
      <c r="D456" s="511"/>
      <c r="E456" s="511"/>
      <c r="F456" s="511"/>
      <c r="G456" s="511"/>
      <c r="H456" s="511"/>
      <c r="I456" s="511"/>
      <c r="J456" s="511"/>
      <c r="K456" s="511"/>
      <c r="L456" s="511"/>
      <c r="M456" s="511"/>
      <c r="N456" s="511"/>
      <c r="O456" s="511"/>
      <c r="P456" s="511"/>
      <c r="Q456" s="511"/>
      <c r="R456" s="511"/>
      <c r="S456" s="511"/>
      <c r="T456" s="511"/>
      <c r="U456" s="511"/>
      <c r="V456" s="511"/>
      <c r="W456" s="511"/>
      <c r="X456" s="511"/>
      <c r="Y456" s="511"/>
      <c r="Z456" s="511"/>
    </row>
    <row r="457" spans="1:26" ht="19.5" customHeight="1" x14ac:dyDescent="0.3">
      <c r="A457" s="511"/>
      <c r="B457" s="511"/>
      <c r="C457" s="511"/>
      <c r="D457" s="511"/>
      <c r="E457" s="511"/>
      <c r="F457" s="511"/>
      <c r="G457" s="511"/>
      <c r="H457" s="511"/>
      <c r="I457" s="511"/>
      <c r="J457" s="511"/>
      <c r="K457" s="511"/>
      <c r="L457" s="511"/>
      <c r="M457" s="511"/>
      <c r="N457" s="511"/>
      <c r="O457" s="511"/>
      <c r="P457" s="511"/>
      <c r="Q457" s="511"/>
      <c r="R457" s="511"/>
      <c r="S457" s="511"/>
      <c r="T457" s="511"/>
      <c r="U457" s="511"/>
      <c r="V457" s="511"/>
      <c r="W457" s="511"/>
      <c r="X457" s="511"/>
      <c r="Y457" s="511"/>
      <c r="Z457" s="511"/>
    </row>
    <row r="458" spans="1:26" ht="19.5" customHeight="1" x14ac:dyDescent="0.3">
      <c r="A458" s="511"/>
      <c r="B458" s="511"/>
      <c r="C458" s="511"/>
      <c r="D458" s="511"/>
      <c r="E458" s="511"/>
      <c r="F458" s="511"/>
      <c r="G458" s="511"/>
      <c r="H458" s="511"/>
      <c r="I458" s="511"/>
      <c r="J458" s="511"/>
      <c r="K458" s="511"/>
      <c r="L458" s="511"/>
      <c r="M458" s="511"/>
      <c r="N458" s="511"/>
      <c r="O458" s="511"/>
      <c r="P458" s="511"/>
      <c r="Q458" s="511"/>
      <c r="R458" s="511"/>
      <c r="S458" s="511"/>
      <c r="T458" s="511"/>
      <c r="U458" s="511"/>
      <c r="V458" s="511"/>
      <c r="W458" s="511"/>
      <c r="X458" s="511"/>
      <c r="Y458" s="511"/>
      <c r="Z458" s="511"/>
    </row>
    <row r="459" spans="1:26" ht="19.5" customHeight="1" x14ac:dyDescent="0.3">
      <c r="A459" s="511"/>
      <c r="B459" s="511"/>
      <c r="C459" s="511"/>
      <c r="D459" s="511"/>
      <c r="E459" s="511"/>
      <c r="F459" s="511"/>
      <c r="G459" s="511"/>
      <c r="H459" s="511"/>
      <c r="I459" s="511"/>
      <c r="J459" s="511"/>
      <c r="K459" s="511"/>
      <c r="L459" s="511"/>
      <c r="M459" s="511"/>
      <c r="N459" s="511"/>
      <c r="O459" s="511"/>
      <c r="P459" s="511"/>
      <c r="Q459" s="511"/>
      <c r="R459" s="511"/>
      <c r="S459" s="511"/>
      <c r="T459" s="511"/>
      <c r="U459" s="511"/>
      <c r="V459" s="511"/>
      <c r="W459" s="511"/>
      <c r="X459" s="511"/>
      <c r="Y459" s="511"/>
      <c r="Z459" s="511"/>
    </row>
    <row r="460" spans="1:26" ht="19.5" customHeight="1" x14ac:dyDescent="0.3">
      <c r="A460" s="511"/>
      <c r="B460" s="511"/>
      <c r="C460" s="511"/>
      <c r="D460" s="511"/>
      <c r="E460" s="511"/>
      <c r="F460" s="511"/>
      <c r="G460" s="511"/>
      <c r="H460" s="511"/>
      <c r="I460" s="511"/>
      <c r="J460" s="511"/>
      <c r="K460" s="511"/>
      <c r="L460" s="511"/>
      <c r="M460" s="511"/>
      <c r="N460" s="511"/>
      <c r="O460" s="511"/>
      <c r="P460" s="511"/>
      <c r="Q460" s="511"/>
      <c r="R460" s="511"/>
      <c r="S460" s="511"/>
      <c r="T460" s="511"/>
      <c r="U460" s="511"/>
      <c r="V460" s="511"/>
      <c r="W460" s="511"/>
      <c r="X460" s="511"/>
      <c r="Y460" s="511"/>
      <c r="Z460" s="511"/>
    </row>
    <row r="461" spans="1:26" ht="19.5" customHeight="1" x14ac:dyDescent="0.3">
      <c r="A461" s="511"/>
      <c r="B461" s="511"/>
      <c r="C461" s="511"/>
      <c r="D461" s="511"/>
      <c r="E461" s="511"/>
      <c r="F461" s="511"/>
      <c r="G461" s="511"/>
      <c r="H461" s="511"/>
      <c r="I461" s="511"/>
      <c r="J461" s="511"/>
      <c r="K461" s="511"/>
      <c r="L461" s="511"/>
      <c r="M461" s="511"/>
      <c r="N461" s="511"/>
      <c r="O461" s="511"/>
      <c r="P461" s="511"/>
      <c r="Q461" s="511"/>
      <c r="R461" s="511"/>
      <c r="S461" s="511"/>
      <c r="T461" s="511"/>
      <c r="U461" s="511"/>
      <c r="V461" s="511"/>
      <c r="W461" s="511"/>
      <c r="X461" s="511"/>
      <c r="Y461" s="511"/>
      <c r="Z461" s="511"/>
    </row>
    <row r="462" spans="1:26" ht="19.5" customHeight="1" x14ac:dyDescent="0.3">
      <c r="A462" s="511"/>
      <c r="B462" s="511"/>
      <c r="C462" s="511"/>
      <c r="D462" s="511"/>
      <c r="E462" s="511"/>
      <c r="F462" s="511"/>
      <c r="G462" s="511"/>
      <c r="H462" s="511"/>
      <c r="I462" s="511"/>
      <c r="J462" s="511"/>
      <c r="K462" s="511"/>
      <c r="L462" s="511"/>
      <c r="M462" s="511"/>
      <c r="N462" s="511"/>
      <c r="O462" s="511"/>
      <c r="P462" s="511"/>
      <c r="Q462" s="511"/>
      <c r="R462" s="511"/>
      <c r="S462" s="511"/>
      <c r="T462" s="511"/>
      <c r="U462" s="511"/>
      <c r="V462" s="511"/>
      <c r="W462" s="511"/>
      <c r="X462" s="511"/>
      <c r="Y462" s="511"/>
      <c r="Z462" s="511"/>
    </row>
    <row r="463" spans="1:26" ht="19.5" customHeight="1" x14ac:dyDescent="0.3">
      <c r="A463" s="511"/>
      <c r="B463" s="511"/>
      <c r="C463" s="511"/>
      <c r="D463" s="511"/>
      <c r="E463" s="511"/>
      <c r="F463" s="511"/>
      <c r="G463" s="511"/>
      <c r="H463" s="511"/>
      <c r="I463" s="511"/>
      <c r="J463" s="511"/>
      <c r="K463" s="511"/>
      <c r="L463" s="511"/>
      <c r="M463" s="511"/>
      <c r="N463" s="511"/>
      <c r="O463" s="511"/>
      <c r="P463" s="511"/>
      <c r="Q463" s="511"/>
      <c r="R463" s="511"/>
      <c r="S463" s="511"/>
      <c r="T463" s="511"/>
      <c r="U463" s="511"/>
      <c r="V463" s="511"/>
      <c r="W463" s="511"/>
      <c r="X463" s="511"/>
      <c r="Y463" s="511"/>
      <c r="Z463" s="511"/>
    </row>
    <row r="464" spans="1:26" ht="19.5" customHeight="1" x14ac:dyDescent="0.3">
      <c r="A464" s="511"/>
      <c r="B464" s="511"/>
      <c r="C464" s="511"/>
      <c r="D464" s="511"/>
      <c r="E464" s="511"/>
      <c r="F464" s="511"/>
      <c r="G464" s="511"/>
      <c r="H464" s="511"/>
      <c r="I464" s="511"/>
      <c r="J464" s="511"/>
      <c r="K464" s="511"/>
      <c r="L464" s="511"/>
      <c r="M464" s="511"/>
      <c r="N464" s="511"/>
      <c r="O464" s="511"/>
      <c r="P464" s="511"/>
      <c r="Q464" s="511"/>
      <c r="R464" s="511"/>
      <c r="S464" s="511"/>
      <c r="T464" s="511"/>
      <c r="U464" s="511"/>
      <c r="V464" s="511"/>
      <c r="W464" s="511"/>
      <c r="X464" s="511"/>
      <c r="Y464" s="511"/>
      <c r="Z464" s="511"/>
    </row>
    <row r="465" spans="1:26" ht="19.5" customHeight="1" x14ac:dyDescent="0.3">
      <c r="A465" s="511"/>
      <c r="B465" s="511"/>
      <c r="C465" s="511"/>
      <c r="D465" s="511"/>
      <c r="E465" s="511"/>
      <c r="F465" s="511"/>
      <c r="G465" s="511"/>
      <c r="H465" s="511"/>
      <c r="I465" s="511"/>
      <c r="J465" s="511"/>
      <c r="K465" s="511"/>
      <c r="L465" s="511"/>
      <c r="M465" s="511"/>
      <c r="N465" s="511"/>
      <c r="O465" s="511"/>
      <c r="P465" s="511"/>
      <c r="Q465" s="511"/>
      <c r="R465" s="511"/>
      <c r="S465" s="511"/>
      <c r="T465" s="511"/>
      <c r="U465" s="511"/>
      <c r="V465" s="511"/>
      <c r="W465" s="511"/>
      <c r="X465" s="511"/>
      <c r="Y465" s="511"/>
      <c r="Z465" s="511"/>
    </row>
    <row r="466" spans="1:26" ht="19.5" customHeight="1" x14ac:dyDescent="0.3">
      <c r="A466" s="511"/>
      <c r="B466" s="511"/>
      <c r="C466" s="511"/>
      <c r="D466" s="511"/>
      <c r="E466" s="511"/>
      <c r="F466" s="511"/>
      <c r="G466" s="511"/>
      <c r="H466" s="511"/>
      <c r="I466" s="511"/>
      <c r="J466" s="511"/>
      <c r="K466" s="511"/>
      <c r="L466" s="511"/>
      <c r="M466" s="511"/>
      <c r="N466" s="511"/>
      <c r="O466" s="511"/>
      <c r="P466" s="511"/>
      <c r="Q466" s="511"/>
      <c r="R466" s="511"/>
      <c r="S466" s="511"/>
      <c r="T466" s="511"/>
      <c r="U466" s="511"/>
      <c r="V466" s="511"/>
      <c r="W466" s="511"/>
      <c r="X466" s="511"/>
      <c r="Y466" s="511"/>
      <c r="Z466" s="511"/>
    </row>
    <row r="467" spans="1:26" ht="19.5" customHeight="1" x14ac:dyDescent="0.3">
      <c r="A467" s="511"/>
      <c r="B467" s="511"/>
      <c r="C467" s="511"/>
      <c r="D467" s="511"/>
      <c r="E467" s="511"/>
      <c r="F467" s="511"/>
      <c r="G467" s="511"/>
      <c r="H467" s="511"/>
      <c r="I467" s="511"/>
      <c r="J467" s="511"/>
      <c r="K467" s="511"/>
      <c r="L467" s="511"/>
      <c r="M467" s="511"/>
      <c r="N467" s="511"/>
      <c r="O467" s="511"/>
      <c r="P467" s="511"/>
      <c r="Q467" s="511"/>
      <c r="R467" s="511"/>
      <c r="S467" s="511"/>
      <c r="T467" s="511"/>
      <c r="U467" s="511"/>
      <c r="V467" s="511"/>
      <c r="W467" s="511"/>
      <c r="X467" s="511"/>
      <c r="Y467" s="511"/>
      <c r="Z467" s="511"/>
    </row>
    <row r="468" spans="1:26" ht="19.5" customHeight="1" x14ac:dyDescent="0.3">
      <c r="A468" s="511"/>
      <c r="B468" s="511"/>
      <c r="C468" s="511"/>
      <c r="D468" s="511"/>
      <c r="E468" s="511"/>
      <c r="F468" s="511"/>
      <c r="G468" s="511"/>
      <c r="H468" s="511"/>
      <c r="I468" s="511"/>
      <c r="J468" s="511"/>
      <c r="K468" s="511"/>
      <c r="L468" s="511"/>
      <c r="M468" s="511"/>
      <c r="N468" s="511"/>
      <c r="O468" s="511"/>
      <c r="P468" s="511"/>
      <c r="Q468" s="511"/>
      <c r="R468" s="511"/>
      <c r="S468" s="511"/>
      <c r="T468" s="511"/>
      <c r="U468" s="511"/>
      <c r="V468" s="511"/>
      <c r="W468" s="511"/>
      <c r="X468" s="511"/>
      <c r="Y468" s="511"/>
      <c r="Z468" s="511"/>
    </row>
    <row r="469" spans="1:26" ht="19.5" customHeight="1" x14ac:dyDescent="0.3">
      <c r="A469" s="511"/>
      <c r="B469" s="511"/>
      <c r="C469" s="511"/>
      <c r="D469" s="511"/>
      <c r="E469" s="511"/>
      <c r="F469" s="511"/>
      <c r="G469" s="511"/>
      <c r="H469" s="511"/>
      <c r="I469" s="511"/>
      <c r="J469" s="511"/>
      <c r="K469" s="511"/>
      <c r="L469" s="511"/>
      <c r="M469" s="511"/>
      <c r="N469" s="511"/>
      <c r="O469" s="511"/>
      <c r="P469" s="511"/>
      <c r="Q469" s="511"/>
      <c r="R469" s="511"/>
      <c r="S469" s="511"/>
      <c r="T469" s="511"/>
      <c r="U469" s="511"/>
      <c r="V469" s="511"/>
      <c r="W469" s="511"/>
      <c r="X469" s="511"/>
      <c r="Y469" s="511"/>
      <c r="Z469" s="511"/>
    </row>
    <row r="470" spans="1:26" ht="19.5" customHeight="1" x14ac:dyDescent="0.3">
      <c r="A470" s="511"/>
      <c r="B470" s="511"/>
      <c r="C470" s="511"/>
      <c r="D470" s="511"/>
      <c r="E470" s="511"/>
      <c r="F470" s="511"/>
      <c r="G470" s="511"/>
      <c r="H470" s="511"/>
      <c r="I470" s="511"/>
      <c r="J470" s="511"/>
      <c r="K470" s="511"/>
      <c r="L470" s="511"/>
      <c r="M470" s="511"/>
      <c r="N470" s="511"/>
      <c r="O470" s="511"/>
      <c r="P470" s="511"/>
      <c r="Q470" s="511"/>
      <c r="R470" s="511"/>
      <c r="S470" s="511"/>
      <c r="T470" s="511"/>
      <c r="U470" s="511"/>
      <c r="V470" s="511"/>
      <c r="W470" s="511"/>
      <c r="X470" s="511"/>
      <c r="Y470" s="511"/>
      <c r="Z470" s="511"/>
    </row>
    <row r="471" spans="1:26" ht="19.5" customHeight="1" x14ac:dyDescent="0.3">
      <c r="A471" s="511"/>
      <c r="B471" s="511"/>
      <c r="C471" s="511"/>
      <c r="D471" s="511"/>
      <c r="E471" s="511"/>
      <c r="F471" s="511"/>
      <c r="G471" s="511"/>
      <c r="H471" s="511"/>
      <c r="I471" s="511"/>
      <c r="J471" s="511"/>
      <c r="K471" s="511"/>
      <c r="L471" s="511"/>
      <c r="M471" s="511"/>
      <c r="N471" s="511"/>
      <c r="O471" s="511"/>
      <c r="P471" s="511"/>
      <c r="Q471" s="511"/>
      <c r="R471" s="511"/>
      <c r="S471" s="511"/>
      <c r="T471" s="511"/>
      <c r="U471" s="511"/>
      <c r="V471" s="511"/>
      <c r="W471" s="511"/>
      <c r="X471" s="511"/>
      <c r="Y471" s="511"/>
      <c r="Z471" s="511"/>
    </row>
    <row r="472" spans="1:26" ht="19.5" customHeight="1" x14ac:dyDescent="0.3">
      <c r="A472" s="511"/>
      <c r="B472" s="511"/>
      <c r="C472" s="511"/>
      <c r="D472" s="511"/>
      <c r="E472" s="511"/>
      <c r="F472" s="511"/>
      <c r="G472" s="511"/>
      <c r="H472" s="511"/>
      <c r="I472" s="511"/>
      <c r="J472" s="511"/>
      <c r="K472" s="511"/>
      <c r="L472" s="511"/>
      <c r="M472" s="511"/>
      <c r="N472" s="511"/>
      <c r="O472" s="511"/>
      <c r="P472" s="511"/>
      <c r="Q472" s="511"/>
      <c r="R472" s="511"/>
      <c r="S472" s="511"/>
      <c r="T472" s="511"/>
      <c r="U472" s="511"/>
      <c r="V472" s="511"/>
      <c r="W472" s="511"/>
      <c r="X472" s="511"/>
      <c r="Y472" s="511"/>
      <c r="Z472" s="511"/>
    </row>
    <row r="473" spans="1:26" ht="19.5" customHeight="1" x14ac:dyDescent="0.3">
      <c r="A473" s="511"/>
      <c r="B473" s="511"/>
      <c r="C473" s="511"/>
      <c r="D473" s="511"/>
      <c r="E473" s="511"/>
      <c r="F473" s="511"/>
      <c r="G473" s="511"/>
      <c r="H473" s="511"/>
      <c r="I473" s="511"/>
      <c r="J473" s="511"/>
      <c r="K473" s="511"/>
      <c r="L473" s="511"/>
      <c r="M473" s="511"/>
      <c r="N473" s="511"/>
      <c r="O473" s="511"/>
      <c r="P473" s="511"/>
      <c r="Q473" s="511"/>
      <c r="R473" s="511"/>
      <c r="S473" s="511"/>
      <c r="T473" s="511"/>
      <c r="U473" s="511"/>
      <c r="V473" s="511"/>
      <c r="W473" s="511"/>
      <c r="X473" s="511"/>
      <c r="Y473" s="511"/>
      <c r="Z473" s="511"/>
    </row>
    <row r="474" spans="1:26" ht="19.5" customHeight="1" x14ac:dyDescent="0.3">
      <c r="A474" s="511"/>
      <c r="B474" s="511"/>
      <c r="C474" s="511"/>
      <c r="D474" s="511"/>
      <c r="E474" s="511"/>
      <c r="F474" s="511"/>
      <c r="G474" s="511"/>
      <c r="H474" s="511"/>
      <c r="I474" s="511"/>
      <c r="J474" s="511"/>
      <c r="K474" s="511"/>
      <c r="L474" s="511"/>
      <c r="M474" s="511"/>
      <c r="N474" s="511"/>
      <c r="O474" s="511"/>
      <c r="P474" s="511"/>
      <c r="Q474" s="511"/>
      <c r="R474" s="511"/>
      <c r="S474" s="511"/>
      <c r="T474" s="511"/>
      <c r="U474" s="511"/>
      <c r="V474" s="511"/>
      <c r="W474" s="511"/>
      <c r="X474" s="511"/>
      <c r="Y474" s="511"/>
      <c r="Z474" s="511"/>
    </row>
    <row r="475" spans="1:26" ht="19.5" customHeight="1" x14ac:dyDescent="0.3">
      <c r="A475" s="511"/>
      <c r="B475" s="511"/>
      <c r="C475" s="511"/>
      <c r="D475" s="511"/>
      <c r="E475" s="511"/>
      <c r="F475" s="511"/>
      <c r="G475" s="511"/>
      <c r="H475" s="511"/>
      <c r="I475" s="511"/>
      <c r="J475" s="511"/>
      <c r="K475" s="511"/>
      <c r="L475" s="511"/>
      <c r="M475" s="511"/>
      <c r="N475" s="511"/>
      <c r="O475" s="511"/>
      <c r="P475" s="511"/>
      <c r="Q475" s="511"/>
      <c r="R475" s="511"/>
      <c r="S475" s="511"/>
      <c r="T475" s="511"/>
      <c r="U475" s="511"/>
      <c r="V475" s="511"/>
      <c r="W475" s="511"/>
      <c r="X475" s="511"/>
      <c r="Y475" s="511"/>
      <c r="Z475" s="511"/>
    </row>
    <row r="476" spans="1:26" ht="19.5" customHeight="1" x14ac:dyDescent="0.3">
      <c r="A476" s="511"/>
      <c r="B476" s="511"/>
      <c r="C476" s="511"/>
      <c r="D476" s="511"/>
      <c r="E476" s="511"/>
      <c r="F476" s="511"/>
      <c r="G476" s="511"/>
      <c r="H476" s="511"/>
      <c r="I476" s="511"/>
      <c r="J476" s="511"/>
      <c r="K476" s="511"/>
      <c r="L476" s="511"/>
      <c r="M476" s="511"/>
      <c r="N476" s="511"/>
      <c r="O476" s="511"/>
      <c r="P476" s="511"/>
      <c r="Q476" s="511"/>
      <c r="R476" s="511"/>
      <c r="S476" s="511"/>
      <c r="T476" s="511"/>
      <c r="U476" s="511"/>
      <c r="V476" s="511"/>
      <c r="W476" s="511"/>
      <c r="X476" s="511"/>
      <c r="Y476" s="511"/>
      <c r="Z476" s="511"/>
    </row>
    <row r="477" spans="1:26" ht="19.5" customHeight="1" x14ac:dyDescent="0.3">
      <c r="A477" s="511"/>
      <c r="B477" s="511"/>
      <c r="C477" s="511"/>
      <c r="D477" s="511"/>
      <c r="E477" s="511"/>
      <c r="F477" s="511"/>
      <c r="G477" s="511"/>
      <c r="H477" s="511"/>
      <c r="I477" s="511"/>
      <c r="J477" s="511"/>
      <c r="K477" s="511"/>
      <c r="L477" s="511"/>
      <c r="M477" s="511"/>
      <c r="N477" s="511"/>
      <c r="O477" s="511"/>
      <c r="P477" s="511"/>
      <c r="Q477" s="511"/>
      <c r="R477" s="511"/>
      <c r="S477" s="511"/>
      <c r="T477" s="511"/>
      <c r="U477" s="511"/>
      <c r="V477" s="511"/>
      <c r="W477" s="511"/>
      <c r="X477" s="511"/>
      <c r="Y477" s="511"/>
      <c r="Z477" s="511"/>
    </row>
    <row r="478" spans="1:26" ht="19.5" customHeight="1" x14ac:dyDescent="0.3">
      <c r="A478" s="511"/>
      <c r="B478" s="511"/>
      <c r="C478" s="511"/>
      <c r="D478" s="511"/>
      <c r="E478" s="511"/>
      <c r="F478" s="511"/>
      <c r="G478" s="511"/>
      <c r="H478" s="511"/>
      <c r="I478" s="511"/>
      <c r="J478" s="511"/>
      <c r="K478" s="511"/>
      <c r="L478" s="511"/>
      <c r="M478" s="511"/>
      <c r="N478" s="511"/>
      <c r="O478" s="511"/>
      <c r="P478" s="511"/>
      <c r="Q478" s="511"/>
      <c r="R478" s="511"/>
      <c r="S478" s="511"/>
      <c r="T478" s="511"/>
      <c r="U478" s="511"/>
      <c r="V478" s="511"/>
      <c r="W478" s="511"/>
      <c r="X478" s="511"/>
      <c r="Y478" s="511"/>
      <c r="Z478" s="511"/>
    </row>
    <row r="479" spans="1:26" ht="19.5" customHeight="1" x14ac:dyDescent="0.3">
      <c r="A479" s="511"/>
      <c r="B479" s="511"/>
      <c r="C479" s="511"/>
      <c r="D479" s="511"/>
      <c r="E479" s="511"/>
      <c r="F479" s="511"/>
      <c r="G479" s="511"/>
      <c r="H479" s="511"/>
      <c r="I479" s="511"/>
      <c r="J479" s="511"/>
      <c r="K479" s="511"/>
      <c r="L479" s="511"/>
      <c r="M479" s="511"/>
      <c r="N479" s="511"/>
      <c r="O479" s="511"/>
      <c r="P479" s="511"/>
      <c r="Q479" s="511"/>
      <c r="R479" s="511"/>
      <c r="S479" s="511"/>
      <c r="T479" s="511"/>
      <c r="U479" s="511"/>
      <c r="V479" s="511"/>
      <c r="W479" s="511"/>
      <c r="X479" s="511"/>
      <c r="Y479" s="511"/>
      <c r="Z479" s="511"/>
    </row>
    <row r="480" spans="1:26" ht="19.5" customHeight="1" x14ac:dyDescent="0.3">
      <c r="A480" s="511"/>
      <c r="B480" s="511"/>
      <c r="C480" s="511"/>
      <c r="D480" s="511"/>
      <c r="E480" s="511"/>
      <c r="F480" s="511"/>
      <c r="G480" s="511"/>
      <c r="H480" s="511"/>
      <c r="I480" s="511"/>
      <c r="J480" s="511"/>
      <c r="K480" s="511"/>
      <c r="L480" s="511"/>
      <c r="M480" s="511"/>
      <c r="N480" s="511"/>
      <c r="O480" s="511"/>
      <c r="P480" s="511"/>
      <c r="Q480" s="511"/>
      <c r="R480" s="511"/>
      <c r="S480" s="511"/>
      <c r="T480" s="511"/>
      <c r="U480" s="511"/>
      <c r="V480" s="511"/>
      <c r="W480" s="511"/>
      <c r="X480" s="511"/>
      <c r="Y480" s="511"/>
      <c r="Z480" s="511"/>
    </row>
    <row r="481" spans="1:26" ht="19.5" customHeight="1" x14ac:dyDescent="0.3">
      <c r="A481" s="511"/>
      <c r="B481" s="511"/>
      <c r="C481" s="511"/>
      <c r="D481" s="511"/>
      <c r="E481" s="511"/>
      <c r="F481" s="511"/>
      <c r="G481" s="511"/>
      <c r="H481" s="511"/>
      <c r="I481" s="511"/>
      <c r="J481" s="511"/>
      <c r="K481" s="511"/>
      <c r="L481" s="511"/>
      <c r="M481" s="511"/>
      <c r="N481" s="511"/>
      <c r="O481" s="511"/>
      <c r="P481" s="511"/>
      <c r="Q481" s="511"/>
      <c r="R481" s="511"/>
      <c r="S481" s="511"/>
      <c r="T481" s="511"/>
      <c r="U481" s="511"/>
      <c r="V481" s="511"/>
      <c r="W481" s="511"/>
      <c r="X481" s="511"/>
      <c r="Y481" s="511"/>
      <c r="Z481" s="511"/>
    </row>
    <row r="482" spans="1:26" ht="19.5" customHeight="1" x14ac:dyDescent="0.3">
      <c r="A482" s="511"/>
      <c r="B482" s="511"/>
      <c r="C482" s="511"/>
      <c r="D482" s="511"/>
      <c r="E482" s="511"/>
      <c r="F482" s="511"/>
      <c r="G482" s="511"/>
      <c r="H482" s="511"/>
      <c r="I482" s="511"/>
      <c r="J482" s="511"/>
      <c r="K482" s="511"/>
      <c r="L482" s="511"/>
      <c r="M482" s="511"/>
      <c r="N482" s="511"/>
      <c r="O482" s="511"/>
      <c r="P482" s="511"/>
      <c r="Q482" s="511"/>
      <c r="R482" s="511"/>
      <c r="S482" s="511"/>
      <c r="T482" s="511"/>
      <c r="U482" s="511"/>
      <c r="V482" s="511"/>
      <c r="W482" s="511"/>
      <c r="X482" s="511"/>
      <c r="Y482" s="511"/>
      <c r="Z482" s="511"/>
    </row>
    <row r="483" spans="1:26" ht="19.5" customHeight="1" x14ac:dyDescent="0.3">
      <c r="A483" s="511"/>
      <c r="B483" s="511"/>
      <c r="C483" s="511"/>
      <c r="D483" s="511"/>
      <c r="E483" s="511"/>
      <c r="F483" s="511"/>
      <c r="G483" s="511"/>
      <c r="H483" s="511"/>
      <c r="I483" s="511"/>
      <c r="J483" s="511"/>
      <c r="K483" s="511"/>
      <c r="L483" s="511"/>
      <c r="M483" s="511"/>
      <c r="N483" s="511"/>
      <c r="O483" s="511"/>
      <c r="P483" s="511"/>
      <c r="Q483" s="511"/>
      <c r="R483" s="511"/>
      <c r="S483" s="511"/>
      <c r="T483" s="511"/>
      <c r="U483" s="511"/>
      <c r="V483" s="511"/>
      <c r="W483" s="511"/>
      <c r="X483" s="511"/>
      <c r="Y483" s="511"/>
      <c r="Z483" s="511"/>
    </row>
    <row r="484" spans="1:26" ht="19.5" customHeight="1" x14ac:dyDescent="0.3">
      <c r="A484" s="511"/>
      <c r="B484" s="511"/>
      <c r="C484" s="511"/>
      <c r="D484" s="511"/>
      <c r="E484" s="511"/>
      <c r="F484" s="511"/>
      <c r="G484" s="511"/>
      <c r="H484" s="511"/>
      <c r="I484" s="511"/>
      <c r="J484" s="511"/>
      <c r="K484" s="511"/>
      <c r="L484" s="511"/>
      <c r="M484" s="511"/>
      <c r="N484" s="511"/>
      <c r="O484" s="511"/>
      <c r="P484" s="511"/>
      <c r="Q484" s="511"/>
      <c r="R484" s="511"/>
      <c r="S484" s="511"/>
      <c r="T484" s="511"/>
      <c r="U484" s="511"/>
      <c r="V484" s="511"/>
      <c r="W484" s="511"/>
      <c r="X484" s="511"/>
      <c r="Y484" s="511"/>
      <c r="Z484" s="511"/>
    </row>
    <row r="485" spans="1:26" ht="19.5" customHeight="1" x14ac:dyDescent="0.3">
      <c r="A485" s="511"/>
      <c r="B485" s="511"/>
      <c r="C485" s="511"/>
      <c r="D485" s="511"/>
      <c r="E485" s="511"/>
      <c r="F485" s="511"/>
      <c r="G485" s="511"/>
      <c r="H485" s="511"/>
      <c r="I485" s="511"/>
      <c r="J485" s="511"/>
      <c r="K485" s="511"/>
      <c r="L485" s="511"/>
      <c r="M485" s="511"/>
      <c r="N485" s="511"/>
      <c r="O485" s="511"/>
      <c r="P485" s="511"/>
      <c r="Q485" s="511"/>
      <c r="R485" s="511"/>
      <c r="S485" s="511"/>
      <c r="T485" s="511"/>
      <c r="U485" s="511"/>
      <c r="V485" s="511"/>
      <c r="W485" s="511"/>
      <c r="X485" s="511"/>
      <c r="Y485" s="511"/>
      <c r="Z485" s="511"/>
    </row>
    <row r="486" spans="1:26" ht="19.5" customHeight="1" x14ac:dyDescent="0.3">
      <c r="A486" s="511"/>
      <c r="B486" s="511"/>
      <c r="C486" s="511"/>
      <c r="D486" s="511"/>
      <c r="E486" s="511"/>
      <c r="F486" s="511"/>
      <c r="G486" s="511"/>
      <c r="H486" s="511"/>
      <c r="I486" s="511"/>
      <c r="J486" s="511"/>
      <c r="K486" s="511"/>
      <c r="L486" s="511"/>
      <c r="M486" s="511"/>
      <c r="N486" s="511"/>
      <c r="O486" s="511"/>
      <c r="P486" s="511"/>
      <c r="Q486" s="511"/>
      <c r="R486" s="511"/>
      <c r="S486" s="511"/>
      <c r="T486" s="511"/>
      <c r="U486" s="511"/>
      <c r="V486" s="511"/>
      <c r="W486" s="511"/>
      <c r="X486" s="511"/>
      <c r="Y486" s="511"/>
      <c r="Z486" s="511"/>
    </row>
    <row r="487" spans="1:26" ht="19.5" customHeight="1" x14ac:dyDescent="0.3">
      <c r="A487" s="511"/>
      <c r="B487" s="511"/>
      <c r="C487" s="511"/>
      <c r="D487" s="511"/>
      <c r="E487" s="511"/>
      <c r="F487" s="511"/>
      <c r="G487" s="511"/>
      <c r="H487" s="511"/>
      <c r="I487" s="511"/>
      <c r="J487" s="511"/>
      <c r="K487" s="511"/>
      <c r="L487" s="511"/>
      <c r="M487" s="511"/>
      <c r="N487" s="511"/>
      <c r="O487" s="511"/>
      <c r="P487" s="511"/>
      <c r="Q487" s="511"/>
      <c r="R487" s="511"/>
      <c r="S487" s="511"/>
      <c r="T487" s="511"/>
      <c r="U487" s="511"/>
      <c r="V487" s="511"/>
      <c r="W487" s="511"/>
      <c r="X487" s="511"/>
      <c r="Y487" s="511"/>
      <c r="Z487" s="511"/>
    </row>
    <row r="488" spans="1:26" ht="19.5" customHeight="1" x14ac:dyDescent="0.3">
      <c r="A488" s="511"/>
      <c r="B488" s="511"/>
      <c r="C488" s="511"/>
      <c r="D488" s="511"/>
      <c r="E488" s="511"/>
      <c r="F488" s="511"/>
      <c r="G488" s="511"/>
      <c r="H488" s="511"/>
      <c r="I488" s="511"/>
      <c r="J488" s="511"/>
      <c r="K488" s="511"/>
      <c r="L488" s="511"/>
      <c r="M488" s="511"/>
      <c r="N488" s="511"/>
      <c r="O488" s="511"/>
      <c r="P488" s="511"/>
      <c r="Q488" s="511"/>
      <c r="R488" s="511"/>
      <c r="S488" s="511"/>
      <c r="T488" s="511"/>
      <c r="U488" s="511"/>
      <c r="V488" s="511"/>
      <c r="W488" s="511"/>
      <c r="X488" s="511"/>
      <c r="Y488" s="511"/>
      <c r="Z488" s="511"/>
    </row>
    <row r="489" spans="1:26" ht="19.5" customHeight="1" x14ac:dyDescent="0.3">
      <c r="A489" s="511"/>
      <c r="B489" s="511"/>
      <c r="C489" s="511"/>
      <c r="D489" s="511"/>
      <c r="E489" s="511"/>
      <c r="F489" s="511"/>
      <c r="G489" s="511"/>
      <c r="H489" s="511"/>
      <c r="I489" s="511"/>
      <c r="J489" s="511"/>
      <c r="K489" s="511"/>
      <c r="L489" s="511"/>
      <c r="M489" s="511"/>
      <c r="N489" s="511"/>
      <c r="O489" s="511"/>
      <c r="P489" s="511"/>
      <c r="Q489" s="511"/>
      <c r="R489" s="511"/>
      <c r="S489" s="511"/>
      <c r="T489" s="511"/>
      <c r="U489" s="511"/>
      <c r="V489" s="511"/>
      <c r="W489" s="511"/>
      <c r="X489" s="511"/>
      <c r="Y489" s="511"/>
      <c r="Z489" s="511"/>
    </row>
    <row r="490" spans="1:26" ht="19.5" customHeight="1" x14ac:dyDescent="0.3">
      <c r="A490" s="511"/>
      <c r="B490" s="511"/>
      <c r="C490" s="511"/>
      <c r="D490" s="511"/>
      <c r="E490" s="511"/>
      <c r="F490" s="511"/>
      <c r="G490" s="511"/>
      <c r="H490" s="511"/>
      <c r="I490" s="511"/>
      <c r="J490" s="511"/>
      <c r="K490" s="511"/>
      <c r="L490" s="511"/>
      <c r="M490" s="511"/>
      <c r="N490" s="511"/>
      <c r="O490" s="511"/>
      <c r="P490" s="511"/>
      <c r="Q490" s="511"/>
      <c r="R490" s="511"/>
      <c r="S490" s="511"/>
      <c r="T490" s="511"/>
      <c r="U490" s="511"/>
      <c r="V490" s="511"/>
      <c r="W490" s="511"/>
      <c r="X490" s="511"/>
      <c r="Y490" s="511"/>
      <c r="Z490" s="511"/>
    </row>
    <row r="491" spans="1:26" ht="19.5" customHeight="1" x14ac:dyDescent="0.3">
      <c r="A491" s="511"/>
      <c r="B491" s="511"/>
      <c r="C491" s="511"/>
      <c r="D491" s="511"/>
      <c r="E491" s="511"/>
      <c r="F491" s="511"/>
      <c r="G491" s="511"/>
      <c r="H491" s="511"/>
      <c r="I491" s="511"/>
      <c r="J491" s="511"/>
      <c r="K491" s="511"/>
      <c r="L491" s="511"/>
      <c r="M491" s="511"/>
      <c r="N491" s="511"/>
      <c r="O491" s="511"/>
      <c r="P491" s="511"/>
      <c r="Q491" s="511"/>
      <c r="R491" s="511"/>
      <c r="S491" s="511"/>
      <c r="T491" s="511"/>
      <c r="U491" s="511"/>
      <c r="V491" s="511"/>
      <c r="W491" s="511"/>
      <c r="X491" s="511"/>
      <c r="Y491" s="511"/>
      <c r="Z491" s="511"/>
    </row>
    <row r="492" spans="1:26" ht="19.5" customHeight="1" x14ac:dyDescent="0.3">
      <c r="A492" s="511"/>
      <c r="B492" s="511"/>
      <c r="C492" s="511"/>
      <c r="D492" s="511"/>
      <c r="E492" s="511"/>
      <c r="F492" s="511"/>
      <c r="G492" s="511"/>
      <c r="H492" s="511"/>
      <c r="I492" s="511"/>
      <c r="J492" s="511"/>
      <c r="K492" s="511"/>
      <c r="L492" s="511"/>
      <c r="M492" s="511"/>
      <c r="N492" s="511"/>
      <c r="O492" s="511"/>
      <c r="P492" s="511"/>
      <c r="Q492" s="511"/>
      <c r="R492" s="511"/>
      <c r="S492" s="511"/>
      <c r="T492" s="511"/>
      <c r="U492" s="511"/>
      <c r="V492" s="511"/>
      <c r="W492" s="511"/>
      <c r="X492" s="511"/>
      <c r="Y492" s="511"/>
      <c r="Z492" s="511"/>
    </row>
    <row r="493" spans="1:26" ht="19.5" customHeight="1" x14ac:dyDescent="0.3">
      <c r="A493" s="511"/>
      <c r="B493" s="511"/>
      <c r="C493" s="511"/>
      <c r="D493" s="511"/>
      <c r="E493" s="511"/>
      <c r="F493" s="511"/>
      <c r="G493" s="511"/>
      <c r="H493" s="511"/>
      <c r="I493" s="511"/>
      <c r="J493" s="511"/>
      <c r="K493" s="511"/>
      <c r="L493" s="511"/>
      <c r="M493" s="511"/>
      <c r="N493" s="511"/>
      <c r="O493" s="511"/>
      <c r="P493" s="511"/>
      <c r="Q493" s="511"/>
      <c r="R493" s="511"/>
      <c r="S493" s="511"/>
      <c r="T493" s="511"/>
      <c r="U493" s="511"/>
      <c r="V493" s="511"/>
      <c r="W493" s="511"/>
      <c r="X493" s="511"/>
      <c r="Y493" s="511"/>
      <c r="Z493" s="511"/>
    </row>
    <row r="494" spans="1:26" ht="19.5" customHeight="1" x14ac:dyDescent="0.3">
      <c r="A494" s="511"/>
      <c r="B494" s="511"/>
      <c r="C494" s="511"/>
      <c r="D494" s="511"/>
      <c r="E494" s="511"/>
      <c r="F494" s="511"/>
      <c r="G494" s="511"/>
      <c r="H494" s="511"/>
      <c r="I494" s="511"/>
      <c r="J494" s="511"/>
      <c r="K494" s="511"/>
      <c r="L494" s="511"/>
      <c r="M494" s="511"/>
      <c r="N494" s="511"/>
      <c r="O494" s="511"/>
      <c r="P494" s="511"/>
      <c r="Q494" s="511"/>
      <c r="R494" s="511"/>
      <c r="S494" s="511"/>
      <c r="T494" s="511"/>
      <c r="U494" s="511"/>
      <c r="V494" s="511"/>
      <c r="W494" s="511"/>
      <c r="X494" s="511"/>
      <c r="Y494" s="511"/>
      <c r="Z494" s="511"/>
    </row>
    <row r="495" spans="1:26" ht="19.5" customHeight="1" x14ac:dyDescent="0.3">
      <c r="A495" s="511"/>
      <c r="B495" s="511"/>
      <c r="C495" s="511"/>
      <c r="D495" s="511"/>
      <c r="E495" s="511"/>
      <c r="F495" s="511"/>
      <c r="G495" s="511"/>
      <c r="H495" s="511"/>
      <c r="I495" s="511"/>
      <c r="J495" s="511"/>
      <c r="K495" s="511"/>
      <c r="L495" s="511"/>
      <c r="M495" s="511"/>
      <c r="N495" s="511"/>
      <c r="O495" s="511"/>
      <c r="P495" s="511"/>
      <c r="Q495" s="511"/>
      <c r="R495" s="511"/>
      <c r="S495" s="511"/>
      <c r="T495" s="511"/>
      <c r="U495" s="511"/>
      <c r="V495" s="511"/>
      <c r="W495" s="511"/>
      <c r="X495" s="511"/>
      <c r="Y495" s="511"/>
      <c r="Z495" s="511"/>
    </row>
    <row r="496" spans="1:26" ht="19.5" customHeight="1" x14ac:dyDescent="0.3">
      <c r="A496" s="511"/>
      <c r="B496" s="511"/>
      <c r="C496" s="511"/>
      <c r="D496" s="511"/>
      <c r="E496" s="511"/>
      <c r="F496" s="511"/>
      <c r="G496" s="511"/>
      <c r="H496" s="511"/>
      <c r="I496" s="511"/>
      <c r="J496" s="511"/>
      <c r="K496" s="511"/>
      <c r="L496" s="511"/>
      <c r="M496" s="511"/>
      <c r="N496" s="511"/>
      <c r="O496" s="511"/>
      <c r="P496" s="511"/>
      <c r="Q496" s="511"/>
      <c r="R496" s="511"/>
      <c r="S496" s="511"/>
      <c r="T496" s="511"/>
      <c r="U496" s="511"/>
      <c r="V496" s="511"/>
      <c r="W496" s="511"/>
      <c r="X496" s="511"/>
      <c r="Y496" s="511"/>
      <c r="Z496" s="511"/>
    </row>
    <row r="497" spans="1:26" ht="19.5" customHeight="1" x14ac:dyDescent="0.3">
      <c r="A497" s="511"/>
      <c r="B497" s="511"/>
      <c r="C497" s="511"/>
      <c r="D497" s="511"/>
      <c r="E497" s="511"/>
      <c r="F497" s="511"/>
      <c r="G497" s="511"/>
      <c r="H497" s="511"/>
      <c r="I497" s="511"/>
      <c r="J497" s="511"/>
      <c r="K497" s="511"/>
      <c r="L497" s="511"/>
      <c r="M497" s="511"/>
      <c r="N497" s="511"/>
      <c r="O497" s="511"/>
      <c r="P497" s="511"/>
      <c r="Q497" s="511"/>
      <c r="R497" s="511"/>
      <c r="S497" s="511"/>
      <c r="T497" s="511"/>
      <c r="U497" s="511"/>
      <c r="V497" s="511"/>
      <c r="W497" s="511"/>
      <c r="X497" s="511"/>
      <c r="Y497" s="511"/>
      <c r="Z497" s="511"/>
    </row>
    <row r="498" spans="1:26" ht="19.5" customHeight="1" x14ac:dyDescent="0.3">
      <c r="A498" s="511"/>
      <c r="B498" s="511"/>
      <c r="C498" s="511"/>
      <c r="D498" s="511"/>
      <c r="E498" s="511"/>
      <c r="F498" s="511"/>
      <c r="G498" s="511"/>
      <c r="H498" s="511"/>
      <c r="I498" s="511"/>
      <c r="J498" s="511"/>
      <c r="K498" s="511"/>
      <c r="L498" s="511"/>
      <c r="M498" s="511"/>
      <c r="N498" s="511"/>
      <c r="O498" s="511"/>
      <c r="P498" s="511"/>
      <c r="Q498" s="511"/>
      <c r="R498" s="511"/>
      <c r="S498" s="511"/>
      <c r="T498" s="511"/>
      <c r="U498" s="511"/>
      <c r="V498" s="511"/>
      <c r="W498" s="511"/>
      <c r="X498" s="511"/>
      <c r="Y498" s="511"/>
      <c r="Z498" s="511"/>
    </row>
    <row r="499" spans="1:26" ht="19.5" customHeight="1" x14ac:dyDescent="0.3">
      <c r="A499" s="511"/>
      <c r="B499" s="511"/>
      <c r="C499" s="511"/>
      <c r="D499" s="511"/>
      <c r="E499" s="511"/>
      <c r="F499" s="511"/>
      <c r="G499" s="511"/>
      <c r="H499" s="511"/>
      <c r="I499" s="511"/>
      <c r="J499" s="511"/>
      <c r="K499" s="511"/>
      <c r="L499" s="511"/>
      <c r="M499" s="511"/>
      <c r="N499" s="511"/>
      <c r="O499" s="511"/>
      <c r="P499" s="511"/>
      <c r="Q499" s="511"/>
      <c r="R499" s="511"/>
      <c r="S499" s="511"/>
      <c r="T499" s="511"/>
      <c r="U499" s="511"/>
      <c r="V499" s="511"/>
      <c r="W499" s="511"/>
      <c r="X499" s="511"/>
      <c r="Y499" s="511"/>
      <c r="Z499" s="511"/>
    </row>
    <row r="500" spans="1:26" ht="19.5" customHeight="1" x14ac:dyDescent="0.3">
      <c r="A500" s="511"/>
      <c r="B500" s="511"/>
      <c r="C500" s="511"/>
      <c r="D500" s="511"/>
      <c r="E500" s="511"/>
      <c r="F500" s="511"/>
      <c r="G500" s="511"/>
      <c r="H500" s="511"/>
      <c r="I500" s="511"/>
      <c r="J500" s="511"/>
      <c r="K500" s="511"/>
      <c r="L500" s="511"/>
      <c r="M500" s="511"/>
      <c r="N500" s="511"/>
      <c r="O500" s="511"/>
      <c r="P500" s="511"/>
      <c r="Q500" s="511"/>
      <c r="R500" s="511"/>
      <c r="S500" s="511"/>
      <c r="T500" s="511"/>
      <c r="U500" s="511"/>
      <c r="V500" s="511"/>
      <c r="W500" s="511"/>
      <c r="X500" s="511"/>
      <c r="Y500" s="511"/>
      <c r="Z500" s="511"/>
    </row>
    <row r="501" spans="1:26" ht="19.5" customHeight="1" x14ac:dyDescent="0.3">
      <c r="A501" s="511"/>
      <c r="B501" s="511"/>
      <c r="C501" s="511"/>
      <c r="D501" s="511"/>
      <c r="E501" s="511"/>
      <c r="F501" s="511"/>
      <c r="G501" s="511"/>
      <c r="H501" s="511"/>
      <c r="I501" s="511"/>
      <c r="J501" s="511"/>
      <c r="K501" s="511"/>
      <c r="L501" s="511"/>
      <c r="M501" s="511"/>
      <c r="N501" s="511"/>
      <c r="O501" s="511"/>
      <c r="P501" s="511"/>
      <c r="Q501" s="511"/>
      <c r="R501" s="511"/>
      <c r="S501" s="511"/>
      <c r="T501" s="511"/>
      <c r="U501" s="511"/>
      <c r="V501" s="511"/>
      <c r="W501" s="511"/>
      <c r="X501" s="511"/>
      <c r="Y501" s="511"/>
      <c r="Z501" s="511"/>
    </row>
    <row r="502" spans="1:26" ht="19.5" customHeight="1" x14ac:dyDescent="0.3">
      <c r="A502" s="511"/>
      <c r="B502" s="511"/>
      <c r="C502" s="511"/>
      <c r="D502" s="511"/>
      <c r="E502" s="511"/>
      <c r="F502" s="511"/>
      <c r="G502" s="511"/>
      <c r="H502" s="511"/>
      <c r="I502" s="511"/>
      <c r="J502" s="511"/>
      <c r="K502" s="511"/>
      <c r="L502" s="511"/>
      <c r="M502" s="511"/>
      <c r="N502" s="511"/>
      <c r="O502" s="511"/>
      <c r="P502" s="511"/>
      <c r="Q502" s="511"/>
      <c r="R502" s="511"/>
      <c r="S502" s="511"/>
      <c r="T502" s="511"/>
      <c r="U502" s="511"/>
      <c r="V502" s="511"/>
      <c r="W502" s="511"/>
      <c r="X502" s="511"/>
      <c r="Y502" s="511"/>
      <c r="Z502" s="511"/>
    </row>
    <row r="503" spans="1:26" ht="19.5" customHeight="1" x14ac:dyDescent="0.3">
      <c r="A503" s="511"/>
      <c r="B503" s="511"/>
      <c r="C503" s="511"/>
      <c r="D503" s="511"/>
      <c r="E503" s="511"/>
      <c r="F503" s="511"/>
      <c r="G503" s="511"/>
      <c r="H503" s="511"/>
      <c r="I503" s="511"/>
      <c r="J503" s="511"/>
      <c r="K503" s="511"/>
      <c r="L503" s="511"/>
      <c r="M503" s="511"/>
      <c r="N503" s="511"/>
      <c r="O503" s="511"/>
      <c r="P503" s="511"/>
      <c r="Q503" s="511"/>
      <c r="R503" s="511"/>
      <c r="S503" s="511"/>
      <c r="T503" s="511"/>
      <c r="U503" s="511"/>
      <c r="V503" s="511"/>
      <c r="W503" s="511"/>
      <c r="X503" s="511"/>
      <c r="Y503" s="511"/>
      <c r="Z503" s="511"/>
    </row>
    <row r="504" spans="1:26" ht="19.5" customHeight="1" x14ac:dyDescent="0.3">
      <c r="A504" s="511"/>
      <c r="B504" s="511"/>
      <c r="C504" s="511"/>
      <c r="D504" s="511"/>
      <c r="E504" s="511"/>
      <c r="F504" s="511"/>
      <c r="G504" s="511"/>
      <c r="H504" s="511"/>
      <c r="I504" s="511"/>
      <c r="J504" s="511"/>
      <c r="K504" s="511"/>
      <c r="L504" s="511"/>
      <c r="M504" s="511"/>
      <c r="N504" s="511"/>
      <c r="O504" s="511"/>
      <c r="P504" s="511"/>
      <c r="Q504" s="511"/>
      <c r="R504" s="511"/>
      <c r="S504" s="511"/>
      <c r="T504" s="511"/>
      <c r="U504" s="511"/>
      <c r="V504" s="511"/>
      <c r="W504" s="511"/>
      <c r="X504" s="511"/>
      <c r="Y504" s="511"/>
      <c r="Z504" s="511"/>
    </row>
    <row r="505" spans="1:26" ht="19.5" customHeight="1" x14ac:dyDescent="0.3">
      <c r="A505" s="511"/>
      <c r="B505" s="511"/>
      <c r="C505" s="511"/>
      <c r="D505" s="511"/>
      <c r="E505" s="511"/>
      <c r="F505" s="511"/>
      <c r="G505" s="511"/>
      <c r="H505" s="511"/>
      <c r="I505" s="511"/>
      <c r="J505" s="511"/>
      <c r="K505" s="511"/>
      <c r="L505" s="511"/>
      <c r="M505" s="511"/>
      <c r="N505" s="511"/>
      <c r="O505" s="511"/>
      <c r="P505" s="511"/>
      <c r="Q505" s="511"/>
      <c r="R505" s="511"/>
      <c r="S505" s="511"/>
      <c r="T505" s="511"/>
      <c r="U505" s="511"/>
      <c r="V505" s="511"/>
      <c r="W505" s="511"/>
      <c r="X505" s="511"/>
      <c r="Y505" s="511"/>
      <c r="Z505" s="511"/>
    </row>
    <row r="506" spans="1:26" ht="19.5" customHeight="1" x14ac:dyDescent="0.3">
      <c r="A506" s="511"/>
      <c r="B506" s="511"/>
      <c r="C506" s="511"/>
      <c r="D506" s="511"/>
      <c r="E506" s="511"/>
      <c r="F506" s="511"/>
      <c r="G506" s="511"/>
      <c r="H506" s="511"/>
      <c r="I506" s="511"/>
      <c r="J506" s="511"/>
      <c r="K506" s="511"/>
      <c r="L506" s="511"/>
      <c r="M506" s="511"/>
      <c r="N506" s="511"/>
      <c r="O506" s="511"/>
      <c r="P506" s="511"/>
      <c r="Q506" s="511"/>
      <c r="R506" s="511"/>
      <c r="S506" s="511"/>
      <c r="T506" s="511"/>
      <c r="U506" s="511"/>
      <c r="V506" s="511"/>
      <c r="W506" s="511"/>
      <c r="X506" s="511"/>
      <c r="Y506" s="511"/>
      <c r="Z506" s="511"/>
    </row>
    <row r="507" spans="1:26" ht="19.5" customHeight="1" x14ac:dyDescent="0.3">
      <c r="A507" s="511"/>
      <c r="B507" s="511"/>
      <c r="C507" s="511"/>
      <c r="D507" s="511"/>
      <c r="E507" s="511"/>
      <c r="F507" s="511"/>
      <c r="G507" s="511"/>
      <c r="H507" s="511"/>
      <c r="I507" s="511"/>
      <c r="J507" s="511"/>
      <c r="K507" s="511"/>
      <c r="L507" s="511"/>
      <c r="M507" s="511"/>
      <c r="N507" s="511"/>
      <c r="O507" s="511"/>
      <c r="P507" s="511"/>
      <c r="Q507" s="511"/>
      <c r="R507" s="511"/>
      <c r="S507" s="511"/>
      <c r="T507" s="511"/>
      <c r="U507" s="511"/>
      <c r="V507" s="511"/>
      <c r="W507" s="511"/>
      <c r="X507" s="511"/>
      <c r="Y507" s="511"/>
      <c r="Z507" s="511"/>
    </row>
    <row r="508" spans="1:26" ht="19.5" customHeight="1" x14ac:dyDescent="0.3">
      <c r="A508" s="511"/>
      <c r="B508" s="511"/>
      <c r="C508" s="511"/>
      <c r="D508" s="511"/>
      <c r="E508" s="511"/>
      <c r="F508" s="511"/>
      <c r="G508" s="511"/>
      <c r="H508" s="511"/>
      <c r="I508" s="511"/>
      <c r="J508" s="511"/>
      <c r="K508" s="511"/>
      <c r="L508" s="511"/>
      <c r="M508" s="511"/>
      <c r="N508" s="511"/>
      <c r="O508" s="511"/>
      <c r="P508" s="511"/>
      <c r="Q508" s="511"/>
      <c r="R508" s="511"/>
      <c r="S508" s="511"/>
      <c r="T508" s="511"/>
      <c r="U508" s="511"/>
      <c r="V508" s="511"/>
      <c r="W508" s="511"/>
      <c r="X508" s="511"/>
      <c r="Y508" s="511"/>
      <c r="Z508" s="511"/>
    </row>
    <row r="509" spans="1:26" ht="19.5" customHeight="1" x14ac:dyDescent="0.3">
      <c r="A509" s="511"/>
      <c r="B509" s="511"/>
      <c r="C509" s="511"/>
      <c r="D509" s="511"/>
      <c r="E509" s="511"/>
      <c r="F509" s="511"/>
      <c r="G509" s="511"/>
      <c r="H509" s="511"/>
      <c r="I509" s="511"/>
      <c r="J509" s="511"/>
      <c r="K509" s="511"/>
      <c r="L509" s="511"/>
      <c r="M509" s="511"/>
      <c r="N509" s="511"/>
      <c r="O509" s="511"/>
      <c r="P509" s="511"/>
      <c r="Q509" s="511"/>
      <c r="R509" s="511"/>
      <c r="S509" s="511"/>
      <c r="T509" s="511"/>
      <c r="U509" s="511"/>
      <c r="V509" s="511"/>
      <c r="W509" s="511"/>
      <c r="X509" s="511"/>
      <c r="Y509" s="511"/>
      <c r="Z509" s="511"/>
    </row>
    <row r="510" spans="1:26" ht="19.5" customHeight="1" x14ac:dyDescent="0.3">
      <c r="A510" s="511"/>
      <c r="B510" s="511"/>
      <c r="C510" s="511"/>
      <c r="D510" s="511"/>
      <c r="E510" s="511"/>
      <c r="F510" s="511"/>
      <c r="G510" s="511"/>
      <c r="H510" s="511"/>
      <c r="I510" s="511"/>
      <c r="J510" s="511"/>
      <c r="K510" s="511"/>
      <c r="L510" s="511"/>
      <c r="M510" s="511"/>
      <c r="N510" s="511"/>
      <c r="O510" s="511"/>
      <c r="P510" s="511"/>
      <c r="Q510" s="511"/>
      <c r="R510" s="511"/>
      <c r="S510" s="511"/>
      <c r="T510" s="511"/>
      <c r="U510" s="511"/>
      <c r="V510" s="511"/>
      <c r="W510" s="511"/>
      <c r="X510" s="511"/>
      <c r="Y510" s="511"/>
      <c r="Z510" s="511"/>
    </row>
    <row r="511" spans="1:26" ht="19.5" customHeight="1" x14ac:dyDescent="0.3">
      <c r="A511" s="511"/>
      <c r="B511" s="511"/>
      <c r="C511" s="511"/>
      <c r="D511" s="511"/>
      <c r="E511" s="511"/>
      <c r="F511" s="511"/>
      <c r="G511" s="511"/>
      <c r="H511" s="511"/>
      <c r="I511" s="511"/>
      <c r="J511" s="511"/>
      <c r="K511" s="511"/>
      <c r="L511" s="511"/>
      <c r="M511" s="511"/>
      <c r="N511" s="511"/>
      <c r="O511" s="511"/>
      <c r="P511" s="511"/>
      <c r="Q511" s="511"/>
      <c r="R511" s="511"/>
      <c r="S511" s="511"/>
      <c r="T511" s="511"/>
      <c r="U511" s="511"/>
      <c r="V511" s="511"/>
      <c r="W511" s="511"/>
      <c r="X511" s="511"/>
      <c r="Y511" s="511"/>
      <c r="Z511" s="511"/>
    </row>
    <row r="512" spans="1:26" ht="19.5" customHeight="1" x14ac:dyDescent="0.3">
      <c r="A512" s="511"/>
      <c r="B512" s="511"/>
      <c r="C512" s="511"/>
      <c r="D512" s="511"/>
      <c r="E512" s="511"/>
      <c r="F512" s="511"/>
      <c r="G512" s="511"/>
      <c r="H512" s="511"/>
      <c r="I512" s="511"/>
      <c r="J512" s="511"/>
      <c r="K512" s="511"/>
      <c r="L512" s="511"/>
      <c r="M512" s="511"/>
      <c r="N512" s="511"/>
      <c r="O512" s="511"/>
      <c r="P512" s="511"/>
      <c r="Q512" s="511"/>
      <c r="R512" s="511"/>
      <c r="S512" s="511"/>
      <c r="T512" s="511"/>
      <c r="U512" s="511"/>
      <c r="V512" s="511"/>
      <c r="W512" s="511"/>
      <c r="X512" s="511"/>
      <c r="Y512" s="511"/>
      <c r="Z512" s="511"/>
    </row>
    <row r="513" spans="1:26" ht="19.5" customHeight="1" x14ac:dyDescent="0.3">
      <c r="A513" s="511"/>
      <c r="B513" s="511"/>
      <c r="C513" s="511"/>
      <c r="D513" s="511"/>
      <c r="E513" s="511"/>
      <c r="F513" s="511"/>
      <c r="G513" s="511"/>
      <c r="H513" s="511"/>
      <c r="I513" s="511"/>
      <c r="J513" s="511"/>
      <c r="K513" s="511"/>
      <c r="L513" s="511"/>
      <c r="M513" s="511"/>
      <c r="N513" s="511"/>
      <c r="O513" s="511"/>
      <c r="P513" s="511"/>
      <c r="Q513" s="511"/>
      <c r="R513" s="511"/>
      <c r="S513" s="511"/>
      <c r="T513" s="511"/>
      <c r="U513" s="511"/>
      <c r="V513" s="511"/>
      <c r="W513" s="511"/>
      <c r="X513" s="511"/>
      <c r="Y513" s="511"/>
      <c r="Z513" s="511"/>
    </row>
    <row r="514" spans="1:26" ht="19.5" customHeight="1" x14ac:dyDescent="0.3">
      <c r="A514" s="511"/>
      <c r="B514" s="511"/>
      <c r="C514" s="511"/>
      <c r="D514" s="511"/>
      <c r="E514" s="511"/>
      <c r="F514" s="511"/>
      <c r="G514" s="511"/>
      <c r="H514" s="511"/>
      <c r="I514" s="511"/>
      <c r="J514" s="511"/>
      <c r="K514" s="511"/>
      <c r="L514" s="511"/>
      <c r="M514" s="511"/>
      <c r="N514" s="511"/>
      <c r="O514" s="511"/>
      <c r="P514" s="511"/>
      <c r="Q514" s="511"/>
      <c r="R514" s="511"/>
      <c r="S514" s="511"/>
      <c r="T514" s="511"/>
      <c r="U514" s="511"/>
      <c r="V514" s="511"/>
      <c r="W514" s="511"/>
      <c r="X514" s="511"/>
      <c r="Y514" s="511"/>
      <c r="Z514" s="511"/>
    </row>
    <row r="515" spans="1:26" ht="19.5" customHeight="1" x14ac:dyDescent="0.3">
      <c r="A515" s="511"/>
      <c r="B515" s="511"/>
      <c r="C515" s="511"/>
      <c r="D515" s="511"/>
      <c r="E515" s="511"/>
      <c r="F515" s="511"/>
      <c r="G515" s="511"/>
      <c r="H515" s="511"/>
      <c r="I515" s="511"/>
      <c r="J515" s="511"/>
      <c r="K515" s="511"/>
      <c r="L515" s="511"/>
      <c r="M515" s="511"/>
      <c r="N515" s="511"/>
      <c r="O515" s="511"/>
      <c r="P515" s="511"/>
      <c r="Q515" s="511"/>
      <c r="R515" s="511"/>
      <c r="S515" s="511"/>
      <c r="T515" s="511"/>
      <c r="U515" s="511"/>
      <c r="V515" s="511"/>
      <c r="W515" s="511"/>
      <c r="X515" s="511"/>
      <c r="Y515" s="511"/>
      <c r="Z515" s="511"/>
    </row>
    <row r="516" spans="1:26" ht="19.5" customHeight="1" x14ac:dyDescent="0.3">
      <c r="A516" s="511"/>
      <c r="B516" s="511"/>
      <c r="C516" s="511"/>
      <c r="D516" s="511"/>
      <c r="E516" s="511"/>
      <c r="F516" s="511"/>
      <c r="G516" s="511"/>
      <c r="H516" s="511"/>
      <c r="I516" s="511"/>
      <c r="J516" s="511"/>
      <c r="K516" s="511"/>
      <c r="L516" s="511"/>
      <c r="M516" s="511"/>
      <c r="N516" s="511"/>
      <c r="O516" s="511"/>
      <c r="P516" s="511"/>
      <c r="Q516" s="511"/>
      <c r="R516" s="511"/>
      <c r="S516" s="511"/>
      <c r="T516" s="511"/>
      <c r="U516" s="511"/>
      <c r="V516" s="511"/>
      <c r="W516" s="511"/>
      <c r="X516" s="511"/>
      <c r="Y516" s="511"/>
      <c r="Z516" s="511"/>
    </row>
    <row r="517" spans="1:26" ht="19.5" customHeight="1" x14ac:dyDescent="0.3">
      <c r="A517" s="511"/>
      <c r="B517" s="511"/>
      <c r="C517" s="511"/>
      <c r="D517" s="511"/>
      <c r="E517" s="511"/>
      <c r="F517" s="511"/>
      <c r="G517" s="511"/>
      <c r="H517" s="511"/>
      <c r="I517" s="511"/>
      <c r="J517" s="511"/>
      <c r="K517" s="511"/>
      <c r="L517" s="511"/>
      <c r="M517" s="511"/>
      <c r="N517" s="511"/>
      <c r="O517" s="511"/>
      <c r="P517" s="511"/>
      <c r="Q517" s="511"/>
      <c r="R517" s="511"/>
      <c r="S517" s="511"/>
      <c r="T517" s="511"/>
      <c r="U517" s="511"/>
      <c r="V517" s="511"/>
      <c r="W517" s="511"/>
      <c r="X517" s="511"/>
      <c r="Y517" s="511"/>
      <c r="Z517" s="511"/>
    </row>
    <row r="518" spans="1:26" ht="19.5" customHeight="1" x14ac:dyDescent="0.3">
      <c r="A518" s="511"/>
      <c r="B518" s="511"/>
      <c r="C518" s="511"/>
      <c r="D518" s="511"/>
      <c r="E518" s="511"/>
      <c r="F518" s="511"/>
      <c r="G518" s="511"/>
      <c r="H518" s="511"/>
      <c r="I518" s="511"/>
      <c r="J518" s="511"/>
      <c r="K518" s="511"/>
      <c r="L518" s="511"/>
      <c r="M518" s="511"/>
      <c r="N518" s="511"/>
      <c r="O518" s="511"/>
      <c r="P518" s="511"/>
      <c r="Q518" s="511"/>
      <c r="R518" s="511"/>
      <c r="S518" s="511"/>
      <c r="T518" s="511"/>
      <c r="U518" s="511"/>
      <c r="V518" s="511"/>
      <c r="W518" s="511"/>
      <c r="X518" s="511"/>
      <c r="Y518" s="511"/>
      <c r="Z518" s="511"/>
    </row>
    <row r="519" spans="1:26" ht="19.5" customHeight="1" x14ac:dyDescent="0.3">
      <c r="A519" s="511"/>
      <c r="B519" s="511"/>
      <c r="C519" s="511"/>
      <c r="D519" s="511"/>
      <c r="E519" s="511"/>
      <c r="F519" s="511"/>
      <c r="G519" s="511"/>
      <c r="H519" s="511"/>
      <c r="I519" s="511"/>
      <c r="J519" s="511"/>
      <c r="K519" s="511"/>
      <c r="L519" s="511"/>
      <c r="M519" s="511"/>
      <c r="N519" s="511"/>
      <c r="O519" s="511"/>
      <c r="P519" s="511"/>
      <c r="Q519" s="511"/>
      <c r="R519" s="511"/>
      <c r="S519" s="511"/>
      <c r="T519" s="511"/>
      <c r="U519" s="511"/>
      <c r="V519" s="511"/>
      <c r="W519" s="511"/>
      <c r="X519" s="511"/>
      <c r="Y519" s="511"/>
      <c r="Z519" s="511"/>
    </row>
    <row r="520" spans="1:26" ht="19.5" customHeight="1" x14ac:dyDescent="0.3">
      <c r="A520" s="511"/>
      <c r="B520" s="511"/>
      <c r="C520" s="511"/>
      <c r="D520" s="511"/>
      <c r="E520" s="511"/>
      <c r="F520" s="511"/>
      <c r="G520" s="511"/>
      <c r="H520" s="511"/>
      <c r="I520" s="511"/>
      <c r="J520" s="511"/>
      <c r="K520" s="511"/>
      <c r="L520" s="511"/>
      <c r="M520" s="511"/>
      <c r="N520" s="511"/>
      <c r="O520" s="511"/>
      <c r="P520" s="511"/>
      <c r="Q520" s="511"/>
      <c r="R520" s="511"/>
      <c r="S520" s="511"/>
      <c r="T520" s="511"/>
      <c r="U520" s="511"/>
      <c r="V520" s="511"/>
      <c r="W520" s="511"/>
      <c r="X520" s="511"/>
      <c r="Y520" s="511"/>
      <c r="Z520" s="511"/>
    </row>
    <row r="521" spans="1:26" ht="19.5" customHeight="1" x14ac:dyDescent="0.3">
      <c r="A521" s="511"/>
      <c r="B521" s="511"/>
      <c r="C521" s="511"/>
      <c r="D521" s="511"/>
      <c r="E521" s="511"/>
      <c r="F521" s="511"/>
      <c r="G521" s="511"/>
      <c r="H521" s="511"/>
      <c r="I521" s="511"/>
      <c r="J521" s="511"/>
      <c r="K521" s="511"/>
      <c r="L521" s="511"/>
      <c r="M521" s="511"/>
      <c r="N521" s="511"/>
      <c r="O521" s="511"/>
      <c r="P521" s="511"/>
      <c r="Q521" s="511"/>
      <c r="R521" s="511"/>
      <c r="S521" s="511"/>
      <c r="T521" s="511"/>
      <c r="U521" s="511"/>
      <c r="V521" s="511"/>
      <c r="W521" s="511"/>
      <c r="X521" s="511"/>
      <c r="Y521" s="511"/>
      <c r="Z521" s="511"/>
    </row>
    <row r="522" spans="1:26" ht="19.5" customHeight="1" x14ac:dyDescent="0.3">
      <c r="A522" s="511"/>
      <c r="B522" s="511"/>
      <c r="C522" s="511"/>
      <c r="D522" s="511"/>
      <c r="E522" s="511"/>
      <c r="F522" s="511"/>
      <c r="G522" s="511"/>
      <c r="H522" s="511"/>
      <c r="I522" s="511"/>
      <c r="J522" s="511"/>
      <c r="K522" s="511"/>
      <c r="L522" s="511"/>
      <c r="M522" s="511"/>
      <c r="N522" s="511"/>
      <c r="O522" s="511"/>
      <c r="P522" s="511"/>
      <c r="Q522" s="511"/>
      <c r="R522" s="511"/>
      <c r="S522" s="511"/>
      <c r="T522" s="511"/>
      <c r="U522" s="511"/>
      <c r="V522" s="511"/>
      <c r="W522" s="511"/>
      <c r="X522" s="511"/>
      <c r="Y522" s="511"/>
      <c r="Z522" s="511"/>
    </row>
    <row r="523" spans="1:26" ht="19.5" customHeight="1" x14ac:dyDescent="0.3">
      <c r="A523" s="511"/>
      <c r="B523" s="511"/>
      <c r="C523" s="511"/>
      <c r="D523" s="511"/>
      <c r="E523" s="511"/>
      <c r="F523" s="511"/>
      <c r="G523" s="511"/>
      <c r="H523" s="511"/>
      <c r="I523" s="511"/>
      <c r="J523" s="511"/>
      <c r="K523" s="511"/>
      <c r="L523" s="511"/>
      <c r="M523" s="511"/>
      <c r="N523" s="511"/>
      <c r="O523" s="511"/>
      <c r="P523" s="511"/>
      <c r="Q523" s="511"/>
      <c r="R523" s="511"/>
      <c r="S523" s="511"/>
      <c r="T523" s="511"/>
      <c r="U523" s="511"/>
      <c r="V523" s="511"/>
      <c r="W523" s="511"/>
      <c r="X523" s="511"/>
      <c r="Y523" s="511"/>
      <c r="Z523" s="511"/>
    </row>
    <row r="524" spans="1:26" ht="19.5" customHeight="1" x14ac:dyDescent="0.3">
      <c r="A524" s="511"/>
      <c r="B524" s="511"/>
      <c r="C524" s="511"/>
      <c r="D524" s="511"/>
      <c r="E524" s="511"/>
      <c r="F524" s="511"/>
      <c r="G524" s="511"/>
      <c r="H524" s="511"/>
      <c r="I524" s="511"/>
      <c r="J524" s="511"/>
      <c r="K524" s="511"/>
      <c r="L524" s="511"/>
      <c r="M524" s="511"/>
      <c r="N524" s="511"/>
      <c r="O524" s="511"/>
      <c r="P524" s="511"/>
      <c r="Q524" s="511"/>
      <c r="R524" s="511"/>
      <c r="S524" s="511"/>
      <c r="T524" s="511"/>
      <c r="U524" s="511"/>
      <c r="V524" s="511"/>
      <c r="W524" s="511"/>
      <c r="X524" s="511"/>
      <c r="Y524" s="511"/>
      <c r="Z524" s="511"/>
    </row>
    <row r="525" spans="1:26" ht="19.5" customHeight="1" x14ac:dyDescent="0.3">
      <c r="A525" s="511"/>
      <c r="B525" s="511"/>
      <c r="C525" s="511"/>
      <c r="D525" s="511"/>
      <c r="E525" s="511"/>
      <c r="F525" s="511"/>
      <c r="G525" s="511"/>
      <c r="H525" s="511"/>
      <c r="I525" s="511"/>
      <c r="J525" s="511"/>
      <c r="K525" s="511"/>
      <c r="L525" s="511"/>
      <c r="M525" s="511"/>
      <c r="N525" s="511"/>
      <c r="O525" s="511"/>
      <c r="P525" s="511"/>
      <c r="Q525" s="511"/>
      <c r="R525" s="511"/>
      <c r="S525" s="511"/>
      <c r="T525" s="511"/>
      <c r="U525" s="511"/>
      <c r="V525" s="511"/>
      <c r="W525" s="511"/>
      <c r="X525" s="511"/>
      <c r="Y525" s="511"/>
      <c r="Z525" s="511"/>
    </row>
    <row r="526" spans="1:26" ht="19.5" customHeight="1" x14ac:dyDescent="0.3">
      <c r="A526" s="511"/>
      <c r="B526" s="511"/>
      <c r="C526" s="511"/>
      <c r="D526" s="511"/>
      <c r="E526" s="511"/>
      <c r="F526" s="511"/>
      <c r="G526" s="511"/>
      <c r="H526" s="511"/>
      <c r="I526" s="511"/>
      <c r="J526" s="511"/>
      <c r="K526" s="511"/>
      <c r="L526" s="511"/>
      <c r="M526" s="511"/>
      <c r="N526" s="511"/>
      <c r="O526" s="511"/>
      <c r="P526" s="511"/>
      <c r="Q526" s="511"/>
      <c r="R526" s="511"/>
      <c r="S526" s="511"/>
      <c r="T526" s="511"/>
      <c r="U526" s="511"/>
      <c r="V526" s="511"/>
      <c r="W526" s="511"/>
      <c r="X526" s="511"/>
      <c r="Y526" s="511"/>
      <c r="Z526" s="511"/>
    </row>
    <row r="527" spans="1:26" ht="19.5" customHeight="1" x14ac:dyDescent="0.3">
      <c r="A527" s="511"/>
      <c r="B527" s="511"/>
      <c r="C527" s="511"/>
      <c r="D527" s="511"/>
      <c r="E527" s="511"/>
      <c r="F527" s="511"/>
      <c r="G527" s="511"/>
      <c r="H527" s="511"/>
      <c r="I527" s="511"/>
      <c r="J527" s="511"/>
      <c r="K527" s="511"/>
      <c r="L527" s="511"/>
      <c r="M527" s="511"/>
      <c r="N527" s="511"/>
      <c r="O527" s="511"/>
      <c r="P527" s="511"/>
      <c r="Q527" s="511"/>
      <c r="R527" s="511"/>
      <c r="S527" s="511"/>
      <c r="T527" s="511"/>
      <c r="U527" s="511"/>
      <c r="V527" s="511"/>
      <c r="W527" s="511"/>
      <c r="X527" s="511"/>
      <c r="Y527" s="511"/>
      <c r="Z527" s="511"/>
    </row>
    <row r="528" spans="1:26" ht="19.5" customHeight="1" x14ac:dyDescent="0.3">
      <c r="A528" s="511"/>
      <c r="B528" s="511"/>
      <c r="C528" s="511"/>
      <c r="D528" s="511"/>
      <c r="E528" s="511"/>
      <c r="F528" s="511"/>
      <c r="G528" s="511"/>
      <c r="H528" s="511"/>
      <c r="I528" s="511"/>
      <c r="J528" s="511"/>
      <c r="K528" s="511"/>
      <c r="L528" s="511"/>
      <c r="M528" s="511"/>
      <c r="N528" s="511"/>
      <c r="O528" s="511"/>
      <c r="P528" s="511"/>
      <c r="Q528" s="511"/>
      <c r="R528" s="511"/>
      <c r="S528" s="511"/>
      <c r="T528" s="511"/>
      <c r="U528" s="511"/>
      <c r="V528" s="511"/>
      <c r="W528" s="511"/>
      <c r="X528" s="511"/>
      <c r="Y528" s="511"/>
      <c r="Z528" s="511"/>
    </row>
    <row r="529" spans="1:26" ht="19.5" customHeight="1" x14ac:dyDescent="0.3">
      <c r="A529" s="511"/>
      <c r="B529" s="511"/>
      <c r="C529" s="511"/>
      <c r="D529" s="511"/>
      <c r="E529" s="511"/>
      <c r="F529" s="511"/>
      <c r="G529" s="511"/>
      <c r="H529" s="511"/>
      <c r="I529" s="511"/>
      <c r="J529" s="511"/>
      <c r="K529" s="511"/>
      <c r="L529" s="511"/>
      <c r="M529" s="511"/>
      <c r="N529" s="511"/>
      <c r="O529" s="511"/>
      <c r="P529" s="511"/>
      <c r="Q529" s="511"/>
      <c r="R529" s="511"/>
      <c r="S529" s="511"/>
      <c r="T529" s="511"/>
      <c r="U529" s="511"/>
      <c r="V529" s="511"/>
      <c r="W529" s="511"/>
      <c r="X529" s="511"/>
      <c r="Y529" s="511"/>
      <c r="Z529" s="511"/>
    </row>
    <row r="530" spans="1:26" ht="19.5" customHeight="1" x14ac:dyDescent="0.3">
      <c r="A530" s="511"/>
      <c r="B530" s="511"/>
      <c r="C530" s="511"/>
      <c r="D530" s="511"/>
      <c r="E530" s="511"/>
      <c r="F530" s="511"/>
      <c r="G530" s="511"/>
      <c r="H530" s="511"/>
      <c r="I530" s="511"/>
      <c r="J530" s="511"/>
      <c r="K530" s="511"/>
      <c r="L530" s="511"/>
      <c r="M530" s="511"/>
      <c r="N530" s="511"/>
      <c r="O530" s="511"/>
      <c r="P530" s="511"/>
      <c r="Q530" s="511"/>
      <c r="R530" s="511"/>
      <c r="S530" s="511"/>
      <c r="T530" s="511"/>
      <c r="U530" s="511"/>
      <c r="V530" s="511"/>
      <c r="W530" s="511"/>
      <c r="X530" s="511"/>
      <c r="Y530" s="511"/>
      <c r="Z530" s="511"/>
    </row>
    <row r="531" spans="1:26" ht="19.5" customHeight="1" x14ac:dyDescent="0.3">
      <c r="A531" s="511"/>
      <c r="B531" s="511"/>
      <c r="C531" s="511"/>
      <c r="D531" s="511"/>
      <c r="E531" s="511"/>
      <c r="F531" s="511"/>
      <c r="G531" s="511"/>
      <c r="H531" s="511"/>
      <c r="I531" s="511"/>
      <c r="J531" s="511"/>
      <c r="K531" s="511"/>
      <c r="L531" s="511"/>
      <c r="M531" s="511"/>
      <c r="N531" s="511"/>
      <c r="O531" s="511"/>
      <c r="P531" s="511"/>
      <c r="Q531" s="511"/>
      <c r="R531" s="511"/>
      <c r="S531" s="511"/>
      <c r="T531" s="511"/>
      <c r="U531" s="511"/>
      <c r="V531" s="511"/>
      <c r="W531" s="511"/>
      <c r="X531" s="511"/>
      <c r="Y531" s="511"/>
      <c r="Z531" s="511"/>
    </row>
    <row r="532" spans="1:26" ht="19.5" customHeight="1" x14ac:dyDescent="0.3">
      <c r="A532" s="511"/>
      <c r="B532" s="511"/>
      <c r="C532" s="511"/>
      <c r="D532" s="511"/>
      <c r="E532" s="511"/>
      <c r="F532" s="511"/>
      <c r="G532" s="511"/>
      <c r="H532" s="511"/>
      <c r="I532" s="511"/>
      <c r="J532" s="511"/>
      <c r="K532" s="511"/>
      <c r="L532" s="511"/>
      <c r="M532" s="511"/>
      <c r="N532" s="511"/>
      <c r="O532" s="511"/>
      <c r="P532" s="511"/>
      <c r="Q532" s="511"/>
      <c r="R532" s="511"/>
      <c r="S532" s="511"/>
      <c r="T532" s="511"/>
      <c r="U532" s="511"/>
      <c r="V532" s="511"/>
      <c r="W532" s="511"/>
      <c r="X532" s="511"/>
      <c r="Y532" s="511"/>
      <c r="Z532" s="511"/>
    </row>
    <row r="533" spans="1:26" ht="19.5" customHeight="1" x14ac:dyDescent="0.3">
      <c r="A533" s="511"/>
      <c r="B533" s="511"/>
      <c r="C533" s="511"/>
      <c r="D533" s="511"/>
      <c r="E533" s="511"/>
      <c r="F533" s="511"/>
      <c r="G533" s="511"/>
      <c r="H533" s="511"/>
      <c r="I533" s="511"/>
      <c r="J533" s="511"/>
      <c r="K533" s="511"/>
      <c r="L533" s="511"/>
      <c r="M533" s="511"/>
      <c r="N533" s="511"/>
      <c r="O533" s="511"/>
      <c r="P533" s="511"/>
      <c r="Q533" s="511"/>
      <c r="R533" s="511"/>
      <c r="S533" s="511"/>
      <c r="T533" s="511"/>
      <c r="U533" s="511"/>
      <c r="V533" s="511"/>
      <c r="W533" s="511"/>
      <c r="X533" s="511"/>
      <c r="Y533" s="511"/>
      <c r="Z533" s="511"/>
    </row>
    <row r="534" spans="1:26" ht="19.5" customHeight="1" x14ac:dyDescent="0.3">
      <c r="A534" s="511"/>
      <c r="B534" s="511"/>
      <c r="C534" s="511"/>
      <c r="D534" s="511"/>
      <c r="E534" s="511"/>
      <c r="F534" s="511"/>
      <c r="G534" s="511"/>
      <c r="H534" s="511"/>
      <c r="I534" s="511"/>
      <c r="J534" s="511"/>
      <c r="K534" s="511"/>
      <c r="L534" s="511"/>
      <c r="M534" s="511"/>
      <c r="N534" s="511"/>
      <c r="O534" s="511"/>
      <c r="P534" s="511"/>
      <c r="Q534" s="511"/>
      <c r="R534" s="511"/>
      <c r="S534" s="511"/>
      <c r="T534" s="511"/>
      <c r="U534" s="511"/>
      <c r="V534" s="511"/>
      <c r="W534" s="511"/>
      <c r="X534" s="511"/>
      <c r="Y534" s="511"/>
      <c r="Z534" s="511"/>
    </row>
    <row r="535" spans="1:26" ht="19.5" customHeight="1" x14ac:dyDescent="0.3">
      <c r="A535" s="511"/>
      <c r="B535" s="511"/>
      <c r="C535" s="511"/>
      <c r="D535" s="511"/>
      <c r="E535" s="511"/>
      <c r="F535" s="511"/>
      <c r="G535" s="511"/>
      <c r="H535" s="511"/>
      <c r="I535" s="511"/>
      <c r="J535" s="511"/>
      <c r="K535" s="511"/>
      <c r="L535" s="511"/>
      <c r="M535" s="511"/>
      <c r="N535" s="511"/>
      <c r="O535" s="511"/>
      <c r="P535" s="511"/>
      <c r="Q535" s="511"/>
      <c r="R535" s="511"/>
      <c r="S535" s="511"/>
      <c r="T535" s="511"/>
      <c r="U535" s="511"/>
      <c r="V535" s="511"/>
      <c r="W535" s="511"/>
      <c r="X535" s="511"/>
      <c r="Y535" s="511"/>
      <c r="Z535" s="511"/>
    </row>
    <row r="536" spans="1:26" ht="19.5" customHeight="1" x14ac:dyDescent="0.3">
      <c r="A536" s="511"/>
      <c r="B536" s="511"/>
      <c r="C536" s="511"/>
      <c r="D536" s="511"/>
      <c r="E536" s="511"/>
      <c r="F536" s="511"/>
      <c r="G536" s="511"/>
      <c r="H536" s="511"/>
      <c r="I536" s="511"/>
      <c r="J536" s="511"/>
      <c r="K536" s="511"/>
      <c r="L536" s="511"/>
      <c r="M536" s="511"/>
      <c r="N536" s="511"/>
      <c r="O536" s="511"/>
      <c r="P536" s="511"/>
      <c r="Q536" s="511"/>
      <c r="R536" s="511"/>
      <c r="S536" s="511"/>
      <c r="T536" s="511"/>
      <c r="U536" s="511"/>
      <c r="V536" s="511"/>
      <c r="W536" s="511"/>
      <c r="X536" s="511"/>
      <c r="Y536" s="511"/>
      <c r="Z536" s="511"/>
    </row>
    <row r="537" spans="1:26" ht="19.5" customHeight="1" x14ac:dyDescent="0.3">
      <c r="A537" s="511"/>
      <c r="B537" s="511"/>
      <c r="C537" s="511"/>
      <c r="D537" s="511"/>
      <c r="E537" s="511"/>
      <c r="F537" s="511"/>
      <c r="G537" s="511"/>
      <c r="H537" s="511"/>
      <c r="I537" s="511"/>
      <c r="J537" s="511"/>
      <c r="K537" s="511"/>
      <c r="L537" s="511"/>
      <c r="M537" s="511"/>
      <c r="N537" s="511"/>
      <c r="O537" s="511"/>
      <c r="P537" s="511"/>
      <c r="Q537" s="511"/>
      <c r="R537" s="511"/>
      <c r="S537" s="511"/>
      <c r="T537" s="511"/>
      <c r="U537" s="511"/>
      <c r="V537" s="511"/>
      <c r="W537" s="511"/>
      <c r="X537" s="511"/>
      <c r="Y537" s="511"/>
      <c r="Z537" s="511"/>
    </row>
    <row r="538" spans="1:26" ht="19.5" customHeight="1" x14ac:dyDescent="0.3">
      <c r="A538" s="511"/>
      <c r="B538" s="511"/>
      <c r="C538" s="511"/>
      <c r="D538" s="511"/>
      <c r="E538" s="511"/>
      <c r="F538" s="511"/>
      <c r="G538" s="511"/>
      <c r="H538" s="511"/>
      <c r="I538" s="511"/>
      <c r="J538" s="511"/>
      <c r="K538" s="511"/>
      <c r="L538" s="511"/>
      <c r="M538" s="511"/>
      <c r="N538" s="511"/>
      <c r="O538" s="511"/>
      <c r="P538" s="511"/>
      <c r="Q538" s="511"/>
      <c r="R538" s="511"/>
      <c r="S538" s="511"/>
      <c r="T538" s="511"/>
      <c r="U538" s="511"/>
      <c r="V538" s="511"/>
      <c r="W538" s="511"/>
      <c r="X538" s="511"/>
      <c r="Y538" s="511"/>
      <c r="Z538" s="511"/>
    </row>
    <row r="539" spans="1:26" ht="19.5" customHeight="1" x14ac:dyDescent="0.3">
      <c r="A539" s="511"/>
      <c r="B539" s="511"/>
      <c r="C539" s="511"/>
      <c r="D539" s="511"/>
      <c r="E539" s="511"/>
      <c r="F539" s="511"/>
      <c r="G539" s="511"/>
      <c r="H539" s="511"/>
      <c r="I539" s="511"/>
      <c r="J539" s="511"/>
      <c r="K539" s="511"/>
      <c r="L539" s="511"/>
      <c r="M539" s="511"/>
      <c r="N539" s="511"/>
      <c r="O539" s="511"/>
      <c r="P539" s="511"/>
      <c r="Q539" s="511"/>
      <c r="R539" s="511"/>
      <c r="S539" s="511"/>
      <c r="T539" s="511"/>
      <c r="U539" s="511"/>
      <c r="V539" s="511"/>
      <c r="W539" s="511"/>
      <c r="X539" s="511"/>
      <c r="Y539" s="511"/>
      <c r="Z539" s="511"/>
    </row>
    <row r="540" spans="1:26" ht="19.5" customHeight="1" x14ac:dyDescent="0.3">
      <c r="A540" s="511"/>
      <c r="B540" s="511"/>
      <c r="C540" s="511"/>
      <c r="D540" s="511"/>
      <c r="E540" s="511"/>
      <c r="F540" s="511"/>
      <c r="G540" s="511"/>
      <c r="H540" s="511"/>
      <c r="I540" s="511"/>
      <c r="J540" s="511"/>
      <c r="K540" s="511"/>
      <c r="L540" s="511"/>
      <c r="M540" s="511"/>
      <c r="N540" s="511"/>
      <c r="O540" s="511"/>
      <c r="P540" s="511"/>
      <c r="Q540" s="511"/>
      <c r="R540" s="511"/>
      <c r="S540" s="511"/>
      <c r="T540" s="511"/>
      <c r="U540" s="511"/>
      <c r="V540" s="511"/>
      <c r="W540" s="511"/>
      <c r="X540" s="511"/>
      <c r="Y540" s="511"/>
      <c r="Z540" s="511"/>
    </row>
    <row r="541" spans="1:26" ht="19.5" customHeight="1" x14ac:dyDescent="0.3">
      <c r="A541" s="511"/>
      <c r="B541" s="511"/>
      <c r="C541" s="511"/>
      <c r="D541" s="511"/>
      <c r="E541" s="511"/>
      <c r="F541" s="511"/>
      <c r="G541" s="511"/>
      <c r="H541" s="511"/>
      <c r="I541" s="511"/>
      <c r="J541" s="511"/>
      <c r="K541" s="511"/>
      <c r="L541" s="511"/>
      <c r="M541" s="511"/>
      <c r="N541" s="511"/>
      <c r="O541" s="511"/>
      <c r="P541" s="511"/>
      <c r="Q541" s="511"/>
      <c r="R541" s="511"/>
      <c r="S541" s="511"/>
      <c r="T541" s="511"/>
      <c r="U541" s="511"/>
      <c r="V541" s="511"/>
      <c r="W541" s="511"/>
      <c r="X541" s="511"/>
      <c r="Y541" s="511"/>
      <c r="Z541" s="511"/>
    </row>
    <row r="542" spans="1:26" ht="19.5" customHeight="1" x14ac:dyDescent="0.3">
      <c r="A542" s="511"/>
      <c r="B542" s="511"/>
      <c r="C542" s="511"/>
      <c r="D542" s="511"/>
      <c r="E542" s="511"/>
      <c r="F542" s="511"/>
      <c r="G542" s="511"/>
      <c r="H542" s="511"/>
      <c r="I542" s="511"/>
      <c r="J542" s="511"/>
      <c r="K542" s="511"/>
      <c r="L542" s="511"/>
      <c r="M542" s="511"/>
      <c r="N542" s="511"/>
      <c r="O542" s="511"/>
      <c r="P542" s="511"/>
      <c r="Q542" s="511"/>
      <c r="R542" s="511"/>
      <c r="S542" s="511"/>
      <c r="T542" s="511"/>
      <c r="U542" s="511"/>
      <c r="V542" s="511"/>
      <c r="W542" s="511"/>
      <c r="X542" s="511"/>
      <c r="Y542" s="511"/>
      <c r="Z542" s="511"/>
    </row>
    <row r="543" spans="1:26" ht="19.5" customHeight="1" x14ac:dyDescent="0.3">
      <c r="A543" s="511"/>
      <c r="B543" s="511"/>
      <c r="C543" s="511"/>
      <c r="D543" s="511"/>
      <c r="E543" s="511"/>
      <c r="F543" s="511"/>
      <c r="G543" s="511"/>
      <c r="H543" s="511"/>
      <c r="I543" s="511"/>
      <c r="J543" s="511"/>
      <c r="K543" s="511"/>
      <c r="L543" s="511"/>
      <c r="M543" s="511"/>
      <c r="N543" s="511"/>
      <c r="O543" s="511"/>
      <c r="P543" s="511"/>
      <c r="Q543" s="511"/>
      <c r="R543" s="511"/>
      <c r="S543" s="511"/>
      <c r="T543" s="511"/>
      <c r="U543" s="511"/>
      <c r="V543" s="511"/>
      <c r="W543" s="511"/>
      <c r="X543" s="511"/>
      <c r="Y543" s="511"/>
      <c r="Z543" s="511"/>
    </row>
    <row r="544" spans="1:26" ht="19.5" customHeight="1" x14ac:dyDescent="0.3">
      <c r="A544" s="511"/>
      <c r="B544" s="511"/>
      <c r="C544" s="511"/>
      <c r="D544" s="511"/>
      <c r="E544" s="511"/>
      <c r="F544" s="511"/>
      <c r="G544" s="511"/>
      <c r="H544" s="511"/>
      <c r="I544" s="511"/>
      <c r="J544" s="511"/>
      <c r="K544" s="511"/>
      <c r="L544" s="511"/>
      <c r="M544" s="511"/>
      <c r="N544" s="511"/>
      <c r="O544" s="511"/>
      <c r="P544" s="511"/>
      <c r="Q544" s="511"/>
      <c r="R544" s="511"/>
      <c r="S544" s="511"/>
      <c r="T544" s="511"/>
      <c r="U544" s="511"/>
      <c r="V544" s="511"/>
      <c r="W544" s="511"/>
      <c r="X544" s="511"/>
      <c r="Y544" s="511"/>
      <c r="Z544" s="511"/>
    </row>
    <row r="545" spans="1:26" ht="19.5" customHeight="1" x14ac:dyDescent="0.3">
      <c r="A545" s="511"/>
      <c r="B545" s="511"/>
      <c r="C545" s="511"/>
      <c r="D545" s="511"/>
      <c r="E545" s="511"/>
      <c r="F545" s="511"/>
      <c r="G545" s="511"/>
      <c r="H545" s="511"/>
      <c r="I545" s="511"/>
      <c r="J545" s="511"/>
      <c r="K545" s="511"/>
      <c r="L545" s="511"/>
      <c r="M545" s="511"/>
      <c r="N545" s="511"/>
      <c r="O545" s="511"/>
      <c r="P545" s="511"/>
      <c r="Q545" s="511"/>
      <c r="R545" s="511"/>
      <c r="S545" s="511"/>
      <c r="T545" s="511"/>
      <c r="U545" s="511"/>
      <c r="V545" s="511"/>
      <c r="W545" s="511"/>
      <c r="X545" s="511"/>
      <c r="Y545" s="511"/>
      <c r="Z545" s="511"/>
    </row>
    <row r="546" spans="1:26" ht="19.5" customHeight="1" x14ac:dyDescent="0.3">
      <c r="A546" s="511"/>
      <c r="B546" s="511"/>
      <c r="C546" s="511"/>
      <c r="D546" s="511"/>
      <c r="E546" s="511"/>
      <c r="F546" s="511"/>
      <c r="G546" s="511"/>
      <c r="H546" s="511"/>
      <c r="I546" s="511"/>
      <c r="J546" s="511"/>
      <c r="K546" s="511"/>
      <c r="L546" s="511"/>
      <c r="M546" s="511"/>
      <c r="N546" s="511"/>
      <c r="O546" s="511"/>
      <c r="P546" s="511"/>
      <c r="Q546" s="511"/>
      <c r="R546" s="511"/>
      <c r="S546" s="511"/>
      <c r="T546" s="511"/>
      <c r="U546" s="511"/>
      <c r="V546" s="511"/>
      <c r="W546" s="511"/>
      <c r="X546" s="511"/>
      <c r="Y546" s="511"/>
      <c r="Z546" s="511"/>
    </row>
    <row r="547" spans="1:26" ht="19.5" customHeight="1" x14ac:dyDescent="0.3">
      <c r="A547" s="511"/>
      <c r="B547" s="511"/>
      <c r="C547" s="511"/>
      <c r="D547" s="511"/>
      <c r="E547" s="511"/>
      <c r="F547" s="511"/>
      <c r="G547" s="511"/>
      <c r="H547" s="511"/>
      <c r="I547" s="511"/>
      <c r="J547" s="511"/>
      <c r="K547" s="511"/>
      <c r="L547" s="511"/>
      <c r="M547" s="511"/>
      <c r="N547" s="511"/>
      <c r="O547" s="511"/>
      <c r="P547" s="511"/>
      <c r="Q547" s="511"/>
      <c r="R547" s="511"/>
      <c r="S547" s="511"/>
      <c r="T547" s="511"/>
      <c r="U547" s="511"/>
      <c r="V547" s="511"/>
      <c r="W547" s="511"/>
      <c r="X547" s="511"/>
      <c r="Y547" s="511"/>
      <c r="Z547" s="511"/>
    </row>
    <row r="548" spans="1:26" ht="19.5" customHeight="1" x14ac:dyDescent="0.3">
      <c r="A548" s="511"/>
      <c r="B548" s="511"/>
      <c r="C548" s="511"/>
      <c r="D548" s="511"/>
      <c r="E548" s="511"/>
      <c r="F548" s="511"/>
      <c r="G548" s="511"/>
      <c r="H548" s="511"/>
      <c r="I548" s="511"/>
      <c r="J548" s="511"/>
      <c r="K548" s="511"/>
      <c r="L548" s="511"/>
      <c r="M548" s="511"/>
      <c r="N548" s="511"/>
      <c r="O548" s="511"/>
      <c r="P548" s="511"/>
      <c r="Q548" s="511"/>
      <c r="R548" s="511"/>
      <c r="S548" s="511"/>
      <c r="T548" s="511"/>
      <c r="U548" s="511"/>
      <c r="V548" s="511"/>
      <c r="W548" s="511"/>
      <c r="X548" s="511"/>
      <c r="Y548" s="511"/>
      <c r="Z548" s="511"/>
    </row>
    <row r="549" spans="1:26" ht="19.5" customHeight="1" x14ac:dyDescent="0.3">
      <c r="A549" s="511"/>
      <c r="B549" s="511"/>
      <c r="C549" s="511"/>
      <c r="D549" s="511"/>
      <c r="E549" s="511"/>
      <c r="F549" s="511"/>
      <c r="G549" s="511"/>
      <c r="H549" s="511"/>
      <c r="I549" s="511"/>
      <c r="J549" s="511"/>
      <c r="K549" s="511"/>
      <c r="L549" s="511"/>
      <c r="M549" s="511"/>
      <c r="N549" s="511"/>
      <c r="O549" s="511"/>
      <c r="P549" s="511"/>
      <c r="Q549" s="511"/>
      <c r="R549" s="511"/>
      <c r="S549" s="511"/>
      <c r="T549" s="511"/>
      <c r="U549" s="511"/>
      <c r="V549" s="511"/>
      <c r="W549" s="511"/>
      <c r="X549" s="511"/>
      <c r="Y549" s="511"/>
      <c r="Z549" s="511"/>
    </row>
    <row r="550" spans="1:26" ht="19.5" customHeight="1" x14ac:dyDescent="0.3">
      <c r="A550" s="511"/>
      <c r="B550" s="511"/>
      <c r="C550" s="511"/>
      <c r="D550" s="511"/>
      <c r="E550" s="511"/>
      <c r="F550" s="511"/>
      <c r="G550" s="511"/>
      <c r="H550" s="511"/>
      <c r="I550" s="511"/>
      <c r="J550" s="511"/>
      <c r="K550" s="511"/>
      <c r="L550" s="511"/>
      <c r="M550" s="511"/>
      <c r="N550" s="511"/>
      <c r="O550" s="511"/>
      <c r="P550" s="511"/>
      <c r="Q550" s="511"/>
      <c r="R550" s="511"/>
      <c r="S550" s="511"/>
      <c r="T550" s="511"/>
      <c r="U550" s="511"/>
      <c r="V550" s="511"/>
      <c r="W550" s="511"/>
      <c r="X550" s="511"/>
      <c r="Y550" s="511"/>
      <c r="Z550" s="511"/>
    </row>
    <row r="551" spans="1:26" ht="19.5" customHeight="1" x14ac:dyDescent="0.3">
      <c r="A551" s="511"/>
      <c r="B551" s="511"/>
      <c r="C551" s="511"/>
      <c r="D551" s="511"/>
      <c r="E551" s="511"/>
      <c r="F551" s="511"/>
      <c r="G551" s="511"/>
      <c r="H551" s="511"/>
      <c r="I551" s="511"/>
      <c r="J551" s="511"/>
      <c r="K551" s="511"/>
      <c r="L551" s="511"/>
      <c r="M551" s="511"/>
      <c r="N551" s="511"/>
      <c r="O551" s="511"/>
      <c r="P551" s="511"/>
      <c r="Q551" s="511"/>
      <c r="R551" s="511"/>
      <c r="S551" s="511"/>
      <c r="T551" s="511"/>
      <c r="U551" s="511"/>
      <c r="V551" s="511"/>
      <c r="W551" s="511"/>
      <c r="X551" s="511"/>
      <c r="Y551" s="511"/>
      <c r="Z551" s="511"/>
    </row>
    <row r="552" spans="1:26" ht="19.5" customHeight="1" x14ac:dyDescent="0.3">
      <c r="A552" s="511"/>
      <c r="B552" s="511"/>
      <c r="C552" s="511"/>
      <c r="D552" s="511"/>
      <c r="E552" s="511"/>
      <c r="F552" s="511"/>
      <c r="G552" s="511"/>
      <c r="H552" s="511"/>
      <c r="I552" s="511"/>
      <c r="J552" s="511"/>
      <c r="K552" s="511"/>
      <c r="L552" s="511"/>
      <c r="M552" s="511"/>
      <c r="N552" s="511"/>
      <c r="O552" s="511"/>
      <c r="P552" s="511"/>
      <c r="Q552" s="511"/>
      <c r="R552" s="511"/>
      <c r="S552" s="511"/>
      <c r="T552" s="511"/>
      <c r="U552" s="511"/>
      <c r="V552" s="511"/>
      <c r="W552" s="511"/>
      <c r="X552" s="511"/>
      <c r="Y552" s="511"/>
      <c r="Z552" s="511"/>
    </row>
    <row r="553" spans="1:26" ht="19.5" customHeight="1" x14ac:dyDescent="0.3">
      <c r="A553" s="511"/>
      <c r="B553" s="511"/>
      <c r="C553" s="511"/>
      <c r="D553" s="511"/>
      <c r="E553" s="511"/>
      <c r="F553" s="511"/>
      <c r="G553" s="511"/>
      <c r="H553" s="511"/>
      <c r="I553" s="511"/>
      <c r="J553" s="511"/>
      <c r="K553" s="511"/>
      <c r="L553" s="511"/>
      <c r="M553" s="511"/>
      <c r="N553" s="511"/>
      <c r="O553" s="511"/>
      <c r="P553" s="511"/>
      <c r="Q553" s="511"/>
      <c r="R553" s="511"/>
      <c r="S553" s="511"/>
      <c r="T553" s="511"/>
      <c r="U553" s="511"/>
      <c r="V553" s="511"/>
      <c r="W553" s="511"/>
      <c r="X553" s="511"/>
      <c r="Y553" s="511"/>
      <c r="Z553" s="511"/>
    </row>
    <row r="554" spans="1:26" ht="19.5" customHeight="1" x14ac:dyDescent="0.3">
      <c r="A554" s="511"/>
      <c r="B554" s="511"/>
      <c r="C554" s="511"/>
      <c r="D554" s="511"/>
      <c r="E554" s="511"/>
      <c r="F554" s="511"/>
      <c r="G554" s="511"/>
      <c r="H554" s="511"/>
      <c r="I554" s="511"/>
      <c r="J554" s="511"/>
      <c r="K554" s="511"/>
      <c r="L554" s="511"/>
      <c r="M554" s="511"/>
      <c r="N554" s="511"/>
      <c r="O554" s="511"/>
      <c r="P554" s="511"/>
      <c r="Q554" s="511"/>
      <c r="R554" s="511"/>
      <c r="S554" s="511"/>
      <c r="T554" s="511"/>
      <c r="U554" s="511"/>
      <c r="V554" s="511"/>
      <c r="W554" s="511"/>
      <c r="X554" s="511"/>
      <c r="Y554" s="511"/>
      <c r="Z554" s="511"/>
    </row>
    <row r="555" spans="1:26" ht="19.5" customHeight="1" x14ac:dyDescent="0.3">
      <c r="A555" s="511"/>
      <c r="B555" s="511"/>
      <c r="C555" s="511"/>
      <c r="D555" s="511"/>
      <c r="E555" s="511"/>
      <c r="F555" s="511"/>
      <c r="G555" s="511"/>
      <c r="H555" s="511"/>
      <c r="I555" s="511"/>
      <c r="J555" s="511"/>
      <c r="K555" s="511"/>
      <c r="L555" s="511"/>
      <c r="M555" s="511"/>
      <c r="N555" s="511"/>
      <c r="O555" s="511"/>
      <c r="P555" s="511"/>
      <c r="Q555" s="511"/>
      <c r="R555" s="511"/>
      <c r="S555" s="511"/>
      <c r="T555" s="511"/>
      <c r="U555" s="511"/>
      <c r="V555" s="511"/>
      <c r="W555" s="511"/>
      <c r="X555" s="511"/>
      <c r="Y555" s="511"/>
      <c r="Z555" s="511"/>
    </row>
    <row r="556" spans="1:26" ht="19.5" customHeight="1" x14ac:dyDescent="0.3">
      <c r="A556" s="511"/>
      <c r="B556" s="511"/>
      <c r="C556" s="511"/>
      <c r="D556" s="511"/>
      <c r="E556" s="511"/>
      <c r="F556" s="511"/>
      <c r="G556" s="511"/>
      <c r="H556" s="511"/>
      <c r="I556" s="511"/>
      <c r="J556" s="511"/>
      <c r="K556" s="511"/>
      <c r="L556" s="511"/>
      <c r="M556" s="511"/>
      <c r="N556" s="511"/>
      <c r="O556" s="511"/>
      <c r="P556" s="511"/>
      <c r="Q556" s="511"/>
      <c r="R556" s="511"/>
      <c r="S556" s="511"/>
      <c r="T556" s="511"/>
      <c r="U556" s="511"/>
      <c r="V556" s="511"/>
      <c r="W556" s="511"/>
      <c r="X556" s="511"/>
      <c r="Y556" s="511"/>
      <c r="Z556" s="511"/>
    </row>
    <row r="557" spans="1:26" ht="19.5" customHeight="1" x14ac:dyDescent="0.3">
      <c r="A557" s="511"/>
      <c r="B557" s="511"/>
      <c r="C557" s="511"/>
      <c r="D557" s="511"/>
      <c r="E557" s="511"/>
      <c r="F557" s="511"/>
      <c r="G557" s="511"/>
      <c r="H557" s="511"/>
      <c r="I557" s="511"/>
      <c r="J557" s="511"/>
      <c r="K557" s="511"/>
      <c r="L557" s="511"/>
      <c r="M557" s="511"/>
      <c r="N557" s="511"/>
      <c r="O557" s="511"/>
      <c r="P557" s="511"/>
      <c r="Q557" s="511"/>
      <c r="R557" s="511"/>
      <c r="S557" s="511"/>
      <c r="T557" s="511"/>
      <c r="U557" s="511"/>
      <c r="V557" s="511"/>
      <c r="W557" s="511"/>
      <c r="X557" s="511"/>
      <c r="Y557" s="511"/>
      <c r="Z557" s="511"/>
    </row>
    <row r="558" spans="1:26" ht="19.5" customHeight="1" x14ac:dyDescent="0.3">
      <c r="A558" s="511"/>
      <c r="B558" s="511"/>
      <c r="C558" s="511"/>
      <c r="D558" s="511"/>
      <c r="E558" s="511"/>
      <c r="F558" s="511"/>
      <c r="G558" s="511"/>
      <c r="H558" s="511"/>
      <c r="I558" s="511"/>
      <c r="J558" s="511"/>
      <c r="K558" s="511"/>
      <c r="L558" s="511"/>
      <c r="M558" s="511"/>
      <c r="N558" s="511"/>
      <c r="O558" s="511"/>
      <c r="P558" s="511"/>
      <c r="Q558" s="511"/>
      <c r="R558" s="511"/>
      <c r="S558" s="511"/>
      <c r="T558" s="511"/>
      <c r="U558" s="511"/>
      <c r="V558" s="511"/>
      <c r="W558" s="511"/>
      <c r="X558" s="511"/>
      <c r="Y558" s="511"/>
      <c r="Z558" s="511"/>
    </row>
    <row r="559" spans="1:26" ht="19.5" customHeight="1" x14ac:dyDescent="0.3">
      <c r="A559" s="511"/>
      <c r="B559" s="511"/>
      <c r="C559" s="511"/>
      <c r="D559" s="511"/>
      <c r="E559" s="511"/>
      <c r="F559" s="511"/>
      <c r="G559" s="511"/>
      <c r="H559" s="511"/>
      <c r="I559" s="511"/>
      <c r="J559" s="511"/>
      <c r="K559" s="511"/>
      <c r="L559" s="511"/>
      <c r="M559" s="511"/>
      <c r="N559" s="511"/>
      <c r="O559" s="511"/>
      <c r="P559" s="511"/>
      <c r="Q559" s="511"/>
      <c r="R559" s="511"/>
      <c r="S559" s="511"/>
      <c r="T559" s="511"/>
      <c r="U559" s="511"/>
      <c r="V559" s="511"/>
      <c r="W559" s="511"/>
      <c r="X559" s="511"/>
      <c r="Y559" s="511"/>
      <c r="Z559" s="511"/>
    </row>
    <row r="560" spans="1:26" ht="19.5" customHeight="1" x14ac:dyDescent="0.3">
      <c r="A560" s="511"/>
      <c r="B560" s="511"/>
      <c r="C560" s="511"/>
      <c r="D560" s="511"/>
      <c r="E560" s="511"/>
      <c r="F560" s="511"/>
      <c r="G560" s="511"/>
      <c r="H560" s="511"/>
      <c r="I560" s="511"/>
      <c r="J560" s="511"/>
      <c r="K560" s="511"/>
      <c r="L560" s="511"/>
      <c r="M560" s="511"/>
      <c r="N560" s="511"/>
      <c r="O560" s="511"/>
      <c r="P560" s="511"/>
      <c r="Q560" s="511"/>
      <c r="R560" s="511"/>
      <c r="S560" s="511"/>
      <c r="T560" s="511"/>
      <c r="U560" s="511"/>
      <c r="V560" s="511"/>
      <c r="W560" s="511"/>
      <c r="X560" s="511"/>
      <c r="Y560" s="511"/>
      <c r="Z560" s="511"/>
    </row>
    <row r="561" spans="1:26" ht="19.5" customHeight="1" x14ac:dyDescent="0.3">
      <c r="A561" s="511"/>
      <c r="B561" s="511"/>
      <c r="C561" s="511"/>
      <c r="D561" s="511"/>
      <c r="E561" s="511"/>
      <c r="F561" s="511"/>
      <c r="G561" s="511"/>
      <c r="H561" s="511"/>
      <c r="I561" s="511"/>
      <c r="J561" s="511"/>
      <c r="K561" s="511"/>
      <c r="L561" s="511"/>
      <c r="M561" s="511"/>
      <c r="N561" s="511"/>
      <c r="O561" s="511"/>
      <c r="P561" s="511"/>
      <c r="Q561" s="511"/>
      <c r="R561" s="511"/>
      <c r="S561" s="511"/>
      <c r="T561" s="511"/>
      <c r="U561" s="511"/>
      <c r="V561" s="511"/>
      <c r="W561" s="511"/>
      <c r="X561" s="511"/>
      <c r="Y561" s="511"/>
      <c r="Z561" s="511"/>
    </row>
    <row r="562" spans="1:26" ht="19.5" customHeight="1" x14ac:dyDescent="0.3">
      <c r="A562" s="511"/>
      <c r="B562" s="511"/>
      <c r="C562" s="511"/>
      <c r="D562" s="511"/>
      <c r="E562" s="511"/>
      <c r="F562" s="511"/>
      <c r="G562" s="511"/>
      <c r="H562" s="511"/>
      <c r="I562" s="511"/>
      <c r="J562" s="511"/>
      <c r="K562" s="511"/>
      <c r="L562" s="511"/>
      <c r="M562" s="511"/>
      <c r="N562" s="511"/>
      <c r="O562" s="511"/>
      <c r="P562" s="511"/>
      <c r="Q562" s="511"/>
      <c r="R562" s="511"/>
      <c r="S562" s="511"/>
      <c r="T562" s="511"/>
      <c r="U562" s="511"/>
      <c r="V562" s="511"/>
      <c r="W562" s="511"/>
      <c r="X562" s="511"/>
      <c r="Y562" s="511"/>
      <c r="Z562" s="511"/>
    </row>
    <row r="563" spans="1:26" ht="19.5" customHeight="1" x14ac:dyDescent="0.3">
      <c r="A563" s="511"/>
      <c r="B563" s="511"/>
      <c r="C563" s="511"/>
      <c r="D563" s="511"/>
      <c r="E563" s="511"/>
      <c r="F563" s="511"/>
      <c r="G563" s="511"/>
      <c r="H563" s="511"/>
      <c r="I563" s="511"/>
      <c r="J563" s="511"/>
      <c r="K563" s="511"/>
      <c r="L563" s="511"/>
      <c r="M563" s="511"/>
      <c r="N563" s="511"/>
      <c r="O563" s="511"/>
      <c r="P563" s="511"/>
      <c r="Q563" s="511"/>
      <c r="R563" s="511"/>
      <c r="S563" s="511"/>
      <c r="T563" s="511"/>
      <c r="U563" s="511"/>
      <c r="V563" s="511"/>
      <c r="W563" s="511"/>
      <c r="X563" s="511"/>
      <c r="Y563" s="511"/>
      <c r="Z563" s="511"/>
    </row>
    <row r="564" spans="1:26" ht="19.5" customHeight="1" x14ac:dyDescent="0.3">
      <c r="A564" s="511"/>
      <c r="B564" s="511"/>
      <c r="C564" s="511"/>
      <c r="D564" s="511"/>
      <c r="E564" s="511"/>
      <c r="F564" s="511"/>
      <c r="G564" s="511"/>
      <c r="H564" s="511"/>
      <c r="I564" s="511"/>
      <c r="J564" s="511"/>
      <c r="K564" s="511"/>
      <c r="L564" s="511"/>
      <c r="M564" s="511"/>
      <c r="N564" s="511"/>
      <c r="O564" s="511"/>
      <c r="P564" s="511"/>
      <c r="Q564" s="511"/>
      <c r="R564" s="511"/>
      <c r="S564" s="511"/>
      <c r="T564" s="511"/>
      <c r="U564" s="511"/>
      <c r="V564" s="511"/>
      <c r="W564" s="511"/>
      <c r="X564" s="511"/>
      <c r="Y564" s="511"/>
      <c r="Z564" s="511"/>
    </row>
    <row r="565" spans="1:26" ht="19.5" customHeight="1" x14ac:dyDescent="0.3">
      <c r="A565" s="511"/>
      <c r="B565" s="511"/>
      <c r="C565" s="511"/>
      <c r="D565" s="511"/>
      <c r="E565" s="511"/>
      <c r="F565" s="511"/>
      <c r="G565" s="511"/>
      <c r="H565" s="511"/>
      <c r="I565" s="511"/>
      <c r="J565" s="511"/>
      <c r="K565" s="511"/>
      <c r="L565" s="511"/>
      <c r="M565" s="511"/>
      <c r="N565" s="511"/>
      <c r="O565" s="511"/>
      <c r="P565" s="511"/>
      <c r="Q565" s="511"/>
      <c r="R565" s="511"/>
      <c r="S565" s="511"/>
      <c r="T565" s="511"/>
      <c r="U565" s="511"/>
      <c r="V565" s="511"/>
      <c r="W565" s="511"/>
      <c r="X565" s="511"/>
      <c r="Y565" s="511"/>
      <c r="Z565" s="511"/>
    </row>
    <row r="566" spans="1:26" ht="19.5" customHeight="1" x14ac:dyDescent="0.3">
      <c r="A566" s="511"/>
      <c r="B566" s="511"/>
      <c r="C566" s="511"/>
      <c r="D566" s="511"/>
      <c r="E566" s="511"/>
      <c r="F566" s="511"/>
      <c r="G566" s="511"/>
      <c r="H566" s="511"/>
      <c r="I566" s="511"/>
      <c r="J566" s="511"/>
      <c r="K566" s="511"/>
      <c r="L566" s="511"/>
      <c r="M566" s="511"/>
      <c r="N566" s="511"/>
      <c r="O566" s="511"/>
      <c r="P566" s="511"/>
      <c r="Q566" s="511"/>
      <c r="R566" s="511"/>
      <c r="S566" s="511"/>
      <c r="T566" s="511"/>
      <c r="U566" s="511"/>
      <c r="V566" s="511"/>
      <c r="W566" s="511"/>
      <c r="X566" s="511"/>
      <c r="Y566" s="511"/>
      <c r="Z566" s="511"/>
    </row>
    <row r="567" spans="1:26" ht="19.5" customHeight="1" x14ac:dyDescent="0.3">
      <c r="A567" s="511"/>
      <c r="B567" s="511"/>
      <c r="C567" s="511"/>
      <c r="D567" s="511"/>
      <c r="E567" s="511"/>
      <c r="F567" s="511"/>
      <c r="G567" s="511"/>
      <c r="H567" s="511"/>
      <c r="I567" s="511"/>
      <c r="J567" s="511"/>
      <c r="K567" s="511"/>
      <c r="L567" s="511"/>
      <c r="M567" s="511"/>
      <c r="N567" s="511"/>
      <c r="O567" s="511"/>
      <c r="P567" s="511"/>
      <c r="Q567" s="511"/>
      <c r="R567" s="511"/>
      <c r="S567" s="511"/>
      <c r="T567" s="511"/>
      <c r="U567" s="511"/>
      <c r="V567" s="511"/>
      <c r="W567" s="511"/>
      <c r="X567" s="511"/>
      <c r="Y567" s="511"/>
      <c r="Z567" s="511"/>
    </row>
    <row r="568" spans="1:26" ht="19.5" customHeight="1" x14ac:dyDescent="0.3">
      <c r="A568" s="511"/>
      <c r="B568" s="511"/>
      <c r="C568" s="511"/>
      <c r="D568" s="511"/>
      <c r="E568" s="511"/>
      <c r="F568" s="511"/>
      <c r="G568" s="511"/>
      <c r="H568" s="511"/>
      <c r="I568" s="511"/>
      <c r="J568" s="511"/>
      <c r="K568" s="511"/>
      <c r="L568" s="511"/>
      <c r="M568" s="511"/>
      <c r="N568" s="511"/>
      <c r="O568" s="511"/>
      <c r="P568" s="511"/>
      <c r="Q568" s="511"/>
      <c r="R568" s="511"/>
      <c r="S568" s="511"/>
      <c r="T568" s="511"/>
      <c r="U568" s="511"/>
      <c r="V568" s="511"/>
      <c r="W568" s="511"/>
      <c r="X568" s="511"/>
      <c r="Y568" s="511"/>
      <c r="Z568" s="511"/>
    </row>
    <row r="569" spans="1:26" ht="19.5" customHeight="1" x14ac:dyDescent="0.3">
      <c r="A569" s="511"/>
      <c r="B569" s="511"/>
      <c r="C569" s="511"/>
      <c r="D569" s="511"/>
      <c r="E569" s="511"/>
      <c r="F569" s="511"/>
      <c r="G569" s="511"/>
      <c r="H569" s="511"/>
      <c r="I569" s="511"/>
      <c r="J569" s="511"/>
      <c r="K569" s="511"/>
      <c r="L569" s="511"/>
      <c r="M569" s="511"/>
      <c r="N569" s="511"/>
      <c r="O569" s="511"/>
      <c r="P569" s="511"/>
      <c r="Q569" s="511"/>
      <c r="R569" s="511"/>
      <c r="S569" s="511"/>
      <c r="T569" s="511"/>
      <c r="U569" s="511"/>
      <c r="V569" s="511"/>
      <c r="W569" s="511"/>
      <c r="X569" s="511"/>
      <c r="Y569" s="511"/>
      <c r="Z569" s="511"/>
    </row>
    <row r="570" spans="1:26" ht="19.5" customHeight="1" x14ac:dyDescent="0.3">
      <c r="A570" s="511"/>
      <c r="B570" s="511"/>
      <c r="C570" s="511"/>
      <c r="D570" s="511"/>
      <c r="E570" s="511"/>
      <c r="F570" s="511"/>
      <c r="G570" s="511"/>
      <c r="H570" s="511"/>
      <c r="I570" s="511"/>
      <c r="J570" s="511"/>
      <c r="K570" s="511"/>
      <c r="L570" s="511"/>
      <c r="M570" s="511"/>
      <c r="N570" s="511"/>
      <c r="O570" s="511"/>
      <c r="P570" s="511"/>
      <c r="Q570" s="511"/>
      <c r="R570" s="511"/>
      <c r="S570" s="511"/>
      <c r="T570" s="511"/>
      <c r="U570" s="511"/>
      <c r="V570" s="511"/>
      <c r="W570" s="511"/>
      <c r="X570" s="511"/>
      <c r="Y570" s="511"/>
      <c r="Z570" s="511"/>
    </row>
    <row r="571" spans="1:26" ht="19.5" customHeight="1" x14ac:dyDescent="0.3">
      <c r="A571" s="511"/>
      <c r="B571" s="511"/>
      <c r="C571" s="511"/>
      <c r="D571" s="511"/>
      <c r="E571" s="511"/>
      <c r="F571" s="511"/>
      <c r="G571" s="511"/>
      <c r="H571" s="511"/>
      <c r="I571" s="511"/>
      <c r="J571" s="511"/>
      <c r="K571" s="511"/>
      <c r="L571" s="511"/>
      <c r="M571" s="511"/>
      <c r="N571" s="511"/>
      <c r="O571" s="511"/>
      <c r="P571" s="511"/>
      <c r="Q571" s="511"/>
      <c r="R571" s="511"/>
      <c r="S571" s="511"/>
      <c r="T571" s="511"/>
      <c r="U571" s="511"/>
      <c r="V571" s="511"/>
      <c r="W571" s="511"/>
      <c r="X571" s="511"/>
      <c r="Y571" s="511"/>
      <c r="Z571" s="511"/>
    </row>
    <row r="572" spans="1:26" ht="19.5" customHeight="1" x14ac:dyDescent="0.3">
      <c r="A572" s="511"/>
      <c r="B572" s="511"/>
      <c r="C572" s="511"/>
      <c r="D572" s="511"/>
      <c r="E572" s="511"/>
      <c r="F572" s="511"/>
      <c r="G572" s="511"/>
      <c r="H572" s="511"/>
      <c r="I572" s="511"/>
      <c r="J572" s="511"/>
      <c r="K572" s="511"/>
      <c r="L572" s="511"/>
      <c r="M572" s="511"/>
      <c r="N572" s="511"/>
      <c r="O572" s="511"/>
      <c r="P572" s="511"/>
      <c r="Q572" s="511"/>
      <c r="R572" s="511"/>
      <c r="S572" s="511"/>
      <c r="T572" s="511"/>
      <c r="U572" s="511"/>
      <c r="V572" s="511"/>
      <c r="W572" s="511"/>
      <c r="X572" s="511"/>
      <c r="Y572" s="511"/>
      <c r="Z572" s="511"/>
    </row>
    <row r="573" spans="1:26" ht="19.5" customHeight="1" x14ac:dyDescent="0.3">
      <c r="A573" s="511"/>
      <c r="B573" s="511"/>
      <c r="C573" s="511"/>
      <c r="D573" s="511"/>
      <c r="E573" s="511"/>
      <c r="F573" s="511"/>
      <c r="G573" s="511"/>
      <c r="H573" s="511"/>
      <c r="I573" s="511"/>
      <c r="J573" s="511"/>
      <c r="K573" s="511"/>
      <c r="L573" s="511"/>
      <c r="M573" s="511"/>
      <c r="N573" s="511"/>
      <c r="O573" s="511"/>
      <c r="P573" s="511"/>
      <c r="Q573" s="511"/>
      <c r="R573" s="511"/>
      <c r="S573" s="511"/>
      <c r="T573" s="511"/>
      <c r="U573" s="511"/>
      <c r="V573" s="511"/>
      <c r="W573" s="511"/>
      <c r="X573" s="511"/>
      <c r="Y573" s="511"/>
      <c r="Z573" s="511"/>
    </row>
    <row r="574" spans="1:26" ht="19.5" customHeight="1" x14ac:dyDescent="0.3">
      <c r="A574" s="511"/>
      <c r="B574" s="511"/>
      <c r="C574" s="511"/>
      <c r="D574" s="511"/>
      <c r="E574" s="511"/>
      <c r="F574" s="511"/>
      <c r="G574" s="511"/>
      <c r="H574" s="511"/>
      <c r="I574" s="511"/>
      <c r="J574" s="511"/>
      <c r="K574" s="511"/>
      <c r="L574" s="511"/>
      <c r="M574" s="511"/>
      <c r="N574" s="511"/>
      <c r="O574" s="511"/>
      <c r="P574" s="511"/>
      <c r="Q574" s="511"/>
      <c r="R574" s="511"/>
      <c r="S574" s="511"/>
      <c r="T574" s="511"/>
      <c r="U574" s="511"/>
      <c r="V574" s="511"/>
      <c r="W574" s="511"/>
      <c r="X574" s="511"/>
      <c r="Y574" s="511"/>
      <c r="Z574" s="511"/>
    </row>
    <row r="575" spans="1:26" ht="19.5" customHeight="1" x14ac:dyDescent="0.3">
      <c r="A575" s="511"/>
      <c r="B575" s="511"/>
      <c r="C575" s="511"/>
      <c r="D575" s="511"/>
      <c r="E575" s="511"/>
      <c r="F575" s="511"/>
      <c r="G575" s="511"/>
      <c r="H575" s="511"/>
      <c r="I575" s="511"/>
      <c r="J575" s="511"/>
      <c r="K575" s="511"/>
      <c r="L575" s="511"/>
      <c r="M575" s="511"/>
      <c r="N575" s="511"/>
      <c r="O575" s="511"/>
      <c r="P575" s="511"/>
      <c r="Q575" s="511"/>
      <c r="R575" s="511"/>
      <c r="S575" s="511"/>
      <c r="T575" s="511"/>
      <c r="U575" s="511"/>
      <c r="V575" s="511"/>
      <c r="W575" s="511"/>
      <c r="X575" s="511"/>
      <c r="Y575" s="511"/>
      <c r="Z575" s="511"/>
    </row>
    <row r="576" spans="1:26" ht="19.5" customHeight="1" x14ac:dyDescent="0.3">
      <c r="A576" s="511"/>
      <c r="B576" s="511"/>
      <c r="C576" s="511"/>
      <c r="D576" s="511"/>
      <c r="E576" s="511"/>
      <c r="F576" s="511"/>
      <c r="G576" s="511"/>
      <c r="H576" s="511"/>
      <c r="I576" s="511"/>
      <c r="J576" s="511"/>
      <c r="K576" s="511"/>
      <c r="L576" s="511"/>
      <c r="M576" s="511"/>
      <c r="N576" s="511"/>
      <c r="O576" s="511"/>
      <c r="P576" s="511"/>
      <c r="Q576" s="511"/>
      <c r="R576" s="511"/>
      <c r="S576" s="511"/>
      <c r="T576" s="511"/>
      <c r="U576" s="511"/>
      <c r="V576" s="511"/>
      <c r="W576" s="511"/>
      <c r="X576" s="511"/>
      <c r="Y576" s="511"/>
      <c r="Z576" s="511"/>
    </row>
    <row r="577" spans="1:26" ht="19.5" customHeight="1" x14ac:dyDescent="0.3">
      <c r="A577" s="511"/>
      <c r="B577" s="511"/>
      <c r="C577" s="511"/>
      <c r="D577" s="511"/>
      <c r="E577" s="511"/>
      <c r="F577" s="511"/>
      <c r="G577" s="511"/>
      <c r="H577" s="511"/>
      <c r="I577" s="511"/>
      <c r="J577" s="511"/>
      <c r="K577" s="511"/>
      <c r="L577" s="511"/>
      <c r="M577" s="511"/>
      <c r="N577" s="511"/>
      <c r="O577" s="511"/>
      <c r="P577" s="511"/>
      <c r="Q577" s="511"/>
      <c r="R577" s="511"/>
      <c r="S577" s="511"/>
      <c r="T577" s="511"/>
      <c r="U577" s="511"/>
      <c r="V577" s="511"/>
      <c r="W577" s="511"/>
      <c r="X577" s="511"/>
      <c r="Y577" s="511"/>
      <c r="Z577" s="511"/>
    </row>
    <row r="578" spans="1:26" ht="19.5" customHeight="1" x14ac:dyDescent="0.3">
      <c r="A578" s="511"/>
      <c r="B578" s="511"/>
      <c r="C578" s="511"/>
      <c r="D578" s="511"/>
      <c r="E578" s="511"/>
      <c r="F578" s="511"/>
      <c r="G578" s="511"/>
      <c r="H578" s="511"/>
      <c r="I578" s="511"/>
      <c r="J578" s="511"/>
      <c r="K578" s="511"/>
      <c r="L578" s="511"/>
      <c r="M578" s="511"/>
      <c r="N578" s="511"/>
      <c r="O578" s="511"/>
      <c r="P578" s="511"/>
      <c r="Q578" s="511"/>
      <c r="R578" s="511"/>
      <c r="S578" s="511"/>
      <c r="T578" s="511"/>
      <c r="U578" s="511"/>
      <c r="V578" s="511"/>
      <c r="W578" s="511"/>
      <c r="X578" s="511"/>
      <c r="Y578" s="511"/>
      <c r="Z578" s="511"/>
    </row>
    <row r="579" spans="1:26" ht="19.5" customHeight="1" x14ac:dyDescent="0.3">
      <c r="A579" s="511"/>
      <c r="B579" s="511"/>
      <c r="C579" s="511"/>
      <c r="D579" s="511"/>
      <c r="E579" s="511"/>
      <c r="F579" s="511"/>
      <c r="G579" s="511"/>
      <c r="H579" s="511"/>
      <c r="I579" s="511"/>
      <c r="J579" s="511"/>
      <c r="K579" s="511"/>
      <c r="L579" s="511"/>
      <c r="M579" s="511"/>
      <c r="N579" s="511"/>
      <c r="O579" s="511"/>
      <c r="P579" s="511"/>
      <c r="Q579" s="511"/>
      <c r="R579" s="511"/>
      <c r="S579" s="511"/>
      <c r="T579" s="511"/>
      <c r="U579" s="511"/>
      <c r="V579" s="511"/>
      <c r="W579" s="511"/>
      <c r="X579" s="511"/>
      <c r="Y579" s="511"/>
      <c r="Z579" s="511"/>
    </row>
    <row r="580" spans="1:26" ht="19.5" customHeight="1" x14ac:dyDescent="0.3">
      <c r="A580" s="511"/>
      <c r="B580" s="511"/>
      <c r="C580" s="511"/>
      <c r="D580" s="511"/>
      <c r="E580" s="511"/>
      <c r="F580" s="511"/>
      <c r="G580" s="511"/>
      <c r="H580" s="511"/>
      <c r="I580" s="511"/>
      <c r="J580" s="511"/>
      <c r="K580" s="511"/>
      <c r="L580" s="511"/>
      <c r="M580" s="511"/>
      <c r="N580" s="511"/>
      <c r="O580" s="511"/>
      <c r="P580" s="511"/>
      <c r="Q580" s="511"/>
      <c r="R580" s="511"/>
      <c r="S580" s="511"/>
      <c r="T580" s="511"/>
      <c r="U580" s="511"/>
      <c r="V580" s="511"/>
      <c r="W580" s="511"/>
      <c r="X580" s="511"/>
      <c r="Y580" s="511"/>
      <c r="Z580" s="511"/>
    </row>
    <row r="581" spans="1:26" ht="19.5" customHeight="1" x14ac:dyDescent="0.3">
      <c r="A581" s="511"/>
      <c r="B581" s="511"/>
      <c r="C581" s="511"/>
      <c r="D581" s="511"/>
      <c r="E581" s="511"/>
      <c r="F581" s="511"/>
      <c r="G581" s="511"/>
      <c r="H581" s="511"/>
      <c r="I581" s="511"/>
      <c r="J581" s="511"/>
      <c r="K581" s="511"/>
      <c r="L581" s="511"/>
      <c r="M581" s="511"/>
      <c r="N581" s="511"/>
      <c r="O581" s="511"/>
      <c r="P581" s="511"/>
      <c r="Q581" s="511"/>
      <c r="R581" s="511"/>
      <c r="S581" s="511"/>
      <c r="T581" s="511"/>
      <c r="U581" s="511"/>
      <c r="V581" s="511"/>
      <c r="W581" s="511"/>
      <c r="X581" s="511"/>
      <c r="Y581" s="511"/>
      <c r="Z581" s="511"/>
    </row>
    <row r="582" spans="1:26" ht="19.5" customHeight="1" x14ac:dyDescent="0.3">
      <c r="A582" s="511"/>
      <c r="B582" s="511"/>
      <c r="C582" s="511"/>
      <c r="D582" s="511"/>
      <c r="E582" s="511"/>
      <c r="F582" s="511"/>
      <c r="G582" s="511"/>
      <c r="H582" s="511"/>
      <c r="I582" s="511"/>
      <c r="J582" s="511"/>
      <c r="K582" s="511"/>
      <c r="L582" s="511"/>
      <c r="M582" s="511"/>
      <c r="N582" s="511"/>
      <c r="O582" s="511"/>
      <c r="P582" s="511"/>
      <c r="Q582" s="511"/>
      <c r="R582" s="511"/>
      <c r="S582" s="511"/>
      <c r="T582" s="511"/>
      <c r="U582" s="511"/>
      <c r="V582" s="511"/>
      <c r="W582" s="511"/>
      <c r="X582" s="511"/>
      <c r="Y582" s="511"/>
      <c r="Z582" s="511"/>
    </row>
    <row r="583" spans="1:26" ht="19.5" customHeight="1" x14ac:dyDescent="0.3">
      <c r="A583" s="511"/>
      <c r="B583" s="511"/>
      <c r="C583" s="511"/>
      <c r="D583" s="511"/>
      <c r="E583" s="511"/>
      <c r="F583" s="511"/>
      <c r="G583" s="511"/>
      <c r="H583" s="511"/>
      <c r="I583" s="511"/>
      <c r="J583" s="511"/>
      <c r="K583" s="511"/>
      <c r="L583" s="511"/>
      <c r="M583" s="511"/>
      <c r="N583" s="511"/>
      <c r="O583" s="511"/>
      <c r="P583" s="511"/>
      <c r="Q583" s="511"/>
      <c r="R583" s="511"/>
      <c r="S583" s="511"/>
      <c r="T583" s="511"/>
      <c r="U583" s="511"/>
      <c r="V583" s="511"/>
      <c r="W583" s="511"/>
      <c r="X583" s="511"/>
      <c r="Y583" s="511"/>
      <c r="Z583" s="511"/>
    </row>
    <row r="584" spans="1:26" ht="19.5" customHeight="1" x14ac:dyDescent="0.3">
      <c r="A584" s="511"/>
      <c r="B584" s="511"/>
      <c r="C584" s="511"/>
      <c r="D584" s="511"/>
      <c r="E584" s="511"/>
      <c r="F584" s="511"/>
      <c r="G584" s="511"/>
      <c r="H584" s="511"/>
      <c r="I584" s="511"/>
      <c r="J584" s="511"/>
      <c r="K584" s="511"/>
      <c r="L584" s="511"/>
      <c r="M584" s="511"/>
      <c r="N584" s="511"/>
      <c r="O584" s="511"/>
      <c r="P584" s="511"/>
      <c r="Q584" s="511"/>
      <c r="R584" s="511"/>
      <c r="S584" s="511"/>
      <c r="T584" s="511"/>
      <c r="U584" s="511"/>
      <c r="V584" s="511"/>
      <c r="W584" s="511"/>
      <c r="X584" s="511"/>
      <c r="Y584" s="511"/>
      <c r="Z584" s="511"/>
    </row>
    <row r="585" spans="1:26" ht="19.5" customHeight="1" x14ac:dyDescent="0.3">
      <c r="A585" s="511"/>
      <c r="B585" s="511"/>
      <c r="C585" s="511"/>
      <c r="D585" s="511"/>
      <c r="E585" s="511"/>
      <c r="F585" s="511"/>
      <c r="G585" s="511"/>
      <c r="H585" s="511"/>
      <c r="I585" s="511"/>
      <c r="J585" s="511"/>
      <c r="K585" s="511"/>
      <c r="L585" s="511"/>
      <c r="M585" s="511"/>
      <c r="N585" s="511"/>
      <c r="O585" s="511"/>
      <c r="P585" s="511"/>
      <c r="Q585" s="511"/>
      <c r="R585" s="511"/>
      <c r="S585" s="511"/>
      <c r="T585" s="511"/>
      <c r="U585" s="511"/>
      <c r="V585" s="511"/>
      <c r="W585" s="511"/>
      <c r="X585" s="511"/>
      <c r="Y585" s="511"/>
      <c r="Z585" s="511"/>
    </row>
    <row r="586" spans="1:26" ht="19.5" customHeight="1" x14ac:dyDescent="0.3">
      <c r="A586" s="511"/>
      <c r="B586" s="511"/>
      <c r="C586" s="511"/>
      <c r="D586" s="511"/>
      <c r="E586" s="511"/>
      <c r="F586" s="511"/>
      <c r="G586" s="511"/>
      <c r="H586" s="511"/>
      <c r="I586" s="511"/>
      <c r="J586" s="511"/>
      <c r="K586" s="511"/>
      <c r="L586" s="511"/>
      <c r="M586" s="511"/>
      <c r="N586" s="511"/>
      <c r="O586" s="511"/>
      <c r="P586" s="511"/>
      <c r="Q586" s="511"/>
      <c r="R586" s="511"/>
      <c r="S586" s="511"/>
      <c r="T586" s="511"/>
      <c r="U586" s="511"/>
      <c r="V586" s="511"/>
      <c r="W586" s="511"/>
      <c r="X586" s="511"/>
      <c r="Y586" s="511"/>
      <c r="Z586" s="511"/>
    </row>
    <row r="587" spans="1:26" ht="19.5" customHeight="1" x14ac:dyDescent="0.3">
      <c r="A587" s="511"/>
      <c r="B587" s="511"/>
      <c r="C587" s="511"/>
      <c r="D587" s="511"/>
      <c r="E587" s="511"/>
      <c r="F587" s="511"/>
      <c r="G587" s="511"/>
      <c r="H587" s="511"/>
      <c r="I587" s="511"/>
      <c r="J587" s="511"/>
      <c r="K587" s="511"/>
      <c r="L587" s="511"/>
      <c r="M587" s="511"/>
      <c r="N587" s="511"/>
      <c r="O587" s="511"/>
      <c r="P587" s="511"/>
      <c r="Q587" s="511"/>
      <c r="R587" s="511"/>
      <c r="S587" s="511"/>
      <c r="T587" s="511"/>
      <c r="U587" s="511"/>
      <c r="V587" s="511"/>
      <c r="W587" s="511"/>
      <c r="X587" s="511"/>
      <c r="Y587" s="511"/>
      <c r="Z587" s="511"/>
    </row>
    <row r="588" spans="1:26" ht="19.5" customHeight="1" x14ac:dyDescent="0.3">
      <c r="A588" s="511"/>
      <c r="B588" s="511"/>
      <c r="C588" s="511"/>
      <c r="D588" s="511"/>
      <c r="E588" s="511"/>
      <c r="F588" s="511"/>
      <c r="G588" s="511"/>
      <c r="H588" s="511"/>
      <c r="I588" s="511"/>
      <c r="J588" s="511"/>
      <c r="K588" s="511"/>
      <c r="L588" s="511"/>
      <c r="M588" s="511"/>
      <c r="N588" s="511"/>
      <c r="O588" s="511"/>
      <c r="P588" s="511"/>
      <c r="Q588" s="511"/>
      <c r="R588" s="511"/>
      <c r="S588" s="511"/>
      <c r="T588" s="511"/>
      <c r="U588" s="511"/>
      <c r="V588" s="511"/>
      <c r="W588" s="511"/>
      <c r="X588" s="511"/>
      <c r="Y588" s="511"/>
      <c r="Z588" s="511"/>
    </row>
    <row r="589" spans="1:26" ht="19.5" customHeight="1" x14ac:dyDescent="0.3">
      <c r="A589" s="511"/>
      <c r="B589" s="511"/>
      <c r="C589" s="511"/>
      <c r="D589" s="511"/>
      <c r="E589" s="511"/>
      <c r="F589" s="511"/>
      <c r="G589" s="511"/>
      <c r="H589" s="511"/>
      <c r="I589" s="511"/>
      <c r="J589" s="511"/>
      <c r="K589" s="511"/>
      <c r="L589" s="511"/>
      <c r="M589" s="511"/>
      <c r="N589" s="511"/>
      <c r="O589" s="511"/>
      <c r="P589" s="511"/>
      <c r="Q589" s="511"/>
      <c r="R589" s="511"/>
      <c r="S589" s="511"/>
      <c r="T589" s="511"/>
      <c r="U589" s="511"/>
      <c r="V589" s="511"/>
      <c r="W589" s="511"/>
      <c r="X589" s="511"/>
      <c r="Y589" s="511"/>
      <c r="Z589" s="511"/>
    </row>
    <row r="590" spans="1:26" ht="19.5" customHeight="1" x14ac:dyDescent="0.3">
      <c r="A590" s="511"/>
      <c r="B590" s="511"/>
      <c r="C590" s="511"/>
      <c r="D590" s="511"/>
      <c r="E590" s="511"/>
      <c r="F590" s="511"/>
      <c r="G590" s="511"/>
      <c r="H590" s="511"/>
      <c r="I590" s="511"/>
      <c r="J590" s="511"/>
      <c r="K590" s="511"/>
      <c r="L590" s="511"/>
      <c r="M590" s="511"/>
      <c r="N590" s="511"/>
      <c r="O590" s="511"/>
      <c r="P590" s="511"/>
      <c r="Q590" s="511"/>
      <c r="R590" s="511"/>
      <c r="S590" s="511"/>
      <c r="T590" s="511"/>
      <c r="U590" s="511"/>
      <c r="V590" s="511"/>
      <c r="W590" s="511"/>
      <c r="X590" s="511"/>
      <c r="Y590" s="511"/>
      <c r="Z590" s="511"/>
    </row>
    <row r="591" spans="1:26" ht="19.5" customHeight="1" x14ac:dyDescent="0.3">
      <c r="A591" s="511"/>
      <c r="B591" s="511"/>
      <c r="C591" s="511"/>
      <c r="D591" s="511"/>
      <c r="E591" s="511"/>
      <c r="F591" s="511"/>
      <c r="G591" s="511"/>
      <c r="H591" s="511"/>
      <c r="I591" s="511"/>
      <c r="J591" s="511"/>
      <c r="K591" s="511"/>
      <c r="L591" s="511"/>
      <c r="M591" s="511"/>
      <c r="N591" s="511"/>
      <c r="O591" s="511"/>
      <c r="P591" s="511"/>
      <c r="Q591" s="511"/>
      <c r="R591" s="511"/>
      <c r="S591" s="511"/>
      <c r="T591" s="511"/>
      <c r="U591" s="511"/>
      <c r="V591" s="511"/>
      <c r="W591" s="511"/>
      <c r="X591" s="511"/>
      <c r="Y591" s="511"/>
      <c r="Z591" s="511"/>
    </row>
    <row r="592" spans="1:26" ht="19.5" customHeight="1" x14ac:dyDescent="0.3">
      <c r="A592" s="511"/>
      <c r="B592" s="511"/>
      <c r="C592" s="511"/>
      <c r="D592" s="511"/>
      <c r="E592" s="511"/>
      <c r="F592" s="511"/>
      <c r="G592" s="511"/>
      <c r="H592" s="511"/>
      <c r="I592" s="511"/>
      <c r="J592" s="511"/>
      <c r="K592" s="511"/>
      <c r="L592" s="511"/>
      <c r="M592" s="511"/>
      <c r="N592" s="511"/>
      <c r="O592" s="511"/>
      <c r="P592" s="511"/>
      <c r="Q592" s="511"/>
      <c r="R592" s="511"/>
      <c r="S592" s="511"/>
      <c r="T592" s="511"/>
      <c r="U592" s="511"/>
      <c r="V592" s="511"/>
      <c r="W592" s="511"/>
      <c r="X592" s="511"/>
      <c r="Y592" s="511"/>
      <c r="Z592" s="511"/>
    </row>
    <row r="593" spans="1:26" ht="19.5" customHeight="1" x14ac:dyDescent="0.3">
      <c r="A593" s="511"/>
      <c r="B593" s="511"/>
      <c r="C593" s="511"/>
      <c r="D593" s="511"/>
      <c r="E593" s="511"/>
      <c r="F593" s="511"/>
      <c r="G593" s="511"/>
      <c r="H593" s="511"/>
      <c r="I593" s="511"/>
      <c r="J593" s="511"/>
      <c r="K593" s="511"/>
      <c r="L593" s="511"/>
      <c r="M593" s="511"/>
      <c r="N593" s="511"/>
      <c r="O593" s="511"/>
      <c r="P593" s="511"/>
      <c r="Q593" s="511"/>
      <c r="R593" s="511"/>
      <c r="S593" s="511"/>
      <c r="T593" s="511"/>
      <c r="U593" s="511"/>
      <c r="V593" s="511"/>
      <c r="W593" s="511"/>
      <c r="X593" s="511"/>
      <c r="Y593" s="511"/>
      <c r="Z593" s="511"/>
    </row>
    <row r="594" spans="1:26" ht="19.5" customHeight="1" x14ac:dyDescent="0.3">
      <c r="A594" s="511"/>
      <c r="B594" s="511"/>
      <c r="C594" s="511"/>
      <c r="D594" s="511"/>
      <c r="E594" s="511"/>
      <c r="F594" s="511"/>
      <c r="G594" s="511"/>
      <c r="H594" s="511"/>
      <c r="I594" s="511"/>
      <c r="J594" s="511"/>
      <c r="K594" s="511"/>
      <c r="L594" s="511"/>
      <c r="M594" s="511"/>
      <c r="N594" s="511"/>
      <c r="O594" s="511"/>
      <c r="P594" s="511"/>
      <c r="Q594" s="511"/>
      <c r="R594" s="511"/>
      <c r="S594" s="511"/>
      <c r="T594" s="511"/>
      <c r="U594" s="511"/>
      <c r="V594" s="511"/>
      <c r="W594" s="511"/>
      <c r="X594" s="511"/>
      <c r="Y594" s="511"/>
      <c r="Z594" s="511"/>
    </row>
    <row r="595" spans="1:26" ht="19.5" customHeight="1" x14ac:dyDescent="0.3">
      <c r="A595" s="511"/>
      <c r="B595" s="511"/>
      <c r="C595" s="511"/>
      <c r="D595" s="511"/>
      <c r="E595" s="511"/>
      <c r="F595" s="511"/>
      <c r="G595" s="511"/>
      <c r="H595" s="511"/>
      <c r="I595" s="511"/>
      <c r="J595" s="511"/>
      <c r="K595" s="511"/>
      <c r="L595" s="511"/>
      <c r="M595" s="511"/>
      <c r="N595" s="511"/>
      <c r="O595" s="511"/>
      <c r="P595" s="511"/>
      <c r="Q595" s="511"/>
      <c r="R595" s="511"/>
      <c r="S595" s="511"/>
      <c r="T595" s="511"/>
      <c r="U595" s="511"/>
      <c r="V595" s="511"/>
      <c r="W595" s="511"/>
      <c r="X595" s="511"/>
      <c r="Y595" s="511"/>
      <c r="Z595" s="511"/>
    </row>
    <row r="596" spans="1:26" ht="19.5" customHeight="1" x14ac:dyDescent="0.3">
      <c r="A596" s="511"/>
      <c r="B596" s="511"/>
      <c r="C596" s="511"/>
      <c r="D596" s="511"/>
      <c r="E596" s="511"/>
      <c r="F596" s="511"/>
      <c r="G596" s="511"/>
      <c r="H596" s="511"/>
      <c r="I596" s="511"/>
      <c r="J596" s="511"/>
      <c r="K596" s="511"/>
      <c r="L596" s="511"/>
      <c r="M596" s="511"/>
      <c r="N596" s="511"/>
      <c r="O596" s="511"/>
      <c r="P596" s="511"/>
      <c r="Q596" s="511"/>
      <c r="R596" s="511"/>
      <c r="S596" s="511"/>
      <c r="T596" s="511"/>
      <c r="U596" s="511"/>
      <c r="V596" s="511"/>
      <c r="W596" s="511"/>
      <c r="X596" s="511"/>
      <c r="Y596" s="511"/>
      <c r="Z596" s="511"/>
    </row>
    <row r="597" spans="1:26" ht="19.5" customHeight="1" x14ac:dyDescent="0.3">
      <c r="A597" s="511"/>
      <c r="B597" s="511"/>
      <c r="C597" s="511"/>
      <c r="D597" s="511"/>
      <c r="E597" s="511"/>
      <c r="F597" s="511"/>
      <c r="G597" s="511"/>
      <c r="H597" s="511"/>
      <c r="I597" s="511"/>
      <c r="J597" s="511"/>
      <c r="K597" s="511"/>
      <c r="L597" s="511"/>
      <c r="M597" s="511"/>
      <c r="N597" s="511"/>
      <c r="O597" s="511"/>
      <c r="P597" s="511"/>
      <c r="Q597" s="511"/>
      <c r="R597" s="511"/>
      <c r="S597" s="511"/>
      <c r="T597" s="511"/>
      <c r="U597" s="511"/>
      <c r="V597" s="511"/>
      <c r="W597" s="511"/>
      <c r="X597" s="511"/>
      <c r="Y597" s="511"/>
      <c r="Z597" s="511"/>
    </row>
    <row r="598" spans="1:26" ht="19.5" customHeight="1" x14ac:dyDescent="0.3">
      <c r="A598" s="511"/>
      <c r="B598" s="511"/>
      <c r="C598" s="511"/>
      <c r="D598" s="511"/>
      <c r="E598" s="511"/>
      <c r="F598" s="511"/>
      <c r="G598" s="511"/>
      <c r="H598" s="511"/>
      <c r="I598" s="511"/>
      <c r="J598" s="511"/>
      <c r="K598" s="511"/>
      <c r="L598" s="511"/>
      <c r="M598" s="511"/>
      <c r="N598" s="511"/>
      <c r="O598" s="511"/>
      <c r="P598" s="511"/>
      <c r="Q598" s="511"/>
      <c r="R598" s="511"/>
      <c r="S598" s="511"/>
      <c r="T598" s="511"/>
      <c r="U598" s="511"/>
      <c r="V598" s="511"/>
      <c r="W598" s="511"/>
      <c r="X598" s="511"/>
      <c r="Y598" s="511"/>
      <c r="Z598" s="511"/>
    </row>
    <row r="599" spans="1:26" ht="19.5" customHeight="1" x14ac:dyDescent="0.3">
      <c r="A599" s="511"/>
      <c r="B599" s="511"/>
      <c r="C599" s="511"/>
      <c r="D599" s="511"/>
      <c r="E599" s="511"/>
      <c r="F599" s="511"/>
      <c r="G599" s="511"/>
      <c r="H599" s="511"/>
      <c r="I599" s="511"/>
      <c r="J599" s="511"/>
      <c r="K599" s="511"/>
      <c r="L599" s="511"/>
      <c r="M599" s="511"/>
      <c r="N599" s="511"/>
      <c r="O599" s="511"/>
      <c r="P599" s="511"/>
      <c r="Q599" s="511"/>
      <c r="R599" s="511"/>
      <c r="S599" s="511"/>
      <c r="T599" s="511"/>
      <c r="U599" s="511"/>
      <c r="V599" s="511"/>
      <c r="W599" s="511"/>
      <c r="X599" s="511"/>
      <c r="Y599" s="511"/>
      <c r="Z599" s="511"/>
    </row>
    <row r="600" spans="1:26" ht="19.5" customHeight="1" x14ac:dyDescent="0.3">
      <c r="A600" s="511"/>
      <c r="B600" s="511"/>
      <c r="C600" s="511"/>
      <c r="D600" s="511"/>
      <c r="E600" s="511"/>
      <c r="F600" s="511"/>
      <c r="G600" s="511"/>
      <c r="H600" s="511"/>
      <c r="I600" s="511"/>
      <c r="J600" s="511"/>
      <c r="K600" s="511"/>
      <c r="L600" s="511"/>
      <c r="M600" s="511"/>
      <c r="N600" s="511"/>
      <c r="O600" s="511"/>
      <c r="P600" s="511"/>
      <c r="Q600" s="511"/>
      <c r="R600" s="511"/>
      <c r="S600" s="511"/>
      <c r="T600" s="511"/>
      <c r="U600" s="511"/>
      <c r="V600" s="511"/>
      <c r="W600" s="511"/>
      <c r="X600" s="511"/>
      <c r="Y600" s="511"/>
      <c r="Z600" s="511"/>
    </row>
    <row r="601" spans="1:26" ht="19.5" customHeight="1" x14ac:dyDescent="0.3">
      <c r="A601" s="511"/>
      <c r="B601" s="511"/>
      <c r="C601" s="511"/>
      <c r="D601" s="511"/>
      <c r="E601" s="511"/>
      <c r="F601" s="511"/>
      <c r="G601" s="511"/>
      <c r="H601" s="511"/>
      <c r="I601" s="511"/>
      <c r="J601" s="511"/>
      <c r="K601" s="511"/>
      <c r="L601" s="511"/>
      <c r="M601" s="511"/>
      <c r="N601" s="511"/>
      <c r="O601" s="511"/>
      <c r="P601" s="511"/>
      <c r="Q601" s="511"/>
      <c r="R601" s="511"/>
      <c r="S601" s="511"/>
      <c r="T601" s="511"/>
      <c r="U601" s="511"/>
      <c r="V601" s="511"/>
      <c r="W601" s="511"/>
      <c r="X601" s="511"/>
      <c r="Y601" s="511"/>
      <c r="Z601" s="511"/>
    </row>
    <row r="602" spans="1:26" ht="19.5" customHeight="1" x14ac:dyDescent="0.3">
      <c r="A602" s="511"/>
      <c r="B602" s="511"/>
      <c r="C602" s="511"/>
      <c r="D602" s="511"/>
      <c r="E602" s="511"/>
      <c r="F602" s="511"/>
      <c r="G602" s="511"/>
      <c r="H602" s="511"/>
      <c r="I602" s="511"/>
      <c r="J602" s="511"/>
      <c r="K602" s="511"/>
      <c r="L602" s="511"/>
      <c r="M602" s="511"/>
      <c r="N602" s="511"/>
      <c r="O602" s="511"/>
      <c r="P602" s="511"/>
      <c r="Q602" s="511"/>
      <c r="R602" s="511"/>
      <c r="S602" s="511"/>
      <c r="T602" s="511"/>
      <c r="U602" s="511"/>
      <c r="V602" s="511"/>
      <c r="W602" s="511"/>
      <c r="X602" s="511"/>
      <c r="Y602" s="511"/>
      <c r="Z602" s="511"/>
    </row>
    <row r="603" spans="1:26" ht="19.5" customHeight="1" x14ac:dyDescent="0.3">
      <c r="A603" s="511"/>
      <c r="B603" s="511"/>
      <c r="C603" s="511"/>
      <c r="D603" s="511"/>
      <c r="E603" s="511"/>
      <c r="F603" s="511"/>
      <c r="G603" s="511"/>
      <c r="H603" s="511"/>
      <c r="I603" s="511"/>
      <c r="J603" s="511"/>
      <c r="K603" s="511"/>
      <c r="L603" s="511"/>
      <c r="M603" s="511"/>
      <c r="N603" s="511"/>
      <c r="O603" s="511"/>
      <c r="P603" s="511"/>
      <c r="Q603" s="511"/>
      <c r="R603" s="511"/>
      <c r="S603" s="511"/>
      <c r="T603" s="511"/>
      <c r="U603" s="511"/>
      <c r="V603" s="511"/>
      <c r="W603" s="511"/>
      <c r="X603" s="511"/>
      <c r="Y603" s="511"/>
      <c r="Z603" s="511"/>
    </row>
    <row r="604" spans="1:26" ht="19.5" customHeight="1" x14ac:dyDescent="0.3">
      <c r="A604" s="511"/>
      <c r="B604" s="511"/>
      <c r="C604" s="511"/>
      <c r="D604" s="511"/>
      <c r="E604" s="511"/>
      <c r="F604" s="511"/>
      <c r="G604" s="511"/>
      <c r="H604" s="511"/>
      <c r="I604" s="511"/>
      <c r="J604" s="511"/>
      <c r="K604" s="511"/>
      <c r="L604" s="511"/>
      <c r="M604" s="511"/>
      <c r="N604" s="511"/>
      <c r="O604" s="511"/>
      <c r="P604" s="511"/>
      <c r="Q604" s="511"/>
      <c r="R604" s="511"/>
      <c r="S604" s="511"/>
      <c r="T604" s="511"/>
      <c r="U604" s="511"/>
      <c r="V604" s="511"/>
      <c r="W604" s="511"/>
      <c r="X604" s="511"/>
      <c r="Y604" s="511"/>
      <c r="Z604" s="511"/>
    </row>
    <row r="605" spans="1:26" ht="19.5" customHeight="1" x14ac:dyDescent="0.3">
      <c r="A605" s="511"/>
      <c r="B605" s="511"/>
      <c r="C605" s="511"/>
      <c r="D605" s="511"/>
      <c r="E605" s="511"/>
      <c r="F605" s="511"/>
      <c r="G605" s="511"/>
      <c r="H605" s="511"/>
      <c r="I605" s="511"/>
      <c r="J605" s="511"/>
      <c r="K605" s="511"/>
      <c r="L605" s="511"/>
      <c r="M605" s="511"/>
      <c r="N605" s="511"/>
      <c r="O605" s="511"/>
      <c r="P605" s="511"/>
      <c r="Q605" s="511"/>
      <c r="R605" s="511"/>
      <c r="S605" s="511"/>
      <c r="T605" s="511"/>
      <c r="U605" s="511"/>
      <c r="V605" s="511"/>
      <c r="W605" s="511"/>
      <c r="X605" s="511"/>
      <c r="Y605" s="511"/>
      <c r="Z605" s="511"/>
    </row>
    <row r="606" spans="1:26" ht="19.5" customHeight="1" x14ac:dyDescent="0.3">
      <c r="A606" s="511"/>
      <c r="B606" s="511"/>
      <c r="C606" s="511"/>
      <c r="D606" s="511"/>
      <c r="E606" s="511"/>
      <c r="F606" s="511"/>
      <c r="G606" s="511"/>
      <c r="H606" s="511"/>
      <c r="I606" s="511"/>
      <c r="J606" s="511"/>
      <c r="K606" s="511"/>
      <c r="L606" s="511"/>
      <c r="M606" s="511"/>
      <c r="N606" s="511"/>
      <c r="O606" s="511"/>
      <c r="P606" s="511"/>
      <c r="Q606" s="511"/>
      <c r="R606" s="511"/>
      <c r="S606" s="511"/>
      <c r="T606" s="511"/>
      <c r="U606" s="511"/>
      <c r="V606" s="511"/>
      <c r="W606" s="511"/>
      <c r="X606" s="511"/>
      <c r="Y606" s="511"/>
      <c r="Z606" s="511"/>
    </row>
    <row r="607" spans="1:26" ht="19.5" customHeight="1" x14ac:dyDescent="0.3">
      <c r="A607" s="511"/>
      <c r="B607" s="511"/>
      <c r="C607" s="511"/>
      <c r="D607" s="511"/>
      <c r="E607" s="511"/>
      <c r="F607" s="511"/>
      <c r="G607" s="511"/>
      <c r="H607" s="511"/>
      <c r="I607" s="511"/>
      <c r="J607" s="511"/>
      <c r="K607" s="511"/>
      <c r="L607" s="511"/>
      <c r="M607" s="511"/>
      <c r="N607" s="511"/>
      <c r="O607" s="511"/>
      <c r="P607" s="511"/>
      <c r="Q607" s="511"/>
      <c r="R607" s="511"/>
      <c r="S607" s="511"/>
      <c r="T607" s="511"/>
      <c r="U607" s="511"/>
      <c r="V607" s="511"/>
      <c r="W607" s="511"/>
      <c r="X607" s="511"/>
      <c r="Y607" s="511"/>
      <c r="Z607" s="511"/>
    </row>
    <row r="608" spans="1:26" ht="19.5" customHeight="1" x14ac:dyDescent="0.3">
      <c r="A608" s="511"/>
      <c r="B608" s="511"/>
      <c r="C608" s="511"/>
      <c r="D608" s="511"/>
      <c r="E608" s="511"/>
      <c r="F608" s="511"/>
      <c r="G608" s="511"/>
      <c r="H608" s="511"/>
      <c r="I608" s="511"/>
      <c r="J608" s="511"/>
      <c r="K608" s="511"/>
      <c r="L608" s="511"/>
      <c r="M608" s="511"/>
      <c r="N608" s="511"/>
      <c r="O608" s="511"/>
      <c r="P608" s="511"/>
      <c r="Q608" s="511"/>
      <c r="R608" s="511"/>
      <c r="S608" s="511"/>
      <c r="T608" s="511"/>
      <c r="U608" s="511"/>
      <c r="V608" s="511"/>
      <c r="W608" s="511"/>
      <c r="X608" s="511"/>
      <c r="Y608" s="511"/>
      <c r="Z608" s="511"/>
    </row>
    <row r="609" spans="1:26" ht="19.5" customHeight="1" x14ac:dyDescent="0.3">
      <c r="A609" s="511"/>
      <c r="B609" s="511"/>
      <c r="C609" s="511"/>
      <c r="D609" s="511"/>
      <c r="E609" s="511"/>
      <c r="F609" s="511"/>
      <c r="G609" s="511"/>
      <c r="H609" s="511"/>
      <c r="I609" s="511"/>
      <c r="J609" s="511"/>
      <c r="K609" s="511"/>
      <c r="L609" s="511"/>
      <c r="M609" s="511"/>
      <c r="N609" s="511"/>
      <c r="O609" s="511"/>
      <c r="P609" s="511"/>
      <c r="Q609" s="511"/>
      <c r="R609" s="511"/>
      <c r="S609" s="511"/>
      <c r="T609" s="511"/>
      <c r="U609" s="511"/>
      <c r="V609" s="511"/>
      <c r="W609" s="511"/>
      <c r="X609" s="511"/>
      <c r="Y609" s="511"/>
      <c r="Z609" s="511"/>
    </row>
    <row r="610" spans="1:26" ht="19.5" customHeight="1" x14ac:dyDescent="0.3">
      <c r="A610" s="511"/>
      <c r="B610" s="511"/>
      <c r="C610" s="511"/>
      <c r="D610" s="511"/>
      <c r="E610" s="511"/>
      <c r="F610" s="511"/>
      <c r="G610" s="511"/>
      <c r="H610" s="511"/>
      <c r="I610" s="511"/>
      <c r="J610" s="511"/>
      <c r="K610" s="511"/>
      <c r="L610" s="511"/>
      <c r="M610" s="511"/>
      <c r="N610" s="511"/>
      <c r="O610" s="511"/>
      <c r="P610" s="511"/>
      <c r="Q610" s="511"/>
      <c r="R610" s="511"/>
      <c r="S610" s="511"/>
      <c r="T610" s="511"/>
      <c r="U610" s="511"/>
      <c r="V610" s="511"/>
      <c r="W610" s="511"/>
      <c r="X610" s="511"/>
      <c r="Y610" s="511"/>
      <c r="Z610" s="511"/>
    </row>
    <row r="611" spans="1:26" ht="19.5" customHeight="1" x14ac:dyDescent="0.3">
      <c r="A611" s="511"/>
      <c r="B611" s="511"/>
      <c r="C611" s="511"/>
      <c r="D611" s="511"/>
      <c r="E611" s="511"/>
      <c r="F611" s="511"/>
      <c r="G611" s="511"/>
      <c r="H611" s="511"/>
      <c r="I611" s="511"/>
      <c r="J611" s="511"/>
      <c r="K611" s="511"/>
      <c r="L611" s="511"/>
      <c r="M611" s="511"/>
      <c r="N611" s="511"/>
      <c r="O611" s="511"/>
      <c r="P611" s="511"/>
      <c r="Q611" s="511"/>
      <c r="R611" s="511"/>
      <c r="S611" s="511"/>
      <c r="T611" s="511"/>
      <c r="U611" s="511"/>
      <c r="V611" s="511"/>
      <c r="W611" s="511"/>
      <c r="X611" s="511"/>
      <c r="Y611" s="511"/>
      <c r="Z611" s="511"/>
    </row>
    <row r="612" spans="1:26" ht="19.5" customHeight="1" x14ac:dyDescent="0.3">
      <c r="A612" s="511"/>
      <c r="B612" s="511"/>
      <c r="C612" s="511"/>
      <c r="D612" s="511"/>
      <c r="E612" s="511"/>
      <c r="F612" s="511"/>
      <c r="G612" s="511"/>
      <c r="H612" s="511"/>
      <c r="I612" s="511"/>
      <c r="J612" s="511"/>
      <c r="K612" s="511"/>
      <c r="L612" s="511"/>
      <c r="M612" s="511"/>
      <c r="N612" s="511"/>
      <c r="O612" s="511"/>
      <c r="P612" s="511"/>
      <c r="Q612" s="511"/>
      <c r="R612" s="511"/>
      <c r="S612" s="511"/>
      <c r="T612" s="511"/>
      <c r="U612" s="511"/>
      <c r="V612" s="511"/>
      <c r="W612" s="511"/>
      <c r="X612" s="511"/>
      <c r="Y612" s="511"/>
      <c r="Z612" s="511"/>
    </row>
    <row r="613" spans="1:26" ht="19.5" customHeight="1" x14ac:dyDescent="0.3">
      <c r="A613" s="511"/>
      <c r="B613" s="511"/>
      <c r="C613" s="511"/>
      <c r="D613" s="511"/>
      <c r="E613" s="511"/>
      <c r="F613" s="511"/>
      <c r="G613" s="511"/>
      <c r="H613" s="511"/>
      <c r="I613" s="511"/>
      <c r="J613" s="511"/>
      <c r="K613" s="511"/>
      <c r="L613" s="511"/>
      <c r="M613" s="511"/>
      <c r="N613" s="511"/>
      <c r="O613" s="511"/>
      <c r="P613" s="511"/>
      <c r="Q613" s="511"/>
      <c r="R613" s="511"/>
      <c r="S613" s="511"/>
      <c r="T613" s="511"/>
      <c r="U613" s="511"/>
      <c r="V613" s="511"/>
      <c r="W613" s="511"/>
      <c r="X613" s="511"/>
      <c r="Y613" s="511"/>
      <c r="Z613" s="511"/>
    </row>
    <row r="614" spans="1:26" ht="19.5" customHeight="1" x14ac:dyDescent="0.3">
      <c r="A614" s="511"/>
      <c r="B614" s="511"/>
      <c r="C614" s="511"/>
      <c r="D614" s="511"/>
      <c r="E614" s="511"/>
      <c r="F614" s="511"/>
      <c r="G614" s="511"/>
      <c r="H614" s="511"/>
      <c r="I614" s="511"/>
      <c r="J614" s="511"/>
      <c r="K614" s="511"/>
      <c r="L614" s="511"/>
      <c r="M614" s="511"/>
      <c r="N614" s="511"/>
      <c r="O614" s="511"/>
      <c r="P614" s="511"/>
      <c r="Q614" s="511"/>
      <c r="R614" s="511"/>
      <c r="S614" s="511"/>
      <c r="T614" s="511"/>
      <c r="U614" s="511"/>
      <c r="V614" s="511"/>
      <c r="W614" s="511"/>
      <c r="X614" s="511"/>
      <c r="Y614" s="511"/>
      <c r="Z614" s="511"/>
    </row>
    <row r="615" spans="1:26" ht="19.5" customHeight="1" x14ac:dyDescent="0.3">
      <c r="A615" s="511"/>
      <c r="B615" s="511"/>
      <c r="C615" s="511"/>
      <c r="D615" s="511"/>
      <c r="E615" s="511"/>
      <c r="F615" s="511"/>
      <c r="G615" s="511"/>
      <c r="H615" s="511"/>
      <c r="I615" s="511"/>
      <c r="J615" s="511"/>
      <c r="K615" s="511"/>
      <c r="L615" s="511"/>
      <c r="M615" s="511"/>
      <c r="N615" s="511"/>
      <c r="O615" s="511"/>
      <c r="P615" s="511"/>
      <c r="Q615" s="511"/>
      <c r="R615" s="511"/>
      <c r="S615" s="511"/>
      <c r="T615" s="511"/>
      <c r="U615" s="511"/>
      <c r="V615" s="511"/>
      <c r="W615" s="511"/>
      <c r="X615" s="511"/>
      <c r="Y615" s="511"/>
      <c r="Z615" s="511"/>
    </row>
    <row r="616" spans="1:26" ht="19.5" customHeight="1" x14ac:dyDescent="0.3">
      <c r="A616" s="511"/>
      <c r="B616" s="511"/>
      <c r="C616" s="511"/>
      <c r="D616" s="511"/>
      <c r="E616" s="511"/>
      <c r="F616" s="511"/>
      <c r="G616" s="511"/>
      <c r="H616" s="511"/>
      <c r="I616" s="511"/>
      <c r="J616" s="511"/>
      <c r="K616" s="511"/>
      <c r="L616" s="511"/>
      <c r="M616" s="511"/>
      <c r="N616" s="511"/>
      <c r="O616" s="511"/>
      <c r="P616" s="511"/>
      <c r="Q616" s="511"/>
      <c r="R616" s="511"/>
      <c r="S616" s="511"/>
      <c r="T616" s="511"/>
      <c r="U616" s="511"/>
      <c r="V616" s="511"/>
      <c r="W616" s="511"/>
      <c r="X616" s="511"/>
      <c r="Y616" s="511"/>
      <c r="Z616" s="511"/>
    </row>
    <row r="617" spans="1:26" ht="19.5" customHeight="1" x14ac:dyDescent="0.3">
      <c r="A617" s="511"/>
      <c r="B617" s="511"/>
      <c r="C617" s="511"/>
      <c r="D617" s="511"/>
      <c r="E617" s="511"/>
      <c r="F617" s="511"/>
      <c r="G617" s="511"/>
      <c r="H617" s="511"/>
      <c r="I617" s="511"/>
      <c r="J617" s="511"/>
      <c r="K617" s="511"/>
      <c r="L617" s="511"/>
      <c r="M617" s="511"/>
      <c r="N617" s="511"/>
      <c r="O617" s="511"/>
      <c r="P617" s="511"/>
      <c r="Q617" s="511"/>
      <c r="R617" s="511"/>
      <c r="S617" s="511"/>
      <c r="T617" s="511"/>
      <c r="U617" s="511"/>
      <c r="V617" s="511"/>
      <c r="W617" s="511"/>
      <c r="X617" s="511"/>
      <c r="Y617" s="511"/>
      <c r="Z617" s="511"/>
    </row>
    <row r="618" spans="1:26" ht="19.5" customHeight="1" x14ac:dyDescent="0.3">
      <c r="A618" s="511"/>
      <c r="B618" s="511"/>
      <c r="C618" s="511"/>
      <c r="D618" s="511"/>
      <c r="E618" s="511"/>
      <c r="F618" s="511"/>
      <c r="G618" s="511"/>
      <c r="H618" s="511"/>
      <c r="I618" s="511"/>
      <c r="J618" s="511"/>
      <c r="K618" s="511"/>
      <c r="L618" s="511"/>
      <c r="M618" s="511"/>
      <c r="N618" s="511"/>
      <c r="O618" s="511"/>
      <c r="P618" s="511"/>
      <c r="Q618" s="511"/>
      <c r="R618" s="511"/>
      <c r="S618" s="511"/>
      <c r="T618" s="511"/>
      <c r="U618" s="511"/>
      <c r="V618" s="511"/>
      <c r="W618" s="511"/>
      <c r="X618" s="511"/>
      <c r="Y618" s="511"/>
      <c r="Z618" s="511"/>
    </row>
    <row r="619" spans="1:26" ht="19.5" customHeight="1" x14ac:dyDescent="0.3">
      <c r="A619" s="511"/>
      <c r="B619" s="511"/>
      <c r="C619" s="511"/>
      <c r="D619" s="511"/>
      <c r="E619" s="511"/>
      <c r="F619" s="511"/>
      <c r="G619" s="511"/>
      <c r="H619" s="511"/>
      <c r="I619" s="511"/>
      <c r="J619" s="511"/>
      <c r="K619" s="511"/>
      <c r="L619" s="511"/>
      <c r="M619" s="511"/>
      <c r="N619" s="511"/>
      <c r="O619" s="511"/>
      <c r="P619" s="511"/>
      <c r="Q619" s="511"/>
      <c r="R619" s="511"/>
      <c r="S619" s="511"/>
      <c r="T619" s="511"/>
      <c r="U619" s="511"/>
      <c r="V619" s="511"/>
      <c r="W619" s="511"/>
      <c r="X619" s="511"/>
      <c r="Y619" s="511"/>
      <c r="Z619" s="511"/>
    </row>
    <row r="620" spans="1:26" ht="19.5" customHeight="1" x14ac:dyDescent="0.3">
      <c r="A620" s="511"/>
      <c r="B620" s="511"/>
      <c r="C620" s="511"/>
      <c r="D620" s="511"/>
      <c r="E620" s="511"/>
      <c r="F620" s="511"/>
      <c r="G620" s="511"/>
      <c r="H620" s="511"/>
      <c r="I620" s="511"/>
      <c r="J620" s="511"/>
      <c r="K620" s="511"/>
      <c r="L620" s="511"/>
      <c r="M620" s="511"/>
      <c r="N620" s="511"/>
      <c r="O620" s="511"/>
      <c r="P620" s="511"/>
      <c r="Q620" s="511"/>
      <c r="R620" s="511"/>
      <c r="S620" s="511"/>
      <c r="T620" s="511"/>
      <c r="U620" s="511"/>
      <c r="V620" s="511"/>
      <c r="W620" s="511"/>
      <c r="X620" s="511"/>
      <c r="Y620" s="511"/>
      <c r="Z620" s="511"/>
    </row>
    <row r="621" spans="1:26" ht="19.5" customHeight="1" x14ac:dyDescent="0.3">
      <c r="A621" s="511"/>
      <c r="B621" s="511"/>
      <c r="C621" s="511"/>
      <c r="D621" s="511"/>
      <c r="E621" s="511"/>
      <c r="F621" s="511"/>
      <c r="G621" s="511"/>
      <c r="H621" s="511"/>
      <c r="I621" s="511"/>
      <c r="J621" s="511"/>
      <c r="K621" s="511"/>
      <c r="L621" s="511"/>
      <c r="M621" s="511"/>
      <c r="N621" s="511"/>
      <c r="O621" s="511"/>
      <c r="P621" s="511"/>
      <c r="Q621" s="511"/>
      <c r="R621" s="511"/>
      <c r="S621" s="511"/>
      <c r="T621" s="511"/>
      <c r="U621" s="511"/>
      <c r="V621" s="511"/>
      <c r="W621" s="511"/>
      <c r="X621" s="511"/>
      <c r="Y621" s="511"/>
      <c r="Z621" s="511"/>
    </row>
    <row r="622" spans="1:26" ht="19.5" customHeight="1" x14ac:dyDescent="0.3">
      <c r="A622" s="511"/>
      <c r="B622" s="511"/>
      <c r="C622" s="511"/>
      <c r="D622" s="511"/>
      <c r="E622" s="511"/>
      <c r="F622" s="511"/>
      <c r="G622" s="511"/>
      <c r="H622" s="511"/>
      <c r="I622" s="511"/>
      <c r="J622" s="511"/>
      <c r="K622" s="511"/>
      <c r="L622" s="511"/>
      <c r="M622" s="511"/>
      <c r="N622" s="511"/>
      <c r="O622" s="511"/>
      <c r="P622" s="511"/>
      <c r="Q622" s="511"/>
      <c r="R622" s="511"/>
      <c r="S622" s="511"/>
      <c r="T622" s="511"/>
      <c r="U622" s="511"/>
      <c r="V622" s="511"/>
      <c r="W622" s="511"/>
      <c r="X622" s="511"/>
      <c r="Y622" s="511"/>
      <c r="Z622" s="511"/>
    </row>
    <row r="623" spans="1:26" ht="19.5" customHeight="1" x14ac:dyDescent="0.3">
      <c r="A623" s="511"/>
      <c r="B623" s="511"/>
      <c r="C623" s="511"/>
      <c r="D623" s="511"/>
      <c r="E623" s="511"/>
      <c r="F623" s="511"/>
      <c r="G623" s="511"/>
      <c r="H623" s="511"/>
      <c r="I623" s="511"/>
      <c r="J623" s="511"/>
      <c r="K623" s="511"/>
      <c r="L623" s="511"/>
      <c r="M623" s="511"/>
      <c r="N623" s="511"/>
      <c r="O623" s="511"/>
      <c r="P623" s="511"/>
      <c r="Q623" s="511"/>
      <c r="R623" s="511"/>
      <c r="S623" s="511"/>
      <c r="T623" s="511"/>
      <c r="U623" s="511"/>
      <c r="V623" s="511"/>
      <c r="W623" s="511"/>
      <c r="X623" s="511"/>
      <c r="Y623" s="511"/>
      <c r="Z623" s="511"/>
    </row>
    <row r="624" spans="1:26" ht="19.5" customHeight="1" x14ac:dyDescent="0.3">
      <c r="A624" s="511"/>
      <c r="B624" s="511"/>
      <c r="C624" s="511"/>
      <c r="D624" s="511"/>
      <c r="E624" s="511"/>
      <c r="F624" s="511"/>
      <c r="G624" s="511"/>
      <c r="H624" s="511"/>
      <c r="I624" s="511"/>
      <c r="J624" s="511"/>
      <c r="K624" s="511"/>
      <c r="L624" s="511"/>
      <c r="M624" s="511"/>
      <c r="N624" s="511"/>
      <c r="O624" s="511"/>
      <c r="P624" s="511"/>
      <c r="Q624" s="511"/>
      <c r="R624" s="511"/>
      <c r="S624" s="511"/>
      <c r="T624" s="511"/>
      <c r="U624" s="511"/>
      <c r="V624" s="511"/>
      <c r="W624" s="511"/>
      <c r="X624" s="511"/>
      <c r="Y624" s="511"/>
      <c r="Z624" s="511"/>
    </row>
    <row r="625" spans="1:26" ht="19.5" customHeight="1" x14ac:dyDescent="0.3">
      <c r="A625" s="511"/>
      <c r="B625" s="511"/>
      <c r="C625" s="511"/>
      <c r="D625" s="511"/>
      <c r="E625" s="511"/>
      <c r="F625" s="511"/>
      <c r="G625" s="511"/>
      <c r="H625" s="511"/>
      <c r="I625" s="511"/>
      <c r="J625" s="511"/>
      <c r="K625" s="511"/>
      <c r="L625" s="511"/>
      <c r="M625" s="511"/>
      <c r="N625" s="511"/>
      <c r="O625" s="511"/>
      <c r="P625" s="511"/>
      <c r="Q625" s="511"/>
      <c r="R625" s="511"/>
      <c r="S625" s="511"/>
      <c r="T625" s="511"/>
      <c r="U625" s="511"/>
      <c r="V625" s="511"/>
      <c r="W625" s="511"/>
      <c r="X625" s="511"/>
      <c r="Y625" s="511"/>
      <c r="Z625" s="511"/>
    </row>
    <row r="626" spans="1:26" ht="19.5" customHeight="1" x14ac:dyDescent="0.3">
      <c r="A626" s="511"/>
      <c r="B626" s="511"/>
      <c r="C626" s="511"/>
      <c r="D626" s="511"/>
      <c r="E626" s="511"/>
      <c r="F626" s="511"/>
      <c r="G626" s="511"/>
      <c r="H626" s="511"/>
      <c r="I626" s="511"/>
      <c r="J626" s="511"/>
      <c r="K626" s="511"/>
      <c r="L626" s="511"/>
      <c r="M626" s="511"/>
      <c r="N626" s="511"/>
      <c r="O626" s="511"/>
      <c r="P626" s="511"/>
      <c r="Q626" s="511"/>
      <c r="R626" s="511"/>
      <c r="S626" s="511"/>
      <c r="T626" s="511"/>
      <c r="U626" s="511"/>
      <c r="V626" s="511"/>
      <c r="W626" s="511"/>
      <c r="X626" s="511"/>
      <c r="Y626" s="511"/>
      <c r="Z626" s="511"/>
    </row>
    <row r="627" spans="1:26" ht="19.5" customHeight="1" x14ac:dyDescent="0.3">
      <c r="A627" s="511"/>
      <c r="B627" s="511"/>
      <c r="C627" s="511"/>
      <c r="D627" s="511"/>
      <c r="E627" s="511"/>
      <c r="F627" s="511"/>
      <c r="G627" s="511"/>
      <c r="H627" s="511"/>
      <c r="I627" s="511"/>
      <c r="J627" s="511"/>
      <c r="K627" s="511"/>
      <c r="L627" s="511"/>
      <c r="M627" s="511"/>
      <c r="N627" s="511"/>
      <c r="O627" s="511"/>
      <c r="P627" s="511"/>
      <c r="Q627" s="511"/>
      <c r="R627" s="511"/>
      <c r="S627" s="511"/>
      <c r="T627" s="511"/>
      <c r="U627" s="511"/>
      <c r="V627" s="511"/>
      <c r="W627" s="511"/>
      <c r="X627" s="511"/>
      <c r="Y627" s="511"/>
      <c r="Z627" s="511"/>
    </row>
    <row r="628" spans="1:26" ht="19.5" customHeight="1" x14ac:dyDescent="0.3">
      <c r="A628" s="511"/>
      <c r="B628" s="511"/>
      <c r="C628" s="511"/>
      <c r="D628" s="511"/>
      <c r="E628" s="511"/>
      <c r="F628" s="511"/>
      <c r="G628" s="511"/>
      <c r="H628" s="511"/>
      <c r="I628" s="511"/>
      <c r="J628" s="511"/>
      <c r="K628" s="511"/>
      <c r="L628" s="511"/>
      <c r="M628" s="511"/>
      <c r="N628" s="511"/>
      <c r="O628" s="511"/>
      <c r="P628" s="511"/>
      <c r="Q628" s="511"/>
      <c r="R628" s="511"/>
      <c r="S628" s="511"/>
      <c r="T628" s="511"/>
      <c r="U628" s="511"/>
      <c r="V628" s="511"/>
      <c r="W628" s="511"/>
      <c r="X628" s="511"/>
      <c r="Y628" s="511"/>
      <c r="Z628" s="511"/>
    </row>
    <row r="629" spans="1:26" ht="19.5" customHeight="1" x14ac:dyDescent="0.3">
      <c r="A629" s="511"/>
      <c r="B629" s="511"/>
      <c r="C629" s="511"/>
      <c r="D629" s="511"/>
      <c r="E629" s="511"/>
      <c r="F629" s="511"/>
      <c r="G629" s="511"/>
      <c r="H629" s="511"/>
      <c r="I629" s="511"/>
      <c r="J629" s="511"/>
      <c r="K629" s="511"/>
      <c r="L629" s="511"/>
      <c r="M629" s="511"/>
      <c r="N629" s="511"/>
      <c r="O629" s="511"/>
      <c r="P629" s="511"/>
      <c r="Q629" s="511"/>
      <c r="R629" s="511"/>
      <c r="S629" s="511"/>
      <c r="T629" s="511"/>
      <c r="U629" s="511"/>
      <c r="V629" s="511"/>
      <c r="W629" s="511"/>
      <c r="X629" s="511"/>
      <c r="Y629" s="511"/>
      <c r="Z629" s="511"/>
    </row>
    <row r="630" spans="1:26" ht="19.5" customHeight="1" x14ac:dyDescent="0.3">
      <c r="A630" s="511"/>
      <c r="B630" s="511"/>
      <c r="C630" s="511"/>
      <c r="D630" s="511"/>
      <c r="E630" s="511"/>
      <c r="F630" s="511"/>
      <c r="G630" s="511"/>
      <c r="H630" s="511"/>
      <c r="I630" s="511"/>
      <c r="J630" s="511"/>
      <c r="K630" s="511"/>
      <c r="L630" s="511"/>
      <c r="M630" s="511"/>
      <c r="N630" s="511"/>
      <c r="O630" s="511"/>
      <c r="P630" s="511"/>
      <c r="Q630" s="511"/>
      <c r="R630" s="511"/>
      <c r="S630" s="511"/>
      <c r="T630" s="511"/>
      <c r="U630" s="511"/>
      <c r="V630" s="511"/>
      <c r="W630" s="511"/>
      <c r="X630" s="511"/>
      <c r="Y630" s="511"/>
      <c r="Z630" s="511"/>
    </row>
    <row r="631" spans="1:26" ht="19.5" customHeight="1" x14ac:dyDescent="0.3">
      <c r="A631" s="511"/>
      <c r="B631" s="511"/>
      <c r="C631" s="511"/>
      <c r="D631" s="511"/>
      <c r="E631" s="511"/>
      <c r="F631" s="511"/>
      <c r="G631" s="511"/>
      <c r="H631" s="511"/>
      <c r="I631" s="511"/>
      <c r="J631" s="511"/>
      <c r="K631" s="511"/>
      <c r="L631" s="511"/>
      <c r="M631" s="511"/>
      <c r="N631" s="511"/>
      <c r="O631" s="511"/>
      <c r="P631" s="511"/>
      <c r="Q631" s="511"/>
      <c r="R631" s="511"/>
      <c r="S631" s="511"/>
      <c r="T631" s="511"/>
      <c r="U631" s="511"/>
      <c r="V631" s="511"/>
      <c r="W631" s="511"/>
      <c r="X631" s="511"/>
      <c r="Y631" s="511"/>
      <c r="Z631" s="511"/>
    </row>
    <row r="632" spans="1:26" ht="19.5" customHeight="1" x14ac:dyDescent="0.3">
      <c r="A632" s="511"/>
      <c r="B632" s="511"/>
      <c r="C632" s="511"/>
      <c r="D632" s="511"/>
      <c r="E632" s="511"/>
      <c r="F632" s="511"/>
      <c r="G632" s="511"/>
      <c r="H632" s="511"/>
      <c r="I632" s="511"/>
      <c r="J632" s="511"/>
      <c r="K632" s="511"/>
      <c r="L632" s="511"/>
      <c r="M632" s="511"/>
      <c r="N632" s="511"/>
      <c r="O632" s="511"/>
      <c r="P632" s="511"/>
      <c r="Q632" s="511"/>
      <c r="R632" s="511"/>
      <c r="S632" s="511"/>
      <c r="T632" s="511"/>
      <c r="U632" s="511"/>
      <c r="V632" s="511"/>
      <c r="W632" s="511"/>
      <c r="X632" s="511"/>
      <c r="Y632" s="511"/>
      <c r="Z632" s="511"/>
    </row>
    <row r="633" spans="1:26" ht="19.5" customHeight="1" x14ac:dyDescent="0.3">
      <c r="A633" s="511"/>
      <c r="B633" s="511"/>
      <c r="C633" s="511"/>
      <c r="D633" s="511"/>
      <c r="E633" s="511"/>
      <c r="F633" s="511"/>
      <c r="G633" s="511"/>
      <c r="H633" s="511"/>
      <c r="I633" s="511"/>
      <c r="J633" s="511"/>
      <c r="K633" s="511"/>
      <c r="L633" s="511"/>
      <c r="M633" s="511"/>
      <c r="N633" s="511"/>
      <c r="O633" s="511"/>
      <c r="P633" s="511"/>
      <c r="Q633" s="511"/>
      <c r="R633" s="511"/>
      <c r="S633" s="511"/>
      <c r="T633" s="511"/>
      <c r="U633" s="511"/>
      <c r="V633" s="511"/>
      <c r="W633" s="511"/>
      <c r="X633" s="511"/>
      <c r="Y633" s="511"/>
      <c r="Z633" s="511"/>
    </row>
    <row r="634" spans="1:26" ht="19.5" customHeight="1" x14ac:dyDescent="0.3">
      <c r="A634" s="511"/>
      <c r="B634" s="511"/>
      <c r="C634" s="511"/>
      <c r="D634" s="511"/>
      <c r="E634" s="511"/>
      <c r="F634" s="511"/>
      <c r="G634" s="511"/>
      <c r="H634" s="511"/>
      <c r="I634" s="511"/>
      <c r="J634" s="511"/>
      <c r="K634" s="511"/>
      <c r="L634" s="511"/>
      <c r="M634" s="511"/>
      <c r="N634" s="511"/>
      <c r="O634" s="511"/>
      <c r="P634" s="511"/>
      <c r="Q634" s="511"/>
      <c r="R634" s="511"/>
      <c r="S634" s="511"/>
      <c r="T634" s="511"/>
      <c r="U634" s="511"/>
      <c r="V634" s="511"/>
      <c r="W634" s="511"/>
      <c r="X634" s="511"/>
      <c r="Y634" s="511"/>
      <c r="Z634" s="511"/>
    </row>
    <row r="635" spans="1:26" ht="19.5" customHeight="1" x14ac:dyDescent="0.3">
      <c r="A635" s="511"/>
      <c r="B635" s="511"/>
      <c r="C635" s="511"/>
      <c r="D635" s="511"/>
      <c r="E635" s="511"/>
      <c r="F635" s="511"/>
      <c r="G635" s="511"/>
      <c r="H635" s="511"/>
      <c r="I635" s="511"/>
      <c r="J635" s="511"/>
      <c r="K635" s="511"/>
      <c r="L635" s="511"/>
      <c r="M635" s="511"/>
      <c r="N635" s="511"/>
      <c r="O635" s="511"/>
      <c r="P635" s="511"/>
      <c r="Q635" s="511"/>
      <c r="R635" s="511"/>
      <c r="S635" s="511"/>
      <c r="T635" s="511"/>
      <c r="U635" s="511"/>
      <c r="V635" s="511"/>
      <c r="W635" s="511"/>
      <c r="X635" s="511"/>
      <c r="Y635" s="511"/>
      <c r="Z635" s="511"/>
    </row>
    <row r="636" spans="1:26" ht="19.5" customHeight="1" x14ac:dyDescent="0.3">
      <c r="A636" s="511"/>
      <c r="B636" s="511"/>
      <c r="C636" s="511"/>
      <c r="D636" s="511"/>
      <c r="E636" s="511"/>
      <c r="F636" s="511"/>
      <c r="G636" s="511"/>
      <c r="H636" s="511"/>
      <c r="I636" s="511"/>
      <c r="J636" s="511"/>
      <c r="K636" s="511"/>
      <c r="L636" s="511"/>
      <c r="M636" s="511"/>
      <c r="N636" s="511"/>
      <c r="O636" s="511"/>
      <c r="P636" s="511"/>
      <c r="Q636" s="511"/>
      <c r="R636" s="511"/>
      <c r="S636" s="511"/>
      <c r="T636" s="511"/>
      <c r="U636" s="511"/>
      <c r="V636" s="511"/>
      <c r="W636" s="511"/>
      <c r="X636" s="511"/>
      <c r="Y636" s="511"/>
      <c r="Z636" s="511"/>
    </row>
    <row r="637" spans="1:26" ht="19.5" customHeight="1" x14ac:dyDescent="0.3">
      <c r="A637" s="511"/>
      <c r="B637" s="511"/>
      <c r="C637" s="511"/>
      <c r="D637" s="511"/>
      <c r="E637" s="511"/>
      <c r="F637" s="511"/>
      <c r="G637" s="511"/>
      <c r="H637" s="511"/>
      <c r="I637" s="511"/>
      <c r="J637" s="511"/>
      <c r="K637" s="511"/>
      <c r="L637" s="511"/>
      <c r="M637" s="511"/>
      <c r="N637" s="511"/>
      <c r="O637" s="511"/>
      <c r="P637" s="511"/>
      <c r="Q637" s="511"/>
      <c r="R637" s="511"/>
      <c r="S637" s="511"/>
      <c r="T637" s="511"/>
      <c r="U637" s="511"/>
      <c r="V637" s="511"/>
      <c r="W637" s="511"/>
      <c r="X637" s="511"/>
      <c r="Y637" s="511"/>
      <c r="Z637" s="511"/>
    </row>
    <row r="638" spans="1:26" ht="19.5" customHeight="1" x14ac:dyDescent="0.3">
      <c r="A638" s="511"/>
      <c r="B638" s="511"/>
      <c r="C638" s="511"/>
      <c r="D638" s="511"/>
      <c r="E638" s="511"/>
      <c r="F638" s="511"/>
      <c r="G638" s="511"/>
      <c r="H638" s="511"/>
      <c r="I638" s="511"/>
      <c r="J638" s="511"/>
      <c r="K638" s="511"/>
      <c r="L638" s="511"/>
      <c r="M638" s="511"/>
      <c r="N638" s="511"/>
      <c r="O638" s="511"/>
      <c r="P638" s="511"/>
      <c r="Q638" s="511"/>
      <c r="R638" s="511"/>
      <c r="S638" s="511"/>
      <c r="T638" s="511"/>
      <c r="U638" s="511"/>
      <c r="V638" s="511"/>
      <c r="W638" s="511"/>
      <c r="X638" s="511"/>
      <c r="Y638" s="511"/>
      <c r="Z638" s="511"/>
    </row>
    <row r="639" spans="1:26" ht="19.5" customHeight="1" x14ac:dyDescent="0.3">
      <c r="A639" s="511"/>
      <c r="B639" s="511"/>
      <c r="C639" s="511"/>
      <c r="D639" s="511"/>
      <c r="E639" s="511"/>
      <c r="F639" s="511"/>
      <c r="G639" s="511"/>
      <c r="H639" s="511"/>
      <c r="I639" s="511"/>
      <c r="J639" s="511"/>
      <c r="K639" s="511"/>
      <c r="L639" s="511"/>
      <c r="M639" s="511"/>
      <c r="N639" s="511"/>
      <c r="O639" s="511"/>
      <c r="P639" s="511"/>
      <c r="Q639" s="511"/>
      <c r="R639" s="511"/>
      <c r="S639" s="511"/>
      <c r="T639" s="511"/>
      <c r="U639" s="511"/>
      <c r="V639" s="511"/>
      <c r="W639" s="511"/>
      <c r="X639" s="511"/>
      <c r="Y639" s="511"/>
      <c r="Z639" s="511"/>
    </row>
    <row r="640" spans="1:26" ht="19.5" customHeight="1" x14ac:dyDescent="0.3">
      <c r="A640" s="511"/>
      <c r="B640" s="511"/>
      <c r="C640" s="511"/>
      <c r="D640" s="511"/>
      <c r="E640" s="511"/>
      <c r="F640" s="511"/>
      <c r="G640" s="511"/>
      <c r="H640" s="511"/>
      <c r="I640" s="511"/>
      <c r="J640" s="511"/>
      <c r="K640" s="511"/>
      <c r="L640" s="511"/>
      <c r="M640" s="511"/>
      <c r="N640" s="511"/>
      <c r="O640" s="511"/>
      <c r="P640" s="511"/>
      <c r="Q640" s="511"/>
      <c r="R640" s="511"/>
      <c r="S640" s="511"/>
      <c r="T640" s="511"/>
      <c r="U640" s="511"/>
      <c r="V640" s="511"/>
      <c r="W640" s="511"/>
      <c r="X640" s="511"/>
      <c r="Y640" s="511"/>
      <c r="Z640" s="511"/>
    </row>
    <row r="641" spans="1:26" ht="19.5" customHeight="1" x14ac:dyDescent="0.3">
      <c r="A641" s="511"/>
      <c r="B641" s="511"/>
      <c r="C641" s="511"/>
      <c r="D641" s="511"/>
      <c r="E641" s="511"/>
      <c r="F641" s="511"/>
      <c r="G641" s="511"/>
      <c r="H641" s="511"/>
      <c r="I641" s="511"/>
      <c r="J641" s="511"/>
      <c r="K641" s="511"/>
      <c r="L641" s="511"/>
      <c r="M641" s="511"/>
      <c r="N641" s="511"/>
      <c r="O641" s="511"/>
      <c r="P641" s="511"/>
      <c r="Q641" s="511"/>
      <c r="R641" s="511"/>
      <c r="S641" s="511"/>
      <c r="T641" s="511"/>
      <c r="U641" s="511"/>
      <c r="V641" s="511"/>
      <c r="W641" s="511"/>
      <c r="X641" s="511"/>
      <c r="Y641" s="511"/>
      <c r="Z641" s="511"/>
    </row>
    <row r="642" spans="1:26" ht="19.5" customHeight="1" x14ac:dyDescent="0.3">
      <c r="A642" s="511"/>
      <c r="B642" s="511"/>
      <c r="C642" s="511"/>
      <c r="D642" s="511"/>
      <c r="E642" s="511"/>
      <c r="F642" s="511"/>
      <c r="G642" s="511"/>
      <c r="H642" s="511"/>
      <c r="I642" s="511"/>
      <c r="J642" s="511"/>
      <c r="K642" s="511"/>
      <c r="L642" s="511"/>
      <c r="M642" s="511"/>
      <c r="N642" s="511"/>
      <c r="O642" s="511"/>
      <c r="P642" s="511"/>
      <c r="Q642" s="511"/>
      <c r="R642" s="511"/>
      <c r="S642" s="511"/>
      <c r="T642" s="511"/>
      <c r="U642" s="511"/>
      <c r="V642" s="511"/>
      <c r="W642" s="511"/>
      <c r="X642" s="511"/>
      <c r="Y642" s="511"/>
      <c r="Z642" s="511"/>
    </row>
    <row r="643" spans="1:26" ht="19.5" customHeight="1" x14ac:dyDescent="0.3">
      <c r="A643" s="511"/>
      <c r="B643" s="511"/>
      <c r="C643" s="511"/>
      <c r="D643" s="511"/>
      <c r="E643" s="511"/>
      <c r="F643" s="511"/>
      <c r="G643" s="511"/>
      <c r="H643" s="511"/>
      <c r="I643" s="511"/>
      <c r="J643" s="511"/>
      <c r="K643" s="511"/>
      <c r="L643" s="511"/>
      <c r="M643" s="511"/>
      <c r="N643" s="511"/>
      <c r="O643" s="511"/>
      <c r="P643" s="511"/>
      <c r="Q643" s="511"/>
      <c r="R643" s="511"/>
      <c r="S643" s="511"/>
      <c r="T643" s="511"/>
      <c r="U643" s="511"/>
      <c r="V643" s="511"/>
      <c r="W643" s="511"/>
      <c r="X643" s="511"/>
      <c r="Y643" s="511"/>
      <c r="Z643" s="511"/>
    </row>
    <row r="644" spans="1:26" ht="19.5" customHeight="1" x14ac:dyDescent="0.3">
      <c r="A644" s="511"/>
      <c r="B644" s="511"/>
      <c r="C644" s="511"/>
      <c r="D644" s="511"/>
      <c r="E644" s="511"/>
      <c r="F644" s="511"/>
      <c r="G644" s="511"/>
      <c r="H644" s="511"/>
      <c r="I644" s="511"/>
      <c r="J644" s="511"/>
      <c r="K644" s="511"/>
      <c r="L644" s="511"/>
      <c r="M644" s="511"/>
      <c r="N644" s="511"/>
      <c r="O644" s="511"/>
      <c r="P644" s="511"/>
      <c r="Q644" s="511"/>
      <c r="R644" s="511"/>
      <c r="S644" s="511"/>
      <c r="T644" s="511"/>
      <c r="U644" s="511"/>
      <c r="V644" s="511"/>
      <c r="W644" s="511"/>
      <c r="X644" s="511"/>
      <c r="Y644" s="511"/>
      <c r="Z644" s="511"/>
    </row>
    <row r="645" spans="1:26" ht="19.5" customHeight="1" x14ac:dyDescent="0.3">
      <c r="A645" s="511"/>
      <c r="B645" s="511"/>
      <c r="C645" s="511"/>
      <c r="D645" s="511"/>
      <c r="E645" s="511"/>
      <c r="F645" s="511"/>
      <c r="G645" s="511"/>
      <c r="H645" s="511"/>
      <c r="I645" s="511"/>
      <c r="J645" s="511"/>
      <c r="K645" s="511"/>
      <c r="L645" s="511"/>
      <c r="M645" s="511"/>
      <c r="N645" s="511"/>
      <c r="O645" s="511"/>
      <c r="P645" s="511"/>
      <c r="Q645" s="511"/>
      <c r="R645" s="511"/>
      <c r="S645" s="511"/>
      <c r="T645" s="511"/>
      <c r="U645" s="511"/>
      <c r="V645" s="511"/>
      <c r="W645" s="511"/>
      <c r="X645" s="511"/>
      <c r="Y645" s="511"/>
      <c r="Z645" s="511"/>
    </row>
    <row r="646" spans="1:26" ht="19.5" customHeight="1" x14ac:dyDescent="0.3">
      <c r="A646" s="511"/>
      <c r="B646" s="511"/>
      <c r="C646" s="511"/>
      <c r="D646" s="511"/>
      <c r="E646" s="511"/>
      <c r="F646" s="511"/>
      <c r="G646" s="511"/>
      <c r="H646" s="511"/>
      <c r="I646" s="511"/>
      <c r="J646" s="511"/>
      <c r="K646" s="511"/>
      <c r="L646" s="511"/>
      <c r="M646" s="511"/>
      <c r="N646" s="511"/>
      <c r="O646" s="511"/>
      <c r="P646" s="511"/>
      <c r="Q646" s="511"/>
      <c r="R646" s="511"/>
      <c r="S646" s="511"/>
      <c r="T646" s="511"/>
      <c r="U646" s="511"/>
      <c r="V646" s="511"/>
      <c r="W646" s="511"/>
      <c r="X646" s="511"/>
      <c r="Y646" s="511"/>
      <c r="Z646" s="511"/>
    </row>
    <row r="647" spans="1:26" ht="19.5" customHeight="1" x14ac:dyDescent="0.3">
      <c r="A647" s="511"/>
      <c r="B647" s="511"/>
      <c r="C647" s="511"/>
      <c r="D647" s="511"/>
      <c r="E647" s="511"/>
      <c r="F647" s="511"/>
      <c r="G647" s="511"/>
      <c r="H647" s="511"/>
      <c r="I647" s="511"/>
      <c r="J647" s="511"/>
      <c r="K647" s="511"/>
      <c r="L647" s="511"/>
      <c r="M647" s="511"/>
      <c r="N647" s="511"/>
      <c r="O647" s="511"/>
      <c r="P647" s="511"/>
      <c r="Q647" s="511"/>
      <c r="R647" s="511"/>
      <c r="S647" s="511"/>
      <c r="T647" s="511"/>
      <c r="U647" s="511"/>
      <c r="V647" s="511"/>
      <c r="W647" s="511"/>
      <c r="X647" s="511"/>
      <c r="Y647" s="511"/>
      <c r="Z647" s="511"/>
    </row>
    <row r="648" spans="1:26" ht="19.5" customHeight="1" x14ac:dyDescent="0.3">
      <c r="A648" s="511"/>
      <c r="B648" s="511"/>
      <c r="C648" s="511"/>
      <c r="D648" s="511"/>
      <c r="E648" s="511"/>
      <c r="F648" s="511"/>
      <c r="G648" s="511"/>
      <c r="H648" s="511"/>
      <c r="I648" s="511"/>
      <c r="J648" s="511"/>
      <c r="K648" s="511"/>
      <c r="L648" s="511"/>
      <c r="M648" s="511"/>
      <c r="N648" s="511"/>
      <c r="O648" s="511"/>
      <c r="P648" s="511"/>
      <c r="Q648" s="511"/>
      <c r="R648" s="511"/>
      <c r="S648" s="511"/>
      <c r="T648" s="511"/>
      <c r="U648" s="511"/>
      <c r="V648" s="511"/>
      <c r="W648" s="511"/>
      <c r="X648" s="511"/>
      <c r="Y648" s="511"/>
      <c r="Z648" s="511"/>
    </row>
    <row r="649" spans="1:26" ht="19.5" customHeight="1" x14ac:dyDescent="0.3">
      <c r="A649" s="511"/>
      <c r="B649" s="511"/>
      <c r="C649" s="511"/>
      <c r="D649" s="511"/>
      <c r="E649" s="511"/>
      <c r="F649" s="511"/>
      <c r="G649" s="511"/>
      <c r="H649" s="511"/>
      <c r="I649" s="511"/>
      <c r="J649" s="511"/>
      <c r="K649" s="511"/>
      <c r="L649" s="511"/>
      <c r="M649" s="511"/>
      <c r="N649" s="511"/>
      <c r="O649" s="511"/>
      <c r="P649" s="511"/>
      <c r="Q649" s="511"/>
      <c r="R649" s="511"/>
      <c r="S649" s="511"/>
      <c r="T649" s="511"/>
      <c r="U649" s="511"/>
      <c r="V649" s="511"/>
      <c r="W649" s="511"/>
      <c r="X649" s="511"/>
      <c r="Y649" s="511"/>
      <c r="Z649" s="511"/>
    </row>
    <row r="650" spans="1:26" ht="19.5" customHeight="1" x14ac:dyDescent="0.3">
      <c r="A650" s="511"/>
      <c r="B650" s="511"/>
      <c r="C650" s="511"/>
      <c r="D650" s="511"/>
      <c r="E650" s="511"/>
      <c r="F650" s="511"/>
      <c r="G650" s="511"/>
      <c r="H650" s="511"/>
      <c r="I650" s="511"/>
      <c r="J650" s="511"/>
      <c r="K650" s="511"/>
      <c r="L650" s="511"/>
      <c r="M650" s="511"/>
      <c r="N650" s="511"/>
      <c r="O650" s="511"/>
      <c r="P650" s="511"/>
      <c r="Q650" s="511"/>
      <c r="R650" s="511"/>
      <c r="S650" s="511"/>
      <c r="T650" s="511"/>
      <c r="U650" s="511"/>
      <c r="V650" s="511"/>
      <c r="W650" s="511"/>
      <c r="X650" s="511"/>
      <c r="Y650" s="511"/>
      <c r="Z650" s="511"/>
    </row>
    <row r="651" spans="1:26" ht="19.5" customHeight="1" x14ac:dyDescent="0.3">
      <c r="A651" s="511"/>
      <c r="B651" s="511"/>
      <c r="C651" s="511"/>
      <c r="D651" s="511"/>
      <c r="E651" s="511"/>
      <c r="F651" s="511"/>
      <c r="G651" s="511"/>
      <c r="H651" s="511"/>
      <c r="I651" s="511"/>
      <c r="J651" s="511"/>
      <c r="K651" s="511"/>
      <c r="L651" s="511"/>
      <c r="M651" s="511"/>
      <c r="N651" s="511"/>
      <c r="O651" s="511"/>
      <c r="P651" s="511"/>
      <c r="Q651" s="511"/>
      <c r="R651" s="511"/>
      <c r="S651" s="511"/>
      <c r="T651" s="511"/>
      <c r="U651" s="511"/>
      <c r="V651" s="511"/>
      <c r="W651" s="511"/>
      <c r="X651" s="511"/>
      <c r="Y651" s="511"/>
      <c r="Z651" s="511"/>
    </row>
    <row r="652" spans="1:26" ht="19.5" customHeight="1" x14ac:dyDescent="0.3">
      <c r="A652" s="511"/>
      <c r="B652" s="511"/>
      <c r="C652" s="511"/>
      <c r="D652" s="511"/>
      <c r="E652" s="511"/>
      <c r="F652" s="511"/>
      <c r="G652" s="511"/>
      <c r="H652" s="511"/>
      <c r="I652" s="511"/>
      <c r="J652" s="511"/>
      <c r="K652" s="511"/>
      <c r="L652" s="511"/>
      <c r="M652" s="511"/>
      <c r="N652" s="511"/>
      <c r="O652" s="511"/>
      <c r="P652" s="511"/>
      <c r="Q652" s="511"/>
      <c r="R652" s="511"/>
      <c r="S652" s="511"/>
      <c r="T652" s="511"/>
      <c r="U652" s="511"/>
      <c r="V652" s="511"/>
      <c r="W652" s="511"/>
      <c r="X652" s="511"/>
      <c r="Y652" s="511"/>
      <c r="Z652" s="511"/>
    </row>
    <row r="653" spans="1:26" ht="19.5" customHeight="1" x14ac:dyDescent="0.3">
      <c r="A653" s="511"/>
      <c r="B653" s="511"/>
      <c r="C653" s="511"/>
      <c r="D653" s="511"/>
      <c r="E653" s="511"/>
      <c r="F653" s="511"/>
      <c r="G653" s="511"/>
      <c r="H653" s="511"/>
      <c r="I653" s="511"/>
      <c r="J653" s="511"/>
      <c r="K653" s="511"/>
      <c r="L653" s="511"/>
      <c r="M653" s="511"/>
      <c r="N653" s="511"/>
      <c r="O653" s="511"/>
      <c r="P653" s="511"/>
      <c r="Q653" s="511"/>
      <c r="R653" s="511"/>
      <c r="S653" s="511"/>
      <c r="T653" s="511"/>
      <c r="U653" s="511"/>
      <c r="V653" s="511"/>
      <c r="W653" s="511"/>
      <c r="X653" s="511"/>
      <c r="Y653" s="511"/>
      <c r="Z653" s="511"/>
    </row>
    <row r="654" spans="1:26" ht="19.5" customHeight="1" x14ac:dyDescent="0.3">
      <c r="A654" s="511"/>
      <c r="B654" s="511"/>
      <c r="C654" s="511"/>
      <c r="D654" s="511"/>
      <c r="E654" s="511"/>
      <c r="F654" s="511"/>
      <c r="G654" s="511"/>
      <c r="H654" s="511"/>
      <c r="I654" s="511"/>
      <c r="J654" s="511"/>
      <c r="K654" s="511"/>
      <c r="L654" s="511"/>
      <c r="M654" s="511"/>
      <c r="N654" s="511"/>
      <c r="O654" s="511"/>
      <c r="P654" s="511"/>
      <c r="Q654" s="511"/>
      <c r="R654" s="511"/>
      <c r="S654" s="511"/>
      <c r="T654" s="511"/>
      <c r="U654" s="511"/>
      <c r="V654" s="511"/>
      <c r="W654" s="511"/>
      <c r="X654" s="511"/>
      <c r="Y654" s="511"/>
      <c r="Z654" s="511"/>
    </row>
    <row r="655" spans="1:26" ht="19.5" customHeight="1" x14ac:dyDescent="0.3">
      <c r="A655" s="511"/>
      <c r="B655" s="511"/>
      <c r="C655" s="511"/>
      <c r="D655" s="511"/>
      <c r="E655" s="511"/>
      <c r="F655" s="511"/>
      <c r="G655" s="511"/>
      <c r="H655" s="511"/>
      <c r="I655" s="511"/>
      <c r="J655" s="511"/>
      <c r="K655" s="511"/>
      <c r="L655" s="511"/>
      <c r="M655" s="511"/>
      <c r="N655" s="511"/>
      <c r="O655" s="511"/>
      <c r="P655" s="511"/>
      <c r="Q655" s="511"/>
      <c r="R655" s="511"/>
      <c r="S655" s="511"/>
      <c r="T655" s="511"/>
      <c r="U655" s="511"/>
      <c r="V655" s="511"/>
      <c r="W655" s="511"/>
      <c r="X655" s="511"/>
      <c r="Y655" s="511"/>
      <c r="Z655" s="511"/>
    </row>
    <row r="656" spans="1:26" ht="19.5" customHeight="1" x14ac:dyDescent="0.3">
      <c r="A656" s="511"/>
      <c r="B656" s="511"/>
      <c r="C656" s="511"/>
      <c r="D656" s="511"/>
      <c r="E656" s="511"/>
      <c r="F656" s="511"/>
      <c r="G656" s="511"/>
      <c r="H656" s="511"/>
      <c r="I656" s="511"/>
      <c r="J656" s="511"/>
      <c r="K656" s="511"/>
      <c r="L656" s="511"/>
      <c r="M656" s="511"/>
      <c r="N656" s="511"/>
      <c r="O656" s="511"/>
      <c r="P656" s="511"/>
      <c r="Q656" s="511"/>
      <c r="R656" s="511"/>
      <c r="S656" s="511"/>
      <c r="T656" s="511"/>
      <c r="U656" s="511"/>
      <c r="V656" s="511"/>
      <c r="W656" s="511"/>
      <c r="X656" s="511"/>
      <c r="Y656" s="511"/>
      <c r="Z656" s="511"/>
    </row>
    <row r="657" spans="1:26" ht="19.5" customHeight="1" x14ac:dyDescent="0.3">
      <c r="A657" s="511"/>
      <c r="B657" s="511"/>
      <c r="C657" s="511"/>
      <c r="D657" s="511"/>
      <c r="E657" s="511"/>
      <c r="F657" s="511"/>
      <c r="G657" s="511"/>
      <c r="H657" s="511"/>
      <c r="I657" s="511"/>
      <c r="J657" s="511"/>
      <c r="K657" s="511"/>
      <c r="L657" s="511"/>
      <c r="M657" s="511"/>
      <c r="N657" s="511"/>
      <c r="O657" s="511"/>
      <c r="P657" s="511"/>
      <c r="Q657" s="511"/>
      <c r="R657" s="511"/>
      <c r="S657" s="511"/>
      <c r="T657" s="511"/>
      <c r="U657" s="511"/>
      <c r="V657" s="511"/>
      <c r="W657" s="511"/>
      <c r="X657" s="511"/>
      <c r="Y657" s="511"/>
      <c r="Z657" s="511"/>
    </row>
    <row r="658" spans="1:26" ht="19.5" customHeight="1" x14ac:dyDescent="0.3">
      <c r="A658" s="511"/>
      <c r="B658" s="511"/>
      <c r="C658" s="511"/>
      <c r="D658" s="511"/>
      <c r="E658" s="511"/>
      <c r="F658" s="511"/>
      <c r="G658" s="511"/>
      <c r="H658" s="511"/>
      <c r="I658" s="511"/>
      <c r="J658" s="511"/>
      <c r="K658" s="511"/>
      <c r="L658" s="511"/>
      <c r="M658" s="511"/>
      <c r="N658" s="511"/>
      <c r="O658" s="511"/>
      <c r="P658" s="511"/>
      <c r="Q658" s="511"/>
      <c r="R658" s="511"/>
      <c r="S658" s="511"/>
      <c r="T658" s="511"/>
      <c r="U658" s="511"/>
      <c r="V658" s="511"/>
      <c r="W658" s="511"/>
      <c r="X658" s="511"/>
      <c r="Y658" s="511"/>
      <c r="Z658" s="511"/>
    </row>
    <row r="659" spans="1:26" ht="19.5" customHeight="1" x14ac:dyDescent="0.3">
      <c r="A659" s="511"/>
      <c r="B659" s="511"/>
      <c r="C659" s="511"/>
      <c r="D659" s="511"/>
      <c r="E659" s="511"/>
      <c r="F659" s="511"/>
      <c r="G659" s="511"/>
      <c r="H659" s="511"/>
      <c r="I659" s="511"/>
      <c r="J659" s="511"/>
      <c r="K659" s="511"/>
      <c r="L659" s="511"/>
      <c r="M659" s="511"/>
      <c r="N659" s="511"/>
      <c r="O659" s="511"/>
      <c r="P659" s="511"/>
      <c r="Q659" s="511"/>
      <c r="R659" s="511"/>
      <c r="S659" s="511"/>
      <c r="T659" s="511"/>
      <c r="U659" s="511"/>
      <c r="V659" s="511"/>
      <c r="W659" s="511"/>
      <c r="X659" s="511"/>
      <c r="Y659" s="511"/>
      <c r="Z659" s="511"/>
    </row>
    <row r="660" spans="1:26" ht="19.5" customHeight="1" x14ac:dyDescent="0.3">
      <c r="A660" s="511"/>
      <c r="B660" s="511"/>
      <c r="C660" s="511"/>
      <c r="D660" s="511"/>
      <c r="E660" s="511"/>
      <c r="F660" s="511"/>
      <c r="G660" s="511"/>
      <c r="H660" s="511"/>
      <c r="I660" s="511"/>
      <c r="J660" s="511"/>
      <c r="K660" s="511"/>
      <c r="L660" s="511"/>
      <c r="M660" s="511"/>
      <c r="N660" s="511"/>
      <c r="O660" s="511"/>
      <c r="P660" s="511"/>
      <c r="Q660" s="511"/>
      <c r="R660" s="511"/>
      <c r="S660" s="511"/>
      <c r="T660" s="511"/>
      <c r="U660" s="511"/>
      <c r="V660" s="511"/>
      <c r="W660" s="511"/>
      <c r="X660" s="511"/>
      <c r="Y660" s="511"/>
      <c r="Z660" s="511"/>
    </row>
    <row r="661" spans="1:26" ht="19.5" customHeight="1" x14ac:dyDescent="0.3">
      <c r="A661" s="511"/>
      <c r="B661" s="511"/>
      <c r="C661" s="511"/>
      <c r="D661" s="511"/>
      <c r="E661" s="511"/>
      <c r="F661" s="511"/>
      <c r="G661" s="511"/>
      <c r="H661" s="511"/>
      <c r="I661" s="511"/>
      <c r="J661" s="511"/>
      <c r="K661" s="511"/>
      <c r="L661" s="511"/>
      <c r="M661" s="511"/>
      <c r="N661" s="511"/>
      <c r="O661" s="511"/>
      <c r="P661" s="511"/>
      <c r="Q661" s="511"/>
      <c r="R661" s="511"/>
      <c r="S661" s="511"/>
      <c r="T661" s="511"/>
      <c r="U661" s="511"/>
      <c r="V661" s="511"/>
      <c r="W661" s="511"/>
      <c r="X661" s="511"/>
      <c r="Y661" s="511"/>
      <c r="Z661" s="511"/>
    </row>
    <row r="662" spans="1:26" ht="19.5" customHeight="1" x14ac:dyDescent="0.3">
      <c r="A662" s="511"/>
      <c r="B662" s="511"/>
      <c r="C662" s="511"/>
      <c r="D662" s="511"/>
      <c r="E662" s="511"/>
      <c r="F662" s="511"/>
      <c r="G662" s="511"/>
      <c r="H662" s="511"/>
      <c r="I662" s="511"/>
      <c r="J662" s="511"/>
      <c r="K662" s="511"/>
      <c r="L662" s="511"/>
      <c r="M662" s="511"/>
      <c r="N662" s="511"/>
      <c r="O662" s="511"/>
      <c r="P662" s="511"/>
      <c r="Q662" s="511"/>
      <c r="R662" s="511"/>
      <c r="S662" s="511"/>
      <c r="T662" s="511"/>
      <c r="U662" s="511"/>
      <c r="V662" s="511"/>
      <c r="W662" s="511"/>
      <c r="X662" s="511"/>
      <c r="Y662" s="511"/>
      <c r="Z662" s="511"/>
    </row>
    <row r="663" spans="1:26" ht="19.5" customHeight="1" x14ac:dyDescent="0.3">
      <c r="A663" s="511"/>
      <c r="B663" s="511"/>
      <c r="C663" s="511"/>
      <c r="D663" s="511"/>
      <c r="E663" s="511"/>
      <c r="F663" s="511"/>
      <c r="G663" s="511"/>
      <c r="H663" s="511"/>
      <c r="I663" s="511"/>
      <c r="J663" s="511"/>
      <c r="K663" s="511"/>
      <c r="L663" s="511"/>
      <c r="M663" s="511"/>
      <c r="N663" s="511"/>
      <c r="O663" s="511"/>
      <c r="P663" s="511"/>
      <c r="Q663" s="511"/>
      <c r="R663" s="511"/>
      <c r="S663" s="511"/>
      <c r="T663" s="511"/>
      <c r="U663" s="511"/>
      <c r="V663" s="511"/>
      <c r="W663" s="511"/>
      <c r="X663" s="511"/>
      <c r="Y663" s="511"/>
      <c r="Z663" s="511"/>
    </row>
    <row r="664" spans="1:26" ht="19.5" customHeight="1" x14ac:dyDescent="0.3">
      <c r="A664" s="511"/>
      <c r="B664" s="511"/>
      <c r="C664" s="511"/>
      <c r="D664" s="511"/>
      <c r="E664" s="511"/>
      <c r="F664" s="511"/>
      <c r="G664" s="511"/>
      <c r="H664" s="511"/>
      <c r="I664" s="511"/>
      <c r="J664" s="511"/>
      <c r="K664" s="511"/>
      <c r="L664" s="511"/>
      <c r="M664" s="511"/>
      <c r="N664" s="511"/>
      <c r="O664" s="511"/>
      <c r="P664" s="511"/>
      <c r="Q664" s="511"/>
      <c r="R664" s="511"/>
      <c r="S664" s="511"/>
      <c r="T664" s="511"/>
      <c r="U664" s="511"/>
      <c r="V664" s="511"/>
      <c r="W664" s="511"/>
      <c r="X664" s="511"/>
      <c r="Y664" s="511"/>
      <c r="Z664" s="511"/>
    </row>
    <row r="665" spans="1:26" ht="19.5" customHeight="1" x14ac:dyDescent="0.3">
      <c r="A665" s="511"/>
      <c r="B665" s="511"/>
      <c r="C665" s="511"/>
      <c r="D665" s="511"/>
      <c r="E665" s="511"/>
      <c r="F665" s="511"/>
      <c r="G665" s="511"/>
      <c r="H665" s="511"/>
      <c r="I665" s="511"/>
      <c r="J665" s="511"/>
      <c r="K665" s="511"/>
      <c r="L665" s="511"/>
      <c r="M665" s="511"/>
      <c r="N665" s="511"/>
      <c r="O665" s="511"/>
      <c r="P665" s="511"/>
      <c r="Q665" s="511"/>
      <c r="R665" s="511"/>
      <c r="S665" s="511"/>
      <c r="T665" s="511"/>
      <c r="U665" s="511"/>
      <c r="V665" s="511"/>
      <c r="W665" s="511"/>
      <c r="X665" s="511"/>
      <c r="Y665" s="511"/>
      <c r="Z665" s="511"/>
    </row>
    <row r="666" spans="1:26" ht="19.5" customHeight="1" x14ac:dyDescent="0.3">
      <c r="A666" s="511"/>
      <c r="B666" s="511"/>
      <c r="C666" s="511"/>
      <c r="D666" s="511"/>
      <c r="E666" s="511"/>
      <c r="F666" s="511"/>
      <c r="G666" s="511"/>
      <c r="H666" s="511"/>
      <c r="I666" s="511"/>
      <c r="J666" s="511"/>
      <c r="K666" s="511"/>
      <c r="L666" s="511"/>
      <c r="M666" s="511"/>
      <c r="N666" s="511"/>
      <c r="O666" s="511"/>
      <c r="P666" s="511"/>
      <c r="Q666" s="511"/>
      <c r="R666" s="511"/>
      <c r="S666" s="511"/>
      <c r="T666" s="511"/>
      <c r="U666" s="511"/>
      <c r="V666" s="511"/>
      <c r="W666" s="511"/>
      <c r="X666" s="511"/>
      <c r="Y666" s="511"/>
      <c r="Z666" s="511"/>
    </row>
    <row r="667" spans="1:26" ht="19.5" customHeight="1" x14ac:dyDescent="0.3">
      <c r="A667" s="511"/>
      <c r="B667" s="511"/>
      <c r="C667" s="511"/>
      <c r="D667" s="511"/>
      <c r="E667" s="511"/>
      <c r="F667" s="511"/>
      <c r="G667" s="511"/>
      <c r="H667" s="511"/>
      <c r="I667" s="511"/>
      <c r="J667" s="511"/>
      <c r="K667" s="511"/>
      <c r="L667" s="511"/>
      <c r="M667" s="511"/>
      <c r="N667" s="511"/>
      <c r="O667" s="511"/>
      <c r="P667" s="511"/>
      <c r="Q667" s="511"/>
      <c r="R667" s="511"/>
      <c r="S667" s="511"/>
      <c r="T667" s="511"/>
      <c r="U667" s="511"/>
      <c r="V667" s="511"/>
      <c r="W667" s="511"/>
      <c r="X667" s="511"/>
      <c r="Y667" s="511"/>
      <c r="Z667" s="511"/>
    </row>
    <row r="668" spans="1:26" ht="19.5" customHeight="1" x14ac:dyDescent="0.3">
      <c r="A668" s="511"/>
      <c r="B668" s="511"/>
      <c r="C668" s="511"/>
      <c r="D668" s="511"/>
      <c r="E668" s="511"/>
      <c r="F668" s="511"/>
      <c r="G668" s="511"/>
      <c r="H668" s="511"/>
      <c r="I668" s="511"/>
      <c r="J668" s="511"/>
      <c r="K668" s="511"/>
      <c r="L668" s="511"/>
      <c r="M668" s="511"/>
      <c r="N668" s="511"/>
      <c r="O668" s="511"/>
      <c r="P668" s="511"/>
      <c r="Q668" s="511"/>
      <c r="R668" s="511"/>
      <c r="S668" s="511"/>
      <c r="T668" s="511"/>
      <c r="U668" s="511"/>
      <c r="V668" s="511"/>
      <c r="W668" s="511"/>
      <c r="X668" s="511"/>
      <c r="Y668" s="511"/>
      <c r="Z668" s="511"/>
    </row>
    <row r="669" spans="1:26" ht="19.5" customHeight="1" x14ac:dyDescent="0.3">
      <c r="A669" s="511"/>
      <c r="B669" s="511"/>
      <c r="C669" s="511"/>
      <c r="D669" s="511"/>
      <c r="E669" s="511"/>
      <c r="F669" s="511"/>
      <c r="G669" s="511"/>
      <c r="H669" s="511"/>
      <c r="I669" s="511"/>
      <c r="J669" s="511"/>
      <c r="K669" s="511"/>
      <c r="L669" s="511"/>
      <c r="M669" s="511"/>
      <c r="N669" s="511"/>
      <c r="O669" s="511"/>
      <c r="P669" s="511"/>
      <c r="Q669" s="511"/>
      <c r="R669" s="511"/>
      <c r="S669" s="511"/>
      <c r="T669" s="511"/>
      <c r="U669" s="511"/>
      <c r="V669" s="511"/>
      <c r="W669" s="511"/>
      <c r="X669" s="511"/>
      <c r="Y669" s="511"/>
      <c r="Z669" s="511"/>
    </row>
    <row r="670" spans="1:26" ht="19.5" customHeight="1" x14ac:dyDescent="0.3">
      <c r="A670" s="511"/>
      <c r="B670" s="511"/>
      <c r="C670" s="511"/>
      <c r="D670" s="511"/>
      <c r="E670" s="511"/>
      <c r="F670" s="511"/>
      <c r="G670" s="511"/>
      <c r="H670" s="511"/>
      <c r="I670" s="511"/>
      <c r="J670" s="511"/>
      <c r="K670" s="511"/>
      <c r="L670" s="511"/>
      <c r="M670" s="511"/>
      <c r="N670" s="511"/>
      <c r="O670" s="511"/>
      <c r="P670" s="511"/>
      <c r="Q670" s="511"/>
      <c r="R670" s="511"/>
      <c r="S670" s="511"/>
      <c r="T670" s="511"/>
      <c r="U670" s="511"/>
      <c r="V670" s="511"/>
      <c r="W670" s="511"/>
      <c r="X670" s="511"/>
      <c r="Y670" s="511"/>
      <c r="Z670" s="511"/>
    </row>
    <row r="671" spans="1:26" ht="19.5" customHeight="1" x14ac:dyDescent="0.3">
      <c r="A671" s="511"/>
      <c r="B671" s="511"/>
      <c r="C671" s="511"/>
      <c r="D671" s="511"/>
      <c r="E671" s="511"/>
      <c r="F671" s="511"/>
      <c r="G671" s="511"/>
      <c r="H671" s="511"/>
      <c r="I671" s="511"/>
      <c r="J671" s="511"/>
      <c r="K671" s="511"/>
      <c r="L671" s="511"/>
      <c r="M671" s="511"/>
      <c r="N671" s="511"/>
      <c r="O671" s="511"/>
      <c r="P671" s="511"/>
      <c r="Q671" s="511"/>
      <c r="R671" s="511"/>
      <c r="S671" s="511"/>
      <c r="T671" s="511"/>
      <c r="U671" s="511"/>
      <c r="V671" s="511"/>
      <c r="W671" s="511"/>
      <c r="X671" s="511"/>
      <c r="Y671" s="511"/>
      <c r="Z671" s="511"/>
    </row>
    <row r="672" spans="1:26" ht="19.5" customHeight="1" x14ac:dyDescent="0.3">
      <c r="A672" s="511"/>
      <c r="B672" s="511"/>
      <c r="C672" s="511"/>
      <c r="D672" s="511"/>
      <c r="E672" s="511"/>
      <c r="F672" s="511"/>
      <c r="G672" s="511"/>
      <c r="H672" s="511"/>
      <c r="I672" s="511"/>
      <c r="J672" s="511"/>
      <c r="K672" s="511"/>
      <c r="L672" s="511"/>
      <c r="M672" s="511"/>
      <c r="N672" s="511"/>
      <c r="O672" s="511"/>
      <c r="P672" s="511"/>
      <c r="Q672" s="511"/>
      <c r="R672" s="511"/>
      <c r="S672" s="511"/>
      <c r="T672" s="511"/>
      <c r="U672" s="511"/>
      <c r="V672" s="511"/>
      <c r="W672" s="511"/>
      <c r="X672" s="511"/>
      <c r="Y672" s="511"/>
      <c r="Z672" s="511"/>
    </row>
    <row r="673" spans="1:26" ht="19.5" customHeight="1" x14ac:dyDescent="0.3">
      <c r="A673" s="511"/>
      <c r="B673" s="511"/>
      <c r="C673" s="511"/>
      <c r="D673" s="511"/>
      <c r="E673" s="511"/>
      <c r="F673" s="511"/>
      <c r="G673" s="511"/>
      <c r="H673" s="511"/>
      <c r="I673" s="511"/>
      <c r="J673" s="511"/>
      <c r="K673" s="511"/>
      <c r="L673" s="511"/>
      <c r="M673" s="511"/>
      <c r="N673" s="511"/>
      <c r="O673" s="511"/>
      <c r="P673" s="511"/>
      <c r="Q673" s="511"/>
      <c r="R673" s="511"/>
      <c r="S673" s="511"/>
      <c r="T673" s="511"/>
      <c r="U673" s="511"/>
      <c r="V673" s="511"/>
      <c r="W673" s="511"/>
      <c r="X673" s="511"/>
      <c r="Y673" s="511"/>
      <c r="Z673" s="511"/>
    </row>
    <row r="674" spans="1:26" ht="19.5" customHeight="1" x14ac:dyDescent="0.3">
      <c r="A674" s="511"/>
      <c r="B674" s="511"/>
      <c r="C674" s="511"/>
      <c r="D674" s="511"/>
      <c r="E674" s="511"/>
      <c r="F674" s="511"/>
      <c r="G674" s="511"/>
      <c r="H674" s="511"/>
      <c r="I674" s="511"/>
      <c r="J674" s="511"/>
      <c r="K674" s="511"/>
      <c r="L674" s="511"/>
      <c r="M674" s="511"/>
      <c r="N674" s="511"/>
      <c r="O674" s="511"/>
      <c r="P674" s="511"/>
      <c r="Q674" s="511"/>
      <c r="R674" s="511"/>
      <c r="S674" s="511"/>
      <c r="T674" s="511"/>
      <c r="U674" s="511"/>
      <c r="V674" s="511"/>
      <c r="W674" s="511"/>
      <c r="X674" s="511"/>
      <c r="Y674" s="511"/>
      <c r="Z674" s="511"/>
    </row>
    <row r="675" spans="1:26" ht="19.5" customHeight="1" x14ac:dyDescent="0.3">
      <c r="A675" s="511"/>
      <c r="B675" s="511"/>
      <c r="C675" s="511"/>
      <c r="D675" s="511"/>
      <c r="E675" s="511"/>
      <c r="F675" s="511"/>
      <c r="G675" s="511"/>
      <c r="H675" s="511"/>
      <c r="I675" s="511"/>
      <c r="J675" s="511"/>
      <c r="K675" s="511"/>
      <c r="L675" s="511"/>
      <c r="M675" s="511"/>
      <c r="N675" s="511"/>
      <c r="O675" s="511"/>
      <c r="P675" s="511"/>
      <c r="Q675" s="511"/>
      <c r="R675" s="511"/>
      <c r="S675" s="511"/>
      <c r="T675" s="511"/>
      <c r="U675" s="511"/>
      <c r="V675" s="511"/>
      <c r="W675" s="511"/>
      <c r="X675" s="511"/>
      <c r="Y675" s="511"/>
      <c r="Z675" s="511"/>
    </row>
    <row r="676" spans="1:26" ht="19.5" customHeight="1" x14ac:dyDescent="0.3">
      <c r="A676" s="511"/>
      <c r="B676" s="511"/>
      <c r="C676" s="511"/>
      <c r="D676" s="511"/>
      <c r="E676" s="511"/>
      <c r="F676" s="511"/>
      <c r="G676" s="511"/>
      <c r="H676" s="511"/>
      <c r="I676" s="511"/>
      <c r="J676" s="511"/>
      <c r="K676" s="511"/>
      <c r="L676" s="511"/>
      <c r="M676" s="511"/>
      <c r="N676" s="511"/>
      <c r="O676" s="511"/>
      <c r="P676" s="511"/>
      <c r="Q676" s="511"/>
      <c r="R676" s="511"/>
      <c r="S676" s="511"/>
      <c r="T676" s="511"/>
      <c r="U676" s="511"/>
      <c r="V676" s="511"/>
      <c r="W676" s="511"/>
      <c r="X676" s="511"/>
      <c r="Y676" s="511"/>
      <c r="Z676" s="511"/>
    </row>
    <row r="677" spans="1:26" ht="19.5" customHeight="1" x14ac:dyDescent="0.3">
      <c r="A677" s="511"/>
      <c r="B677" s="511"/>
      <c r="C677" s="511"/>
      <c r="D677" s="511"/>
      <c r="E677" s="511"/>
      <c r="F677" s="511"/>
      <c r="G677" s="511"/>
      <c r="H677" s="511"/>
      <c r="I677" s="511"/>
      <c r="J677" s="511"/>
      <c r="K677" s="511"/>
      <c r="L677" s="511"/>
      <c r="M677" s="511"/>
      <c r="N677" s="511"/>
      <c r="O677" s="511"/>
      <c r="P677" s="511"/>
      <c r="Q677" s="511"/>
      <c r="R677" s="511"/>
      <c r="S677" s="511"/>
      <c r="T677" s="511"/>
      <c r="U677" s="511"/>
      <c r="V677" s="511"/>
      <c r="W677" s="511"/>
      <c r="X677" s="511"/>
      <c r="Y677" s="511"/>
      <c r="Z677" s="511"/>
    </row>
    <row r="678" spans="1:26" ht="19.5" customHeight="1" x14ac:dyDescent="0.3">
      <c r="A678" s="511"/>
      <c r="B678" s="511"/>
      <c r="C678" s="511"/>
      <c r="D678" s="511"/>
      <c r="E678" s="511"/>
      <c r="F678" s="511"/>
      <c r="G678" s="511"/>
      <c r="H678" s="511"/>
      <c r="I678" s="511"/>
      <c r="J678" s="511"/>
      <c r="K678" s="511"/>
      <c r="L678" s="511"/>
      <c r="M678" s="511"/>
      <c r="N678" s="511"/>
      <c r="O678" s="511"/>
      <c r="P678" s="511"/>
      <c r="Q678" s="511"/>
      <c r="R678" s="511"/>
      <c r="S678" s="511"/>
      <c r="T678" s="511"/>
      <c r="U678" s="511"/>
      <c r="V678" s="511"/>
      <c r="W678" s="511"/>
      <c r="X678" s="511"/>
      <c r="Y678" s="511"/>
      <c r="Z678" s="511"/>
    </row>
    <row r="679" spans="1:26" ht="19.5" customHeight="1" x14ac:dyDescent="0.3">
      <c r="A679" s="511"/>
      <c r="B679" s="511"/>
      <c r="C679" s="511"/>
      <c r="D679" s="511"/>
      <c r="E679" s="511"/>
      <c r="F679" s="511"/>
      <c r="G679" s="511"/>
      <c r="H679" s="511"/>
      <c r="I679" s="511"/>
      <c r="J679" s="511"/>
      <c r="K679" s="511"/>
      <c r="L679" s="511"/>
      <c r="M679" s="511"/>
      <c r="N679" s="511"/>
      <c r="O679" s="511"/>
      <c r="P679" s="511"/>
      <c r="Q679" s="511"/>
      <c r="R679" s="511"/>
      <c r="S679" s="511"/>
      <c r="T679" s="511"/>
      <c r="U679" s="511"/>
      <c r="V679" s="511"/>
      <c r="W679" s="511"/>
      <c r="X679" s="511"/>
      <c r="Y679" s="511"/>
      <c r="Z679" s="511"/>
    </row>
    <row r="680" spans="1:26" ht="19.5" customHeight="1" x14ac:dyDescent="0.3">
      <c r="A680" s="511"/>
      <c r="B680" s="511"/>
      <c r="C680" s="511"/>
      <c r="D680" s="511"/>
      <c r="E680" s="511"/>
      <c r="F680" s="511"/>
      <c r="G680" s="511"/>
      <c r="H680" s="511"/>
      <c r="I680" s="511"/>
      <c r="J680" s="511"/>
      <c r="K680" s="511"/>
      <c r="L680" s="511"/>
      <c r="M680" s="511"/>
      <c r="N680" s="511"/>
      <c r="O680" s="511"/>
      <c r="P680" s="511"/>
      <c r="Q680" s="511"/>
      <c r="R680" s="511"/>
      <c r="S680" s="511"/>
      <c r="T680" s="511"/>
      <c r="U680" s="511"/>
      <c r="V680" s="511"/>
      <c r="W680" s="511"/>
      <c r="X680" s="511"/>
      <c r="Y680" s="511"/>
      <c r="Z680" s="511"/>
    </row>
    <row r="681" spans="1:26" ht="19.5" customHeight="1" x14ac:dyDescent="0.3">
      <c r="A681" s="511"/>
      <c r="B681" s="511"/>
      <c r="C681" s="511"/>
      <c r="D681" s="511"/>
      <c r="E681" s="511"/>
      <c r="F681" s="511"/>
      <c r="G681" s="511"/>
      <c r="H681" s="511"/>
      <c r="I681" s="511"/>
      <c r="J681" s="511"/>
      <c r="K681" s="511"/>
      <c r="L681" s="511"/>
      <c r="M681" s="511"/>
      <c r="N681" s="511"/>
      <c r="O681" s="511"/>
      <c r="P681" s="511"/>
      <c r="Q681" s="511"/>
      <c r="R681" s="511"/>
      <c r="S681" s="511"/>
      <c r="T681" s="511"/>
      <c r="U681" s="511"/>
      <c r="V681" s="511"/>
      <c r="W681" s="511"/>
      <c r="X681" s="511"/>
      <c r="Y681" s="511"/>
      <c r="Z681" s="511"/>
    </row>
    <row r="682" spans="1:26" ht="19.5" customHeight="1" x14ac:dyDescent="0.3">
      <c r="A682" s="511"/>
      <c r="B682" s="511"/>
      <c r="C682" s="511"/>
      <c r="D682" s="511"/>
      <c r="E682" s="511"/>
      <c r="F682" s="511"/>
      <c r="G682" s="511"/>
      <c r="H682" s="511"/>
      <c r="I682" s="511"/>
      <c r="J682" s="511"/>
      <c r="K682" s="511"/>
      <c r="L682" s="511"/>
      <c r="M682" s="511"/>
      <c r="N682" s="511"/>
      <c r="O682" s="511"/>
      <c r="P682" s="511"/>
      <c r="Q682" s="511"/>
      <c r="R682" s="511"/>
      <c r="S682" s="511"/>
      <c r="T682" s="511"/>
      <c r="U682" s="511"/>
      <c r="V682" s="511"/>
      <c r="W682" s="511"/>
      <c r="X682" s="511"/>
      <c r="Y682" s="511"/>
      <c r="Z682" s="511"/>
    </row>
    <row r="683" spans="1:26" ht="19.5" customHeight="1" x14ac:dyDescent="0.3">
      <c r="A683" s="511"/>
      <c r="B683" s="511"/>
      <c r="C683" s="511"/>
      <c r="D683" s="511"/>
      <c r="E683" s="511"/>
      <c r="F683" s="511"/>
      <c r="G683" s="511"/>
      <c r="H683" s="511"/>
      <c r="I683" s="511"/>
      <c r="J683" s="511"/>
      <c r="K683" s="511"/>
      <c r="L683" s="511"/>
      <c r="M683" s="511"/>
      <c r="N683" s="511"/>
      <c r="O683" s="511"/>
      <c r="P683" s="511"/>
      <c r="Q683" s="511"/>
      <c r="R683" s="511"/>
      <c r="S683" s="511"/>
      <c r="T683" s="511"/>
      <c r="U683" s="511"/>
      <c r="V683" s="511"/>
      <c r="W683" s="511"/>
      <c r="X683" s="511"/>
      <c r="Y683" s="511"/>
      <c r="Z683" s="511"/>
    </row>
    <row r="684" spans="1:26" ht="19.5" customHeight="1" x14ac:dyDescent="0.3">
      <c r="A684" s="511"/>
      <c r="B684" s="511"/>
      <c r="C684" s="511"/>
      <c r="D684" s="511"/>
      <c r="E684" s="511"/>
      <c r="F684" s="511"/>
      <c r="G684" s="511"/>
      <c r="H684" s="511"/>
      <c r="I684" s="511"/>
      <c r="J684" s="511"/>
      <c r="K684" s="511"/>
      <c r="L684" s="511"/>
      <c r="M684" s="511"/>
      <c r="N684" s="511"/>
      <c r="O684" s="511"/>
      <c r="P684" s="511"/>
      <c r="Q684" s="511"/>
      <c r="R684" s="511"/>
      <c r="S684" s="511"/>
      <c r="T684" s="511"/>
      <c r="U684" s="511"/>
      <c r="V684" s="511"/>
      <c r="W684" s="511"/>
      <c r="X684" s="511"/>
      <c r="Y684" s="511"/>
      <c r="Z684" s="511"/>
    </row>
    <row r="685" spans="1:26" ht="19.5" customHeight="1" x14ac:dyDescent="0.3">
      <c r="A685" s="511"/>
      <c r="B685" s="511"/>
      <c r="C685" s="511"/>
      <c r="D685" s="511"/>
      <c r="E685" s="511"/>
      <c r="F685" s="511"/>
      <c r="G685" s="511"/>
      <c r="H685" s="511"/>
      <c r="I685" s="511"/>
      <c r="J685" s="511"/>
      <c r="K685" s="511"/>
      <c r="L685" s="511"/>
      <c r="M685" s="511"/>
      <c r="N685" s="511"/>
      <c r="O685" s="511"/>
      <c r="P685" s="511"/>
      <c r="Q685" s="511"/>
      <c r="R685" s="511"/>
      <c r="S685" s="511"/>
      <c r="T685" s="511"/>
      <c r="U685" s="511"/>
      <c r="V685" s="511"/>
      <c r="W685" s="511"/>
      <c r="X685" s="511"/>
      <c r="Y685" s="511"/>
      <c r="Z685" s="511"/>
    </row>
    <row r="686" spans="1:26" ht="19.5" customHeight="1" x14ac:dyDescent="0.3">
      <c r="A686" s="511"/>
      <c r="B686" s="511"/>
      <c r="C686" s="511"/>
      <c r="D686" s="511"/>
      <c r="E686" s="511"/>
      <c r="F686" s="511"/>
      <c r="G686" s="511"/>
      <c r="H686" s="511"/>
      <c r="I686" s="511"/>
      <c r="J686" s="511"/>
      <c r="K686" s="511"/>
      <c r="L686" s="511"/>
      <c r="M686" s="511"/>
      <c r="N686" s="511"/>
      <c r="O686" s="511"/>
      <c r="P686" s="511"/>
      <c r="Q686" s="511"/>
      <c r="R686" s="511"/>
      <c r="S686" s="511"/>
      <c r="T686" s="511"/>
      <c r="U686" s="511"/>
      <c r="V686" s="511"/>
      <c r="W686" s="511"/>
      <c r="X686" s="511"/>
      <c r="Y686" s="511"/>
      <c r="Z686" s="511"/>
    </row>
    <row r="687" spans="1:26" ht="19.5" customHeight="1" x14ac:dyDescent="0.3">
      <c r="A687" s="511"/>
      <c r="B687" s="511"/>
      <c r="C687" s="511"/>
      <c r="D687" s="511"/>
      <c r="E687" s="511"/>
      <c r="F687" s="511"/>
      <c r="G687" s="511"/>
      <c r="H687" s="511"/>
      <c r="I687" s="511"/>
      <c r="J687" s="511"/>
      <c r="K687" s="511"/>
      <c r="L687" s="511"/>
      <c r="M687" s="511"/>
      <c r="N687" s="511"/>
      <c r="O687" s="511"/>
      <c r="P687" s="511"/>
      <c r="Q687" s="511"/>
      <c r="R687" s="511"/>
      <c r="S687" s="511"/>
      <c r="T687" s="511"/>
      <c r="U687" s="511"/>
      <c r="V687" s="511"/>
      <c r="W687" s="511"/>
      <c r="X687" s="511"/>
      <c r="Y687" s="511"/>
      <c r="Z687" s="511"/>
    </row>
    <row r="688" spans="1:26" ht="19.5" customHeight="1" x14ac:dyDescent="0.3">
      <c r="A688" s="511"/>
      <c r="B688" s="511"/>
      <c r="C688" s="511"/>
      <c r="D688" s="511"/>
      <c r="E688" s="511"/>
      <c r="F688" s="511"/>
      <c r="G688" s="511"/>
      <c r="H688" s="511"/>
      <c r="I688" s="511"/>
      <c r="J688" s="511"/>
      <c r="K688" s="511"/>
      <c r="L688" s="511"/>
      <c r="M688" s="511"/>
      <c r="N688" s="511"/>
      <c r="O688" s="511"/>
      <c r="P688" s="511"/>
      <c r="Q688" s="511"/>
      <c r="R688" s="511"/>
      <c r="S688" s="511"/>
      <c r="T688" s="511"/>
      <c r="U688" s="511"/>
      <c r="V688" s="511"/>
      <c r="W688" s="511"/>
      <c r="X688" s="511"/>
      <c r="Y688" s="511"/>
      <c r="Z688" s="511"/>
    </row>
    <row r="689" spans="1:26" ht="19.5" customHeight="1" x14ac:dyDescent="0.3">
      <c r="A689" s="511"/>
      <c r="B689" s="511"/>
      <c r="C689" s="511"/>
      <c r="D689" s="511"/>
      <c r="E689" s="511"/>
      <c r="F689" s="511"/>
      <c r="G689" s="511"/>
      <c r="H689" s="511"/>
      <c r="I689" s="511"/>
      <c r="J689" s="511"/>
      <c r="K689" s="511"/>
      <c r="L689" s="511"/>
      <c r="M689" s="511"/>
      <c r="N689" s="511"/>
      <c r="O689" s="511"/>
      <c r="P689" s="511"/>
      <c r="Q689" s="511"/>
      <c r="R689" s="511"/>
      <c r="S689" s="511"/>
      <c r="T689" s="511"/>
      <c r="U689" s="511"/>
      <c r="V689" s="511"/>
      <c r="W689" s="511"/>
      <c r="X689" s="511"/>
      <c r="Y689" s="511"/>
      <c r="Z689" s="511"/>
    </row>
    <row r="690" spans="1:26" ht="19.5" customHeight="1" x14ac:dyDescent="0.3">
      <c r="A690" s="511"/>
      <c r="B690" s="511"/>
      <c r="C690" s="511"/>
      <c r="D690" s="511"/>
      <c r="E690" s="511"/>
      <c r="F690" s="511"/>
      <c r="G690" s="511"/>
      <c r="H690" s="511"/>
      <c r="I690" s="511"/>
      <c r="J690" s="511"/>
      <c r="K690" s="511"/>
      <c r="L690" s="511"/>
      <c r="M690" s="511"/>
      <c r="N690" s="511"/>
      <c r="O690" s="511"/>
      <c r="P690" s="511"/>
      <c r="Q690" s="511"/>
      <c r="R690" s="511"/>
      <c r="S690" s="511"/>
      <c r="T690" s="511"/>
      <c r="U690" s="511"/>
      <c r="V690" s="511"/>
      <c r="W690" s="511"/>
      <c r="X690" s="511"/>
      <c r="Y690" s="511"/>
      <c r="Z690" s="511"/>
    </row>
    <row r="691" spans="1:26" ht="19.5" customHeight="1" x14ac:dyDescent="0.3">
      <c r="A691" s="511"/>
      <c r="B691" s="511"/>
      <c r="C691" s="511"/>
      <c r="D691" s="511"/>
      <c r="E691" s="511"/>
      <c r="F691" s="511"/>
      <c r="G691" s="511"/>
      <c r="H691" s="511"/>
      <c r="I691" s="511"/>
      <c r="J691" s="511"/>
      <c r="K691" s="511"/>
      <c r="L691" s="511"/>
      <c r="M691" s="511"/>
      <c r="N691" s="511"/>
      <c r="O691" s="511"/>
      <c r="P691" s="511"/>
      <c r="Q691" s="511"/>
      <c r="R691" s="511"/>
      <c r="S691" s="511"/>
      <c r="T691" s="511"/>
      <c r="U691" s="511"/>
      <c r="V691" s="511"/>
      <c r="W691" s="511"/>
      <c r="X691" s="511"/>
      <c r="Y691" s="511"/>
      <c r="Z691" s="511"/>
    </row>
    <row r="692" spans="1:26" ht="19.5" customHeight="1" x14ac:dyDescent="0.3">
      <c r="A692" s="511"/>
      <c r="B692" s="511"/>
      <c r="C692" s="511"/>
      <c r="D692" s="511"/>
      <c r="E692" s="511"/>
      <c r="F692" s="511"/>
      <c r="G692" s="511"/>
      <c r="H692" s="511"/>
      <c r="I692" s="511"/>
      <c r="J692" s="511"/>
      <c r="K692" s="511"/>
      <c r="L692" s="511"/>
      <c r="M692" s="511"/>
      <c r="N692" s="511"/>
      <c r="O692" s="511"/>
      <c r="P692" s="511"/>
      <c r="Q692" s="511"/>
      <c r="R692" s="511"/>
      <c r="S692" s="511"/>
      <c r="T692" s="511"/>
      <c r="U692" s="511"/>
      <c r="V692" s="511"/>
      <c r="W692" s="511"/>
      <c r="X692" s="511"/>
      <c r="Y692" s="511"/>
      <c r="Z692" s="511"/>
    </row>
    <row r="693" spans="1:26" ht="19.5" customHeight="1" x14ac:dyDescent="0.3">
      <c r="A693" s="511"/>
      <c r="B693" s="511"/>
      <c r="C693" s="511"/>
      <c r="D693" s="511"/>
      <c r="E693" s="511"/>
      <c r="F693" s="511"/>
      <c r="G693" s="511"/>
      <c r="H693" s="511"/>
      <c r="I693" s="511"/>
      <c r="J693" s="511"/>
      <c r="K693" s="511"/>
      <c r="L693" s="511"/>
      <c r="M693" s="511"/>
      <c r="N693" s="511"/>
      <c r="O693" s="511"/>
      <c r="P693" s="511"/>
      <c r="Q693" s="511"/>
      <c r="R693" s="511"/>
      <c r="S693" s="511"/>
      <c r="T693" s="511"/>
      <c r="U693" s="511"/>
      <c r="V693" s="511"/>
      <c r="W693" s="511"/>
      <c r="X693" s="511"/>
      <c r="Y693" s="511"/>
      <c r="Z693" s="511"/>
    </row>
    <row r="694" spans="1:26" ht="19.5" customHeight="1" x14ac:dyDescent="0.3">
      <c r="A694" s="511"/>
      <c r="B694" s="511"/>
      <c r="C694" s="511"/>
      <c r="D694" s="511"/>
      <c r="E694" s="511"/>
      <c r="F694" s="511"/>
      <c r="G694" s="511"/>
      <c r="H694" s="511"/>
      <c r="I694" s="511"/>
      <c r="J694" s="511"/>
      <c r="K694" s="511"/>
      <c r="L694" s="511"/>
      <c r="M694" s="511"/>
      <c r="N694" s="511"/>
      <c r="O694" s="511"/>
      <c r="P694" s="511"/>
      <c r="Q694" s="511"/>
      <c r="R694" s="511"/>
      <c r="S694" s="511"/>
      <c r="T694" s="511"/>
      <c r="U694" s="511"/>
      <c r="V694" s="511"/>
      <c r="W694" s="511"/>
      <c r="X694" s="511"/>
      <c r="Y694" s="511"/>
      <c r="Z694" s="511"/>
    </row>
    <row r="695" spans="1:26" ht="19.5" customHeight="1" x14ac:dyDescent="0.3">
      <c r="A695" s="511"/>
      <c r="B695" s="511"/>
      <c r="C695" s="511"/>
      <c r="D695" s="511"/>
      <c r="E695" s="511"/>
      <c r="F695" s="511"/>
      <c r="G695" s="511"/>
      <c r="H695" s="511"/>
      <c r="I695" s="511"/>
      <c r="J695" s="511"/>
      <c r="K695" s="511"/>
      <c r="L695" s="511"/>
      <c r="M695" s="511"/>
      <c r="N695" s="511"/>
      <c r="O695" s="511"/>
      <c r="P695" s="511"/>
      <c r="Q695" s="511"/>
      <c r="R695" s="511"/>
      <c r="S695" s="511"/>
      <c r="T695" s="511"/>
      <c r="U695" s="511"/>
      <c r="V695" s="511"/>
      <c r="W695" s="511"/>
      <c r="X695" s="511"/>
      <c r="Y695" s="511"/>
      <c r="Z695" s="511"/>
    </row>
    <row r="696" spans="1:26" ht="19.5" customHeight="1" x14ac:dyDescent="0.3">
      <c r="A696" s="511"/>
      <c r="B696" s="511"/>
      <c r="C696" s="511"/>
      <c r="D696" s="511"/>
      <c r="E696" s="511"/>
      <c r="F696" s="511"/>
      <c r="G696" s="511"/>
      <c r="H696" s="511"/>
      <c r="I696" s="511"/>
      <c r="J696" s="511"/>
      <c r="K696" s="511"/>
      <c r="L696" s="511"/>
      <c r="M696" s="511"/>
      <c r="N696" s="511"/>
      <c r="O696" s="511"/>
      <c r="P696" s="511"/>
      <c r="Q696" s="511"/>
      <c r="R696" s="511"/>
      <c r="S696" s="511"/>
      <c r="T696" s="511"/>
      <c r="U696" s="511"/>
      <c r="V696" s="511"/>
      <c r="W696" s="511"/>
      <c r="X696" s="511"/>
      <c r="Y696" s="511"/>
      <c r="Z696" s="511"/>
    </row>
    <row r="697" spans="1:26" ht="19.5" customHeight="1" x14ac:dyDescent="0.3">
      <c r="A697" s="511"/>
      <c r="B697" s="511"/>
      <c r="C697" s="511"/>
      <c r="D697" s="511"/>
      <c r="E697" s="511"/>
      <c r="F697" s="511"/>
      <c r="G697" s="511"/>
      <c r="H697" s="511"/>
      <c r="I697" s="511"/>
      <c r="J697" s="511"/>
      <c r="K697" s="511"/>
      <c r="L697" s="511"/>
      <c r="M697" s="511"/>
      <c r="N697" s="511"/>
      <c r="O697" s="511"/>
      <c r="P697" s="511"/>
      <c r="Q697" s="511"/>
      <c r="R697" s="511"/>
      <c r="S697" s="511"/>
      <c r="T697" s="511"/>
      <c r="U697" s="511"/>
      <c r="V697" s="511"/>
      <c r="W697" s="511"/>
      <c r="X697" s="511"/>
      <c r="Y697" s="511"/>
      <c r="Z697" s="511"/>
    </row>
    <row r="698" spans="1:26" ht="19.5" customHeight="1" x14ac:dyDescent="0.3">
      <c r="A698" s="511"/>
      <c r="B698" s="511"/>
      <c r="C698" s="511"/>
      <c r="D698" s="511"/>
      <c r="E698" s="511"/>
      <c r="F698" s="511"/>
      <c r="G698" s="511"/>
      <c r="H698" s="511"/>
      <c r="I698" s="511"/>
      <c r="J698" s="511"/>
      <c r="K698" s="511"/>
      <c r="L698" s="511"/>
      <c r="M698" s="511"/>
      <c r="N698" s="511"/>
      <c r="O698" s="511"/>
      <c r="P698" s="511"/>
      <c r="Q698" s="511"/>
      <c r="R698" s="511"/>
      <c r="S698" s="511"/>
      <c r="T698" s="511"/>
      <c r="U698" s="511"/>
      <c r="V698" s="511"/>
      <c r="W698" s="511"/>
      <c r="X698" s="511"/>
      <c r="Y698" s="511"/>
      <c r="Z698" s="511"/>
    </row>
    <row r="699" spans="1:26" ht="19.5" customHeight="1" x14ac:dyDescent="0.3">
      <c r="A699" s="511"/>
      <c r="B699" s="511"/>
      <c r="C699" s="511"/>
      <c r="D699" s="511"/>
      <c r="E699" s="511"/>
      <c r="F699" s="511"/>
      <c r="G699" s="511"/>
      <c r="H699" s="511"/>
      <c r="I699" s="511"/>
      <c r="J699" s="511"/>
      <c r="K699" s="511"/>
      <c r="L699" s="511"/>
      <c r="M699" s="511"/>
      <c r="N699" s="511"/>
      <c r="O699" s="511"/>
      <c r="P699" s="511"/>
      <c r="Q699" s="511"/>
      <c r="R699" s="511"/>
      <c r="S699" s="511"/>
      <c r="T699" s="511"/>
      <c r="U699" s="511"/>
      <c r="V699" s="511"/>
      <c r="W699" s="511"/>
      <c r="X699" s="511"/>
      <c r="Y699" s="511"/>
      <c r="Z699" s="511"/>
    </row>
    <row r="700" spans="1:26" ht="19.5" customHeight="1" x14ac:dyDescent="0.3">
      <c r="A700" s="511"/>
      <c r="B700" s="511"/>
      <c r="C700" s="511"/>
      <c r="D700" s="511"/>
      <c r="E700" s="511"/>
      <c r="F700" s="511"/>
      <c r="G700" s="511"/>
      <c r="H700" s="511"/>
      <c r="I700" s="511"/>
      <c r="J700" s="511"/>
      <c r="K700" s="511"/>
      <c r="L700" s="511"/>
      <c r="M700" s="511"/>
      <c r="N700" s="511"/>
      <c r="O700" s="511"/>
      <c r="P700" s="511"/>
      <c r="Q700" s="511"/>
      <c r="R700" s="511"/>
      <c r="S700" s="511"/>
      <c r="T700" s="511"/>
      <c r="U700" s="511"/>
      <c r="V700" s="511"/>
      <c r="W700" s="511"/>
      <c r="X700" s="511"/>
      <c r="Y700" s="511"/>
      <c r="Z700" s="511"/>
    </row>
    <row r="701" spans="1:26" ht="19.5" customHeight="1" x14ac:dyDescent="0.3">
      <c r="A701" s="511"/>
      <c r="B701" s="511"/>
      <c r="C701" s="511"/>
      <c r="D701" s="511"/>
      <c r="E701" s="511"/>
      <c r="F701" s="511"/>
      <c r="G701" s="511"/>
      <c r="H701" s="511"/>
      <c r="I701" s="511"/>
      <c r="J701" s="511"/>
      <c r="K701" s="511"/>
      <c r="L701" s="511"/>
      <c r="M701" s="511"/>
      <c r="N701" s="511"/>
      <c r="O701" s="511"/>
      <c r="P701" s="511"/>
      <c r="Q701" s="511"/>
      <c r="R701" s="511"/>
      <c r="S701" s="511"/>
      <c r="T701" s="511"/>
      <c r="U701" s="511"/>
      <c r="V701" s="511"/>
      <c r="W701" s="511"/>
      <c r="X701" s="511"/>
      <c r="Y701" s="511"/>
      <c r="Z701" s="511"/>
    </row>
    <row r="702" spans="1:26" ht="19.5" customHeight="1" x14ac:dyDescent="0.3">
      <c r="A702" s="511"/>
      <c r="B702" s="511"/>
      <c r="C702" s="511"/>
      <c r="D702" s="511"/>
      <c r="E702" s="511"/>
      <c r="F702" s="511"/>
      <c r="G702" s="511"/>
      <c r="H702" s="511"/>
      <c r="I702" s="511"/>
      <c r="J702" s="511"/>
      <c r="K702" s="511"/>
      <c r="L702" s="511"/>
      <c r="M702" s="511"/>
      <c r="N702" s="511"/>
      <c r="O702" s="511"/>
      <c r="P702" s="511"/>
      <c r="Q702" s="511"/>
      <c r="R702" s="511"/>
      <c r="S702" s="511"/>
      <c r="T702" s="511"/>
      <c r="U702" s="511"/>
      <c r="V702" s="511"/>
      <c r="W702" s="511"/>
      <c r="X702" s="511"/>
      <c r="Y702" s="511"/>
      <c r="Z702" s="511"/>
    </row>
    <row r="703" spans="1:26" ht="19.5" customHeight="1" x14ac:dyDescent="0.3">
      <c r="A703" s="511"/>
      <c r="B703" s="511"/>
      <c r="C703" s="511"/>
      <c r="D703" s="511"/>
      <c r="E703" s="511"/>
      <c r="F703" s="511"/>
      <c r="G703" s="511"/>
      <c r="H703" s="511"/>
      <c r="I703" s="511"/>
      <c r="J703" s="511"/>
      <c r="K703" s="511"/>
      <c r="L703" s="511"/>
      <c r="M703" s="511"/>
      <c r="N703" s="511"/>
      <c r="O703" s="511"/>
      <c r="P703" s="511"/>
      <c r="Q703" s="511"/>
      <c r="R703" s="511"/>
      <c r="S703" s="511"/>
      <c r="T703" s="511"/>
      <c r="U703" s="511"/>
      <c r="V703" s="511"/>
      <c r="W703" s="511"/>
      <c r="X703" s="511"/>
      <c r="Y703" s="511"/>
      <c r="Z703" s="511"/>
    </row>
    <row r="704" spans="1:26" ht="19.5" customHeight="1" x14ac:dyDescent="0.3">
      <c r="A704" s="511"/>
      <c r="B704" s="511"/>
      <c r="C704" s="511"/>
      <c r="D704" s="511"/>
      <c r="E704" s="511"/>
      <c r="F704" s="511"/>
      <c r="G704" s="511"/>
      <c r="H704" s="511"/>
      <c r="I704" s="511"/>
      <c r="J704" s="511"/>
      <c r="K704" s="511"/>
      <c r="L704" s="511"/>
      <c r="M704" s="511"/>
      <c r="N704" s="511"/>
      <c r="O704" s="511"/>
      <c r="P704" s="511"/>
      <c r="Q704" s="511"/>
      <c r="R704" s="511"/>
      <c r="S704" s="511"/>
      <c r="T704" s="511"/>
      <c r="U704" s="511"/>
      <c r="V704" s="511"/>
      <c r="W704" s="511"/>
      <c r="X704" s="511"/>
      <c r="Y704" s="511"/>
      <c r="Z704" s="511"/>
    </row>
    <row r="705" spans="1:26" ht="19.5" customHeight="1" x14ac:dyDescent="0.3">
      <c r="A705" s="511"/>
      <c r="B705" s="511"/>
      <c r="C705" s="511"/>
      <c r="D705" s="511"/>
      <c r="E705" s="511"/>
      <c r="F705" s="511"/>
      <c r="G705" s="511"/>
      <c r="H705" s="511"/>
      <c r="I705" s="511"/>
      <c r="J705" s="511"/>
      <c r="K705" s="511"/>
      <c r="L705" s="511"/>
      <c r="M705" s="511"/>
      <c r="N705" s="511"/>
      <c r="O705" s="511"/>
      <c r="P705" s="511"/>
      <c r="Q705" s="511"/>
      <c r="R705" s="511"/>
      <c r="S705" s="511"/>
      <c r="T705" s="511"/>
      <c r="U705" s="511"/>
      <c r="V705" s="511"/>
      <c r="W705" s="511"/>
      <c r="X705" s="511"/>
      <c r="Y705" s="511"/>
      <c r="Z705" s="511"/>
    </row>
    <row r="706" spans="1:26" ht="19.5" customHeight="1" x14ac:dyDescent="0.3">
      <c r="A706" s="511"/>
      <c r="B706" s="511"/>
      <c r="C706" s="511"/>
      <c r="D706" s="511"/>
      <c r="E706" s="511"/>
      <c r="F706" s="511"/>
      <c r="G706" s="511"/>
      <c r="H706" s="511"/>
      <c r="I706" s="511"/>
      <c r="J706" s="511"/>
      <c r="K706" s="511"/>
      <c r="L706" s="511"/>
      <c r="M706" s="511"/>
      <c r="N706" s="511"/>
      <c r="O706" s="511"/>
      <c r="P706" s="511"/>
      <c r="Q706" s="511"/>
      <c r="R706" s="511"/>
      <c r="S706" s="511"/>
      <c r="T706" s="511"/>
      <c r="U706" s="511"/>
      <c r="V706" s="511"/>
      <c r="W706" s="511"/>
      <c r="X706" s="511"/>
      <c r="Y706" s="511"/>
      <c r="Z706" s="511"/>
    </row>
    <row r="707" spans="1:26" ht="19.5" customHeight="1" x14ac:dyDescent="0.3">
      <c r="A707" s="511"/>
      <c r="B707" s="511"/>
      <c r="C707" s="511"/>
      <c r="D707" s="511"/>
      <c r="E707" s="511"/>
      <c r="F707" s="511"/>
      <c r="G707" s="511"/>
      <c r="H707" s="511"/>
      <c r="I707" s="511"/>
      <c r="J707" s="511"/>
      <c r="K707" s="511"/>
      <c r="L707" s="511"/>
      <c r="M707" s="511"/>
      <c r="N707" s="511"/>
      <c r="O707" s="511"/>
      <c r="P707" s="511"/>
      <c r="Q707" s="511"/>
      <c r="R707" s="511"/>
      <c r="S707" s="511"/>
      <c r="T707" s="511"/>
      <c r="U707" s="511"/>
      <c r="V707" s="511"/>
      <c r="W707" s="511"/>
      <c r="X707" s="511"/>
      <c r="Y707" s="511"/>
      <c r="Z707" s="511"/>
    </row>
    <row r="708" spans="1:26" ht="19.5" customHeight="1" x14ac:dyDescent="0.3">
      <c r="A708" s="511"/>
      <c r="B708" s="511"/>
      <c r="C708" s="511"/>
      <c r="D708" s="511"/>
      <c r="E708" s="511"/>
      <c r="F708" s="511"/>
      <c r="G708" s="511"/>
      <c r="H708" s="511"/>
      <c r="I708" s="511"/>
      <c r="J708" s="511"/>
      <c r="K708" s="511"/>
      <c r="L708" s="511"/>
      <c r="M708" s="511"/>
      <c r="N708" s="511"/>
      <c r="O708" s="511"/>
      <c r="P708" s="511"/>
      <c r="Q708" s="511"/>
      <c r="R708" s="511"/>
      <c r="S708" s="511"/>
      <c r="T708" s="511"/>
      <c r="U708" s="511"/>
      <c r="V708" s="511"/>
      <c r="W708" s="511"/>
      <c r="X708" s="511"/>
      <c r="Y708" s="511"/>
      <c r="Z708" s="511"/>
    </row>
    <row r="709" spans="1:26" ht="19.5" customHeight="1" x14ac:dyDescent="0.3">
      <c r="A709" s="511"/>
      <c r="B709" s="511"/>
      <c r="C709" s="511"/>
      <c r="D709" s="511"/>
      <c r="E709" s="511"/>
      <c r="F709" s="511"/>
      <c r="G709" s="511"/>
      <c r="H709" s="511"/>
      <c r="I709" s="511"/>
      <c r="J709" s="511"/>
      <c r="K709" s="511"/>
      <c r="L709" s="511"/>
      <c r="M709" s="511"/>
      <c r="N709" s="511"/>
      <c r="O709" s="511"/>
      <c r="P709" s="511"/>
      <c r="Q709" s="511"/>
      <c r="R709" s="511"/>
      <c r="S709" s="511"/>
      <c r="T709" s="511"/>
      <c r="U709" s="511"/>
      <c r="V709" s="511"/>
      <c r="W709" s="511"/>
      <c r="X709" s="511"/>
      <c r="Y709" s="511"/>
      <c r="Z709" s="511"/>
    </row>
    <row r="710" spans="1:26" ht="19.5" customHeight="1" x14ac:dyDescent="0.3">
      <c r="A710" s="511"/>
      <c r="B710" s="511"/>
      <c r="C710" s="511"/>
      <c r="D710" s="511"/>
      <c r="E710" s="511"/>
      <c r="F710" s="511"/>
      <c r="G710" s="511"/>
      <c r="H710" s="511"/>
      <c r="I710" s="511"/>
      <c r="J710" s="511"/>
      <c r="K710" s="511"/>
      <c r="L710" s="511"/>
      <c r="M710" s="511"/>
      <c r="N710" s="511"/>
      <c r="O710" s="511"/>
      <c r="P710" s="511"/>
      <c r="Q710" s="511"/>
      <c r="R710" s="511"/>
      <c r="S710" s="511"/>
      <c r="T710" s="511"/>
      <c r="U710" s="511"/>
      <c r="V710" s="511"/>
      <c r="W710" s="511"/>
      <c r="X710" s="511"/>
      <c r="Y710" s="511"/>
      <c r="Z710" s="511"/>
    </row>
    <row r="711" spans="1:26" ht="19.5" customHeight="1" x14ac:dyDescent="0.3">
      <c r="A711" s="511"/>
      <c r="B711" s="511"/>
      <c r="C711" s="511"/>
      <c r="D711" s="511"/>
      <c r="E711" s="511"/>
      <c r="F711" s="511"/>
      <c r="G711" s="511"/>
      <c r="H711" s="511"/>
      <c r="I711" s="511"/>
      <c r="J711" s="511"/>
      <c r="K711" s="511"/>
      <c r="L711" s="511"/>
      <c r="M711" s="511"/>
      <c r="N711" s="511"/>
      <c r="O711" s="511"/>
      <c r="P711" s="511"/>
      <c r="Q711" s="511"/>
      <c r="R711" s="511"/>
      <c r="S711" s="511"/>
      <c r="T711" s="511"/>
      <c r="U711" s="511"/>
      <c r="V711" s="511"/>
      <c r="W711" s="511"/>
      <c r="X711" s="511"/>
      <c r="Y711" s="511"/>
      <c r="Z711" s="511"/>
    </row>
    <row r="712" spans="1:26" ht="19.5" customHeight="1" x14ac:dyDescent="0.3">
      <c r="A712" s="511"/>
      <c r="B712" s="511"/>
      <c r="C712" s="511"/>
      <c r="D712" s="511"/>
      <c r="E712" s="511"/>
      <c r="F712" s="511"/>
      <c r="G712" s="511"/>
      <c r="H712" s="511"/>
      <c r="I712" s="511"/>
      <c r="J712" s="511"/>
      <c r="K712" s="511"/>
      <c r="L712" s="511"/>
      <c r="M712" s="511"/>
      <c r="N712" s="511"/>
      <c r="O712" s="511"/>
      <c r="P712" s="511"/>
      <c r="Q712" s="511"/>
      <c r="R712" s="511"/>
      <c r="S712" s="511"/>
      <c r="T712" s="511"/>
      <c r="U712" s="511"/>
      <c r="V712" s="511"/>
      <c r="W712" s="511"/>
      <c r="X712" s="511"/>
      <c r="Y712" s="511"/>
      <c r="Z712" s="511"/>
    </row>
    <row r="713" spans="1:26" ht="19.5" customHeight="1" x14ac:dyDescent="0.3">
      <c r="A713" s="511"/>
      <c r="B713" s="511"/>
      <c r="C713" s="511"/>
      <c r="D713" s="511"/>
      <c r="E713" s="511"/>
      <c r="F713" s="511"/>
      <c r="G713" s="511"/>
      <c r="H713" s="511"/>
      <c r="I713" s="511"/>
      <c r="J713" s="511"/>
      <c r="K713" s="511"/>
      <c r="L713" s="511"/>
      <c r="M713" s="511"/>
      <c r="N713" s="511"/>
      <c r="O713" s="511"/>
      <c r="P713" s="511"/>
      <c r="Q713" s="511"/>
      <c r="R713" s="511"/>
      <c r="S713" s="511"/>
      <c r="T713" s="511"/>
      <c r="U713" s="511"/>
      <c r="V713" s="511"/>
      <c r="W713" s="511"/>
      <c r="X713" s="511"/>
      <c r="Y713" s="511"/>
      <c r="Z713" s="511"/>
    </row>
    <row r="714" spans="1:26" ht="19.5" customHeight="1" x14ac:dyDescent="0.3">
      <c r="A714" s="511"/>
      <c r="B714" s="511"/>
      <c r="C714" s="511"/>
      <c r="D714" s="511"/>
      <c r="E714" s="511"/>
      <c r="F714" s="511"/>
      <c r="G714" s="511"/>
      <c r="H714" s="511"/>
      <c r="I714" s="511"/>
      <c r="J714" s="511"/>
      <c r="K714" s="511"/>
      <c r="L714" s="511"/>
      <c r="M714" s="511"/>
      <c r="N714" s="511"/>
      <c r="O714" s="511"/>
      <c r="P714" s="511"/>
      <c r="Q714" s="511"/>
      <c r="R714" s="511"/>
      <c r="S714" s="511"/>
      <c r="T714" s="511"/>
      <c r="U714" s="511"/>
      <c r="V714" s="511"/>
      <c r="W714" s="511"/>
      <c r="X714" s="511"/>
      <c r="Y714" s="511"/>
      <c r="Z714" s="511"/>
    </row>
    <row r="715" spans="1:26" ht="19.5" customHeight="1" x14ac:dyDescent="0.3">
      <c r="A715" s="511"/>
      <c r="B715" s="511"/>
      <c r="C715" s="511"/>
      <c r="D715" s="511"/>
      <c r="E715" s="511"/>
      <c r="F715" s="511"/>
      <c r="G715" s="511"/>
      <c r="H715" s="511"/>
      <c r="I715" s="511"/>
      <c r="J715" s="511"/>
      <c r="K715" s="511"/>
      <c r="L715" s="511"/>
      <c r="M715" s="511"/>
      <c r="N715" s="511"/>
      <c r="O715" s="511"/>
      <c r="P715" s="511"/>
      <c r="Q715" s="511"/>
      <c r="R715" s="511"/>
      <c r="S715" s="511"/>
      <c r="T715" s="511"/>
      <c r="U715" s="511"/>
      <c r="V715" s="511"/>
      <c r="W715" s="511"/>
      <c r="X715" s="511"/>
      <c r="Y715" s="511"/>
      <c r="Z715" s="511"/>
    </row>
    <row r="716" spans="1:26" ht="19.5" customHeight="1" x14ac:dyDescent="0.3">
      <c r="A716" s="511"/>
      <c r="B716" s="511"/>
      <c r="C716" s="511"/>
      <c r="D716" s="511"/>
      <c r="E716" s="511"/>
      <c r="F716" s="511"/>
      <c r="G716" s="511"/>
      <c r="H716" s="511"/>
      <c r="I716" s="511"/>
      <c r="J716" s="511"/>
      <c r="K716" s="511"/>
      <c r="L716" s="511"/>
      <c r="M716" s="511"/>
      <c r="N716" s="511"/>
      <c r="O716" s="511"/>
      <c r="P716" s="511"/>
      <c r="Q716" s="511"/>
      <c r="R716" s="511"/>
      <c r="S716" s="511"/>
      <c r="T716" s="511"/>
      <c r="U716" s="511"/>
      <c r="V716" s="511"/>
      <c r="W716" s="511"/>
      <c r="X716" s="511"/>
      <c r="Y716" s="511"/>
      <c r="Z716" s="511"/>
    </row>
    <row r="717" spans="1:26" ht="19.5" customHeight="1" x14ac:dyDescent="0.3">
      <c r="A717" s="511"/>
      <c r="B717" s="511"/>
      <c r="C717" s="511"/>
      <c r="D717" s="511"/>
      <c r="E717" s="511"/>
      <c r="F717" s="511"/>
      <c r="G717" s="511"/>
      <c r="H717" s="511"/>
      <c r="I717" s="511"/>
      <c r="J717" s="511"/>
      <c r="K717" s="511"/>
      <c r="L717" s="511"/>
      <c r="M717" s="511"/>
      <c r="N717" s="511"/>
      <c r="O717" s="511"/>
      <c r="P717" s="511"/>
      <c r="Q717" s="511"/>
      <c r="R717" s="511"/>
      <c r="S717" s="511"/>
      <c r="T717" s="511"/>
      <c r="U717" s="511"/>
      <c r="V717" s="511"/>
      <c r="W717" s="511"/>
      <c r="X717" s="511"/>
      <c r="Y717" s="511"/>
      <c r="Z717" s="511"/>
    </row>
    <row r="718" spans="1:26" ht="19.5" customHeight="1" x14ac:dyDescent="0.3">
      <c r="A718" s="511"/>
      <c r="B718" s="511"/>
      <c r="C718" s="511"/>
      <c r="D718" s="511"/>
      <c r="E718" s="511"/>
      <c r="F718" s="511"/>
      <c r="G718" s="511"/>
      <c r="H718" s="511"/>
      <c r="I718" s="511"/>
      <c r="J718" s="511"/>
      <c r="K718" s="511"/>
      <c r="L718" s="511"/>
      <c r="M718" s="511"/>
      <c r="N718" s="511"/>
      <c r="O718" s="511"/>
      <c r="P718" s="511"/>
      <c r="Q718" s="511"/>
      <c r="R718" s="511"/>
      <c r="S718" s="511"/>
      <c r="T718" s="511"/>
      <c r="U718" s="511"/>
      <c r="V718" s="511"/>
      <c r="W718" s="511"/>
      <c r="X718" s="511"/>
      <c r="Y718" s="511"/>
      <c r="Z718" s="511"/>
    </row>
    <row r="719" spans="1:26" ht="19.5" customHeight="1" x14ac:dyDescent="0.3">
      <c r="A719" s="511"/>
      <c r="B719" s="511"/>
      <c r="C719" s="511"/>
      <c r="D719" s="511"/>
      <c r="E719" s="511"/>
      <c r="F719" s="511"/>
      <c r="G719" s="511"/>
      <c r="H719" s="511"/>
      <c r="I719" s="511"/>
      <c r="J719" s="511"/>
      <c r="K719" s="511"/>
      <c r="L719" s="511"/>
      <c r="M719" s="511"/>
      <c r="N719" s="511"/>
      <c r="O719" s="511"/>
      <c r="P719" s="511"/>
      <c r="Q719" s="511"/>
      <c r="R719" s="511"/>
      <c r="S719" s="511"/>
      <c r="T719" s="511"/>
      <c r="U719" s="511"/>
      <c r="V719" s="511"/>
      <c r="W719" s="511"/>
      <c r="X719" s="511"/>
      <c r="Y719" s="511"/>
      <c r="Z719" s="511"/>
    </row>
    <row r="720" spans="1:26" ht="19.5" customHeight="1" x14ac:dyDescent="0.3">
      <c r="A720" s="511"/>
      <c r="B720" s="511"/>
      <c r="C720" s="511"/>
      <c r="D720" s="511"/>
      <c r="E720" s="511"/>
      <c r="F720" s="511"/>
      <c r="G720" s="511"/>
      <c r="H720" s="511"/>
      <c r="I720" s="511"/>
      <c r="J720" s="511"/>
      <c r="K720" s="511"/>
      <c r="L720" s="511"/>
      <c r="M720" s="511"/>
      <c r="N720" s="511"/>
      <c r="O720" s="511"/>
      <c r="P720" s="511"/>
      <c r="Q720" s="511"/>
      <c r="R720" s="511"/>
      <c r="S720" s="511"/>
      <c r="T720" s="511"/>
      <c r="U720" s="511"/>
      <c r="V720" s="511"/>
      <c r="W720" s="511"/>
      <c r="X720" s="511"/>
      <c r="Y720" s="511"/>
      <c r="Z720" s="511"/>
    </row>
    <row r="721" spans="1:26" ht="19.5" customHeight="1" x14ac:dyDescent="0.3">
      <c r="A721" s="511"/>
      <c r="B721" s="511"/>
      <c r="C721" s="511"/>
      <c r="D721" s="511"/>
      <c r="E721" s="511"/>
      <c r="F721" s="511"/>
      <c r="G721" s="511"/>
      <c r="H721" s="511"/>
      <c r="I721" s="511"/>
      <c r="J721" s="511"/>
      <c r="K721" s="511"/>
      <c r="L721" s="511"/>
      <c r="M721" s="511"/>
      <c r="N721" s="511"/>
      <c r="O721" s="511"/>
      <c r="P721" s="511"/>
      <c r="Q721" s="511"/>
      <c r="R721" s="511"/>
      <c r="S721" s="511"/>
      <c r="T721" s="511"/>
      <c r="U721" s="511"/>
      <c r="V721" s="511"/>
      <c r="W721" s="511"/>
      <c r="X721" s="511"/>
      <c r="Y721" s="511"/>
      <c r="Z721" s="511"/>
    </row>
    <row r="722" spans="1:26" ht="19.5" customHeight="1" x14ac:dyDescent="0.3">
      <c r="A722" s="511"/>
      <c r="B722" s="511"/>
      <c r="C722" s="511"/>
      <c r="D722" s="511"/>
      <c r="E722" s="511"/>
      <c r="F722" s="511"/>
      <c r="G722" s="511"/>
      <c r="H722" s="511"/>
      <c r="I722" s="511"/>
      <c r="J722" s="511"/>
      <c r="K722" s="511"/>
      <c r="L722" s="511"/>
      <c r="M722" s="511"/>
      <c r="N722" s="511"/>
      <c r="O722" s="511"/>
      <c r="P722" s="511"/>
      <c r="Q722" s="511"/>
      <c r="R722" s="511"/>
      <c r="S722" s="511"/>
      <c r="T722" s="511"/>
      <c r="U722" s="511"/>
      <c r="V722" s="511"/>
      <c r="W722" s="511"/>
      <c r="X722" s="511"/>
      <c r="Y722" s="511"/>
      <c r="Z722" s="511"/>
    </row>
    <row r="723" spans="1:26" ht="19.5" customHeight="1" x14ac:dyDescent="0.3">
      <c r="A723" s="511"/>
      <c r="B723" s="511"/>
      <c r="C723" s="511"/>
      <c r="D723" s="511"/>
      <c r="E723" s="511"/>
      <c r="F723" s="511"/>
      <c r="G723" s="511"/>
      <c r="H723" s="511"/>
      <c r="I723" s="511"/>
      <c r="J723" s="511"/>
      <c r="K723" s="511"/>
      <c r="L723" s="511"/>
      <c r="M723" s="511"/>
      <c r="N723" s="511"/>
      <c r="O723" s="511"/>
      <c r="P723" s="511"/>
      <c r="Q723" s="511"/>
      <c r="R723" s="511"/>
      <c r="S723" s="511"/>
      <c r="T723" s="511"/>
      <c r="U723" s="511"/>
      <c r="V723" s="511"/>
      <c r="W723" s="511"/>
      <c r="X723" s="511"/>
      <c r="Y723" s="511"/>
      <c r="Z723" s="511"/>
    </row>
    <row r="724" spans="1:26" ht="19.5" customHeight="1" x14ac:dyDescent="0.3">
      <c r="A724" s="511"/>
      <c r="B724" s="511"/>
      <c r="C724" s="511"/>
      <c r="D724" s="511"/>
      <c r="E724" s="511"/>
      <c r="F724" s="511"/>
      <c r="G724" s="511"/>
      <c r="H724" s="511"/>
      <c r="I724" s="511"/>
      <c r="J724" s="511"/>
      <c r="K724" s="511"/>
      <c r="L724" s="511"/>
      <c r="M724" s="511"/>
      <c r="N724" s="511"/>
      <c r="O724" s="511"/>
      <c r="P724" s="511"/>
      <c r="Q724" s="511"/>
      <c r="R724" s="511"/>
      <c r="S724" s="511"/>
      <c r="T724" s="511"/>
      <c r="U724" s="511"/>
      <c r="V724" s="511"/>
      <c r="W724" s="511"/>
      <c r="X724" s="511"/>
      <c r="Y724" s="511"/>
      <c r="Z724" s="511"/>
    </row>
    <row r="725" spans="1:26" ht="19.5" customHeight="1" x14ac:dyDescent="0.3">
      <c r="A725" s="511"/>
      <c r="B725" s="511"/>
      <c r="C725" s="511"/>
      <c r="D725" s="511"/>
      <c r="E725" s="511"/>
      <c r="F725" s="511"/>
      <c r="G725" s="511"/>
      <c r="H725" s="511"/>
      <c r="I725" s="511"/>
      <c r="J725" s="511"/>
      <c r="K725" s="511"/>
      <c r="L725" s="511"/>
      <c r="M725" s="511"/>
      <c r="N725" s="511"/>
      <c r="O725" s="511"/>
      <c r="P725" s="511"/>
      <c r="Q725" s="511"/>
      <c r="R725" s="511"/>
      <c r="S725" s="511"/>
      <c r="T725" s="511"/>
      <c r="U725" s="511"/>
      <c r="V725" s="511"/>
      <c r="W725" s="511"/>
      <c r="X725" s="511"/>
      <c r="Y725" s="511"/>
      <c r="Z725" s="511"/>
    </row>
    <row r="726" spans="1:26" ht="19.5" customHeight="1" x14ac:dyDescent="0.3">
      <c r="A726" s="511"/>
      <c r="B726" s="511"/>
      <c r="C726" s="511"/>
      <c r="D726" s="511"/>
      <c r="E726" s="511"/>
      <c r="F726" s="511"/>
      <c r="G726" s="511"/>
      <c r="H726" s="511"/>
      <c r="I726" s="511"/>
      <c r="J726" s="511"/>
      <c r="K726" s="511"/>
      <c r="L726" s="511"/>
      <c r="M726" s="511"/>
      <c r="N726" s="511"/>
      <c r="O726" s="511"/>
      <c r="P726" s="511"/>
      <c r="Q726" s="511"/>
      <c r="R726" s="511"/>
      <c r="S726" s="511"/>
      <c r="T726" s="511"/>
      <c r="U726" s="511"/>
      <c r="V726" s="511"/>
      <c r="W726" s="511"/>
      <c r="X726" s="511"/>
      <c r="Y726" s="511"/>
      <c r="Z726" s="511"/>
    </row>
    <row r="727" spans="1:26" ht="19.5" customHeight="1" x14ac:dyDescent="0.3">
      <c r="A727" s="511"/>
      <c r="B727" s="511"/>
      <c r="C727" s="511"/>
      <c r="D727" s="511"/>
      <c r="E727" s="511"/>
      <c r="F727" s="511"/>
      <c r="G727" s="511"/>
      <c r="H727" s="511"/>
      <c r="I727" s="511"/>
      <c r="J727" s="511"/>
      <c r="K727" s="511"/>
      <c r="L727" s="511"/>
      <c r="M727" s="511"/>
      <c r="N727" s="511"/>
      <c r="O727" s="511"/>
      <c r="P727" s="511"/>
      <c r="Q727" s="511"/>
      <c r="R727" s="511"/>
      <c r="S727" s="511"/>
      <c r="T727" s="511"/>
      <c r="U727" s="511"/>
      <c r="V727" s="511"/>
      <c r="W727" s="511"/>
      <c r="X727" s="511"/>
      <c r="Y727" s="511"/>
      <c r="Z727" s="511"/>
    </row>
    <row r="728" spans="1:26" ht="19.5" customHeight="1" x14ac:dyDescent="0.3">
      <c r="A728" s="511"/>
      <c r="B728" s="511"/>
      <c r="C728" s="511"/>
      <c r="D728" s="511"/>
      <c r="E728" s="511"/>
      <c r="F728" s="511"/>
      <c r="G728" s="511"/>
      <c r="H728" s="511"/>
      <c r="I728" s="511"/>
      <c r="J728" s="511"/>
      <c r="K728" s="511"/>
      <c r="L728" s="511"/>
      <c r="M728" s="511"/>
      <c r="N728" s="511"/>
      <c r="O728" s="511"/>
      <c r="P728" s="511"/>
      <c r="Q728" s="511"/>
      <c r="R728" s="511"/>
      <c r="S728" s="511"/>
      <c r="T728" s="511"/>
      <c r="U728" s="511"/>
      <c r="V728" s="511"/>
      <c r="W728" s="511"/>
      <c r="X728" s="511"/>
      <c r="Y728" s="511"/>
      <c r="Z728" s="511"/>
    </row>
    <row r="729" spans="1:26" ht="19.5" customHeight="1" x14ac:dyDescent="0.3">
      <c r="A729" s="511"/>
      <c r="B729" s="511"/>
      <c r="C729" s="511"/>
      <c r="D729" s="511"/>
      <c r="E729" s="511"/>
      <c r="F729" s="511"/>
      <c r="G729" s="511"/>
      <c r="H729" s="511"/>
      <c r="I729" s="511"/>
      <c r="J729" s="511"/>
      <c r="K729" s="511"/>
      <c r="L729" s="511"/>
      <c r="M729" s="511"/>
      <c r="N729" s="511"/>
      <c r="O729" s="511"/>
      <c r="P729" s="511"/>
      <c r="Q729" s="511"/>
      <c r="R729" s="511"/>
      <c r="S729" s="511"/>
      <c r="T729" s="511"/>
      <c r="U729" s="511"/>
      <c r="V729" s="511"/>
      <c r="W729" s="511"/>
      <c r="X729" s="511"/>
      <c r="Y729" s="511"/>
      <c r="Z729" s="511"/>
    </row>
    <row r="730" spans="1:26" ht="19.5" customHeight="1" x14ac:dyDescent="0.3">
      <c r="A730" s="511"/>
      <c r="B730" s="511"/>
      <c r="C730" s="511"/>
      <c r="D730" s="511"/>
      <c r="E730" s="511"/>
      <c r="F730" s="511"/>
      <c r="G730" s="511"/>
      <c r="H730" s="511"/>
      <c r="I730" s="511"/>
      <c r="J730" s="511"/>
      <c r="K730" s="511"/>
      <c r="L730" s="511"/>
      <c r="M730" s="511"/>
      <c r="N730" s="511"/>
      <c r="O730" s="511"/>
      <c r="P730" s="511"/>
      <c r="Q730" s="511"/>
      <c r="R730" s="511"/>
      <c r="S730" s="511"/>
      <c r="T730" s="511"/>
      <c r="U730" s="511"/>
      <c r="V730" s="511"/>
      <c r="W730" s="511"/>
      <c r="X730" s="511"/>
      <c r="Y730" s="511"/>
      <c r="Z730" s="511"/>
    </row>
    <row r="731" spans="1:26" ht="19.5" customHeight="1" x14ac:dyDescent="0.3">
      <c r="A731" s="511"/>
      <c r="B731" s="511"/>
      <c r="C731" s="511"/>
      <c r="D731" s="511"/>
      <c r="E731" s="511"/>
      <c r="F731" s="511"/>
      <c r="G731" s="511"/>
      <c r="H731" s="511"/>
      <c r="I731" s="511"/>
      <c r="J731" s="511"/>
      <c r="K731" s="511"/>
      <c r="L731" s="511"/>
      <c r="M731" s="511"/>
      <c r="N731" s="511"/>
      <c r="O731" s="511"/>
      <c r="P731" s="511"/>
      <c r="Q731" s="511"/>
      <c r="R731" s="511"/>
      <c r="S731" s="511"/>
      <c r="T731" s="511"/>
      <c r="U731" s="511"/>
      <c r="V731" s="511"/>
      <c r="W731" s="511"/>
      <c r="X731" s="511"/>
      <c r="Y731" s="511"/>
      <c r="Z731" s="511"/>
    </row>
    <row r="732" spans="1:26" ht="19.5" customHeight="1" x14ac:dyDescent="0.3">
      <c r="A732" s="511"/>
      <c r="B732" s="511"/>
      <c r="C732" s="511"/>
      <c r="D732" s="511"/>
      <c r="E732" s="511"/>
      <c r="F732" s="511"/>
      <c r="G732" s="511"/>
      <c r="H732" s="511"/>
      <c r="I732" s="511"/>
      <c r="J732" s="511"/>
      <c r="K732" s="511"/>
      <c r="L732" s="511"/>
      <c r="M732" s="511"/>
      <c r="N732" s="511"/>
      <c r="O732" s="511"/>
      <c r="P732" s="511"/>
      <c r="Q732" s="511"/>
      <c r="R732" s="511"/>
      <c r="S732" s="511"/>
      <c r="T732" s="511"/>
      <c r="U732" s="511"/>
      <c r="V732" s="511"/>
      <c r="W732" s="511"/>
      <c r="X732" s="511"/>
      <c r="Y732" s="511"/>
      <c r="Z732" s="511"/>
    </row>
    <row r="733" spans="1:26" ht="19.5" customHeight="1" x14ac:dyDescent="0.3">
      <c r="A733" s="511"/>
      <c r="B733" s="511"/>
      <c r="C733" s="511"/>
      <c r="D733" s="511"/>
      <c r="E733" s="511"/>
      <c r="F733" s="511"/>
      <c r="G733" s="511"/>
      <c r="H733" s="511"/>
      <c r="I733" s="511"/>
      <c r="J733" s="511"/>
      <c r="K733" s="511"/>
      <c r="L733" s="511"/>
      <c r="M733" s="511"/>
      <c r="N733" s="511"/>
      <c r="O733" s="511"/>
      <c r="P733" s="511"/>
      <c r="Q733" s="511"/>
      <c r="R733" s="511"/>
      <c r="S733" s="511"/>
      <c r="T733" s="511"/>
      <c r="U733" s="511"/>
      <c r="V733" s="511"/>
      <c r="W733" s="511"/>
      <c r="X733" s="511"/>
      <c r="Y733" s="511"/>
      <c r="Z733" s="511"/>
    </row>
    <row r="734" spans="1:26" ht="19.5" customHeight="1" x14ac:dyDescent="0.3">
      <c r="A734" s="511"/>
      <c r="B734" s="511"/>
      <c r="C734" s="511"/>
      <c r="D734" s="511"/>
      <c r="E734" s="511"/>
      <c r="F734" s="511"/>
      <c r="G734" s="511"/>
      <c r="H734" s="511"/>
      <c r="I734" s="511"/>
      <c r="J734" s="511"/>
      <c r="K734" s="511"/>
      <c r="L734" s="511"/>
      <c r="M734" s="511"/>
      <c r="N734" s="511"/>
      <c r="O734" s="511"/>
      <c r="P734" s="511"/>
      <c r="Q734" s="511"/>
      <c r="R734" s="511"/>
      <c r="S734" s="511"/>
      <c r="T734" s="511"/>
      <c r="U734" s="511"/>
      <c r="V734" s="511"/>
      <c r="W734" s="511"/>
      <c r="X734" s="511"/>
      <c r="Y734" s="511"/>
      <c r="Z734" s="511"/>
    </row>
    <row r="735" spans="1:26" ht="19.5" customHeight="1" x14ac:dyDescent="0.3">
      <c r="A735" s="511"/>
      <c r="B735" s="511"/>
      <c r="C735" s="511"/>
      <c r="D735" s="511"/>
      <c r="E735" s="511"/>
      <c r="F735" s="511"/>
      <c r="G735" s="511"/>
      <c r="H735" s="511"/>
      <c r="I735" s="511"/>
      <c r="J735" s="511"/>
      <c r="K735" s="511"/>
      <c r="L735" s="511"/>
      <c r="M735" s="511"/>
      <c r="N735" s="511"/>
      <c r="O735" s="511"/>
      <c r="P735" s="511"/>
      <c r="Q735" s="511"/>
      <c r="R735" s="511"/>
      <c r="S735" s="511"/>
      <c r="T735" s="511"/>
      <c r="U735" s="511"/>
      <c r="V735" s="511"/>
      <c r="W735" s="511"/>
      <c r="X735" s="511"/>
      <c r="Y735" s="511"/>
      <c r="Z735" s="511"/>
    </row>
    <row r="736" spans="1:26" ht="19.5" customHeight="1" x14ac:dyDescent="0.3">
      <c r="A736" s="511"/>
      <c r="B736" s="511"/>
      <c r="C736" s="511"/>
      <c r="D736" s="511"/>
      <c r="E736" s="511"/>
      <c r="F736" s="511"/>
      <c r="G736" s="511"/>
      <c r="H736" s="511"/>
      <c r="I736" s="511"/>
      <c r="J736" s="511"/>
      <c r="K736" s="511"/>
      <c r="L736" s="511"/>
      <c r="M736" s="511"/>
      <c r="N736" s="511"/>
      <c r="O736" s="511"/>
      <c r="P736" s="511"/>
      <c r="Q736" s="511"/>
      <c r="R736" s="511"/>
      <c r="S736" s="511"/>
      <c r="T736" s="511"/>
      <c r="U736" s="511"/>
      <c r="V736" s="511"/>
      <c r="W736" s="511"/>
      <c r="X736" s="511"/>
      <c r="Y736" s="511"/>
      <c r="Z736" s="511"/>
    </row>
    <row r="737" spans="1:26" ht="19.5" customHeight="1" x14ac:dyDescent="0.3">
      <c r="A737" s="511"/>
      <c r="B737" s="511"/>
      <c r="C737" s="511"/>
      <c r="D737" s="511"/>
      <c r="E737" s="511"/>
      <c r="F737" s="511"/>
      <c r="G737" s="511"/>
      <c r="H737" s="511"/>
      <c r="I737" s="511"/>
      <c r="J737" s="511"/>
      <c r="K737" s="511"/>
      <c r="L737" s="511"/>
      <c r="M737" s="511"/>
      <c r="N737" s="511"/>
      <c r="O737" s="511"/>
      <c r="P737" s="511"/>
      <c r="Q737" s="511"/>
      <c r="R737" s="511"/>
      <c r="S737" s="511"/>
      <c r="T737" s="511"/>
      <c r="U737" s="511"/>
      <c r="V737" s="511"/>
      <c r="W737" s="511"/>
      <c r="X737" s="511"/>
      <c r="Y737" s="511"/>
      <c r="Z737" s="511"/>
    </row>
    <row r="738" spans="1:26" ht="19.5" customHeight="1" x14ac:dyDescent="0.3">
      <c r="A738" s="511"/>
      <c r="B738" s="511"/>
      <c r="C738" s="511"/>
      <c r="D738" s="511"/>
      <c r="E738" s="511"/>
      <c r="F738" s="511"/>
      <c r="G738" s="511"/>
      <c r="H738" s="511"/>
      <c r="I738" s="511"/>
      <c r="J738" s="511"/>
      <c r="K738" s="511"/>
      <c r="L738" s="511"/>
      <c r="M738" s="511"/>
      <c r="N738" s="511"/>
      <c r="O738" s="511"/>
      <c r="P738" s="511"/>
      <c r="Q738" s="511"/>
      <c r="R738" s="511"/>
      <c r="S738" s="511"/>
      <c r="T738" s="511"/>
      <c r="U738" s="511"/>
      <c r="V738" s="511"/>
      <c r="W738" s="511"/>
      <c r="X738" s="511"/>
      <c r="Y738" s="511"/>
      <c r="Z738" s="511"/>
    </row>
    <row r="739" spans="1:26" ht="19.5" customHeight="1" x14ac:dyDescent="0.3">
      <c r="A739" s="511"/>
      <c r="B739" s="511"/>
      <c r="C739" s="511"/>
      <c r="D739" s="511"/>
      <c r="E739" s="511"/>
      <c r="F739" s="511"/>
      <c r="G739" s="511"/>
      <c r="H739" s="511"/>
      <c r="I739" s="511"/>
      <c r="J739" s="511"/>
      <c r="K739" s="511"/>
      <c r="L739" s="511"/>
      <c r="M739" s="511"/>
      <c r="N739" s="511"/>
      <c r="O739" s="511"/>
      <c r="P739" s="511"/>
      <c r="Q739" s="511"/>
      <c r="R739" s="511"/>
      <c r="S739" s="511"/>
      <c r="T739" s="511"/>
      <c r="U739" s="511"/>
      <c r="V739" s="511"/>
      <c r="W739" s="511"/>
      <c r="X739" s="511"/>
      <c r="Y739" s="511"/>
      <c r="Z739" s="511"/>
    </row>
    <row r="740" spans="1:26" ht="19.5" customHeight="1" x14ac:dyDescent="0.3">
      <c r="A740" s="511"/>
      <c r="B740" s="511"/>
      <c r="C740" s="511"/>
      <c r="D740" s="511"/>
      <c r="E740" s="511"/>
      <c r="F740" s="511"/>
      <c r="G740" s="511"/>
      <c r="H740" s="511"/>
      <c r="I740" s="511"/>
      <c r="J740" s="511"/>
      <c r="K740" s="511"/>
      <c r="L740" s="511"/>
      <c r="M740" s="511"/>
      <c r="N740" s="511"/>
      <c r="O740" s="511"/>
      <c r="P740" s="511"/>
      <c r="Q740" s="511"/>
      <c r="R740" s="511"/>
      <c r="S740" s="511"/>
      <c r="T740" s="511"/>
      <c r="U740" s="511"/>
      <c r="V740" s="511"/>
      <c r="W740" s="511"/>
      <c r="X740" s="511"/>
      <c r="Y740" s="511"/>
      <c r="Z740" s="511"/>
    </row>
    <row r="741" spans="1:26" ht="19.5" customHeight="1" x14ac:dyDescent="0.3">
      <c r="A741" s="511"/>
      <c r="B741" s="511"/>
      <c r="C741" s="511"/>
      <c r="D741" s="511"/>
      <c r="E741" s="511"/>
      <c r="F741" s="511"/>
      <c r="G741" s="511"/>
      <c r="H741" s="511"/>
      <c r="I741" s="511"/>
      <c r="J741" s="511"/>
      <c r="K741" s="511"/>
      <c r="L741" s="511"/>
      <c r="M741" s="511"/>
      <c r="N741" s="511"/>
      <c r="O741" s="511"/>
      <c r="P741" s="511"/>
      <c r="Q741" s="511"/>
      <c r="R741" s="511"/>
      <c r="S741" s="511"/>
      <c r="T741" s="511"/>
      <c r="U741" s="511"/>
      <c r="V741" s="511"/>
      <c r="W741" s="511"/>
      <c r="X741" s="511"/>
      <c r="Y741" s="511"/>
      <c r="Z741" s="511"/>
    </row>
    <row r="742" spans="1:26" ht="19.5" customHeight="1" x14ac:dyDescent="0.3">
      <c r="A742" s="511"/>
      <c r="B742" s="511"/>
      <c r="C742" s="511"/>
      <c r="D742" s="511"/>
      <c r="E742" s="511"/>
      <c r="F742" s="511"/>
      <c r="G742" s="511"/>
      <c r="H742" s="511"/>
      <c r="I742" s="511"/>
      <c r="J742" s="511"/>
      <c r="K742" s="511"/>
      <c r="L742" s="511"/>
      <c r="M742" s="511"/>
      <c r="N742" s="511"/>
      <c r="O742" s="511"/>
      <c r="P742" s="511"/>
      <c r="Q742" s="511"/>
      <c r="R742" s="511"/>
      <c r="S742" s="511"/>
      <c r="T742" s="511"/>
      <c r="U742" s="511"/>
      <c r="V742" s="511"/>
      <c r="W742" s="511"/>
      <c r="X742" s="511"/>
      <c r="Y742" s="511"/>
      <c r="Z742" s="511"/>
    </row>
    <row r="743" spans="1:26" ht="19.5" customHeight="1" x14ac:dyDescent="0.3">
      <c r="A743" s="511"/>
      <c r="B743" s="511"/>
      <c r="C743" s="511"/>
      <c r="D743" s="511"/>
      <c r="E743" s="511"/>
      <c r="F743" s="511"/>
      <c r="G743" s="511"/>
      <c r="H743" s="511"/>
      <c r="I743" s="511"/>
      <c r="J743" s="511"/>
      <c r="K743" s="511"/>
      <c r="L743" s="511"/>
      <c r="M743" s="511"/>
      <c r="N743" s="511"/>
      <c r="O743" s="511"/>
      <c r="P743" s="511"/>
      <c r="Q743" s="511"/>
      <c r="R743" s="511"/>
      <c r="S743" s="511"/>
      <c r="T743" s="511"/>
      <c r="U743" s="511"/>
      <c r="V743" s="511"/>
      <c r="W743" s="511"/>
      <c r="X743" s="511"/>
      <c r="Y743" s="511"/>
      <c r="Z743" s="511"/>
    </row>
    <row r="744" spans="1:26" ht="19.5" customHeight="1" x14ac:dyDescent="0.3">
      <c r="A744" s="511"/>
      <c r="B744" s="511"/>
      <c r="C744" s="511"/>
      <c r="D744" s="511"/>
      <c r="E744" s="511"/>
      <c r="F744" s="511"/>
      <c r="G744" s="511"/>
      <c r="H744" s="511"/>
      <c r="I744" s="511"/>
      <c r="J744" s="511"/>
      <c r="K744" s="511"/>
      <c r="L744" s="511"/>
      <c r="M744" s="511"/>
      <c r="N744" s="511"/>
      <c r="O744" s="511"/>
      <c r="P744" s="511"/>
      <c r="Q744" s="511"/>
      <c r="R744" s="511"/>
      <c r="S744" s="511"/>
      <c r="T744" s="511"/>
      <c r="U744" s="511"/>
      <c r="V744" s="511"/>
      <c r="W744" s="511"/>
      <c r="X744" s="511"/>
      <c r="Y744" s="511"/>
      <c r="Z744" s="511"/>
    </row>
    <row r="745" spans="1:26" ht="19.5" customHeight="1" x14ac:dyDescent="0.3">
      <c r="A745" s="511"/>
      <c r="B745" s="511"/>
      <c r="C745" s="511"/>
      <c r="D745" s="511"/>
      <c r="E745" s="511"/>
      <c r="F745" s="511"/>
      <c r="G745" s="511"/>
      <c r="H745" s="511"/>
      <c r="I745" s="511"/>
      <c r="J745" s="511"/>
      <c r="K745" s="511"/>
      <c r="L745" s="511"/>
      <c r="M745" s="511"/>
      <c r="N745" s="511"/>
      <c r="O745" s="511"/>
      <c r="P745" s="511"/>
      <c r="Q745" s="511"/>
      <c r="R745" s="511"/>
      <c r="S745" s="511"/>
      <c r="T745" s="511"/>
      <c r="U745" s="511"/>
      <c r="V745" s="511"/>
      <c r="W745" s="511"/>
      <c r="X745" s="511"/>
      <c r="Y745" s="511"/>
      <c r="Z745" s="511"/>
    </row>
    <row r="746" spans="1:26" ht="19.5" customHeight="1" x14ac:dyDescent="0.3">
      <c r="A746" s="511"/>
      <c r="B746" s="511"/>
      <c r="C746" s="511"/>
      <c r="D746" s="511"/>
      <c r="E746" s="511"/>
      <c r="F746" s="511"/>
      <c r="G746" s="511"/>
      <c r="H746" s="511"/>
      <c r="I746" s="511"/>
      <c r="J746" s="511"/>
      <c r="K746" s="511"/>
      <c r="L746" s="511"/>
      <c r="M746" s="511"/>
      <c r="N746" s="511"/>
      <c r="O746" s="511"/>
      <c r="P746" s="511"/>
      <c r="Q746" s="511"/>
      <c r="R746" s="511"/>
      <c r="S746" s="511"/>
      <c r="T746" s="511"/>
      <c r="U746" s="511"/>
      <c r="V746" s="511"/>
      <c r="W746" s="511"/>
      <c r="X746" s="511"/>
      <c r="Y746" s="511"/>
      <c r="Z746" s="511"/>
    </row>
    <row r="747" spans="1:26" ht="19.5" customHeight="1" x14ac:dyDescent="0.3">
      <c r="A747" s="511"/>
      <c r="B747" s="511"/>
      <c r="C747" s="511"/>
      <c r="D747" s="511"/>
      <c r="E747" s="511"/>
      <c r="F747" s="511"/>
      <c r="G747" s="511"/>
      <c r="H747" s="511"/>
      <c r="I747" s="511"/>
      <c r="J747" s="511"/>
      <c r="K747" s="511"/>
      <c r="L747" s="511"/>
      <c r="M747" s="511"/>
      <c r="N747" s="511"/>
      <c r="O747" s="511"/>
      <c r="P747" s="511"/>
      <c r="Q747" s="511"/>
      <c r="R747" s="511"/>
      <c r="S747" s="511"/>
      <c r="T747" s="511"/>
      <c r="U747" s="511"/>
      <c r="V747" s="511"/>
      <c r="W747" s="511"/>
      <c r="X747" s="511"/>
      <c r="Y747" s="511"/>
      <c r="Z747" s="511"/>
    </row>
    <row r="748" spans="1:26" ht="19.5" customHeight="1" x14ac:dyDescent="0.3">
      <c r="A748" s="511"/>
      <c r="B748" s="511"/>
      <c r="C748" s="511"/>
      <c r="D748" s="511"/>
      <c r="E748" s="511"/>
      <c r="F748" s="511"/>
      <c r="G748" s="511"/>
      <c r="H748" s="511"/>
      <c r="I748" s="511"/>
      <c r="J748" s="511"/>
      <c r="K748" s="511"/>
      <c r="L748" s="511"/>
      <c r="M748" s="511"/>
      <c r="N748" s="511"/>
      <c r="O748" s="511"/>
      <c r="P748" s="511"/>
      <c r="Q748" s="511"/>
      <c r="R748" s="511"/>
      <c r="S748" s="511"/>
      <c r="T748" s="511"/>
      <c r="U748" s="511"/>
      <c r="V748" s="511"/>
      <c r="W748" s="511"/>
      <c r="X748" s="511"/>
      <c r="Y748" s="511"/>
      <c r="Z748" s="511"/>
    </row>
    <row r="749" spans="1:26" ht="19.5" customHeight="1" x14ac:dyDescent="0.3">
      <c r="A749" s="511"/>
      <c r="B749" s="511"/>
      <c r="C749" s="511"/>
      <c r="D749" s="511"/>
      <c r="E749" s="511"/>
      <c r="F749" s="511"/>
      <c r="G749" s="511"/>
      <c r="H749" s="511"/>
      <c r="I749" s="511"/>
      <c r="J749" s="511"/>
      <c r="K749" s="511"/>
      <c r="L749" s="511"/>
      <c r="M749" s="511"/>
      <c r="N749" s="511"/>
      <c r="O749" s="511"/>
      <c r="P749" s="511"/>
      <c r="Q749" s="511"/>
      <c r="R749" s="511"/>
      <c r="S749" s="511"/>
      <c r="T749" s="511"/>
      <c r="U749" s="511"/>
      <c r="V749" s="511"/>
      <c r="W749" s="511"/>
      <c r="X749" s="511"/>
      <c r="Y749" s="511"/>
      <c r="Z749" s="511"/>
    </row>
    <row r="750" spans="1:26" ht="19.5" customHeight="1" x14ac:dyDescent="0.3">
      <c r="A750" s="511"/>
      <c r="B750" s="511"/>
      <c r="C750" s="511"/>
      <c r="D750" s="511"/>
      <c r="E750" s="511"/>
      <c r="F750" s="511"/>
      <c r="G750" s="511"/>
      <c r="H750" s="511"/>
      <c r="I750" s="511"/>
      <c r="J750" s="511"/>
      <c r="K750" s="511"/>
      <c r="L750" s="511"/>
      <c r="M750" s="511"/>
      <c r="N750" s="511"/>
      <c r="O750" s="511"/>
      <c r="P750" s="511"/>
      <c r="Q750" s="511"/>
      <c r="R750" s="511"/>
      <c r="S750" s="511"/>
      <c r="T750" s="511"/>
      <c r="U750" s="511"/>
      <c r="V750" s="511"/>
      <c r="W750" s="511"/>
      <c r="X750" s="511"/>
      <c r="Y750" s="511"/>
      <c r="Z750" s="511"/>
    </row>
    <row r="751" spans="1:26" ht="19.5" customHeight="1" x14ac:dyDescent="0.3">
      <c r="A751" s="511"/>
      <c r="B751" s="511"/>
      <c r="C751" s="511"/>
      <c r="D751" s="511"/>
      <c r="E751" s="511"/>
      <c r="F751" s="511"/>
      <c r="G751" s="511"/>
      <c r="H751" s="511"/>
      <c r="I751" s="511"/>
      <c r="J751" s="511"/>
      <c r="K751" s="511"/>
      <c r="L751" s="511"/>
      <c r="M751" s="511"/>
      <c r="N751" s="511"/>
      <c r="O751" s="511"/>
      <c r="P751" s="511"/>
      <c r="Q751" s="511"/>
      <c r="R751" s="511"/>
      <c r="S751" s="511"/>
      <c r="T751" s="511"/>
      <c r="U751" s="511"/>
      <c r="V751" s="511"/>
      <c r="W751" s="511"/>
      <c r="X751" s="511"/>
      <c r="Y751" s="511"/>
      <c r="Z751" s="511"/>
    </row>
    <row r="752" spans="1:26" ht="19.5" customHeight="1" x14ac:dyDescent="0.3">
      <c r="A752" s="511"/>
      <c r="B752" s="511"/>
      <c r="C752" s="511"/>
      <c r="D752" s="511"/>
      <c r="E752" s="511"/>
      <c r="F752" s="511"/>
      <c r="G752" s="511"/>
      <c r="H752" s="511"/>
      <c r="I752" s="511"/>
      <c r="J752" s="511"/>
      <c r="K752" s="511"/>
      <c r="L752" s="511"/>
      <c r="M752" s="511"/>
      <c r="N752" s="511"/>
      <c r="O752" s="511"/>
      <c r="P752" s="511"/>
      <c r="Q752" s="511"/>
      <c r="R752" s="511"/>
      <c r="S752" s="511"/>
      <c r="T752" s="511"/>
      <c r="U752" s="511"/>
      <c r="V752" s="511"/>
      <c r="W752" s="511"/>
      <c r="X752" s="511"/>
      <c r="Y752" s="511"/>
      <c r="Z752" s="511"/>
    </row>
    <row r="753" spans="1:26" ht="19.5" customHeight="1" x14ac:dyDescent="0.3">
      <c r="A753" s="511"/>
      <c r="B753" s="511"/>
      <c r="C753" s="511"/>
      <c r="D753" s="511"/>
      <c r="E753" s="511"/>
      <c r="F753" s="511"/>
      <c r="G753" s="511"/>
      <c r="H753" s="511"/>
      <c r="I753" s="511"/>
      <c r="J753" s="511"/>
      <c r="K753" s="511"/>
      <c r="L753" s="511"/>
      <c r="M753" s="511"/>
      <c r="N753" s="511"/>
      <c r="O753" s="511"/>
      <c r="P753" s="511"/>
      <c r="Q753" s="511"/>
      <c r="R753" s="511"/>
      <c r="S753" s="511"/>
      <c r="T753" s="511"/>
      <c r="U753" s="511"/>
      <c r="V753" s="511"/>
      <c r="W753" s="511"/>
      <c r="X753" s="511"/>
      <c r="Y753" s="511"/>
      <c r="Z753" s="511"/>
    </row>
    <row r="754" spans="1:26" ht="19.5" customHeight="1" x14ac:dyDescent="0.3">
      <c r="A754" s="511"/>
      <c r="B754" s="511"/>
      <c r="C754" s="511"/>
      <c r="D754" s="511"/>
      <c r="E754" s="511"/>
      <c r="F754" s="511"/>
      <c r="G754" s="511"/>
      <c r="H754" s="511"/>
      <c r="I754" s="511"/>
      <c r="J754" s="511"/>
      <c r="K754" s="511"/>
      <c r="L754" s="511"/>
      <c r="M754" s="511"/>
      <c r="N754" s="511"/>
      <c r="O754" s="511"/>
      <c r="P754" s="511"/>
      <c r="Q754" s="511"/>
      <c r="R754" s="511"/>
      <c r="S754" s="511"/>
      <c r="T754" s="511"/>
      <c r="U754" s="511"/>
      <c r="V754" s="511"/>
      <c r="W754" s="511"/>
      <c r="X754" s="511"/>
      <c r="Y754" s="511"/>
      <c r="Z754" s="511"/>
    </row>
    <row r="755" spans="1:26" ht="19.5" customHeight="1" x14ac:dyDescent="0.3">
      <c r="A755" s="511"/>
      <c r="B755" s="511"/>
      <c r="C755" s="511"/>
      <c r="D755" s="511"/>
      <c r="E755" s="511"/>
      <c r="F755" s="511"/>
      <c r="G755" s="511"/>
      <c r="H755" s="511"/>
      <c r="I755" s="511"/>
      <c r="J755" s="511"/>
      <c r="K755" s="511"/>
      <c r="L755" s="511"/>
      <c r="M755" s="511"/>
      <c r="N755" s="511"/>
      <c r="O755" s="511"/>
      <c r="P755" s="511"/>
      <c r="Q755" s="511"/>
      <c r="R755" s="511"/>
      <c r="S755" s="511"/>
      <c r="T755" s="511"/>
      <c r="U755" s="511"/>
      <c r="V755" s="511"/>
      <c r="W755" s="511"/>
      <c r="X755" s="511"/>
      <c r="Y755" s="511"/>
      <c r="Z755" s="511"/>
    </row>
    <row r="756" spans="1:26" ht="19.5" customHeight="1" x14ac:dyDescent="0.3">
      <c r="A756" s="511"/>
      <c r="B756" s="511"/>
      <c r="C756" s="511"/>
      <c r="D756" s="511"/>
      <c r="E756" s="511"/>
      <c r="F756" s="511"/>
      <c r="G756" s="511"/>
      <c r="H756" s="511"/>
      <c r="I756" s="511"/>
      <c r="J756" s="511"/>
      <c r="K756" s="511"/>
      <c r="L756" s="511"/>
      <c r="M756" s="511"/>
      <c r="N756" s="511"/>
      <c r="O756" s="511"/>
      <c r="P756" s="511"/>
      <c r="Q756" s="511"/>
      <c r="R756" s="511"/>
      <c r="S756" s="511"/>
      <c r="T756" s="511"/>
      <c r="U756" s="511"/>
      <c r="V756" s="511"/>
      <c r="W756" s="511"/>
      <c r="X756" s="511"/>
      <c r="Y756" s="511"/>
      <c r="Z756" s="511"/>
    </row>
    <row r="757" spans="1:26" ht="19.5" customHeight="1" x14ac:dyDescent="0.3">
      <c r="A757" s="511"/>
      <c r="B757" s="511"/>
      <c r="C757" s="511"/>
      <c r="D757" s="511"/>
      <c r="E757" s="511"/>
      <c r="F757" s="511"/>
      <c r="G757" s="511"/>
      <c r="H757" s="511"/>
      <c r="I757" s="511"/>
      <c r="J757" s="511"/>
      <c r="K757" s="511"/>
      <c r="L757" s="511"/>
      <c r="M757" s="511"/>
      <c r="N757" s="511"/>
      <c r="O757" s="511"/>
      <c r="P757" s="511"/>
      <c r="Q757" s="511"/>
      <c r="R757" s="511"/>
      <c r="S757" s="511"/>
      <c r="T757" s="511"/>
      <c r="U757" s="511"/>
      <c r="V757" s="511"/>
      <c r="W757" s="511"/>
      <c r="X757" s="511"/>
      <c r="Y757" s="511"/>
      <c r="Z757" s="511"/>
    </row>
    <row r="758" spans="1:26" ht="19.5" customHeight="1" x14ac:dyDescent="0.3">
      <c r="A758" s="511"/>
      <c r="B758" s="511"/>
      <c r="C758" s="511"/>
      <c r="D758" s="511"/>
      <c r="E758" s="511"/>
      <c r="F758" s="511"/>
      <c r="G758" s="511"/>
      <c r="H758" s="511"/>
      <c r="I758" s="511"/>
      <c r="J758" s="511"/>
      <c r="K758" s="511"/>
      <c r="L758" s="511"/>
      <c r="M758" s="511"/>
      <c r="N758" s="511"/>
      <c r="O758" s="511"/>
      <c r="P758" s="511"/>
      <c r="Q758" s="511"/>
      <c r="R758" s="511"/>
      <c r="S758" s="511"/>
      <c r="T758" s="511"/>
      <c r="U758" s="511"/>
      <c r="V758" s="511"/>
      <c r="W758" s="511"/>
      <c r="X758" s="511"/>
      <c r="Y758" s="511"/>
      <c r="Z758" s="511"/>
    </row>
    <row r="759" spans="1:26" ht="19.5" customHeight="1" x14ac:dyDescent="0.3">
      <c r="A759" s="511"/>
      <c r="B759" s="511"/>
      <c r="C759" s="511"/>
      <c r="D759" s="511"/>
      <c r="E759" s="511"/>
      <c r="F759" s="511"/>
      <c r="G759" s="511"/>
      <c r="H759" s="511"/>
      <c r="I759" s="511"/>
      <c r="J759" s="511"/>
      <c r="K759" s="511"/>
      <c r="L759" s="511"/>
      <c r="M759" s="511"/>
      <c r="N759" s="511"/>
      <c r="O759" s="511"/>
      <c r="P759" s="511"/>
      <c r="Q759" s="511"/>
      <c r="R759" s="511"/>
      <c r="S759" s="511"/>
      <c r="T759" s="511"/>
      <c r="U759" s="511"/>
      <c r="V759" s="511"/>
      <c r="W759" s="511"/>
      <c r="X759" s="511"/>
      <c r="Y759" s="511"/>
      <c r="Z759" s="511"/>
    </row>
    <row r="760" spans="1:26" ht="19.5" customHeight="1" x14ac:dyDescent="0.3">
      <c r="A760" s="511"/>
      <c r="B760" s="511"/>
      <c r="C760" s="511"/>
      <c r="D760" s="511"/>
      <c r="E760" s="511"/>
      <c r="F760" s="511"/>
      <c r="G760" s="511"/>
      <c r="H760" s="511"/>
      <c r="I760" s="511"/>
      <c r="J760" s="511"/>
      <c r="K760" s="511"/>
      <c r="L760" s="511"/>
      <c r="M760" s="511"/>
      <c r="N760" s="511"/>
      <c r="O760" s="511"/>
      <c r="P760" s="511"/>
      <c r="Q760" s="511"/>
      <c r="R760" s="511"/>
      <c r="S760" s="511"/>
      <c r="T760" s="511"/>
      <c r="U760" s="511"/>
      <c r="V760" s="511"/>
      <c r="W760" s="511"/>
      <c r="X760" s="511"/>
      <c r="Y760" s="511"/>
      <c r="Z760" s="511"/>
    </row>
    <row r="761" spans="1:26" ht="19.5" customHeight="1" x14ac:dyDescent="0.3">
      <c r="A761" s="511"/>
      <c r="B761" s="511"/>
      <c r="C761" s="511"/>
      <c r="D761" s="511"/>
      <c r="E761" s="511"/>
      <c r="F761" s="511"/>
      <c r="G761" s="511"/>
      <c r="H761" s="511"/>
      <c r="I761" s="511"/>
      <c r="J761" s="511"/>
      <c r="K761" s="511"/>
      <c r="L761" s="511"/>
      <c r="M761" s="511"/>
      <c r="N761" s="511"/>
      <c r="O761" s="511"/>
      <c r="P761" s="511"/>
      <c r="Q761" s="511"/>
      <c r="R761" s="511"/>
      <c r="S761" s="511"/>
      <c r="T761" s="511"/>
      <c r="U761" s="511"/>
      <c r="V761" s="511"/>
      <c r="W761" s="511"/>
      <c r="X761" s="511"/>
      <c r="Y761" s="511"/>
      <c r="Z761" s="511"/>
    </row>
    <row r="762" spans="1:26" ht="19.5" customHeight="1" x14ac:dyDescent="0.3">
      <c r="A762" s="511"/>
      <c r="B762" s="511"/>
      <c r="C762" s="511"/>
      <c r="D762" s="511"/>
      <c r="E762" s="511"/>
      <c r="F762" s="511"/>
      <c r="G762" s="511"/>
      <c r="H762" s="511"/>
      <c r="I762" s="511"/>
      <c r="J762" s="511"/>
      <c r="K762" s="511"/>
      <c r="L762" s="511"/>
      <c r="M762" s="511"/>
      <c r="N762" s="511"/>
      <c r="O762" s="511"/>
      <c r="P762" s="511"/>
      <c r="Q762" s="511"/>
      <c r="R762" s="511"/>
      <c r="S762" s="511"/>
      <c r="T762" s="511"/>
      <c r="U762" s="511"/>
      <c r="V762" s="511"/>
      <c r="W762" s="511"/>
      <c r="X762" s="511"/>
      <c r="Y762" s="511"/>
      <c r="Z762" s="511"/>
    </row>
    <row r="763" spans="1:26" ht="19.5" customHeight="1" x14ac:dyDescent="0.3">
      <c r="A763" s="511"/>
      <c r="B763" s="511"/>
      <c r="C763" s="511"/>
      <c r="D763" s="511"/>
      <c r="E763" s="511"/>
      <c r="F763" s="511"/>
      <c r="G763" s="511"/>
      <c r="H763" s="511"/>
      <c r="I763" s="511"/>
      <c r="J763" s="511"/>
      <c r="K763" s="511"/>
      <c r="L763" s="511"/>
      <c r="M763" s="511"/>
      <c r="N763" s="511"/>
      <c r="O763" s="511"/>
      <c r="P763" s="511"/>
      <c r="Q763" s="511"/>
      <c r="R763" s="511"/>
      <c r="S763" s="511"/>
      <c r="T763" s="511"/>
      <c r="U763" s="511"/>
      <c r="V763" s="511"/>
      <c r="W763" s="511"/>
      <c r="X763" s="511"/>
      <c r="Y763" s="511"/>
      <c r="Z763" s="511"/>
    </row>
    <row r="764" spans="1:26" ht="19.5" customHeight="1" x14ac:dyDescent="0.3">
      <c r="A764" s="511"/>
      <c r="B764" s="511"/>
      <c r="C764" s="511"/>
      <c r="D764" s="511"/>
      <c r="E764" s="511"/>
      <c r="F764" s="511"/>
      <c r="G764" s="511"/>
      <c r="H764" s="511"/>
      <c r="I764" s="511"/>
      <c r="J764" s="511"/>
      <c r="K764" s="511"/>
      <c r="L764" s="511"/>
      <c r="M764" s="511"/>
      <c r="N764" s="511"/>
      <c r="O764" s="511"/>
      <c r="P764" s="511"/>
      <c r="Q764" s="511"/>
      <c r="R764" s="511"/>
      <c r="S764" s="511"/>
      <c r="T764" s="511"/>
      <c r="U764" s="511"/>
      <c r="V764" s="511"/>
      <c r="W764" s="511"/>
      <c r="X764" s="511"/>
      <c r="Y764" s="511"/>
      <c r="Z764" s="511"/>
    </row>
    <row r="765" spans="1:26" ht="19.5" customHeight="1" x14ac:dyDescent="0.3">
      <c r="A765" s="511"/>
      <c r="B765" s="511"/>
      <c r="C765" s="511"/>
      <c r="D765" s="511"/>
      <c r="E765" s="511"/>
      <c r="F765" s="511"/>
      <c r="G765" s="511"/>
      <c r="H765" s="511"/>
      <c r="I765" s="511"/>
      <c r="J765" s="511"/>
      <c r="K765" s="511"/>
      <c r="L765" s="511"/>
      <c r="M765" s="511"/>
      <c r="N765" s="511"/>
      <c r="O765" s="511"/>
      <c r="P765" s="511"/>
      <c r="Q765" s="511"/>
      <c r="R765" s="511"/>
      <c r="S765" s="511"/>
      <c r="T765" s="511"/>
      <c r="U765" s="511"/>
      <c r="V765" s="511"/>
      <c r="W765" s="511"/>
      <c r="X765" s="511"/>
      <c r="Y765" s="511"/>
      <c r="Z765" s="511"/>
    </row>
    <row r="766" spans="1:26" ht="19.5" customHeight="1" x14ac:dyDescent="0.3">
      <c r="A766" s="511"/>
      <c r="B766" s="511"/>
      <c r="C766" s="511"/>
      <c r="D766" s="511"/>
      <c r="E766" s="511"/>
      <c r="F766" s="511"/>
      <c r="G766" s="511"/>
      <c r="H766" s="511"/>
      <c r="I766" s="511"/>
      <c r="J766" s="511"/>
      <c r="K766" s="511"/>
      <c r="L766" s="511"/>
      <c r="M766" s="511"/>
      <c r="N766" s="511"/>
      <c r="O766" s="511"/>
      <c r="P766" s="511"/>
      <c r="Q766" s="511"/>
      <c r="R766" s="511"/>
      <c r="S766" s="511"/>
      <c r="T766" s="511"/>
      <c r="U766" s="511"/>
      <c r="V766" s="511"/>
      <c r="W766" s="511"/>
      <c r="X766" s="511"/>
      <c r="Y766" s="511"/>
      <c r="Z766" s="511"/>
    </row>
    <row r="767" spans="1:26" ht="19.5" customHeight="1" x14ac:dyDescent="0.3">
      <c r="A767" s="511"/>
      <c r="B767" s="511"/>
      <c r="C767" s="511"/>
      <c r="D767" s="511"/>
      <c r="E767" s="511"/>
      <c r="F767" s="511"/>
      <c r="G767" s="511"/>
      <c r="H767" s="511"/>
      <c r="I767" s="511"/>
      <c r="J767" s="511"/>
      <c r="K767" s="511"/>
      <c r="L767" s="511"/>
      <c r="M767" s="511"/>
      <c r="N767" s="511"/>
      <c r="O767" s="511"/>
      <c r="P767" s="511"/>
      <c r="Q767" s="511"/>
      <c r="R767" s="511"/>
      <c r="S767" s="511"/>
      <c r="T767" s="511"/>
      <c r="U767" s="511"/>
      <c r="V767" s="511"/>
      <c r="W767" s="511"/>
      <c r="X767" s="511"/>
      <c r="Y767" s="511"/>
      <c r="Z767" s="511"/>
    </row>
    <row r="768" spans="1:26" ht="19.5" customHeight="1" x14ac:dyDescent="0.3">
      <c r="A768" s="511"/>
      <c r="B768" s="511"/>
      <c r="C768" s="511"/>
      <c r="D768" s="511"/>
      <c r="E768" s="511"/>
      <c r="F768" s="511"/>
      <c r="G768" s="511"/>
      <c r="H768" s="511"/>
      <c r="I768" s="511"/>
      <c r="J768" s="511"/>
      <c r="K768" s="511"/>
      <c r="L768" s="511"/>
      <c r="M768" s="511"/>
      <c r="N768" s="511"/>
      <c r="O768" s="511"/>
      <c r="P768" s="511"/>
      <c r="Q768" s="511"/>
      <c r="R768" s="511"/>
      <c r="S768" s="511"/>
      <c r="T768" s="511"/>
      <c r="U768" s="511"/>
      <c r="V768" s="511"/>
      <c r="W768" s="511"/>
      <c r="X768" s="511"/>
      <c r="Y768" s="511"/>
      <c r="Z768" s="511"/>
    </row>
    <row r="769" spans="1:26" ht="19.5" customHeight="1" x14ac:dyDescent="0.3">
      <c r="A769" s="511"/>
      <c r="B769" s="511"/>
      <c r="C769" s="511"/>
      <c r="D769" s="511"/>
      <c r="E769" s="511"/>
      <c r="F769" s="511"/>
      <c r="G769" s="511"/>
      <c r="H769" s="511"/>
      <c r="I769" s="511"/>
      <c r="J769" s="511"/>
      <c r="K769" s="511"/>
      <c r="L769" s="511"/>
      <c r="M769" s="511"/>
      <c r="N769" s="511"/>
      <c r="O769" s="511"/>
      <c r="P769" s="511"/>
      <c r="Q769" s="511"/>
      <c r="R769" s="511"/>
      <c r="S769" s="511"/>
      <c r="T769" s="511"/>
      <c r="U769" s="511"/>
      <c r="V769" s="511"/>
      <c r="W769" s="511"/>
      <c r="X769" s="511"/>
      <c r="Y769" s="511"/>
      <c r="Z769" s="511"/>
    </row>
    <row r="770" spans="1:26" ht="19.5" customHeight="1" x14ac:dyDescent="0.3">
      <c r="A770" s="511"/>
      <c r="B770" s="511"/>
      <c r="C770" s="511"/>
      <c r="D770" s="511"/>
      <c r="E770" s="511"/>
      <c r="F770" s="511"/>
      <c r="G770" s="511"/>
      <c r="H770" s="511"/>
      <c r="I770" s="511"/>
      <c r="J770" s="511"/>
      <c r="K770" s="511"/>
      <c r="L770" s="511"/>
      <c r="M770" s="511"/>
      <c r="N770" s="511"/>
      <c r="O770" s="511"/>
      <c r="P770" s="511"/>
      <c r="Q770" s="511"/>
      <c r="R770" s="511"/>
      <c r="S770" s="511"/>
      <c r="T770" s="511"/>
      <c r="U770" s="511"/>
      <c r="V770" s="511"/>
      <c r="W770" s="511"/>
      <c r="X770" s="511"/>
      <c r="Y770" s="511"/>
      <c r="Z770" s="511"/>
    </row>
    <row r="771" spans="1:26" ht="19.5" customHeight="1" x14ac:dyDescent="0.3">
      <c r="A771" s="511"/>
      <c r="B771" s="511"/>
      <c r="C771" s="511"/>
      <c r="D771" s="511"/>
      <c r="E771" s="511"/>
      <c r="F771" s="511"/>
      <c r="G771" s="511"/>
      <c r="H771" s="511"/>
      <c r="I771" s="511"/>
      <c r="J771" s="511"/>
      <c r="K771" s="511"/>
      <c r="L771" s="511"/>
      <c r="M771" s="511"/>
      <c r="N771" s="511"/>
      <c r="O771" s="511"/>
      <c r="P771" s="511"/>
      <c r="Q771" s="511"/>
      <c r="R771" s="511"/>
      <c r="S771" s="511"/>
      <c r="T771" s="511"/>
      <c r="U771" s="511"/>
      <c r="V771" s="511"/>
      <c r="W771" s="511"/>
      <c r="X771" s="511"/>
      <c r="Y771" s="511"/>
      <c r="Z771" s="511"/>
    </row>
    <row r="772" spans="1:26" ht="19.5" customHeight="1" x14ac:dyDescent="0.3">
      <c r="A772" s="511"/>
      <c r="B772" s="511"/>
      <c r="C772" s="511"/>
      <c r="D772" s="511"/>
      <c r="E772" s="511"/>
      <c r="F772" s="511"/>
      <c r="G772" s="511"/>
      <c r="H772" s="511"/>
      <c r="I772" s="511"/>
      <c r="J772" s="511"/>
      <c r="K772" s="511"/>
      <c r="L772" s="511"/>
      <c r="M772" s="511"/>
      <c r="N772" s="511"/>
      <c r="O772" s="511"/>
      <c r="P772" s="511"/>
      <c r="Q772" s="511"/>
      <c r="R772" s="511"/>
      <c r="S772" s="511"/>
      <c r="T772" s="511"/>
      <c r="U772" s="511"/>
      <c r="V772" s="511"/>
      <c r="W772" s="511"/>
      <c r="X772" s="511"/>
      <c r="Y772" s="511"/>
      <c r="Z772" s="511"/>
    </row>
    <row r="773" spans="1:26" ht="19.5" customHeight="1" x14ac:dyDescent="0.3">
      <c r="A773" s="511"/>
      <c r="B773" s="511"/>
      <c r="C773" s="511"/>
      <c r="D773" s="511"/>
      <c r="E773" s="511"/>
      <c r="F773" s="511"/>
      <c r="G773" s="511"/>
      <c r="H773" s="511"/>
      <c r="I773" s="511"/>
      <c r="J773" s="511"/>
      <c r="K773" s="511"/>
      <c r="L773" s="511"/>
      <c r="M773" s="511"/>
      <c r="N773" s="511"/>
      <c r="O773" s="511"/>
      <c r="P773" s="511"/>
      <c r="Q773" s="511"/>
      <c r="R773" s="511"/>
      <c r="S773" s="511"/>
      <c r="T773" s="511"/>
      <c r="U773" s="511"/>
      <c r="V773" s="511"/>
      <c r="W773" s="511"/>
      <c r="X773" s="511"/>
      <c r="Y773" s="511"/>
      <c r="Z773" s="511"/>
    </row>
    <row r="774" spans="1:26" ht="19.5" customHeight="1" x14ac:dyDescent="0.3">
      <c r="A774" s="511"/>
      <c r="B774" s="511"/>
      <c r="C774" s="511"/>
      <c r="D774" s="511"/>
      <c r="E774" s="511"/>
      <c r="F774" s="511"/>
      <c r="G774" s="511"/>
      <c r="H774" s="511"/>
      <c r="I774" s="511"/>
      <c r="J774" s="511"/>
      <c r="K774" s="511"/>
      <c r="L774" s="511"/>
      <c r="M774" s="511"/>
      <c r="N774" s="511"/>
      <c r="O774" s="511"/>
      <c r="P774" s="511"/>
      <c r="Q774" s="511"/>
      <c r="R774" s="511"/>
      <c r="S774" s="511"/>
      <c r="T774" s="511"/>
      <c r="U774" s="511"/>
      <c r="V774" s="511"/>
      <c r="W774" s="511"/>
      <c r="X774" s="511"/>
      <c r="Y774" s="511"/>
      <c r="Z774" s="511"/>
    </row>
    <row r="775" spans="1:26" ht="19.5" customHeight="1" x14ac:dyDescent="0.3">
      <c r="A775" s="511"/>
      <c r="B775" s="511"/>
      <c r="C775" s="511"/>
      <c r="D775" s="511"/>
      <c r="E775" s="511"/>
      <c r="F775" s="511"/>
      <c r="G775" s="511"/>
      <c r="H775" s="511"/>
      <c r="I775" s="511"/>
      <c r="J775" s="511"/>
      <c r="K775" s="511"/>
      <c r="L775" s="511"/>
      <c r="M775" s="511"/>
      <c r="N775" s="511"/>
      <c r="O775" s="511"/>
      <c r="P775" s="511"/>
      <c r="Q775" s="511"/>
      <c r="R775" s="511"/>
      <c r="S775" s="511"/>
      <c r="T775" s="511"/>
      <c r="U775" s="511"/>
      <c r="V775" s="511"/>
      <c r="W775" s="511"/>
      <c r="X775" s="511"/>
      <c r="Y775" s="511"/>
      <c r="Z775" s="511"/>
    </row>
    <row r="776" spans="1:26" ht="19.5" customHeight="1" x14ac:dyDescent="0.3">
      <c r="A776" s="511"/>
      <c r="B776" s="511"/>
      <c r="C776" s="511"/>
      <c r="D776" s="511"/>
      <c r="E776" s="511"/>
      <c r="F776" s="511"/>
      <c r="G776" s="511"/>
      <c r="H776" s="511"/>
      <c r="I776" s="511"/>
      <c r="J776" s="511"/>
      <c r="K776" s="511"/>
      <c r="L776" s="511"/>
      <c r="M776" s="511"/>
      <c r="N776" s="511"/>
      <c r="O776" s="511"/>
      <c r="P776" s="511"/>
      <c r="Q776" s="511"/>
      <c r="R776" s="511"/>
      <c r="S776" s="511"/>
      <c r="T776" s="511"/>
      <c r="U776" s="511"/>
      <c r="V776" s="511"/>
      <c r="W776" s="511"/>
      <c r="X776" s="511"/>
      <c r="Y776" s="511"/>
      <c r="Z776" s="511"/>
    </row>
    <row r="777" spans="1:26" ht="19.5" customHeight="1" x14ac:dyDescent="0.3">
      <c r="A777" s="511"/>
      <c r="B777" s="511"/>
      <c r="C777" s="511"/>
      <c r="D777" s="511"/>
      <c r="E777" s="511"/>
      <c r="F777" s="511"/>
      <c r="G777" s="511"/>
      <c r="H777" s="511"/>
      <c r="I777" s="511"/>
      <c r="J777" s="511"/>
      <c r="K777" s="511"/>
      <c r="L777" s="511"/>
      <c r="M777" s="511"/>
      <c r="N777" s="511"/>
      <c r="O777" s="511"/>
      <c r="P777" s="511"/>
      <c r="Q777" s="511"/>
      <c r="R777" s="511"/>
      <c r="S777" s="511"/>
      <c r="T777" s="511"/>
      <c r="U777" s="511"/>
      <c r="V777" s="511"/>
      <c r="W777" s="511"/>
      <c r="X777" s="511"/>
      <c r="Y777" s="511"/>
      <c r="Z777" s="511"/>
    </row>
    <row r="778" spans="1:26" ht="19.5" customHeight="1" x14ac:dyDescent="0.3">
      <c r="A778" s="511"/>
      <c r="B778" s="511"/>
      <c r="C778" s="511"/>
      <c r="D778" s="511"/>
      <c r="E778" s="511"/>
      <c r="F778" s="511"/>
      <c r="G778" s="511"/>
      <c r="H778" s="511"/>
      <c r="I778" s="511"/>
      <c r="J778" s="511"/>
      <c r="K778" s="511"/>
      <c r="L778" s="511"/>
      <c r="M778" s="511"/>
      <c r="N778" s="511"/>
      <c r="O778" s="511"/>
      <c r="P778" s="511"/>
      <c r="Q778" s="511"/>
      <c r="R778" s="511"/>
      <c r="S778" s="511"/>
      <c r="T778" s="511"/>
      <c r="U778" s="511"/>
      <c r="V778" s="511"/>
      <c r="W778" s="511"/>
      <c r="X778" s="511"/>
      <c r="Y778" s="511"/>
      <c r="Z778" s="511"/>
    </row>
    <row r="779" spans="1:26" ht="19.5" customHeight="1" x14ac:dyDescent="0.3">
      <c r="A779" s="511"/>
      <c r="B779" s="511"/>
      <c r="C779" s="511"/>
      <c r="D779" s="511"/>
      <c r="E779" s="511"/>
      <c r="F779" s="511"/>
      <c r="G779" s="511"/>
      <c r="H779" s="511"/>
      <c r="I779" s="511"/>
      <c r="J779" s="511"/>
      <c r="K779" s="511"/>
      <c r="L779" s="511"/>
      <c r="M779" s="511"/>
      <c r="N779" s="511"/>
      <c r="O779" s="511"/>
      <c r="P779" s="511"/>
      <c r="Q779" s="511"/>
      <c r="R779" s="511"/>
      <c r="S779" s="511"/>
      <c r="T779" s="511"/>
      <c r="U779" s="511"/>
      <c r="V779" s="511"/>
      <c r="W779" s="511"/>
      <c r="X779" s="511"/>
      <c r="Y779" s="511"/>
      <c r="Z779" s="511"/>
    </row>
    <row r="780" spans="1:26" ht="19.5" customHeight="1" x14ac:dyDescent="0.3">
      <c r="A780" s="511"/>
      <c r="B780" s="511"/>
      <c r="C780" s="511"/>
      <c r="D780" s="511"/>
      <c r="E780" s="511"/>
      <c r="F780" s="511"/>
      <c r="G780" s="511"/>
      <c r="H780" s="511"/>
      <c r="I780" s="511"/>
      <c r="J780" s="511"/>
      <c r="K780" s="511"/>
      <c r="L780" s="511"/>
      <c r="M780" s="511"/>
      <c r="N780" s="511"/>
      <c r="O780" s="511"/>
      <c r="P780" s="511"/>
      <c r="Q780" s="511"/>
      <c r="R780" s="511"/>
      <c r="S780" s="511"/>
      <c r="T780" s="511"/>
      <c r="U780" s="511"/>
      <c r="V780" s="511"/>
      <c r="W780" s="511"/>
      <c r="X780" s="511"/>
      <c r="Y780" s="511"/>
      <c r="Z780" s="511"/>
    </row>
    <row r="781" spans="1:26" ht="19.5" customHeight="1" x14ac:dyDescent="0.3">
      <c r="A781" s="511"/>
      <c r="B781" s="511"/>
      <c r="C781" s="511"/>
      <c r="D781" s="511"/>
      <c r="E781" s="511"/>
      <c r="F781" s="511"/>
      <c r="G781" s="511"/>
      <c r="H781" s="511"/>
      <c r="I781" s="511"/>
      <c r="J781" s="511"/>
      <c r="K781" s="511"/>
      <c r="L781" s="511"/>
      <c r="M781" s="511"/>
      <c r="N781" s="511"/>
      <c r="O781" s="511"/>
      <c r="P781" s="511"/>
      <c r="Q781" s="511"/>
      <c r="R781" s="511"/>
      <c r="S781" s="511"/>
      <c r="T781" s="511"/>
      <c r="U781" s="511"/>
      <c r="V781" s="511"/>
      <c r="W781" s="511"/>
      <c r="X781" s="511"/>
      <c r="Y781" s="511"/>
      <c r="Z781" s="511"/>
    </row>
    <row r="782" spans="1:26" ht="19.5" customHeight="1" x14ac:dyDescent="0.3">
      <c r="A782" s="511"/>
      <c r="B782" s="511"/>
      <c r="C782" s="511"/>
      <c r="D782" s="511"/>
      <c r="E782" s="511"/>
      <c r="F782" s="511"/>
      <c r="G782" s="511"/>
      <c r="H782" s="511"/>
      <c r="I782" s="511"/>
      <c r="J782" s="511"/>
      <c r="K782" s="511"/>
      <c r="L782" s="511"/>
      <c r="M782" s="511"/>
      <c r="N782" s="511"/>
      <c r="O782" s="511"/>
      <c r="P782" s="511"/>
      <c r="Q782" s="511"/>
      <c r="R782" s="511"/>
      <c r="S782" s="511"/>
      <c r="T782" s="511"/>
      <c r="U782" s="511"/>
      <c r="V782" s="511"/>
      <c r="W782" s="511"/>
      <c r="X782" s="511"/>
      <c r="Y782" s="511"/>
      <c r="Z782" s="511"/>
    </row>
    <row r="783" spans="1:26" ht="19.5" customHeight="1" x14ac:dyDescent="0.3">
      <c r="A783" s="511"/>
      <c r="B783" s="511"/>
      <c r="C783" s="511"/>
      <c r="D783" s="511"/>
      <c r="E783" s="511"/>
      <c r="F783" s="511"/>
      <c r="G783" s="511"/>
      <c r="H783" s="511"/>
      <c r="I783" s="511"/>
      <c r="J783" s="511"/>
      <c r="K783" s="511"/>
      <c r="L783" s="511"/>
      <c r="M783" s="511"/>
      <c r="N783" s="511"/>
      <c r="O783" s="511"/>
      <c r="P783" s="511"/>
      <c r="Q783" s="511"/>
      <c r="R783" s="511"/>
      <c r="S783" s="511"/>
      <c r="T783" s="511"/>
      <c r="U783" s="511"/>
      <c r="V783" s="511"/>
      <c r="W783" s="511"/>
      <c r="X783" s="511"/>
      <c r="Y783" s="511"/>
      <c r="Z783" s="511"/>
    </row>
    <row r="784" spans="1:26" ht="19.5" customHeight="1" x14ac:dyDescent="0.3">
      <c r="A784" s="511"/>
      <c r="B784" s="511"/>
      <c r="C784" s="511"/>
      <c r="D784" s="511"/>
      <c r="E784" s="511"/>
      <c r="F784" s="511"/>
      <c r="G784" s="511"/>
      <c r="H784" s="511"/>
      <c r="I784" s="511"/>
      <c r="J784" s="511"/>
      <c r="K784" s="511"/>
      <c r="L784" s="511"/>
      <c r="M784" s="511"/>
      <c r="N784" s="511"/>
      <c r="O784" s="511"/>
      <c r="P784" s="511"/>
      <c r="Q784" s="511"/>
      <c r="R784" s="511"/>
      <c r="S784" s="511"/>
      <c r="T784" s="511"/>
      <c r="U784" s="511"/>
      <c r="V784" s="511"/>
      <c r="W784" s="511"/>
      <c r="X784" s="511"/>
      <c r="Y784" s="511"/>
      <c r="Z784" s="511"/>
    </row>
    <row r="785" spans="1:26" ht="19.5" customHeight="1" x14ac:dyDescent="0.3">
      <c r="A785" s="511"/>
      <c r="B785" s="511"/>
      <c r="C785" s="511"/>
      <c r="D785" s="511"/>
      <c r="E785" s="511"/>
      <c r="F785" s="511"/>
      <c r="G785" s="511"/>
      <c r="H785" s="511"/>
      <c r="I785" s="511"/>
      <c r="J785" s="511"/>
      <c r="K785" s="511"/>
      <c r="L785" s="511"/>
      <c r="M785" s="511"/>
      <c r="N785" s="511"/>
      <c r="O785" s="511"/>
      <c r="P785" s="511"/>
      <c r="Q785" s="511"/>
      <c r="R785" s="511"/>
      <c r="S785" s="511"/>
      <c r="T785" s="511"/>
      <c r="U785" s="511"/>
      <c r="V785" s="511"/>
      <c r="W785" s="511"/>
      <c r="X785" s="511"/>
      <c r="Y785" s="511"/>
      <c r="Z785" s="511"/>
    </row>
    <row r="786" spans="1:26" ht="19.5" customHeight="1" x14ac:dyDescent="0.3">
      <c r="A786" s="511"/>
      <c r="B786" s="511"/>
      <c r="C786" s="511"/>
      <c r="D786" s="511"/>
      <c r="E786" s="511"/>
      <c r="F786" s="511"/>
      <c r="G786" s="511"/>
      <c r="H786" s="511"/>
      <c r="I786" s="511"/>
      <c r="J786" s="511"/>
      <c r="K786" s="511"/>
      <c r="L786" s="511"/>
      <c r="M786" s="511"/>
      <c r="N786" s="511"/>
      <c r="O786" s="511"/>
      <c r="P786" s="511"/>
      <c r="Q786" s="511"/>
      <c r="R786" s="511"/>
      <c r="S786" s="511"/>
      <c r="T786" s="511"/>
      <c r="U786" s="511"/>
      <c r="V786" s="511"/>
      <c r="W786" s="511"/>
      <c r="X786" s="511"/>
      <c r="Y786" s="511"/>
      <c r="Z786" s="511"/>
    </row>
    <row r="787" spans="1:26" ht="19.5" customHeight="1" x14ac:dyDescent="0.3">
      <c r="A787" s="511"/>
      <c r="B787" s="511"/>
      <c r="C787" s="511"/>
      <c r="D787" s="511"/>
      <c r="E787" s="511"/>
      <c r="F787" s="511"/>
      <c r="G787" s="511"/>
      <c r="H787" s="511"/>
      <c r="I787" s="511"/>
      <c r="J787" s="511"/>
      <c r="K787" s="511"/>
      <c r="L787" s="511"/>
      <c r="M787" s="511"/>
      <c r="N787" s="511"/>
      <c r="O787" s="511"/>
      <c r="P787" s="511"/>
      <c r="Q787" s="511"/>
      <c r="R787" s="511"/>
      <c r="S787" s="511"/>
      <c r="T787" s="511"/>
      <c r="U787" s="511"/>
      <c r="V787" s="511"/>
      <c r="W787" s="511"/>
      <c r="X787" s="511"/>
      <c r="Y787" s="511"/>
      <c r="Z787" s="511"/>
    </row>
    <row r="788" spans="1:26" ht="19.5" customHeight="1" x14ac:dyDescent="0.3">
      <c r="A788" s="511"/>
      <c r="B788" s="511"/>
      <c r="C788" s="511"/>
      <c r="D788" s="511"/>
      <c r="E788" s="511"/>
      <c r="F788" s="511"/>
      <c r="G788" s="511"/>
      <c r="H788" s="511"/>
      <c r="I788" s="511"/>
      <c r="J788" s="511"/>
      <c r="K788" s="511"/>
      <c r="L788" s="511"/>
      <c r="M788" s="511"/>
      <c r="N788" s="511"/>
      <c r="O788" s="511"/>
      <c r="P788" s="511"/>
      <c r="Q788" s="511"/>
      <c r="R788" s="511"/>
      <c r="S788" s="511"/>
      <c r="T788" s="511"/>
      <c r="U788" s="511"/>
      <c r="V788" s="511"/>
      <c r="W788" s="511"/>
      <c r="X788" s="511"/>
      <c r="Y788" s="511"/>
      <c r="Z788" s="511"/>
    </row>
    <row r="789" spans="1:26" ht="19.5" customHeight="1" x14ac:dyDescent="0.3">
      <c r="A789" s="511"/>
      <c r="B789" s="511"/>
      <c r="C789" s="511"/>
      <c r="D789" s="511"/>
      <c r="E789" s="511"/>
      <c r="F789" s="511"/>
      <c r="G789" s="511"/>
      <c r="H789" s="511"/>
      <c r="I789" s="511"/>
      <c r="J789" s="511"/>
      <c r="K789" s="511"/>
      <c r="L789" s="511"/>
      <c r="M789" s="511"/>
      <c r="N789" s="511"/>
      <c r="O789" s="511"/>
      <c r="P789" s="511"/>
      <c r="Q789" s="511"/>
      <c r="R789" s="511"/>
      <c r="S789" s="511"/>
      <c r="T789" s="511"/>
      <c r="U789" s="511"/>
      <c r="V789" s="511"/>
      <c r="W789" s="511"/>
      <c r="X789" s="511"/>
      <c r="Y789" s="511"/>
      <c r="Z789" s="511"/>
    </row>
    <row r="790" spans="1:26" ht="19.5" customHeight="1" x14ac:dyDescent="0.3">
      <c r="A790" s="511"/>
      <c r="B790" s="511"/>
      <c r="C790" s="511"/>
      <c r="D790" s="511"/>
      <c r="E790" s="511"/>
      <c r="F790" s="511"/>
      <c r="G790" s="511"/>
      <c r="H790" s="511"/>
      <c r="I790" s="511"/>
      <c r="J790" s="511"/>
      <c r="K790" s="511"/>
      <c r="L790" s="511"/>
      <c r="M790" s="511"/>
      <c r="N790" s="511"/>
      <c r="O790" s="511"/>
      <c r="P790" s="511"/>
      <c r="Q790" s="511"/>
      <c r="R790" s="511"/>
      <c r="S790" s="511"/>
      <c r="T790" s="511"/>
      <c r="U790" s="511"/>
      <c r="V790" s="511"/>
      <c r="W790" s="511"/>
      <c r="X790" s="511"/>
      <c r="Y790" s="511"/>
      <c r="Z790" s="511"/>
    </row>
    <row r="791" spans="1:26" ht="19.5" customHeight="1" x14ac:dyDescent="0.3">
      <c r="A791" s="511"/>
      <c r="B791" s="511"/>
      <c r="C791" s="511"/>
      <c r="D791" s="511"/>
      <c r="E791" s="511"/>
      <c r="F791" s="511"/>
      <c r="G791" s="511"/>
      <c r="H791" s="511"/>
      <c r="I791" s="511"/>
      <c r="J791" s="511"/>
      <c r="K791" s="511"/>
      <c r="L791" s="511"/>
      <c r="M791" s="511"/>
      <c r="N791" s="511"/>
      <c r="O791" s="511"/>
      <c r="P791" s="511"/>
      <c r="Q791" s="511"/>
      <c r="R791" s="511"/>
      <c r="S791" s="511"/>
      <c r="T791" s="511"/>
      <c r="U791" s="511"/>
      <c r="V791" s="511"/>
      <c r="W791" s="511"/>
      <c r="X791" s="511"/>
      <c r="Y791" s="511"/>
      <c r="Z791" s="511"/>
    </row>
    <row r="792" spans="1:26" ht="19.5" customHeight="1" x14ac:dyDescent="0.3">
      <c r="A792" s="511"/>
      <c r="B792" s="511"/>
      <c r="C792" s="511"/>
      <c r="D792" s="511"/>
      <c r="E792" s="511"/>
      <c r="F792" s="511"/>
      <c r="G792" s="511"/>
      <c r="H792" s="511"/>
      <c r="I792" s="511"/>
      <c r="J792" s="511"/>
      <c r="K792" s="511"/>
      <c r="L792" s="511"/>
      <c r="M792" s="511"/>
      <c r="N792" s="511"/>
      <c r="O792" s="511"/>
      <c r="P792" s="511"/>
      <c r="Q792" s="511"/>
      <c r="R792" s="511"/>
      <c r="S792" s="511"/>
      <c r="T792" s="511"/>
      <c r="U792" s="511"/>
      <c r="V792" s="511"/>
      <c r="W792" s="511"/>
      <c r="X792" s="511"/>
      <c r="Y792" s="511"/>
      <c r="Z792" s="511"/>
    </row>
    <row r="793" spans="1:26" ht="19.5" customHeight="1" x14ac:dyDescent="0.3">
      <c r="A793" s="511"/>
      <c r="B793" s="511"/>
      <c r="C793" s="511"/>
      <c r="D793" s="511"/>
      <c r="E793" s="511"/>
      <c r="F793" s="511"/>
      <c r="G793" s="511"/>
      <c r="H793" s="511"/>
      <c r="I793" s="511"/>
      <c r="J793" s="511"/>
      <c r="K793" s="511"/>
      <c r="L793" s="511"/>
      <c r="M793" s="511"/>
      <c r="N793" s="511"/>
      <c r="O793" s="511"/>
      <c r="P793" s="511"/>
      <c r="Q793" s="511"/>
      <c r="R793" s="511"/>
      <c r="S793" s="511"/>
      <c r="T793" s="511"/>
      <c r="U793" s="511"/>
      <c r="V793" s="511"/>
      <c r="W793" s="511"/>
      <c r="X793" s="511"/>
      <c r="Y793" s="511"/>
      <c r="Z793" s="511"/>
    </row>
    <row r="794" spans="1:26" ht="19.5" customHeight="1" x14ac:dyDescent="0.3">
      <c r="A794" s="511"/>
      <c r="B794" s="511"/>
      <c r="C794" s="511"/>
      <c r="D794" s="511"/>
      <c r="E794" s="511"/>
      <c r="F794" s="511"/>
      <c r="G794" s="511"/>
      <c r="H794" s="511"/>
      <c r="I794" s="511"/>
      <c r="J794" s="511"/>
      <c r="K794" s="511"/>
      <c r="L794" s="511"/>
      <c r="M794" s="511"/>
      <c r="N794" s="511"/>
      <c r="O794" s="511"/>
      <c r="P794" s="511"/>
      <c r="Q794" s="511"/>
      <c r="R794" s="511"/>
      <c r="S794" s="511"/>
      <c r="T794" s="511"/>
      <c r="U794" s="511"/>
      <c r="V794" s="511"/>
      <c r="W794" s="511"/>
      <c r="X794" s="511"/>
      <c r="Y794" s="511"/>
      <c r="Z794" s="511"/>
    </row>
    <row r="795" spans="1:26" ht="19.5" customHeight="1" x14ac:dyDescent="0.3">
      <c r="A795" s="511"/>
      <c r="B795" s="511"/>
      <c r="C795" s="511"/>
      <c r="D795" s="511"/>
      <c r="E795" s="511"/>
      <c r="F795" s="511"/>
      <c r="G795" s="511"/>
      <c r="H795" s="511"/>
      <c r="I795" s="511"/>
      <c r="J795" s="511"/>
      <c r="K795" s="511"/>
      <c r="L795" s="511"/>
      <c r="M795" s="511"/>
      <c r="N795" s="511"/>
      <c r="O795" s="511"/>
      <c r="P795" s="511"/>
      <c r="Q795" s="511"/>
      <c r="R795" s="511"/>
      <c r="S795" s="511"/>
      <c r="T795" s="511"/>
      <c r="U795" s="511"/>
      <c r="V795" s="511"/>
      <c r="W795" s="511"/>
      <c r="X795" s="511"/>
      <c r="Y795" s="511"/>
      <c r="Z795" s="511"/>
    </row>
    <row r="796" spans="1:26" ht="19.5" customHeight="1" x14ac:dyDescent="0.3">
      <c r="A796" s="511"/>
      <c r="B796" s="511"/>
      <c r="C796" s="511"/>
      <c r="D796" s="511"/>
      <c r="E796" s="511"/>
      <c r="F796" s="511"/>
      <c r="G796" s="511"/>
      <c r="H796" s="511"/>
      <c r="I796" s="511"/>
      <c r="J796" s="511"/>
      <c r="K796" s="511"/>
      <c r="L796" s="511"/>
      <c r="M796" s="511"/>
      <c r="N796" s="511"/>
      <c r="O796" s="511"/>
      <c r="P796" s="511"/>
      <c r="Q796" s="511"/>
      <c r="R796" s="511"/>
      <c r="S796" s="511"/>
      <c r="T796" s="511"/>
      <c r="U796" s="511"/>
      <c r="V796" s="511"/>
      <c r="W796" s="511"/>
      <c r="X796" s="511"/>
      <c r="Y796" s="511"/>
      <c r="Z796" s="511"/>
    </row>
    <row r="797" spans="1:26" ht="19.5" customHeight="1" x14ac:dyDescent="0.3">
      <c r="A797" s="511"/>
      <c r="B797" s="511"/>
      <c r="C797" s="511"/>
      <c r="D797" s="511"/>
      <c r="E797" s="511"/>
      <c r="F797" s="511"/>
      <c r="G797" s="511"/>
      <c r="H797" s="511"/>
      <c r="I797" s="511"/>
      <c r="J797" s="511"/>
      <c r="K797" s="511"/>
      <c r="L797" s="511"/>
      <c r="M797" s="511"/>
      <c r="N797" s="511"/>
      <c r="O797" s="511"/>
      <c r="P797" s="511"/>
      <c r="Q797" s="511"/>
      <c r="R797" s="511"/>
      <c r="S797" s="511"/>
      <c r="T797" s="511"/>
      <c r="U797" s="511"/>
      <c r="V797" s="511"/>
      <c r="W797" s="511"/>
      <c r="X797" s="511"/>
      <c r="Y797" s="511"/>
      <c r="Z797" s="511"/>
    </row>
    <row r="798" spans="1:26" ht="19.5" customHeight="1" x14ac:dyDescent="0.3">
      <c r="A798" s="511"/>
      <c r="B798" s="511"/>
      <c r="C798" s="511"/>
      <c r="D798" s="511"/>
      <c r="E798" s="511"/>
      <c r="F798" s="511"/>
      <c r="G798" s="511"/>
      <c r="H798" s="511"/>
      <c r="I798" s="511"/>
      <c r="J798" s="511"/>
      <c r="K798" s="511"/>
      <c r="L798" s="511"/>
      <c r="M798" s="511"/>
      <c r="N798" s="511"/>
      <c r="O798" s="511"/>
      <c r="P798" s="511"/>
      <c r="Q798" s="511"/>
      <c r="R798" s="511"/>
      <c r="S798" s="511"/>
      <c r="T798" s="511"/>
      <c r="U798" s="511"/>
      <c r="V798" s="511"/>
      <c r="W798" s="511"/>
      <c r="X798" s="511"/>
      <c r="Y798" s="511"/>
      <c r="Z798" s="511"/>
    </row>
    <row r="799" spans="1:26" ht="19.5" customHeight="1" x14ac:dyDescent="0.3">
      <c r="A799" s="511"/>
      <c r="B799" s="511"/>
      <c r="C799" s="511"/>
      <c r="D799" s="511"/>
      <c r="E799" s="511"/>
      <c r="F799" s="511"/>
      <c r="G799" s="511"/>
      <c r="H799" s="511"/>
      <c r="I799" s="511"/>
      <c r="J799" s="511"/>
      <c r="K799" s="511"/>
      <c r="L799" s="511"/>
      <c r="M799" s="511"/>
      <c r="N799" s="511"/>
      <c r="O799" s="511"/>
      <c r="P799" s="511"/>
      <c r="Q799" s="511"/>
      <c r="R799" s="511"/>
      <c r="S799" s="511"/>
      <c r="T799" s="511"/>
      <c r="U799" s="511"/>
      <c r="V799" s="511"/>
      <c r="W799" s="511"/>
      <c r="X799" s="511"/>
      <c r="Y799" s="511"/>
      <c r="Z799" s="511"/>
    </row>
    <row r="800" spans="1:26" ht="19.5" customHeight="1" x14ac:dyDescent="0.3">
      <c r="A800" s="511"/>
      <c r="B800" s="511"/>
      <c r="C800" s="511"/>
      <c r="D800" s="511"/>
      <c r="E800" s="511"/>
      <c r="F800" s="511"/>
      <c r="G800" s="511"/>
      <c r="H800" s="511"/>
      <c r="I800" s="511"/>
      <c r="J800" s="511"/>
      <c r="K800" s="511"/>
      <c r="L800" s="511"/>
      <c r="M800" s="511"/>
      <c r="N800" s="511"/>
      <c r="O800" s="511"/>
      <c r="P800" s="511"/>
      <c r="Q800" s="511"/>
      <c r="R800" s="511"/>
      <c r="S800" s="511"/>
      <c r="T800" s="511"/>
      <c r="U800" s="511"/>
      <c r="V800" s="511"/>
      <c r="W800" s="511"/>
      <c r="X800" s="511"/>
      <c r="Y800" s="511"/>
      <c r="Z800" s="511"/>
    </row>
    <row r="801" spans="1:26" ht="19.5" customHeight="1" x14ac:dyDescent="0.3">
      <c r="A801" s="511"/>
      <c r="B801" s="511"/>
      <c r="C801" s="511"/>
      <c r="D801" s="511"/>
      <c r="E801" s="511"/>
      <c r="F801" s="511"/>
      <c r="G801" s="511"/>
      <c r="H801" s="511"/>
      <c r="I801" s="511"/>
      <c r="J801" s="511"/>
      <c r="K801" s="511"/>
      <c r="L801" s="511"/>
      <c r="M801" s="511"/>
      <c r="N801" s="511"/>
      <c r="O801" s="511"/>
      <c r="P801" s="511"/>
      <c r="Q801" s="511"/>
      <c r="R801" s="511"/>
      <c r="S801" s="511"/>
      <c r="T801" s="511"/>
      <c r="U801" s="511"/>
      <c r="V801" s="511"/>
      <c r="W801" s="511"/>
      <c r="X801" s="511"/>
      <c r="Y801" s="511"/>
      <c r="Z801" s="511"/>
    </row>
    <row r="802" spans="1:26" ht="19.5" customHeight="1" x14ac:dyDescent="0.3">
      <c r="A802" s="511"/>
      <c r="B802" s="511"/>
      <c r="C802" s="511"/>
      <c r="D802" s="511"/>
      <c r="E802" s="511"/>
      <c r="F802" s="511"/>
      <c r="G802" s="511"/>
      <c r="H802" s="511"/>
      <c r="I802" s="511"/>
      <c r="J802" s="511"/>
      <c r="K802" s="511"/>
      <c r="L802" s="511"/>
      <c r="M802" s="511"/>
      <c r="N802" s="511"/>
      <c r="O802" s="511"/>
      <c r="P802" s="511"/>
      <c r="Q802" s="511"/>
      <c r="R802" s="511"/>
      <c r="S802" s="511"/>
      <c r="T802" s="511"/>
      <c r="U802" s="511"/>
      <c r="V802" s="511"/>
      <c r="W802" s="511"/>
      <c r="X802" s="511"/>
      <c r="Y802" s="511"/>
      <c r="Z802" s="511"/>
    </row>
    <row r="803" spans="1:26" ht="19.5" customHeight="1" x14ac:dyDescent="0.3">
      <c r="A803" s="511"/>
      <c r="B803" s="511"/>
      <c r="C803" s="511"/>
      <c r="D803" s="511"/>
      <c r="E803" s="511"/>
      <c r="F803" s="511"/>
      <c r="G803" s="511"/>
      <c r="H803" s="511"/>
      <c r="I803" s="511"/>
      <c r="J803" s="511"/>
      <c r="K803" s="511"/>
      <c r="L803" s="511"/>
      <c r="M803" s="511"/>
      <c r="N803" s="511"/>
      <c r="O803" s="511"/>
      <c r="P803" s="511"/>
      <c r="Q803" s="511"/>
      <c r="R803" s="511"/>
      <c r="S803" s="511"/>
      <c r="T803" s="511"/>
      <c r="U803" s="511"/>
      <c r="V803" s="511"/>
      <c r="W803" s="511"/>
      <c r="X803" s="511"/>
      <c r="Y803" s="511"/>
      <c r="Z803" s="511"/>
    </row>
    <row r="804" spans="1:26" ht="19.5" customHeight="1" x14ac:dyDescent="0.3">
      <c r="A804" s="511"/>
      <c r="B804" s="511"/>
      <c r="C804" s="511"/>
      <c r="D804" s="511"/>
      <c r="E804" s="511"/>
      <c r="F804" s="511"/>
      <c r="G804" s="511"/>
      <c r="H804" s="511"/>
      <c r="I804" s="511"/>
      <c r="J804" s="511"/>
      <c r="K804" s="511"/>
      <c r="L804" s="511"/>
      <c r="M804" s="511"/>
      <c r="N804" s="511"/>
      <c r="O804" s="511"/>
      <c r="P804" s="511"/>
      <c r="Q804" s="511"/>
      <c r="R804" s="511"/>
      <c r="S804" s="511"/>
      <c r="T804" s="511"/>
      <c r="U804" s="511"/>
      <c r="V804" s="511"/>
      <c r="W804" s="511"/>
      <c r="X804" s="511"/>
      <c r="Y804" s="511"/>
      <c r="Z804" s="511"/>
    </row>
    <row r="805" spans="1:26" ht="19.5" customHeight="1" x14ac:dyDescent="0.3">
      <c r="A805" s="511"/>
      <c r="B805" s="511"/>
      <c r="C805" s="511"/>
      <c r="D805" s="511"/>
      <c r="E805" s="511"/>
      <c r="F805" s="511"/>
      <c r="G805" s="511"/>
      <c r="H805" s="511"/>
      <c r="I805" s="511"/>
      <c r="J805" s="511"/>
      <c r="K805" s="511"/>
      <c r="L805" s="511"/>
      <c r="M805" s="511"/>
      <c r="N805" s="511"/>
      <c r="O805" s="511"/>
      <c r="P805" s="511"/>
      <c r="Q805" s="511"/>
      <c r="R805" s="511"/>
      <c r="S805" s="511"/>
      <c r="T805" s="511"/>
      <c r="U805" s="511"/>
      <c r="V805" s="511"/>
      <c r="W805" s="511"/>
      <c r="X805" s="511"/>
      <c r="Y805" s="511"/>
      <c r="Z805" s="511"/>
    </row>
    <row r="806" spans="1:26" ht="19.5" customHeight="1" x14ac:dyDescent="0.3">
      <c r="A806" s="511"/>
      <c r="B806" s="511"/>
      <c r="C806" s="511"/>
      <c r="D806" s="511"/>
      <c r="E806" s="511"/>
      <c r="F806" s="511"/>
      <c r="G806" s="511"/>
      <c r="H806" s="511"/>
      <c r="I806" s="511"/>
      <c r="J806" s="511"/>
      <c r="K806" s="511"/>
      <c r="L806" s="511"/>
      <c r="M806" s="511"/>
      <c r="N806" s="511"/>
      <c r="O806" s="511"/>
      <c r="P806" s="511"/>
      <c r="Q806" s="511"/>
      <c r="R806" s="511"/>
      <c r="S806" s="511"/>
      <c r="T806" s="511"/>
      <c r="U806" s="511"/>
      <c r="V806" s="511"/>
      <c r="W806" s="511"/>
      <c r="X806" s="511"/>
      <c r="Y806" s="511"/>
      <c r="Z806" s="511"/>
    </row>
    <row r="807" spans="1:26" ht="19.5" customHeight="1" x14ac:dyDescent="0.3">
      <c r="A807" s="511"/>
      <c r="B807" s="511"/>
      <c r="C807" s="511"/>
      <c r="D807" s="511"/>
      <c r="E807" s="511"/>
      <c r="F807" s="511"/>
      <c r="G807" s="511"/>
      <c r="H807" s="511"/>
      <c r="I807" s="511"/>
      <c r="J807" s="511"/>
      <c r="K807" s="511"/>
      <c r="L807" s="511"/>
      <c r="M807" s="511"/>
      <c r="N807" s="511"/>
      <c r="O807" s="511"/>
      <c r="P807" s="511"/>
      <c r="Q807" s="511"/>
      <c r="R807" s="511"/>
      <c r="S807" s="511"/>
      <c r="T807" s="511"/>
      <c r="U807" s="511"/>
      <c r="V807" s="511"/>
      <c r="W807" s="511"/>
      <c r="X807" s="511"/>
      <c r="Y807" s="511"/>
      <c r="Z807" s="511"/>
    </row>
    <row r="808" spans="1:26" ht="19.5" customHeight="1" x14ac:dyDescent="0.3">
      <c r="A808" s="511"/>
      <c r="B808" s="511"/>
      <c r="C808" s="511"/>
      <c r="D808" s="511"/>
      <c r="E808" s="511"/>
      <c r="F808" s="511"/>
      <c r="G808" s="511"/>
      <c r="H808" s="511"/>
      <c r="I808" s="511"/>
      <c r="J808" s="511"/>
      <c r="K808" s="511"/>
      <c r="L808" s="511"/>
      <c r="M808" s="511"/>
      <c r="N808" s="511"/>
      <c r="O808" s="511"/>
      <c r="P808" s="511"/>
      <c r="Q808" s="511"/>
      <c r="R808" s="511"/>
      <c r="S808" s="511"/>
      <c r="T808" s="511"/>
      <c r="U808" s="511"/>
      <c r="V808" s="511"/>
      <c r="W808" s="511"/>
      <c r="X808" s="511"/>
      <c r="Y808" s="511"/>
      <c r="Z808" s="511"/>
    </row>
    <row r="809" spans="1:26" ht="19.5" customHeight="1" x14ac:dyDescent="0.3">
      <c r="A809" s="511"/>
      <c r="B809" s="511"/>
      <c r="C809" s="511"/>
      <c r="D809" s="511"/>
      <c r="E809" s="511"/>
      <c r="F809" s="511"/>
      <c r="G809" s="511"/>
      <c r="H809" s="511"/>
      <c r="I809" s="511"/>
      <c r="J809" s="511"/>
      <c r="K809" s="511"/>
      <c r="L809" s="511"/>
      <c r="M809" s="511"/>
      <c r="N809" s="511"/>
      <c r="O809" s="511"/>
      <c r="P809" s="511"/>
      <c r="Q809" s="511"/>
      <c r="R809" s="511"/>
      <c r="S809" s="511"/>
      <c r="T809" s="511"/>
      <c r="U809" s="511"/>
      <c r="V809" s="511"/>
      <c r="W809" s="511"/>
      <c r="X809" s="511"/>
      <c r="Y809" s="511"/>
      <c r="Z809" s="511"/>
    </row>
    <row r="810" spans="1:26" ht="19.5" customHeight="1" x14ac:dyDescent="0.3">
      <c r="A810" s="511"/>
      <c r="B810" s="511"/>
      <c r="C810" s="511"/>
      <c r="D810" s="511"/>
      <c r="E810" s="511"/>
      <c r="F810" s="511"/>
      <c r="G810" s="511"/>
      <c r="H810" s="511"/>
      <c r="I810" s="511"/>
      <c r="J810" s="511"/>
      <c r="K810" s="511"/>
      <c r="L810" s="511"/>
      <c r="M810" s="511"/>
      <c r="N810" s="511"/>
      <c r="O810" s="511"/>
      <c r="P810" s="511"/>
      <c r="Q810" s="511"/>
      <c r="R810" s="511"/>
      <c r="S810" s="511"/>
      <c r="T810" s="511"/>
      <c r="U810" s="511"/>
      <c r="V810" s="511"/>
      <c r="W810" s="511"/>
      <c r="X810" s="511"/>
      <c r="Y810" s="511"/>
      <c r="Z810" s="511"/>
    </row>
    <row r="811" spans="1:26" ht="19.5" customHeight="1" x14ac:dyDescent="0.3">
      <c r="A811" s="511"/>
      <c r="B811" s="511"/>
      <c r="C811" s="511"/>
      <c r="D811" s="511"/>
      <c r="E811" s="511"/>
      <c r="F811" s="511"/>
      <c r="G811" s="511"/>
      <c r="H811" s="511"/>
      <c r="I811" s="511"/>
      <c r="J811" s="511"/>
      <c r="K811" s="511"/>
      <c r="L811" s="511"/>
      <c r="M811" s="511"/>
      <c r="N811" s="511"/>
      <c r="O811" s="511"/>
      <c r="P811" s="511"/>
      <c r="Q811" s="511"/>
      <c r="R811" s="511"/>
      <c r="S811" s="511"/>
      <c r="T811" s="511"/>
      <c r="U811" s="511"/>
      <c r="V811" s="511"/>
      <c r="W811" s="511"/>
      <c r="X811" s="511"/>
      <c r="Y811" s="511"/>
      <c r="Z811" s="511"/>
    </row>
    <row r="812" spans="1:26" ht="19.5" customHeight="1" x14ac:dyDescent="0.3">
      <c r="A812" s="511"/>
      <c r="B812" s="511"/>
      <c r="C812" s="511"/>
      <c r="D812" s="511"/>
      <c r="E812" s="511"/>
      <c r="F812" s="511"/>
      <c r="G812" s="511"/>
      <c r="H812" s="511"/>
      <c r="I812" s="511"/>
      <c r="J812" s="511"/>
      <c r="K812" s="511"/>
      <c r="L812" s="511"/>
      <c r="M812" s="511"/>
      <c r="N812" s="511"/>
      <c r="O812" s="511"/>
      <c r="P812" s="511"/>
      <c r="Q812" s="511"/>
      <c r="R812" s="511"/>
      <c r="S812" s="511"/>
      <c r="T812" s="511"/>
      <c r="U812" s="511"/>
      <c r="V812" s="511"/>
      <c r="W812" s="511"/>
      <c r="X812" s="511"/>
      <c r="Y812" s="511"/>
      <c r="Z812" s="511"/>
    </row>
    <row r="813" spans="1:26" ht="19.5" customHeight="1" x14ac:dyDescent="0.3">
      <c r="A813" s="511"/>
      <c r="B813" s="511"/>
      <c r="C813" s="511"/>
      <c r="D813" s="511"/>
      <c r="E813" s="511"/>
      <c r="F813" s="511"/>
      <c r="G813" s="511"/>
      <c r="H813" s="511"/>
      <c r="I813" s="511"/>
      <c r="J813" s="511"/>
      <c r="K813" s="511"/>
      <c r="L813" s="511"/>
      <c r="M813" s="511"/>
      <c r="N813" s="511"/>
      <c r="O813" s="511"/>
      <c r="P813" s="511"/>
      <c r="Q813" s="511"/>
      <c r="R813" s="511"/>
      <c r="S813" s="511"/>
      <c r="T813" s="511"/>
      <c r="U813" s="511"/>
      <c r="V813" s="511"/>
      <c r="W813" s="511"/>
      <c r="X813" s="511"/>
      <c r="Y813" s="511"/>
      <c r="Z813" s="511"/>
    </row>
    <row r="814" spans="1:26" ht="19.5" customHeight="1" x14ac:dyDescent="0.3">
      <c r="A814" s="511"/>
      <c r="B814" s="511"/>
      <c r="C814" s="511"/>
      <c r="D814" s="511"/>
      <c r="E814" s="511"/>
      <c r="F814" s="511"/>
      <c r="G814" s="511"/>
      <c r="H814" s="511"/>
      <c r="I814" s="511"/>
      <c r="J814" s="511"/>
      <c r="K814" s="511"/>
      <c r="L814" s="511"/>
      <c r="M814" s="511"/>
      <c r="N814" s="511"/>
      <c r="O814" s="511"/>
      <c r="P814" s="511"/>
      <c r="Q814" s="511"/>
      <c r="R814" s="511"/>
      <c r="S814" s="511"/>
      <c r="T814" s="511"/>
      <c r="U814" s="511"/>
      <c r="V814" s="511"/>
      <c r="W814" s="511"/>
      <c r="X814" s="511"/>
      <c r="Y814" s="511"/>
      <c r="Z814" s="511"/>
    </row>
    <row r="815" spans="1:26" ht="19.5" customHeight="1" x14ac:dyDescent="0.3">
      <c r="A815" s="511"/>
      <c r="B815" s="511"/>
      <c r="C815" s="511"/>
      <c r="D815" s="511"/>
      <c r="E815" s="511"/>
      <c r="F815" s="511"/>
      <c r="G815" s="511"/>
      <c r="H815" s="511"/>
      <c r="I815" s="511"/>
      <c r="J815" s="511"/>
      <c r="K815" s="511"/>
      <c r="L815" s="511"/>
      <c r="M815" s="511"/>
      <c r="N815" s="511"/>
      <c r="O815" s="511"/>
      <c r="P815" s="511"/>
      <c r="Q815" s="511"/>
      <c r="R815" s="511"/>
      <c r="S815" s="511"/>
      <c r="T815" s="511"/>
      <c r="U815" s="511"/>
      <c r="V815" s="511"/>
      <c r="W815" s="511"/>
      <c r="X815" s="511"/>
      <c r="Y815" s="511"/>
      <c r="Z815" s="511"/>
    </row>
    <row r="816" spans="1:26" ht="19.5" customHeight="1" x14ac:dyDescent="0.3">
      <c r="A816" s="511"/>
      <c r="B816" s="511"/>
      <c r="C816" s="511"/>
      <c r="D816" s="511"/>
      <c r="E816" s="511"/>
      <c r="F816" s="511"/>
      <c r="G816" s="511"/>
      <c r="H816" s="511"/>
      <c r="I816" s="511"/>
      <c r="J816" s="511"/>
      <c r="K816" s="511"/>
      <c r="L816" s="511"/>
      <c r="M816" s="511"/>
      <c r="N816" s="511"/>
      <c r="O816" s="511"/>
      <c r="P816" s="511"/>
      <c r="Q816" s="511"/>
      <c r="R816" s="511"/>
      <c r="S816" s="511"/>
      <c r="T816" s="511"/>
      <c r="U816" s="511"/>
      <c r="V816" s="511"/>
      <c r="W816" s="511"/>
      <c r="X816" s="511"/>
      <c r="Y816" s="511"/>
      <c r="Z816" s="511"/>
    </row>
    <row r="817" spans="1:26" ht="19.5" customHeight="1" x14ac:dyDescent="0.3">
      <c r="A817" s="511"/>
      <c r="B817" s="511"/>
      <c r="C817" s="511"/>
      <c r="D817" s="511"/>
      <c r="E817" s="511"/>
      <c r="F817" s="511"/>
      <c r="G817" s="511"/>
      <c r="H817" s="511"/>
      <c r="I817" s="511"/>
      <c r="J817" s="511"/>
      <c r="K817" s="511"/>
      <c r="L817" s="511"/>
      <c r="M817" s="511"/>
      <c r="N817" s="511"/>
      <c r="O817" s="511"/>
      <c r="P817" s="511"/>
      <c r="Q817" s="511"/>
      <c r="R817" s="511"/>
      <c r="S817" s="511"/>
      <c r="T817" s="511"/>
      <c r="U817" s="511"/>
      <c r="V817" s="511"/>
      <c r="W817" s="511"/>
      <c r="X817" s="511"/>
      <c r="Y817" s="511"/>
      <c r="Z817" s="511"/>
    </row>
    <row r="818" spans="1:26" ht="19.5" customHeight="1" x14ac:dyDescent="0.3">
      <c r="A818" s="511"/>
      <c r="B818" s="511"/>
      <c r="C818" s="511"/>
      <c r="D818" s="511"/>
      <c r="E818" s="511"/>
      <c r="F818" s="511"/>
      <c r="G818" s="511"/>
      <c r="H818" s="511"/>
      <c r="I818" s="511"/>
      <c r="J818" s="511"/>
      <c r="K818" s="511"/>
      <c r="L818" s="511"/>
      <c r="M818" s="511"/>
      <c r="N818" s="511"/>
      <c r="O818" s="511"/>
      <c r="P818" s="511"/>
      <c r="Q818" s="511"/>
      <c r="R818" s="511"/>
      <c r="S818" s="511"/>
      <c r="T818" s="511"/>
      <c r="U818" s="511"/>
      <c r="V818" s="511"/>
      <c r="W818" s="511"/>
      <c r="X818" s="511"/>
      <c r="Y818" s="511"/>
      <c r="Z818" s="511"/>
    </row>
    <row r="819" spans="1:26" ht="19.5" customHeight="1" x14ac:dyDescent="0.3">
      <c r="A819" s="511"/>
      <c r="B819" s="511"/>
      <c r="C819" s="511"/>
      <c r="D819" s="511"/>
      <c r="E819" s="511"/>
      <c r="F819" s="511"/>
      <c r="G819" s="511"/>
      <c r="H819" s="511"/>
      <c r="I819" s="511"/>
      <c r="J819" s="511"/>
      <c r="K819" s="511"/>
      <c r="L819" s="511"/>
      <c r="M819" s="511"/>
      <c r="N819" s="511"/>
      <c r="O819" s="511"/>
      <c r="P819" s="511"/>
      <c r="Q819" s="511"/>
      <c r="R819" s="511"/>
      <c r="S819" s="511"/>
      <c r="T819" s="511"/>
      <c r="U819" s="511"/>
      <c r="V819" s="511"/>
      <c r="W819" s="511"/>
      <c r="X819" s="511"/>
      <c r="Y819" s="511"/>
      <c r="Z819" s="511"/>
    </row>
    <row r="820" spans="1:26" ht="19.5" customHeight="1" x14ac:dyDescent="0.3">
      <c r="A820" s="511"/>
      <c r="B820" s="511"/>
      <c r="C820" s="511"/>
      <c r="D820" s="511"/>
      <c r="E820" s="511"/>
      <c r="F820" s="511"/>
      <c r="G820" s="511"/>
      <c r="H820" s="511"/>
      <c r="I820" s="511"/>
      <c r="J820" s="511"/>
      <c r="K820" s="511"/>
      <c r="L820" s="511"/>
      <c r="M820" s="511"/>
      <c r="N820" s="511"/>
      <c r="O820" s="511"/>
      <c r="P820" s="511"/>
      <c r="Q820" s="511"/>
      <c r="R820" s="511"/>
      <c r="S820" s="511"/>
      <c r="T820" s="511"/>
      <c r="U820" s="511"/>
      <c r="V820" s="511"/>
      <c r="W820" s="511"/>
      <c r="X820" s="511"/>
      <c r="Y820" s="511"/>
      <c r="Z820" s="511"/>
    </row>
    <row r="821" spans="1:26" ht="19.5" customHeight="1" x14ac:dyDescent="0.3">
      <c r="A821" s="511"/>
      <c r="B821" s="511"/>
      <c r="C821" s="511"/>
      <c r="D821" s="511"/>
      <c r="E821" s="511"/>
      <c r="F821" s="511"/>
      <c r="G821" s="511"/>
      <c r="H821" s="511"/>
      <c r="I821" s="511"/>
      <c r="J821" s="511"/>
      <c r="K821" s="511"/>
      <c r="L821" s="511"/>
      <c r="M821" s="511"/>
      <c r="N821" s="511"/>
      <c r="O821" s="511"/>
      <c r="P821" s="511"/>
      <c r="Q821" s="511"/>
      <c r="R821" s="511"/>
      <c r="S821" s="511"/>
      <c r="T821" s="511"/>
      <c r="U821" s="511"/>
      <c r="V821" s="511"/>
      <c r="W821" s="511"/>
      <c r="X821" s="511"/>
      <c r="Y821" s="511"/>
      <c r="Z821" s="511"/>
    </row>
    <row r="822" spans="1:26" ht="19.5" customHeight="1" x14ac:dyDescent="0.3">
      <c r="A822" s="511"/>
      <c r="B822" s="511"/>
      <c r="C822" s="511"/>
      <c r="D822" s="511"/>
      <c r="E822" s="511"/>
      <c r="F822" s="511"/>
      <c r="G822" s="511"/>
      <c r="H822" s="511"/>
      <c r="I822" s="511"/>
      <c r="J822" s="511"/>
      <c r="K822" s="511"/>
      <c r="L822" s="511"/>
      <c r="M822" s="511"/>
      <c r="N822" s="511"/>
      <c r="O822" s="511"/>
      <c r="P822" s="511"/>
      <c r="Q822" s="511"/>
      <c r="R822" s="511"/>
      <c r="S822" s="511"/>
      <c r="T822" s="511"/>
      <c r="U822" s="511"/>
      <c r="V822" s="511"/>
      <c r="W822" s="511"/>
      <c r="X822" s="511"/>
      <c r="Y822" s="511"/>
      <c r="Z822" s="511"/>
    </row>
    <row r="823" spans="1:26" ht="19.5" customHeight="1" x14ac:dyDescent="0.3">
      <c r="A823" s="511"/>
      <c r="B823" s="511"/>
      <c r="C823" s="511"/>
      <c r="D823" s="511"/>
      <c r="E823" s="511"/>
      <c r="F823" s="511"/>
      <c r="G823" s="511"/>
      <c r="H823" s="511"/>
      <c r="I823" s="511"/>
      <c r="J823" s="511"/>
      <c r="K823" s="511"/>
      <c r="L823" s="511"/>
      <c r="M823" s="511"/>
      <c r="N823" s="511"/>
      <c r="O823" s="511"/>
      <c r="P823" s="511"/>
      <c r="Q823" s="511"/>
      <c r="R823" s="511"/>
      <c r="S823" s="511"/>
      <c r="T823" s="511"/>
      <c r="U823" s="511"/>
      <c r="V823" s="511"/>
      <c r="W823" s="511"/>
      <c r="X823" s="511"/>
      <c r="Y823" s="511"/>
      <c r="Z823" s="511"/>
    </row>
    <row r="824" spans="1:26" ht="19.5" customHeight="1" x14ac:dyDescent="0.3">
      <c r="A824" s="511"/>
      <c r="B824" s="511"/>
      <c r="C824" s="511"/>
      <c r="D824" s="511"/>
      <c r="E824" s="511"/>
      <c r="F824" s="511"/>
      <c r="G824" s="511"/>
      <c r="H824" s="511"/>
      <c r="I824" s="511"/>
      <c r="J824" s="511"/>
      <c r="K824" s="511"/>
      <c r="L824" s="511"/>
      <c r="M824" s="511"/>
      <c r="N824" s="511"/>
      <c r="O824" s="511"/>
      <c r="P824" s="511"/>
      <c r="Q824" s="511"/>
      <c r="R824" s="511"/>
      <c r="S824" s="511"/>
      <c r="T824" s="511"/>
      <c r="U824" s="511"/>
      <c r="V824" s="511"/>
      <c r="W824" s="511"/>
      <c r="X824" s="511"/>
      <c r="Y824" s="511"/>
      <c r="Z824" s="511"/>
    </row>
    <row r="825" spans="1:26" ht="19.5" customHeight="1" x14ac:dyDescent="0.3">
      <c r="A825" s="511"/>
      <c r="B825" s="511"/>
      <c r="C825" s="511"/>
      <c r="D825" s="511"/>
      <c r="E825" s="511"/>
      <c r="F825" s="511"/>
      <c r="G825" s="511"/>
      <c r="H825" s="511"/>
      <c r="I825" s="511"/>
      <c r="J825" s="511"/>
      <c r="K825" s="511"/>
      <c r="L825" s="511"/>
      <c r="M825" s="511"/>
      <c r="N825" s="511"/>
      <c r="O825" s="511"/>
      <c r="P825" s="511"/>
      <c r="Q825" s="511"/>
      <c r="R825" s="511"/>
      <c r="S825" s="511"/>
      <c r="T825" s="511"/>
      <c r="U825" s="511"/>
      <c r="V825" s="511"/>
      <c r="W825" s="511"/>
      <c r="X825" s="511"/>
      <c r="Y825" s="511"/>
      <c r="Z825" s="511"/>
    </row>
    <row r="826" spans="1:26" ht="19.5" customHeight="1" x14ac:dyDescent="0.3">
      <c r="A826" s="511"/>
      <c r="B826" s="511"/>
      <c r="C826" s="511"/>
      <c r="D826" s="511"/>
      <c r="E826" s="511"/>
      <c r="F826" s="511"/>
      <c r="G826" s="511"/>
      <c r="H826" s="511"/>
      <c r="I826" s="511"/>
      <c r="J826" s="511"/>
      <c r="K826" s="511"/>
      <c r="L826" s="511"/>
      <c r="M826" s="511"/>
      <c r="N826" s="511"/>
      <c r="O826" s="511"/>
      <c r="P826" s="511"/>
      <c r="Q826" s="511"/>
      <c r="R826" s="511"/>
      <c r="S826" s="511"/>
      <c r="T826" s="511"/>
      <c r="U826" s="511"/>
      <c r="V826" s="511"/>
      <c r="W826" s="511"/>
      <c r="X826" s="511"/>
      <c r="Y826" s="511"/>
      <c r="Z826" s="511"/>
    </row>
    <row r="827" spans="1:26" ht="19.5" customHeight="1" x14ac:dyDescent="0.3">
      <c r="A827" s="511"/>
      <c r="B827" s="511"/>
      <c r="C827" s="511"/>
      <c r="D827" s="511"/>
      <c r="E827" s="511"/>
      <c r="F827" s="511"/>
      <c r="G827" s="511"/>
      <c r="H827" s="511"/>
      <c r="I827" s="511"/>
      <c r="J827" s="511"/>
      <c r="K827" s="511"/>
      <c r="L827" s="511"/>
      <c r="M827" s="511"/>
      <c r="N827" s="511"/>
      <c r="O827" s="511"/>
      <c r="P827" s="511"/>
      <c r="Q827" s="511"/>
      <c r="R827" s="511"/>
      <c r="S827" s="511"/>
      <c r="T827" s="511"/>
      <c r="U827" s="511"/>
      <c r="V827" s="511"/>
      <c r="W827" s="511"/>
      <c r="X827" s="511"/>
      <c r="Y827" s="511"/>
      <c r="Z827" s="511"/>
    </row>
    <row r="828" spans="1:26" ht="19.5" customHeight="1" x14ac:dyDescent="0.3">
      <c r="A828" s="511"/>
      <c r="B828" s="511"/>
      <c r="C828" s="511"/>
      <c r="D828" s="511"/>
      <c r="E828" s="511"/>
      <c r="F828" s="511"/>
      <c r="G828" s="511"/>
      <c r="H828" s="511"/>
      <c r="I828" s="511"/>
      <c r="J828" s="511"/>
      <c r="K828" s="511"/>
      <c r="L828" s="511"/>
      <c r="M828" s="511"/>
      <c r="N828" s="511"/>
      <c r="O828" s="511"/>
      <c r="P828" s="511"/>
      <c r="Q828" s="511"/>
      <c r="R828" s="511"/>
      <c r="S828" s="511"/>
      <c r="T828" s="511"/>
      <c r="U828" s="511"/>
      <c r="V828" s="511"/>
      <c r="W828" s="511"/>
      <c r="X828" s="511"/>
      <c r="Y828" s="511"/>
      <c r="Z828" s="511"/>
    </row>
    <row r="829" spans="1:26" ht="19.5" customHeight="1" x14ac:dyDescent="0.3">
      <c r="A829" s="511"/>
      <c r="B829" s="511"/>
      <c r="C829" s="511"/>
      <c r="D829" s="511"/>
      <c r="E829" s="511"/>
      <c r="F829" s="511"/>
      <c r="G829" s="511"/>
      <c r="H829" s="511"/>
      <c r="I829" s="511"/>
      <c r="J829" s="511"/>
      <c r="K829" s="511"/>
      <c r="L829" s="511"/>
      <c r="M829" s="511"/>
      <c r="N829" s="511"/>
      <c r="O829" s="511"/>
      <c r="P829" s="511"/>
      <c r="Q829" s="511"/>
      <c r="R829" s="511"/>
      <c r="S829" s="511"/>
      <c r="T829" s="511"/>
      <c r="U829" s="511"/>
      <c r="V829" s="511"/>
      <c r="W829" s="511"/>
      <c r="X829" s="511"/>
      <c r="Y829" s="511"/>
      <c r="Z829" s="511"/>
    </row>
    <row r="830" spans="1:26" ht="19.5" customHeight="1" x14ac:dyDescent="0.3">
      <c r="A830" s="511"/>
      <c r="B830" s="511"/>
      <c r="C830" s="511"/>
      <c r="D830" s="511"/>
      <c r="E830" s="511"/>
      <c r="F830" s="511"/>
      <c r="G830" s="511"/>
      <c r="H830" s="511"/>
      <c r="I830" s="511"/>
      <c r="J830" s="511"/>
      <c r="K830" s="511"/>
      <c r="L830" s="511"/>
      <c r="M830" s="511"/>
      <c r="N830" s="511"/>
      <c r="O830" s="511"/>
      <c r="P830" s="511"/>
      <c r="Q830" s="511"/>
      <c r="R830" s="511"/>
      <c r="S830" s="511"/>
      <c r="T830" s="511"/>
      <c r="U830" s="511"/>
      <c r="V830" s="511"/>
      <c r="W830" s="511"/>
      <c r="X830" s="511"/>
      <c r="Y830" s="511"/>
      <c r="Z830" s="511"/>
    </row>
    <row r="831" spans="1:26" ht="19.5" customHeight="1" x14ac:dyDescent="0.3">
      <c r="A831" s="511"/>
      <c r="B831" s="511"/>
      <c r="C831" s="511"/>
      <c r="D831" s="511"/>
      <c r="E831" s="511"/>
      <c r="F831" s="511"/>
      <c r="G831" s="511"/>
      <c r="H831" s="511"/>
      <c r="I831" s="511"/>
      <c r="J831" s="511"/>
      <c r="K831" s="511"/>
      <c r="L831" s="511"/>
      <c r="M831" s="511"/>
      <c r="N831" s="511"/>
      <c r="O831" s="511"/>
      <c r="P831" s="511"/>
      <c r="Q831" s="511"/>
      <c r="R831" s="511"/>
      <c r="S831" s="511"/>
      <c r="T831" s="511"/>
      <c r="U831" s="511"/>
      <c r="V831" s="511"/>
      <c r="W831" s="511"/>
      <c r="X831" s="511"/>
      <c r="Y831" s="511"/>
      <c r="Z831" s="511"/>
    </row>
    <row r="832" spans="1:26" ht="19.5" customHeight="1" x14ac:dyDescent="0.3">
      <c r="A832" s="511"/>
      <c r="B832" s="511"/>
      <c r="C832" s="511"/>
      <c r="D832" s="511"/>
      <c r="E832" s="511"/>
      <c r="F832" s="511"/>
      <c r="G832" s="511"/>
      <c r="H832" s="511"/>
      <c r="I832" s="511"/>
      <c r="J832" s="511"/>
      <c r="K832" s="511"/>
      <c r="L832" s="511"/>
      <c r="M832" s="511"/>
      <c r="N832" s="511"/>
      <c r="O832" s="511"/>
      <c r="P832" s="511"/>
      <c r="Q832" s="511"/>
      <c r="R832" s="511"/>
      <c r="S832" s="511"/>
      <c r="T832" s="511"/>
      <c r="U832" s="511"/>
      <c r="V832" s="511"/>
      <c r="W832" s="511"/>
      <c r="X832" s="511"/>
      <c r="Y832" s="511"/>
      <c r="Z832" s="511"/>
    </row>
    <row r="833" spans="1:26" ht="19.5" customHeight="1" x14ac:dyDescent="0.3">
      <c r="A833" s="511"/>
      <c r="B833" s="511"/>
      <c r="C833" s="511"/>
      <c r="D833" s="511"/>
      <c r="E833" s="511"/>
      <c r="F833" s="511"/>
      <c r="G833" s="511"/>
      <c r="H833" s="511"/>
      <c r="I833" s="511"/>
      <c r="J833" s="511"/>
      <c r="K833" s="511"/>
      <c r="L833" s="511"/>
      <c r="M833" s="511"/>
      <c r="N833" s="511"/>
      <c r="O833" s="511"/>
      <c r="P833" s="511"/>
      <c r="Q833" s="511"/>
      <c r="R833" s="511"/>
      <c r="S833" s="511"/>
      <c r="T833" s="511"/>
      <c r="U833" s="511"/>
      <c r="V833" s="511"/>
      <c r="W833" s="511"/>
      <c r="X833" s="511"/>
      <c r="Y833" s="511"/>
      <c r="Z833" s="511"/>
    </row>
    <row r="834" spans="1:26" ht="19.5" customHeight="1" x14ac:dyDescent="0.3">
      <c r="A834" s="511"/>
      <c r="B834" s="511"/>
      <c r="C834" s="511"/>
      <c r="D834" s="511"/>
      <c r="E834" s="511"/>
      <c r="F834" s="511"/>
      <c r="G834" s="511"/>
      <c r="H834" s="511"/>
      <c r="I834" s="511"/>
      <c r="J834" s="511"/>
      <c r="K834" s="511"/>
      <c r="L834" s="511"/>
      <c r="M834" s="511"/>
      <c r="N834" s="511"/>
      <c r="O834" s="511"/>
      <c r="P834" s="511"/>
      <c r="Q834" s="511"/>
      <c r="R834" s="511"/>
      <c r="S834" s="511"/>
      <c r="T834" s="511"/>
      <c r="U834" s="511"/>
      <c r="V834" s="511"/>
      <c r="W834" s="511"/>
      <c r="X834" s="511"/>
      <c r="Y834" s="511"/>
      <c r="Z834" s="511"/>
    </row>
    <row r="835" spans="1:26" ht="19.5" customHeight="1" x14ac:dyDescent="0.3">
      <c r="A835" s="511"/>
      <c r="B835" s="511"/>
      <c r="C835" s="511"/>
      <c r="D835" s="511"/>
      <c r="E835" s="511"/>
      <c r="F835" s="511"/>
      <c r="G835" s="511"/>
      <c r="H835" s="511"/>
      <c r="I835" s="511"/>
      <c r="J835" s="511"/>
      <c r="K835" s="511"/>
      <c r="L835" s="511"/>
      <c r="M835" s="511"/>
      <c r="N835" s="511"/>
      <c r="O835" s="511"/>
      <c r="P835" s="511"/>
      <c r="Q835" s="511"/>
      <c r="R835" s="511"/>
      <c r="S835" s="511"/>
      <c r="T835" s="511"/>
      <c r="U835" s="511"/>
      <c r="V835" s="511"/>
      <c r="W835" s="511"/>
      <c r="X835" s="511"/>
      <c r="Y835" s="511"/>
      <c r="Z835" s="511"/>
    </row>
    <row r="836" spans="1:26" ht="19.5" customHeight="1" x14ac:dyDescent="0.3">
      <c r="A836" s="511"/>
      <c r="B836" s="511"/>
      <c r="C836" s="511"/>
      <c r="D836" s="511"/>
      <c r="E836" s="511"/>
      <c r="F836" s="511"/>
      <c r="G836" s="511"/>
      <c r="H836" s="511"/>
      <c r="I836" s="511"/>
      <c r="J836" s="511"/>
      <c r="K836" s="511"/>
      <c r="L836" s="511"/>
      <c r="M836" s="511"/>
      <c r="N836" s="511"/>
      <c r="O836" s="511"/>
      <c r="P836" s="511"/>
      <c r="Q836" s="511"/>
      <c r="R836" s="511"/>
      <c r="S836" s="511"/>
      <c r="T836" s="511"/>
      <c r="U836" s="511"/>
      <c r="V836" s="511"/>
      <c r="W836" s="511"/>
      <c r="X836" s="511"/>
      <c r="Y836" s="511"/>
      <c r="Z836" s="511"/>
    </row>
    <row r="837" spans="1:26" ht="19.5" customHeight="1" x14ac:dyDescent="0.3">
      <c r="A837" s="511"/>
      <c r="B837" s="511"/>
      <c r="C837" s="511"/>
      <c r="D837" s="511"/>
      <c r="E837" s="511"/>
      <c r="F837" s="511"/>
      <c r="G837" s="511"/>
      <c r="H837" s="511"/>
      <c r="I837" s="511"/>
      <c r="J837" s="511"/>
      <c r="K837" s="511"/>
      <c r="L837" s="511"/>
      <c r="M837" s="511"/>
      <c r="N837" s="511"/>
      <c r="O837" s="511"/>
      <c r="P837" s="511"/>
      <c r="Q837" s="511"/>
      <c r="R837" s="511"/>
      <c r="S837" s="511"/>
      <c r="T837" s="511"/>
      <c r="U837" s="511"/>
      <c r="V837" s="511"/>
      <c r="W837" s="511"/>
      <c r="X837" s="511"/>
      <c r="Y837" s="511"/>
      <c r="Z837" s="511"/>
    </row>
    <row r="838" spans="1:26" ht="19.5" customHeight="1" x14ac:dyDescent="0.3">
      <c r="A838" s="511"/>
      <c r="B838" s="511"/>
      <c r="C838" s="511"/>
      <c r="D838" s="511"/>
      <c r="E838" s="511"/>
      <c r="F838" s="511"/>
      <c r="G838" s="511"/>
      <c r="H838" s="511"/>
      <c r="I838" s="511"/>
      <c r="J838" s="511"/>
      <c r="K838" s="511"/>
      <c r="L838" s="511"/>
      <c r="M838" s="511"/>
      <c r="N838" s="511"/>
      <c r="O838" s="511"/>
      <c r="P838" s="511"/>
      <c r="Q838" s="511"/>
      <c r="R838" s="511"/>
      <c r="S838" s="511"/>
      <c r="T838" s="511"/>
      <c r="U838" s="511"/>
      <c r="V838" s="511"/>
      <c r="W838" s="511"/>
      <c r="X838" s="511"/>
      <c r="Y838" s="511"/>
      <c r="Z838" s="511"/>
    </row>
    <row r="839" spans="1:26" ht="19.5" customHeight="1" x14ac:dyDescent="0.3">
      <c r="A839" s="511"/>
      <c r="B839" s="511"/>
      <c r="C839" s="511"/>
      <c r="D839" s="511"/>
      <c r="E839" s="511"/>
      <c r="F839" s="511"/>
      <c r="G839" s="511"/>
      <c r="H839" s="511"/>
      <c r="I839" s="511"/>
      <c r="J839" s="511"/>
      <c r="K839" s="511"/>
      <c r="L839" s="511"/>
      <c r="M839" s="511"/>
      <c r="N839" s="511"/>
      <c r="O839" s="511"/>
      <c r="P839" s="511"/>
      <c r="Q839" s="511"/>
      <c r="R839" s="511"/>
      <c r="S839" s="511"/>
      <c r="T839" s="511"/>
      <c r="U839" s="511"/>
      <c r="V839" s="511"/>
      <c r="W839" s="511"/>
      <c r="X839" s="511"/>
      <c r="Y839" s="511"/>
      <c r="Z839" s="511"/>
    </row>
    <row r="840" spans="1:26" ht="19.5" customHeight="1" x14ac:dyDescent="0.3">
      <c r="A840" s="511"/>
      <c r="B840" s="511"/>
      <c r="C840" s="511"/>
      <c r="D840" s="511"/>
      <c r="E840" s="511"/>
      <c r="F840" s="511"/>
      <c r="G840" s="511"/>
      <c r="H840" s="511"/>
      <c r="I840" s="511"/>
      <c r="J840" s="511"/>
      <c r="K840" s="511"/>
      <c r="L840" s="511"/>
      <c r="M840" s="511"/>
      <c r="N840" s="511"/>
      <c r="O840" s="511"/>
      <c r="P840" s="511"/>
      <c r="Q840" s="511"/>
      <c r="R840" s="511"/>
      <c r="S840" s="511"/>
      <c r="T840" s="511"/>
      <c r="U840" s="511"/>
      <c r="V840" s="511"/>
      <c r="W840" s="511"/>
      <c r="X840" s="511"/>
      <c r="Y840" s="511"/>
      <c r="Z840" s="511"/>
    </row>
    <row r="841" spans="1:26" ht="19.5" customHeight="1" x14ac:dyDescent="0.3">
      <c r="A841" s="511"/>
      <c r="B841" s="511"/>
      <c r="C841" s="511"/>
      <c r="D841" s="511"/>
      <c r="E841" s="511"/>
      <c r="F841" s="511"/>
      <c r="G841" s="511"/>
      <c r="H841" s="511"/>
      <c r="I841" s="511"/>
      <c r="J841" s="511"/>
      <c r="K841" s="511"/>
      <c r="L841" s="511"/>
      <c r="M841" s="511"/>
      <c r="N841" s="511"/>
      <c r="O841" s="511"/>
      <c r="P841" s="511"/>
      <c r="Q841" s="511"/>
      <c r="R841" s="511"/>
      <c r="S841" s="511"/>
      <c r="T841" s="511"/>
      <c r="U841" s="511"/>
      <c r="V841" s="511"/>
      <c r="W841" s="511"/>
      <c r="X841" s="511"/>
      <c r="Y841" s="511"/>
      <c r="Z841" s="511"/>
    </row>
    <row r="842" spans="1:26" ht="19.5" customHeight="1" x14ac:dyDescent="0.3">
      <c r="A842" s="511"/>
      <c r="B842" s="511"/>
      <c r="C842" s="511"/>
      <c r="D842" s="511"/>
      <c r="E842" s="511"/>
      <c r="F842" s="511"/>
      <c r="G842" s="511"/>
      <c r="H842" s="511"/>
      <c r="I842" s="511"/>
      <c r="J842" s="511"/>
      <c r="K842" s="511"/>
      <c r="L842" s="511"/>
      <c r="M842" s="511"/>
      <c r="N842" s="511"/>
      <c r="O842" s="511"/>
      <c r="P842" s="511"/>
      <c r="Q842" s="511"/>
      <c r="R842" s="511"/>
      <c r="S842" s="511"/>
      <c r="T842" s="511"/>
      <c r="U842" s="511"/>
      <c r="V842" s="511"/>
      <c r="W842" s="511"/>
      <c r="X842" s="511"/>
      <c r="Y842" s="511"/>
      <c r="Z842" s="511"/>
    </row>
    <row r="843" spans="1:26" ht="19.5" customHeight="1" x14ac:dyDescent="0.3">
      <c r="A843" s="511"/>
      <c r="B843" s="511"/>
      <c r="C843" s="511"/>
      <c r="D843" s="511"/>
      <c r="E843" s="511"/>
      <c r="F843" s="511"/>
      <c r="G843" s="511"/>
      <c r="H843" s="511"/>
      <c r="I843" s="511"/>
      <c r="J843" s="511"/>
      <c r="K843" s="511"/>
      <c r="L843" s="511"/>
      <c r="M843" s="511"/>
      <c r="N843" s="511"/>
      <c r="O843" s="511"/>
      <c r="P843" s="511"/>
      <c r="Q843" s="511"/>
      <c r="R843" s="511"/>
      <c r="S843" s="511"/>
      <c r="T843" s="511"/>
      <c r="U843" s="511"/>
      <c r="V843" s="511"/>
      <c r="W843" s="511"/>
      <c r="X843" s="511"/>
      <c r="Y843" s="511"/>
      <c r="Z843" s="511"/>
    </row>
    <row r="844" spans="1:26" ht="19.5" customHeight="1" x14ac:dyDescent="0.3">
      <c r="A844" s="511"/>
      <c r="B844" s="511"/>
      <c r="C844" s="511"/>
      <c r="D844" s="511"/>
      <c r="E844" s="511"/>
      <c r="F844" s="511"/>
      <c r="G844" s="511"/>
      <c r="H844" s="511"/>
      <c r="I844" s="511"/>
      <c r="J844" s="511"/>
      <c r="K844" s="511"/>
      <c r="L844" s="511"/>
      <c r="M844" s="511"/>
      <c r="N844" s="511"/>
      <c r="O844" s="511"/>
      <c r="P844" s="511"/>
      <c r="Q844" s="511"/>
      <c r="R844" s="511"/>
      <c r="S844" s="511"/>
      <c r="T844" s="511"/>
      <c r="U844" s="511"/>
      <c r="V844" s="511"/>
      <c r="W844" s="511"/>
      <c r="X844" s="511"/>
      <c r="Y844" s="511"/>
      <c r="Z844" s="511"/>
    </row>
    <row r="845" spans="1:26" ht="19.5" customHeight="1" x14ac:dyDescent="0.3">
      <c r="A845" s="511"/>
      <c r="B845" s="511"/>
      <c r="C845" s="511"/>
      <c r="D845" s="511"/>
      <c r="E845" s="511"/>
      <c r="F845" s="511"/>
      <c r="G845" s="511"/>
      <c r="H845" s="511"/>
      <c r="I845" s="511"/>
      <c r="J845" s="511"/>
      <c r="K845" s="511"/>
      <c r="L845" s="511"/>
      <c r="M845" s="511"/>
      <c r="N845" s="511"/>
      <c r="O845" s="511"/>
      <c r="P845" s="511"/>
      <c r="Q845" s="511"/>
      <c r="R845" s="511"/>
      <c r="S845" s="511"/>
      <c r="T845" s="511"/>
      <c r="U845" s="511"/>
      <c r="V845" s="511"/>
      <c r="W845" s="511"/>
      <c r="X845" s="511"/>
      <c r="Y845" s="511"/>
      <c r="Z845" s="511"/>
    </row>
    <row r="846" spans="1:26" ht="19.5" customHeight="1" x14ac:dyDescent="0.3">
      <c r="A846" s="511"/>
      <c r="B846" s="511"/>
      <c r="C846" s="511"/>
      <c r="D846" s="511"/>
      <c r="E846" s="511"/>
      <c r="F846" s="511"/>
      <c r="G846" s="511"/>
      <c r="H846" s="511"/>
      <c r="I846" s="511"/>
      <c r="J846" s="511"/>
      <c r="K846" s="511"/>
      <c r="L846" s="511"/>
      <c r="M846" s="511"/>
      <c r="N846" s="511"/>
      <c r="O846" s="511"/>
      <c r="P846" s="511"/>
      <c r="Q846" s="511"/>
      <c r="R846" s="511"/>
      <c r="S846" s="511"/>
      <c r="T846" s="511"/>
      <c r="U846" s="511"/>
      <c r="V846" s="511"/>
      <c r="W846" s="511"/>
      <c r="X846" s="511"/>
      <c r="Y846" s="511"/>
      <c r="Z846" s="511"/>
    </row>
    <row r="847" spans="1:26" ht="19.5" customHeight="1" x14ac:dyDescent="0.3">
      <c r="A847" s="511"/>
      <c r="B847" s="511"/>
      <c r="C847" s="511"/>
      <c r="D847" s="511"/>
      <c r="E847" s="511"/>
      <c r="F847" s="511"/>
      <c r="G847" s="511"/>
      <c r="H847" s="511"/>
      <c r="I847" s="511"/>
      <c r="J847" s="511"/>
      <c r="K847" s="511"/>
      <c r="L847" s="511"/>
      <c r="M847" s="511"/>
      <c r="N847" s="511"/>
      <c r="O847" s="511"/>
      <c r="P847" s="511"/>
      <c r="Q847" s="511"/>
      <c r="R847" s="511"/>
      <c r="S847" s="511"/>
      <c r="T847" s="511"/>
      <c r="U847" s="511"/>
      <c r="V847" s="511"/>
      <c r="W847" s="511"/>
      <c r="X847" s="511"/>
      <c r="Y847" s="511"/>
      <c r="Z847" s="511"/>
    </row>
    <row r="848" spans="1:26" ht="19.5" customHeight="1" x14ac:dyDescent="0.3">
      <c r="A848" s="511"/>
      <c r="B848" s="511"/>
      <c r="C848" s="511"/>
      <c r="D848" s="511"/>
      <c r="E848" s="511"/>
      <c r="F848" s="511"/>
      <c r="G848" s="511"/>
      <c r="H848" s="511"/>
      <c r="I848" s="511"/>
      <c r="J848" s="511"/>
      <c r="K848" s="511"/>
      <c r="L848" s="511"/>
      <c r="M848" s="511"/>
      <c r="N848" s="511"/>
      <c r="O848" s="511"/>
      <c r="P848" s="511"/>
      <c r="Q848" s="511"/>
      <c r="R848" s="511"/>
      <c r="S848" s="511"/>
      <c r="T848" s="511"/>
      <c r="U848" s="511"/>
      <c r="V848" s="511"/>
      <c r="W848" s="511"/>
      <c r="X848" s="511"/>
      <c r="Y848" s="511"/>
      <c r="Z848" s="511"/>
    </row>
    <row r="849" spans="1:26" ht="19.5" customHeight="1" x14ac:dyDescent="0.3">
      <c r="A849" s="511"/>
      <c r="B849" s="511"/>
      <c r="C849" s="511"/>
      <c r="D849" s="511"/>
      <c r="E849" s="511"/>
      <c r="F849" s="511"/>
      <c r="G849" s="511"/>
      <c r="H849" s="511"/>
      <c r="I849" s="511"/>
      <c r="J849" s="511"/>
      <c r="K849" s="511"/>
      <c r="L849" s="511"/>
      <c r="M849" s="511"/>
      <c r="N849" s="511"/>
      <c r="O849" s="511"/>
      <c r="P849" s="511"/>
      <c r="Q849" s="511"/>
      <c r="R849" s="511"/>
      <c r="S849" s="511"/>
      <c r="T849" s="511"/>
      <c r="U849" s="511"/>
      <c r="V849" s="511"/>
      <c r="W849" s="511"/>
      <c r="X849" s="511"/>
      <c r="Y849" s="511"/>
      <c r="Z849" s="511"/>
    </row>
    <row r="850" spans="1:26" ht="19.5" customHeight="1" x14ac:dyDescent="0.3">
      <c r="A850" s="511"/>
      <c r="B850" s="511"/>
      <c r="C850" s="511"/>
      <c r="D850" s="511"/>
      <c r="E850" s="511"/>
      <c r="F850" s="511"/>
      <c r="G850" s="511"/>
      <c r="H850" s="511"/>
      <c r="I850" s="511"/>
      <c r="J850" s="511"/>
      <c r="K850" s="511"/>
      <c r="L850" s="511"/>
      <c r="M850" s="511"/>
      <c r="N850" s="511"/>
      <c r="O850" s="511"/>
      <c r="P850" s="511"/>
      <c r="Q850" s="511"/>
      <c r="R850" s="511"/>
      <c r="S850" s="511"/>
      <c r="T850" s="511"/>
      <c r="U850" s="511"/>
      <c r="V850" s="511"/>
      <c r="W850" s="511"/>
      <c r="X850" s="511"/>
      <c r="Y850" s="511"/>
      <c r="Z850" s="511"/>
    </row>
    <row r="851" spans="1:26" ht="19.5" customHeight="1" x14ac:dyDescent="0.3">
      <c r="A851" s="511"/>
      <c r="B851" s="511"/>
      <c r="C851" s="511"/>
      <c r="D851" s="511"/>
      <c r="E851" s="511"/>
      <c r="F851" s="511"/>
      <c r="G851" s="511"/>
      <c r="H851" s="511"/>
      <c r="I851" s="511"/>
      <c r="J851" s="511"/>
      <c r="K851" s="511"/>
      <c r="L851" s="511"/>
      <c r="M851" s="511"/>
      <c r="N851" s="511"/>
      <c r="O851" s="511"/>
      <c r="P851" s="511"/>
      <c r="Q851" s="511"/>
      <c r="R851" s="511"/>
      <c r="S851" s="511"/>
      <c r="T851" s="511"/>
      <c r="U851" s="511"/>
      <c r="V851" s="511"/>
      <c r="W851" s="511"/>
      <c r="X851" s="511"/>
      <c r="Y851" s="511"/>
      <c r="Z851" s="511"/>
    </row>
    <row r="852" spans="1:26" ht="19.5" customHeight="1" x14ac:dyDescent="0.3">
      <c r="A852" s="511"/>
      <c r="B852" s="511"/>
      <c r="C852" s="511"/>
      <c r="D852" s="511"/>
      <c r="E852" s="511"/>
      <c r="F852" s="511"/>
      <c r="G852" s="511"/>
      <c r="H852" s="511"/>
      <c r="I852" s="511"/>
      <c r="J852" s="511"/>
      <c r="K852" s="511"/>
      <c r="L852" s="511"/>
      <c r="M852" s="511"/>
      <c r="N852" s="511"/>
      <c r="O852" s="511"/>
      <c r="P852" s="511"/>
      <c r="Q852" s="511"/>
      <c r="R852" s="511"/>
      <c r="S852" s="511"/>
      <c r="T852" s="511"/>
      <c r="U852" s="511"/>
      <c r="V852" s="511"/>
      <c r="W852" s="511"/>
      <c r="X852" s="511"/>
      <c r="Y852" s="511"/>
      <c r="Z852" s="511"/>
    </row>
    <row r="853" spans="1:26" ht="19.5" customHeight="1" x14ac:dyDescent="0.3">
      <c r="A853" s="511"/>
      <c r="B853" s="511"/>
      <c r="C853" s="511"/>
      <c r="D853" s="511"/>
      <c r="E853" s="511"/>
      <c r="F853" s="511"/>
      <c r="G853" s="511"/>
      <c r="H853" s="511"/>
      <c r="I853" s="511"/>
      <c r="J853" s="511"/>
      <c r="K853" s="511"/>
      <c r="L853" s="511"/>
      <c r="M853" s="511"/>
      <c r="N853" s="511"/>
      <c r="O853" s="511"/>
      <c r="P853" s="511"/>
      <c r="Q853" s="511"/>
      <c r="R853" s="511"/>
      <c r="S853" s="511"/>
      <c r="T853" s="511"/>
      <c r="U853" s="511"/>
      <c r="V853" s="511"/>
      <c r="W853" s="511"/>
      <c r="X853" s="511"/>
      <c r="Y853" s="511"/>
      <c r="Z853" s="511"/>
    </row>
    <row r="854" spans="1:26" ht="19.5" customHeight="1" x14ac:dyDescent="0.3">
      <c r="A854" s="511"/>
      <c r="B854" s="511"/>
      <c r="C854" s="511"/>
      <c r="D854" s="511"/>
      <c r="E854" s="511"/>
      <c r="F854" s="511"/>
      <c r="G854" s="511"/>
      <c r="H854" s="511"/>
      <c r="I854" s="511"/>
      <c r="J854" s="511"/>
      <c r="K854" s="511"/>
      <c r="L854" s="511"/>
      <c r="M854" s="511"/>
      <c r="N854" s="511"/>
      <c r="O854" s="511"/>
      <c r="P854" s="511"/>
      <c r="Q854" s="511"/>
      <c r="R854" s="511"/>
      <c r="S854" s="511"/>
      <c r="T854" s="511"/>
      <c r="U854" s="511"/>
      <c r="V854" s="511"/>
      <c r="W854" s="511"/>
      <c r="X854" s="511"/>
      <c r="Y854" s="511"/>
      <c r="Z854" s="511"/>
    </row>
    <row r="855" spans="1:26" ht="19.5" customHeight="1" x14ac:dyDescent="0.3">
      <c r="A855" s="511"/>
      <c r="B855" s="511"/>
      <c r="C855" s="511"/>
      <c r="D855" s="511"/>
      <c r="E855" s="511"/>
      <c r="F855" s="511"/>
      <c r="G855" s="511"/>
      <c r="H855" s="511"/>
      <c r="I855" s="511"/>
      <c r="J855" s="511"/>
      <c r="K855" s="511"/>
      <c r="L855" s="511"/>
      <c r="M855" s="511"/>
      <c r="N855" s="511"/>
      <c r="O855" s="511"/>
      <c r="P855" s="511"/>
      <c r="Q855" s="511"/>
      <c r="R855" s="511"/>
      <c r="S855" s="511"/>
      <c r="T855" s="511"/>
      <c r="U855" s="511"/>
      <c r="V855" s="511"/>
      <c r="W855" s="511"/>
      <c r="X855" s="511"/>
      <c r="Y855" s="511"/>
      <c r="Z855" s="511"/>
    </row>
    <row r="856" spans="1:26" ht="19.5" customHeight="1" x14ac:dyDescent="0.3">
      <c r="A856" s="511"/>
      <c r="B856" s="511"/>
      <c r="C856" s="511"/>
      <c r="D856" s="511"/>
      <c r="E856" s="511"/>
      <c r="F856" s="511"/>
      <c r="G856" s="511"/>
      <c r="H856" s="511"/>
      <c r="I856" s="511"/>
      <c r="J856" s="511"/>
      <c r="K856" s="511"/>
      <c r="L856" s="511"/>
      <c r="M856" s="511"/>
      <c r="N856" s="511"/>
      <c r="O856" s="511"/>
      <c r="P856" s="511"/>
      <c r="Q856" s="511"/>
      <c r="R856" s="511"/>
      <c r="S856" s="511"/>
      <c r="T856" s="511"/>
      <c r="U856" s="511"/>
      <c r="V856" s="511"/>
      <c r="W856" s="511"/>
      <c r="X856" s="511"/>
      <c r="Y856" s="511"/>
      <c r="Z856" s="511"/>
    </row>
    <row r="857" spans="1:26" ht="19.5" customHeight="1" x14ac:dyDescent="0.3">
      <c r="A857" s="511"/>
      <c r="B857" s="511"/>
      <c r="C857" s="511"/>
      <c r="D857" s="511"/>
      <c r="E857" s="511"/>
      <c r="F857" s="511"/>
      <c r="G857" s="511"/>
      <c r="H857" s="511"/>
      <c r="I857" s="511"/>
      <c r="J857" s="511"/>
      <c r="K857" s="511"/>
      <c r="L857" s="511"/>
      <c r="M857" s="511"/>
      <c r="N857" s="511"/>
      <c r="O857" s="511"/>
      <c r="P857" s="511"/>
      <c r="Q857" s="511"/>
      <c r="R857" s="511"/>
      <c r="S857" s="511"/>
      <c r="T857" s="511"/>
      <c r="U857" s="511"/>
      <c r="V857" s="511"/>
      <c r="W857" s="511"/>
      <c r="X857" s="511"/>
      <c r="Y857" s="511"/>
      <c r="Z857" s="511"/>
    </row>
    <row r="858" spans="1:26" ht="19.5" customHeight="1" x14ac:dyDescent="0.3">
      <c r="A858" s="511"/>
      <c r="B858" s="511"/>
      <c r="C858" s="511"/>
      <c r="D858" s="511"/>
      <c r="E858" s="511"/>
      <c r="F858" s="511"/>
      <c r="G858" s="511"/>
      <c r="H858" s="511"/>
      <c r="I858" s="511"/>
      <c r="J858" s="511"/>
      <c r="K858" s="511"/>
      <c r="L858" s="511"/>
      <c r="M858" s="511"/>
      <c r="N858" s="511"/>
      <c r="O858" s="511"/>
      <c r="P858" s="511"/>
      <c r="Q858" s="511"/>
      <c r="R858" s="511"/>
      <c r="S858" s="511"/>
      <c r="T858" s="511"/>
      <c r="U858" s="511"/>
      <c r="V858" s="511"/>
      <c r="W858" s="511"/>
      <c r="X858" s="511"/>
      <c r="Y858" s="511"/>
      <c r="Z858" s="511"/>
    </row>
    <row r="859" spans="1:26" ht="19.5" customHeight="1" x14ac:dyDescent="0.3">
      <c r="A859" s="511"/>
      <c r="B859" s="511"/>
      <c r="C859" s="511"/>
      <c r="D859" s="511"/>
      <c r="E859" s="511"/>
      <c r="F859" s="511"/>
      <c r="G859" s="511"/>
      <c r="H859" s="511"/>
      <c r="I859" s="511"/>
      <c r="J859" s="511"/>
      <c r="K859" s="511"/>
      <c r="L859" s="511"/>
      <c r="M859" s="511"/>
      <c r="N859" s="511"/>
      <c r="O859" s="511"/>
      <c r="P859" s="511"/>
      <c r="Q859" s="511"/>
      <c r="R859" s="511"/>
      <c r="S859" s="511"/>
      <c r="T859" s="511"/>
      <c r="U859" s="511"/>
      <c r="V859" s="511"/>
      <c r="W859" s="511"/>
      <c r="X859" s="511"/>
      <c r="Y859" s="511"/>
      <c r="Z859" s="511"/>
    </row>
    <row r="860" spans="1:26" ht="19.5" customHeight="1" x14ac:dyDescent="0.3">
      <c r="A860" s="511"/>
      <c r="B860" s="511"/>
      <c r="C860" s="511"/>
      <c r="D860" s="511"/>
      <c r="E860" s="511"/>
      <c r="F860" s="511"/>
      <c r="G860" s="511"/>
      <c r="H860" s="511"/>
      <c r="I860" s="511"/>
      <c r="J860" s="511"/>
      <c r="K860" s="511"/>
      <c r="L860" s="511"/>
      <c r="M860" s="511"/>
      <c r="N860" s="511"/>
      <c r="O860" s="511"/>
      <c r="P860" s="511"/>
      <c r="Q860" s="511"/>
      <c r="R860" s="511"/>
      <c r="S860" s="511"/>
      <c r="T860" s="511"/>
      <c r="U860" s="511"/>
      <c r="V860" s="511"/>
      <c r="W860" s="511"/>
      <c r="X860" s="511"/>
      <c r="Y860" s="511"/>
      <c r="Z860" s="511"/>
    </row>
    <row r="861" spans="1:26" ht="19.5" customHeight="1" x14ac:dyDescent="0.3">
      <c r="A861" s="511"/>
      <c r="B861" s="511"/>
      <c r="C861" s="511"/>
      <c r="D861" s="511"/>
      <c r="E861" s="511"/>
      <c r="F861" s="511"/>
      <c r="G861" s="511"/>
      <c r="H861" s="511"/>
      <c r="I861" s="511"/>
      <c r="J861" s="511"/>
      <c r="K861" s="511"/>
      <c r="L861" s="511"/>
      <c r="M861" s="511"/>
      <c r="N861" s="511"/>
      <c r="O861" s="511"/>
      <c r="P861" s="511"/>
      <c r="Q861" s="511"/>
      <c r="R861" s="511"/>
      <c r="S861" s="511"/>
      <c r="T861" s="511"/>
      <c r="U861" s="511"/>
      <c r="V861" s="511"/>
      <c r="W861" s="511"/>
      <c r="X861" s="511"/>
      <c r="Y861" s="511"/>
      <c r="Z861" s="511"/>
    </row>
    <row r="862" spans="1:26" ht="19.5" customHeight="1" x14ac:dyDescent="0.3">
      <c r="A862" s="511"/>
      <c r="B862" s="511"/>
      <c r="C862" s="511"/>
      <c r="D862" s="511"/>
      <c r="E862" s="511"/>
      <c r="F862" s="511"/>
      <c r="G862" s="511"/>
      <c r="H862" s="511"/>
      <c r="I862" s="511"/>
      <c r="J862" s="511"/>
      <c r="K862" s="511"/>
      <c r="L862" s="511"/>
      <c r="M862" s="511"/>
      <c r="N862" s="511"/>
      <c r="O862" s="511"/>
      <c r="P862" s="511"/>
      <c r="Q862" s="511"/>
      <c r="R862" s="511"/>
      <c r="S862" s="511"/>
      <c r="T862" s="511"/>
      <c r="U862" s="511"/>
      <c r="V862" s="511"/>
      <c r="W862" s="511"/>
      <c r="X862" s="511"/>
      <c r="Y862" s="511"/>
      <c r="Z862" s="511"/>
    </row>
    <row r="863" spans="1:26" ht="19.5" customHeight="1" x14ac:dyDescent="0.3">
      <c r="A863" s="511"/>
      <c r="B863" s="511"/>
      <c r="C863" s="511"/>
      <c r="D863" s="511"/>
      <c r="E863" s="511"/>
      <c r="F863" s="511"/>
      <c r="G863" s="511"/>
      <c r="H863" s="511"/>
      <c r="I863" s="511"/>
      <c r="J863" s="511"/>
      <c r="K863" s="511"/>
      <c r="L863" s="511"/>
      <c r="M863" s="511"/>
      <c r="N863" s="511"/>
      <c r="O863" s="511"/>
      <c r="P863" s="511"/>
      <c r="Q863" s="511"/>
      <c r="R863" s="511"/>
      <c r="S863" s="511"/>
      <c r="T863" s="511"/>
      <c r="U863" s="511"/>
      <c r="V863" s="511"/>
      <c r="W863" s="511"/>
      <c r="X863" s="511"/>
      <c r="Y863" s="511"/>
      <c r="Z863" s="511"/>
    </row>
    <row r="864" spans="1:26" ht="19.5" customHeight="1" x14ac:dyDescent="0.3">
      <c r="A864" s="511"/>
      <c r="B864" s="511"/>
      <c r="C864" s="511"/>
      <c r="D864" s="511"/>
      <c r="E864" s="511"/>
      <c r="F864" s="511"/>
      <c r="G864" s="511"/>
      <c r="H864" s="511"/>
      <c r="I864" s="511"/>
      <c r="J864" s="511"/>
      <c r="K864" s="511"/>
      <c r="L864" s="511"/>
      <c r="M864" s="511"/>
      <c r="N864" s="511"/>
      <c r="O864" s="511"/>
      <c r="P864" s="511"/>
      <c r="Q864" s="511"/>
      <c r="R864" s="511"/>
      <c r="S864" s="511"/>
      <c r="T864" s="511"/>
      <c r="U864" s="511"/>
      <c r="V864" s="511"/>
      <c r="W864" s="511"/>
      <c r="X864" s="511"/>
      <c r="Y864" s="511"/>
      <c r="Z864" s="511"/>
    </row>
    <row r="865" spans="1:26" ht="19.5" customHeight="1" x14ac:dyDescent="0.3">
      <c r="A865" s="511"/>
      <c r="B865" s="511"/>
      <c r="C865" s="511"/>
      <c r="D865" s="511"/>
      <c r="E865" s="511"/>
      <c r="F865" s="511"/>
      <c r="G865" s="511"/>
      <c r="H865" s="511"/>
      <c r="I865" s="511"/>
      <c r="J865" s="511"/>
      <c r="K865" s="511"/>
      <c r="L865" s="511"/>
      <c r="M865" s="511"/>
      <c r="N865" s="511"/>
      <c r="O865" s="511"/>
      <c r="P865" s="511"/>
      <c r="Q865" s="511"/>
      <c r="R865" s="511"/>
      <c r="S865" s="511"/>
      <c r="T865" s="511"/>
      <c r="U865" s="511"/>
      <c r="V865" s="511"/>
      <c r="W865" s="511"/>
      <c r="X865" s="511"/>
      <c r="Y865" s="511"/>
      <c r="Z865" s="511"/>
    </row>
    <row r="866" spans="1:26" ht="19.5" customHeight="1" x14ac:dyDescent="0.3">
      <c r="A866" s="511"/>
      <c r="B866" s="511"/>
      <c r="C866" s="511"/>
      <c r="D866" s="511"/>
      <c r="E866" s="511"/>
      <c r="F866" s="511"/>
      <c r="G866" s="511"/>
      <c r="H866" s="511"/>
      <c r="I866" s="511"/>
      <c r="J866" s="511"/>
      <c r="K866" s="511"/>
      <c r="L866" s="511"/>
      <c r="M866" s="511"/>
      <c r="N866" s="511"/>
      <c r="O866" s="511"/>
      <c r="P866" s="511"/>
      <c r="Q866" s="511"/>
      <c r="R866" s="511"/>
      <c r="S866" s="511"/>
      <c r="T866" s="511"/>
      <c r="U866" s="511"/>
      <c r="V866" s="511"/>
      <c r="W866" s="511"/>
      <c r="X866" s="511"/>
      <c r="Y866" s="511"/>
      <c r="Z866" s="511"/>
    </row>
    <row r="867" spans="1:26" ht="19.5" customHeight="1" x14ac:dyDescent="0.3">
      <c r="A867" s="511"/>
      <c r="B867" s="511"/>
      <c r="C867" s="511"/>
      <c r="D867" s="511"/>
      <c r="E867" s="511"/>
      <c r="F867" s="511"/>
      <c r="G867" s="511"/>
      <c r="H867" s="511"/>
      <c r="I867" s="511"/>
      <c r="J867" s="511"/>
      <c r="K867" s="511"/>
      <c r="L867" s="511"/>
      <c r="M867" s="511"/>
      <c r="N867" s="511"/>
      <c r="O867" s="511"/>
      <c r="P867" s="511"/>
      <c r="Q867" s="511"/>
      <c r="R867" s="511"/>
      <c r="S867" s="511"/>
      <c r="T867" s="511"/>
      <c r="U867" s="511"/>
      <c r="V867" s="511"/>
      <c r="W867" s="511"/>
      <c r="X867" s="511"/>
      <c r="Y867" s="511"/>
      <c r="Z867" s="511"/>
    </row>
    <row r="868" spans="1:26" ht="19.5" customHeight="1" x14ac:dyDescent="0.3">
      <c r="A868" s="511"/>
      <c r="B868" s="511"/>
      <c r="C868" s="511"/>
      <c r="D868" s="511"/>
      <c r="E868" s="511"/>
      <c r="F868" s="511"/>
      <c r="G868" s="511"/>
      <c r="H868" s="511"/>
      <c r="I868" s="511"/>
      <c r="J868" s="511"/>
      <c r="K868" s="511"/>
      <c r="L868" s="511"/>
      <c r="M868" s="511"/>
      <c r="N868" s="511"/>
      <c r="O868" s="511"/>
      <c r="P868" s="511"/>
      <c r="Q868" s="511"/>
      <c r="R868" s="511"/>
      <c r="S868" s="511"/>
      <c r="T868" s="511"/>
      <c r="U868" s="511"/>
      <c r="V868" s="511"/>
      <c r="W868" s="511"/>
      <c r="X868" s="511"/>
      <c r="Y868" s="511"/>
      <c r="Z868" s="511"/>
    </row>
    <row r="869" spans="1:26" ht="19.5" customHeight="1" x14ac:dyDescent="0.3">
      <c r="A869" s="511"/>
      <c r="B869" s="511"/>
      <c r="C869" s="511"/>
      <c r="D869" s="511"/>
      <c r="E869" s="511"/>
      <c r="F869" s="511"/>
      <c r="G869" s="511"/>
      <c r="H869" s="511"/>
      <c r="I869" s="511"/>
      <c r="J869" s="511"/>
      <c r="K869" s="511"/>
      <c r="L869" s="511"/>
      <c r="M869" s="511"/>
      <c r="N869" s="511"/>
      <c r="O869" s="511"/>
      <c r="P869" s="511"/>
      <c r="Q869" s="511"/>
      <c r="R869" s="511"/>
      <c r="S869" s="511"/>
      <c r="T869" s="511"/>
      <c r="U869" s="511"/>
      <c r="V869" s="511"/>
      <c r="W869" s="511"/>
      <c r="X869" s="511"/>
      <c r="Y869" s="511"/>
      <c r="Z869" s="511"/>
    </row>
    <row r="870" spans="1:26" ht="19.5" customHeight="1" x14ac:dyDescent="0.3">
      <c r="A870" s="511"/>
      <c r="B870" s="511"/>
      <c r="C870" s="511"/>
      <c r="D870" s="511"/>
      <c r="E870" s="511"/>
      <c r="F870" s="511"/>
      <c r="G870" s="511"/>
      <c r="H870" s="511"/>
      <c r="I870" s="511"/>
      <c r="J870" s="511"/>
      <c r="K870" s="511"/>
      <c r="L870" s="511"/>
      <c r="M870" s="511"/>
      <c r="N870" s="511"/>
      <c r="O870" s="511"/>
      <c r="P870" s="511"/>
      <c r="Q870" s="511"/>
      <c r="R870" s="511"/>
      <c r="S870" s="511"/>
      <c r="T870" s="511"/>
      <c r="U870" s="511"/>
      <c r="V870" s="511"/>
      <c r="W870" s="511"/>
      <c r="X870" s="511"/>
      <c r="Y870" s="511"/>
      <c r="Z870" s="511"/>
    </row>
    <row r="871" spans="1:26" ht="19.5" customHeight="1" x14ac:dyDescent="0.3">
      <c r="A871" s="511"/>
      <c r="B871" s="511"/>
      <c r="C871" s="511"/>
      <c r="D871" s="511"/>
      <c r="E871" s="511"/>
      <c r="F871" s="511"/>
      <c r="G871" s="511"/>
      <c r="H871" s="511"/>
      <c r="I871" s="511"/>
      <c r="J871" s="511"/>
      <c r="K871" s="511"/>
      <c r="L871" s="511"/>
      <c r="M871" s="511"/>
      <c r="N871" s="511"/>
      <c r="O871" s="511"/>
      <c r="P871" s="511"/>
      <c r="Q871" s="511"/>
      <c r="R871" s="511"/>
      <c r="S871" s="511"/>
      <c r="T871" s="511"/>
      <c r="U871" s="511"/>
      <c r="V871" s="511"/>
      <c r="W871" s="511"/>
      <c r="X871" s="511"/>
      <c r="Y871" s="511"/>
      <c r="Z871" s="511"/>
    </row>
    <row r="872" spans="1:26" ht="19.5" customHeight="1" x14ac:dyDescent="0.3">
      <c r="A872" s="511"/>
      <c r="B872" s="511"/>
      <c r="C872" s="511"/>
      <c r="D872" s="511"/>
      <c r="E872" s="511"/>
      <c r="F872" s="511"/>
      <c r="G872" s="511"/>
      <c r="H872" s="511"/>
      <c r="I872" s="511"/>
      <c r="J872" s="511"/>
      <c r="K872" s="511"/>
      <c r="L872" s="511"/>
      <c r="M872" s="511"/>
      <c r="N872" s="511"/>
      <c r="O872" s="511"/>
      <c r="P872" s="511"/>
      <c r="Q872" s="511"/>
      <c r="R872" s="511"/>
      <c r="S872" s="511"/>
      <c r="T872" s="511"/>
      <c r="U872" s="511"/>
      <c r="V872" s="511"/>
      <c r="W872" s="511"/>
      <c r="X872" s="511"/>
      <c r="Y872" s="511"/>
      <c r="Z872" s="511"/>
    </row>
    <row r="873" spans="1:26" ht="19.5" customHeight="1" x14ac:dyDescent="0.3">
      <c r="A873" s="511"/>
      <c r="B873" s="511"/>
      <c r="C873" s="511"/>
      <c r="D873" s="511"/>
      <c r="E873" s="511"/>
      <c r="F873" s="511"/>
      <c r="G873" s="511"/>
      <c r="H873" s="511"/>
      <c r="I873" s="511"/>
      <c r="J873" s="511"/>
      <c r="K873" s="511"/>
      <c r="L873" s="511"/>
      <c r="M873" s="511"/>
      <c r="N873" s="511"/>
      <c r="O873" s="511"/>
      <c r="P873" s="511"/>
      <c r="Q873" s="511"/>
      <c r="R873" s="511"/>
      <c r="S873" s="511"/>
      <c r="T873" s="511"/>
      <c r="U873" s="511"/>
      <c r="V873" s="511"/>
      <c r="W873" s="511"/>
      <c r="X873" s="511"/>
      <c r="Y873" s="511"/>
      <c r="Z873" s="511"/>
    </row>
    <row r="874" spans="1:26" ht="19.5" customHeight="1" x14ac:dyDescent="0.3">
      <c r="A874" s="511"/>
      <c r="B874" s="511"/>
      <c r="C874" s="511"/>
      <c r="D874" s="511"/>
      <c r="E874" s="511"/>
      <c r="F874" s="511"/>
      <c r="G874" s="511"/>
      <c r="H874" s="511"/>
      <c r="I874" s="511"/>
      <c r="J874" s="511"/>
      <c r="K874" s="511"/>
      <c r="L874" s="511"/>
      <c r="M874" s="511"/>
      <c r="N874" s="511"/>
      <c r="O874" s="511"/>
      <c r="P874" s="511"/>
      <c r="Q874" s="511"/>
      <c r="R874" s="511"/>
      <c r="S874" s="511"/>
      <c r="T874" s="511"/>
      <c r="U874" s="511"/>
      <c r="V874" s="511"/>
      <c r="W874" s="511"/>
      <c r="X874" s="511"/>
      <c r="Y874" s="511"/>
      <c r="Z874" s="511"/>
    </row>
    <row r="875" spans="1:26" ht="19.5" customHeight="1" x14ac:dyDescent="0.3">
      <c r="A875" s="511"/>
      <c r="B875" s="511"/>
      <c r="C875" s="511"/>
      <c r="D875" s="511"/>
      <c r="E875" s="511"/>
      <c r="F875" s="511"/>
      <c r="G875" s="511"/>
      <c r="H875" s="511"/>
      <c r="I875" s="511"/>
      <c r="J875" s="511"/>
      <c r="K875" s="511"/>
      <c r="L875" s="511"/>
      <c r="M875" s="511"/>
      <c r="N875" s="511"/>
      <c r="O875" s="511"/>
      <c r="P875" s="511"/>
      <c r="Q875" s="511"/>
      <c r="R875" s="511"/>
      <c r="S875" s="511"/>
      <c r="T875" s="511"/>
      <c r="U875" s="511"/>
      <c r="V875" s="511"/>
      <c r="W875" s="511"/>
      <c r="X875" s="511"/>
      <c r="Y875" s="511"/>
      <c r="Z875" s="511"/>
    </row>
    <row r="876" spans="1:26" ht="19.5" customHeight="1" x14ac:dyDescent="0.3">
      <c r="A876" s="511"/>
      <c r="B876" s="511"/>
      <c r="C876" s="511"/>
      <c r="D876" s="511"/>
      <c r="E876" s="511"/>
      <c r="F876" s="511"/>
      <c r="G876" s="511"/>
      <c r="H876" s="511"/>
      <c r="I876" s="511"/>
      <c r="J876" s="511"/>
      <c r="K876" s="511"/>
      <c r="L876" s="511"/>
      <c r="M876" s="511"/>
      <c r="N876" s="511"/>
      <c r="O876" s="511"/>
      <c r="P876" s="511"/>
      <c r="Q876" s="511"/>
      <c r="R876" s="511"/>
      <c r="S876" s="511"/>
      <c r="T876" s="511"/>
      <c r="U876" s="511"/>
      <c r="V876" s="511"/>
      <c r="W876" s="511"/>
      <c r="X876" s="511"/>
      <c r="Y876" s="511"/>
      <c r="Z876" s="511"/>
    </row>
    <row r="877" spans="1:26" ht="19.5" customHeight="1" x14ac:dyDescent="0.3">
      <c r="A877" s="511"/>
      <c r="B877" s="511"/>
      <c r="C877" s="511"/>
      <c r="D877" s="511"/>
      <c r="E877" s="511"/>
      <c r="F877" s="511"/>
      <c r="G877" s="511"/>
      <c r="H877" s="511"/>
      <c r="I877" s="511"/>
      <c r="J877" s="511"/>
      <c r="K877" s="511"/>
      <c r="L877" s="511"/>
      <c r="M877" s="511"/>
      <c r="N877" s="511"/>
      <c r="O877" s="511"/>
      <c r="P877" s="511"/>
      <c r="Q877" s="511"/>
      <c r="R877" s="511"/>
      <c r="S877" s="511"/>
      <c r="T877" s="511"/>
      <c r="U877" s="511"/>
      <c r="V877" s="511"/>
      <c r="W877" s="511"/>
      <c r="X877" s="511"/>
      <c r="Y877" s="511"/>
      <c r="Z877" s="511"/>
    </row>
    <row r="878" spans="1:26" ht="19.5" customHeight="1" x14ac:dyDescent="0.3">
      <c r="A878" s="511"/>
      <c r="B878" s="511"/>
      <c r="C878" s="511"/>
      <c r="D878" s="511"/>
      <c r="E878" s="511"/>
      <c r="F878" s="511"/>
      <c r="G878" s="511"/>
      <c r="H878" s="511"/>
      <c r="I878" s="511"/>
      <c r="J878" s="511"/>
      <c r="K878" s="511"/>
      <c r="L878" s="511"/>
      <c r="M878" s="511"/>
      <c r="N878" s="511"/>
      <c r="O878" s="511"/>
      <c r="P878" s="511"/>
      <c r="Q878" s="511"/>
      <c r="R878" s="511"/>
      <c r="S878" s="511"/>
      <c r="T878" s="511"/>
      <c r="U878" s="511"/>
      <c r="V878" s="511"/>
      <c r="W878" s="511"/>
      <c r="X878" s="511"/>
      <c r="Y878" s="511"/>
      <c r="Z878" s="511"/>
    </row>
    <row r="879" spans="1:26" ht="19.5" customHeight="1" x14ac:dyDescent="0.3">
      <c r="A879" s="511"/>
      <c r="B879" s="511"/>
      <c r="C879" s="511"/>
      <c r="D879" s="511"/>
      <c r="E879" s="511"/>
      <c r="F879" s="511"/>
      <c r="G879" s="511"/>
      <c r="H879" s="511"/>
      <c r="I879" s="511"/>
      <c r="J879" s="511"/>
      <c r="K879" s="511"/>
      <c r="L879" s="511"/>
      <c r="M879" s="511"/>
      <c r="N879" s="511"/>
      <c r="O879" s="511"/>
      <c r="P879" s="511"/>
      <c r="Q879" s="511"/>
      <c r="R879" s="511"/>
      <c r="S879" s="511"/>
      <c r="T879" s="511"/>
      <c r="U879" s="511"/>
      <c r="V879" s="511"/>
      <c r="W879" s="511"/>
      <c r="X879" s="511"/>
      <c r="Y879" s="511"/>
      <c r="Z879" s="511"/>
    </row>
    <row r="880" spans="1:26" ht="19.5" customHeight="1" x14ac:dyDescent="0.3">
      <c r="A880" s="511"/>
      <c r="B880" s="511"/>
      <c r="C880" s="511"/>
      <c r="D880" s="511"/>
      <c r="E880" s="511"/>
      <c r="F880" s="511"/>
      <c r="G880" s="511"/>
      <c r="H880" s="511"/>
      <c r="I880" s="511"/>
      <c r="J880" s="511"/>
      <c r="K880" s="511"/>
      <c r="L880" s="511"/>
      <c r="M880" s="511"/>
      <c r="N880" s="511"/>
      <c r="O880" s="511"/>
      <c r="P880" s="511"/>
      <c r="Q880" s="511"/>
      <c r="R880" s="511"/>
      <c r="S880" s="511"/>
      <c r="T880" s="511"/>
      <c r="U880" s="511"/>
      <c r="V880" s="511"/>
      <c r="W880" s="511"/>
      <c r="X880" s="511"/>
      <c r="Y880" s="511"/>
      <c r="Z880" s="511"/>
    </row>
    <row r="881" spans="1:26" ht="19.5" customHeight="1" x14ac:dyDescent="0.3">
      <c r="A881" s="511"/>
      <c r="B881" s="511"/>
      <c r="C881" s="511"/>
      <c r="D881" s="511"/>
      <c r="E881" s="511"/>
      <c r="F881" s="511"/>
      <c r="G881" s="511"/>
      <c r="H881" s="511"/>
      <c r="I881" s="511"/>
      <c r="J881" s="511"/>
      <c r="K881" s="511"/>
      <c r="L881" s="511"/>
      <c r="M881" s="511"/>
      <c r="N881" s="511"/>
      <c r="O881" s="511"/>
      <c r="P881" s="511"/>
      <c r="Q881" s="511"/>
      <c r="R881" s="511"/>
      <c r="S881" s="511"/>
      <c r="T881" s="511"/>
      <c r="U881" s="511"/>
      <c r="V881" s="511"/>
      <c r="W881" s="511"/>
      <c r="X881" s="511"/>
      <c r="Y881" s="511"/>
      <c r="Z881" s="511"/>
    </row>
    <row r="882" spans="1:26" ht="19.5" customHeight="1" x14ac:dyDescent="0.3">
      <c r="A882" s="511"/>
      <c r="B882" s="511"/>
      <c r="C882" s="511"/>
      <c r="D882" s="511"/>
      <c r="E882" s="511"/>
      <c r="F882" s="511"/>
      <c r="G882" s="511"/>
      <c r="H882" s="511"/>
      <c r="I882" s="511"/>
      <c r="J882" s="511"/>
      <c r="K882" s="511"/>
      <c r="L882" s="511"/>
      <c r="M882" s="511"/>
      <c r="N882" s="511"/>
      <c r="O882" s="511"/>
      <c r="P882" s="511"/>
      <c r="Q882" s="511"/>
      <c r="R882" s="511"/>
      <c r="S882" s="511"/>
      <c r="T882" s="511"/>
      <c r="U882" s="511"/>
      <c r="V882" s="511"/>
      <c r="W882" s="511"/>
      <c r="X882" s="511"/>
      <c r="Y882" s="511"/>
      <c r="Z882" s="511"/>
    </row>
    <row r="883" spans="1:26" ht="19.5" customHeight="1" x14ac:dyDescent="0.3">
      <c r="A883" s="511"/>
      <c r="B883" s="511"/>
      <c r="C883" s="511"/>
      <c r="D883" s="511"/>
      <c r="E883" s="511"/>
      <c r="F883" s="511"/>
      <c r="G883" s="511"/>
      <c r="H883" s="511"/>
      <c r="I883" s="511"/>
      <c r="J883" s="511"/>
      <c r="K883" s="511"/>
      <c r="L883" s="511"/>
      <c r="M883" s="511"/>
      <c r="N883" s="511"/>
      <c r="O883" s="511"/>
      <c r="P883" s="511"/>
      <c r="Q883" s="511"/>
      <c r="R883" s="511"/>
      <c r="S883" s="511"/>
      <c r="T883" s="511"/>
      <c r="U883" s="511"/>
      <c r="V883" s="511"/>
      <c r="W883" s="511"/>
      <c r="X883" s="511"/>
      <c r="Y883" s="511"/>
      <c r="Z883" s="511"/>
    </row>
    <row r="884" spans="1:26" ht="19.5" customHeight="1" x14ac:dyDescent="0.3">
      <c r="A884" s="511"/>
      <c r="B884" s="511"/>
      <c r="C884" s="511"/>
      <c r="D884" s="511"/>
      <c r="E884" s="511"/>
      <c r="F884" s="511"/>
      <c r="G884" s="511"/>
      <c r="H884" s="511"/>
      <c r="I884" s="511"/>
      <c r="J884" s="511"/>
      <c r="K884" s="511"/>
      <c r="L884" s="511"/>
      <c r="M884" s="511"/>
      <c r="N884" s="511"/>
      <c r="O884" s="511"/>
      <c r="P884" s="511"/>
      <c r="Q884" s="511"/>
      <c r="R884" s="511"/>
      <c r="S884" s="511"/>
      <c r="T884" s="511"/>
      <c r="U884" s="511"/>
      <c r="V884" s="511"/>
      <c r="W884" s="511"/>
      <c r="X884" s="511"/>
      <c r="Y884" s="511"/>
      <c r="Z884" s="511"/>
    </row>
    <row r="885" spans="1:26" ht="19.5" customHeight="1" x14ac:dyDescent="0.3">
      <c r="A885" s="511"/>
      <c r="B885" s="511"/>
      <c r="C885" s="511"/>
      <c r="D885" s="511"/>
      <c r="E885" s="511"/>
      <c r="F885" s="511"/>
      <c r="G885" s="511"/>
      <c r="H885" s="511"/>
      <c r="I885" s="511"/>
      <c r="J885" s="511"/>
      <c r="K885" s="511"/>
      <c r="L885" s="511"/>
      <c r="M885" s="511"/>
      <c r="N885" s="511"/>
      <c r="O885" s="511"/>
      <c r="P885" s="511"/>
      <c r="Q885" s="511"/>
      <c r="R885" s="511"/>
      <c r="S885" s="511"/>
      <c r="T885" s="511"/>
      <c r="U885" s="511"/>
      <c r="V885" s="511"/>
      <c r="W885" s="511"/>
      <c r="X885" s="511"/>
      <c r="Y885" s="511"/>
      <c r="Z885" s="511"/>
    </row>
    <row r="886" spans="1:26" ht="19.5" customHeight="1" x14ac:dyDescent="0.3">
      <c r="A886" s="511"/>
      <c r="B886" s="511"/>
      <c r="C886" s="511"/>
      <c r="D886" s="511"/>
      <c r="E886" s="511"/>
      <c r="F886" s="511"/>
      <c r="G886" s="511"/>
      <c r="H886" s="511"/>
      <c r="I886" s="511"/>
      <c r="J886" s="511"/>
      <c r="K886" s="511"/>
      <c r="L886" s="511"/>
      <c r="M886" s="511"/>
      <c r="N886" s="511"/>
      <c r="O886" s="511"/>
      <c r="P886" s="511"/>
      <c r="Q886" s="511"/>
      <c r="R886" s="511"/>
      <c r="S886" s="511"/>
      <c r="T886" s="511"/>
      <c r="U886" s="511"/>
      <c r="V886" s="511"/>
      <c r="W886" s="511"/>
      <c r="X886" s="511"/>
      <c r="Y886" s="511"/>
      <c r="Z886" s="511"/>
    </row>
    <row r="887" spans="1:26" ht="19.5" customHeight="1" x14ac:dyDescent="0.3">
      <c r="A887" s="511"/>
      <c r="B887" s="511"/>
      <c r="C887" s="511"/>
      <c r="D887" s="511"/>
      <c r="E887" s="511"/>
      <c r="F887" s="511"/>
      <c r="G887" s="511"/>
      <c r="H887" s="511"/>
      <c r="I887" s="511"/>
      <c r="J887" s="511"/>
      <c r="K887" s="511"/>
      <c r="L887" s="511"/>
      <c r="M887" s="511"/>
      <c r="N887" s="511"/>
      <c r="O887" s="511"/>
      <c r="P887" s="511"/>
      <c r="Q887" s="511"/>
      <c r="R887" s="511"/>
      <c r="S887" s="511"/>
      <c r="T887" s="511"/>
      <c r="U887" s="511"/>
      <c r="V887" s="511"/>
      <c r="W887" s="511"/>
      <c r="X887" s="511"/>
      <c r="Y887" s="511"/>
      <c r="Z887" s="511"/>
    </row>
    <row r="888" spans="1:26" ht="19.5" customHeight="1" x14ac:dyDescent="0.3">
      <c r="A888" s="511"/>
      <c r="B888" s="511"/>
      <c r="C888" s="511"/>
      <c r="D888" s="511"/>
      <c r="E888" s="511"/>
      <c r="F888" s="511"/>
      <c r="G888" s="511"/>
      <c r="H888" s="511"/>
      <c r="I888" s="511"/>
      <c r="J888" s="511"/>
      <c r="K888" s="511"/>
      <c r="L888" s="511"/>
      <c r="M888" s="511"/>
      <c r="N888" s="511"/>
      <c r="O888" s="511"/>
      <c r="P888" s="511"/>
      <c r="Q888" s="511"/>
      <c r="R888" s="511"/>
      <c r="S888" s="511"/>
      <c r="T888" s="511"/>
      <c r="U888" s="511"/>
      <c r="V888" s="511"/>
      <c r="W888" s="511"/>
      <c r="X888" s="511"/>
      <c r="Y888" s="511"/>
      <c r="Z888" s="511"/>
    </row>
    <row r="889" spans="1:26" ht="19.5" customHeight="1" x14ac:dyDescent="0.3">
      <c r="A889" s="511"/>
      <c r="B889" s="511"/>
      <c r="C889" s="511"/>
      <c r="D889" s="511"/>
      <c r="E889" s="511"/>
      <c r="F889" s="511"/>
      <c r="G889" s="511"/>
      <c r="H889" s="511"/>
      <c r="I889" s="511"/>
      <c r="J889" s="511"/>
      <c r="K889" s="511"/>
      <c r="L889" s="511"/>
      <c r="M889" s="511"/>
      <c r="N889" s="511"/>
      <c r="O889" s="511"/>
      <c r="P889" s="511"/>
      <c r="Q889" s="511"/>
      <c r="R889" s="511"/>
      <c r="S889" s="511"/>
      <c r="T889" s="511"/>
      <c r="U889" s="511"/>
      <c r="V889" s="511"/>
      <c r="W889" s="511"/>
      <c r="X889" s="511"/>
      <c r="Y889" s="511"/>
      <c r="Z889" s="511"/>
    </row>
    <row r="890" spans="1:26" ht="19.5" customHeight="1" x14ac:dyDescent="0.3">
      <c r="A890" s="511"/>
      <c r="B890" s="511"/>
      <c r="C890" s="511"/>
      <c r="D890" s="511"/>
      <c r="E890" s="511"/>
      <c r="F890" s="511"/>
      <c r="G890" s="511"/>
      <c r="H890" s="511"/>
      <c r="I890" s="511"/>
      <c r="J890" s="511"/>
      <c r="K890" s="511"/>
      <c r="L890" s="511"/>
      <c r="M890" s="511"/>
      <c r="N890" s="511"/>
      <c r="O890" s="511"/>
      <c r="P890" s="511"/>
      <c r="Q890" s="511"/>
      <c r="R890" s="511"/>
      <c r="S890" s="511"/>
      <c r="T890" s="511"/>
      <c r="U890" s="511"/>
      <c r="V890" s="511"/>
      <c r="W890" s="511"/>
      <c r="X890" s="511"/>
      <c r="Y890" s="511"/>
      <c r="Z890" s="511"/>
    </row>
    <row r="891" spans="1:26" ht="19.5" customHeight="1" x14ac:dyDescent="0.3">
      <c r="A891" s="511"/>
      <c r="B891" s="511"/>
      <c r="C891" s="511"/>
      <c r="D891" s="511"/>
      <c r="E891" s="511"/>
      <c r="F891" s="511"/>
      <c r="G891" s="511"/>
      <c r="H891" s="511"/>
      <c r="I891" s="511"/>
      <c r="J891" s="511"/>
      <c r="K891" s="511"/>
      <c r="L891" s="511"/>
      <c r="M891" s="511"/>
      <c r="N891" s="511"/>
      <c r="O891" s="511"/>
      <c r="P891" s="511"/>
      <c r="Q891" s="511"/>
      <c r="R891" s="511"/>
      <c r="S891" s="511"/>
      <c r="T891" s="511"/>
      <c r="U891" s="511"/>
      <c r="V891" s="511"/>
      <c r="W891" s="511"/>
      <c r="X891" s="511"/>
      <c r="Y891" s="511"/>
      <c r="Z891" s="511"/>
    </row>
    <row r="892" spans="1:26" ht="19.5" customHeight="1" x14ac:dyDescent="0.3">
      <c r="A892" s="511"/>
      <c r="B892" s="511"/>
      <c r="C892" s="511"/>
      <c r="D892" s="511"/>
      <c r="E892" s="511"/>
      <c r="F892" s="511"/>
      <c r="G892" s="511"/>
      <c r="H892" s="511"/>
      <c r="I892" s="511"/>
      <c r="J892" s="511"/>
      <c r="K892" s="511"/>
      <c r="L892" s="511"/>
      <c r="M892" s="511"/>
      <c r="N892" s="511"/>
      <c r="O892" s="511"/>
      <c r="P892" s="511"/>
      <c r="Q892" s="511"/>
      <c r="R892" s="511"/>
      <c r="S892" s="511"/>
      <c r="T892" s="511"/>
      <c r="U892" s="511"/>
      <c r="V892" s="511"/>
      <c r="W892" s="511"/>
      <c r="X892" s="511"/>
      <c r="Y892" s="511"/>
      <c r="Z892" s="511"/>
    </row>
    <row r="893" spans="1:26" ht="19.5" customHeight="1" x14ac:dyDescent="0.3">
      <c r="A893" s="511"/>
      <c r="B893" s="511"/>
      <c r="C893" s="511"/>
      <c r="D893" s="511"/>
      <c r="E893" s="511"/>
      <c r="F893" s="511"/>
      <c r="G893" s="511"/>
      <c r="H893" s="511"/>
      <c r="I893" s="511"/>
      <c r="J893" s="511"/>
      <c r="K893" s="511"/>
      <c r="L893" s="511"/>
      <c r="M893" s="511"/>
      <c r="N893" s="511"/>
      <c r="O893" s="511"/>
      <c r="P893" s="511"/>
      <c r="Q893" s="511"/>
      <c r="R893" s="511"/>
      <c r="S893" s="511"/>
      <c r="T893" s="511"/>
      <c r="U893" s="511"/>
      <c r="V893" s="511"/>
      <c r="W893" s="511"/>
      <c r="X893" s="511"/>
      <c r="Y893" s="511"/>
      <c r="Z893" s="511"/>
    </row>
    <row r="894" spans="1:26" ht="19.5" customHeight="1" x14ac:dyDescent="0.3">
      <c r="A894" s="511"/>
      <c r="B894" s="511"/>
      <c r="C894" s="511"/>
      <c r="D894" s="511"/>
      <c r="E894" s="511"/>
      <c r="F894" s="511"/>
      <c r="G894" s="511"/>
      <c r="H894" s="511"/>
      <c r="I894" s="511"/>
      <c r="J894" s="511"/>
      <c r="K894" s="511"/>
      <c r="L894" s="511"/>
      <c r="M894" s="511"/>
      <c r="N894" s="511"/>
      <c r="O894" s="511"/>
      <c r="P894" s="511"/>
      <c r="Q894" s="511"/>
      <c r="R894" s="511"/>
      <c r="S894" s="511"/>
      <c r="T894" s="511"/>
      <c r="U894" s="511"/>
      <c r="V894" s="511"/>
      <c r="W894" s="511"/>
      <c r="X894" s="511"/>
      <c r="Y894" s="511"/>
      <c r="Z894" s="511"/>
    </row>
    <row r="895" spans="1:26" ht="19.5" customHeight="1" x14ac:dyDescent="0.3">
      <c r="A895" s="511"/>
      <c r="B895" s="511"/>
      <c r="C895" s="511"/>
      <c r="D895" s="511"/>
      <c r="E895" s="511"/>
      <c r="F895" s="511"/>
      <c r="G895" s="511"/>
      <c r="H895" s="511"/>
      <c r="I895" s="511"/>
      <c r="J895" s="511"/>
      <c r="K895" s="511"/>
      <c r="L895" s="511"/>
      <c r="M895" s="511"/>
      <c r="N895" s="511"/>
      <c r="O895" s="511"/>
      <c r="P895" s="511"/>
      <c r="Q895" s="511"/>
      <c r="R895" s="511"/>
      <c r="S895" s="511"/>
      <c r="T895" s="511"/>
      <c r="U895" s="511"/>
      <c r="V895" s="511"/>
      <c r="W895" s="511"/>
      <c r="X895" s="511"/>
      <c r="Y895" s="511"/>
      <c r="Z895" s="511"/>
    </row>
    <row r="896" spans="1:26" ht="19.5" customHeight="1" x14ac:dyDescent="0.3">
      <c r="A896" s="511"/>
      <c r="B896" s="511"/>
      <c r="C896" s="511"/>
      <c r="D896" s="511"/>
      <c r="E896" s="511"/>
      <c r="F896" s="511"/>
      <c r="G896" s="511"/>
      <c r="H896" s="511"/>
      <c r="I896" s="511"/>
      <c r="J896" s="511"/>
      <c r="K896" s="511"/>
      <c r="L896" s="511"/>
      <c r="M896" s="511"/>
      <c r="N896" s="511"/>
      <c r="O896" s="511"/>
      <c r="P896" s="511"/>
      <c r="Q896" s="511"/>
      <c r="R896" s="511"/>
      <c r="S896" s="511"/>
      <c r="T896" s="511"/>
      <c r="U896" s="511"/>
      <c r="V896" s="511"/>
      <c r="W896" s="511"/>
      <c r="X896" s="511"/>
      <c r="Y896" s="511"/>
      <c r="Z896" s="511"/>
    </row>
    <row r="897" spans="1:26" ht="19.5" customHeight="1" x14ac:dyDescent="0.3">
      <c r="A897" s="511"/>
      <c r="B897" s="511"/>
      <c r="C897" s="511"/>
      <c r="D897" s="511"/>
      <c r="E897" s="511"/>
      <c r="F897" s="511"/>
      <c r="G897" s="511"/>
      <c r="H897" s="511"/>
      <c r="I897" s="511"/>
      <c r="J897" s="511"/>
      <c r="K897" s="511"/>
      <c r="L897" s="511"/>
      <c r="M897" s="511"/>
      <c r="N897" s="511"/>
      <c r="O897" s="511"/>
      <c r="P897" s="511"/>
      <c r="Q897" s="511"/>
      <c r="R897" s="511"/>
      <c r="S897" s="511"/>
      <c r="T897" s="511"/>
      <c r="U897" s="511"/>
      <c r="V897" s="511"/>
      <c r="W897" s="511"/>
      <c r="X897" s="511"/>
      <c r="Y897" s="511"/>
      <c r="Z897" s="511"/>
    </row>
    <row r="898" spans="1:26" ht="19.5" customHeight="1" x14ac:dyDescent="0.3">
      <c r="A898" s="511"/>
      <c r="B898" s="511"/>
      <c r="C898" s="511"/>
      <c r="D898" s="511"/>
      <c r="E898" s="511"/>
      <c r="F898" s="511"/>
      <c r="G898" s="511"/>
      <c r="H898" s="511"/>
      <c r="I898" s="511"/>
      <c r="J898" s="511"/>
      <c r="K898" s="511"/>
      <c r="L898" s="511"/>
      <c r="M898" s="511"/>
      <c r="N898" s="511"/>
      <c r="O898" s="511"/>
      <c r="P898" s="511"/>
      <c r="Q898" s="511"/>
      <c r="R898" s="511"/>
      <c r="S898" s="511"/>
      <c r="T898" s="511"/>
      <c r="U898" s="511"/>
      <c r="V898" s="511"/>
      <c r="W898" s="511"/>
      <c r="X898" s="511"/>
      <c r="Y898" s="511"/>
      <c r="Z898" s="511"/>
    </row>
    <row r="899" spans="1:26" ht="19.5" customHeight="1" x14ac:dyDescent="0.3">
      <c r="A899" s="511"/>
      <c r="B899" s="511"/>
      <c r="C899" s="511"/>
      <c r="D899" s="511"/>
      <c r="E899" s="511"/>
      <c r="F899" s="511"/>
      <c r="G899" s="511"/>
      <c r="H899" s="511"/>
      <c r="I899" s="511"/>
      <c r="J899" s="511"/>
      <c r="K899" s="511"/>
      <c r="L899" s="511"/>
      <c r="M899" s="511"/>
      <c r="N899" s="511"/>
      <c r="O899" s="511"/>
      <c r="P899" s="511"/>
      <c r="Q899" s="511"/>
      <c r="R899" s="511"/>
      <c r="S899" s="511"/>
      <c r="T899" s="511"/>
      <c r="U899" s="511"/>
      <c r="V899" s="511"/>
      <c r="W899" s="511"/>
      <c r="X899" s="511"/>
      <c r="Y899" s="511"/>
      <c r="Z899" s="511"/>
    </row>
    <row r="900" spans="1:26" ht="19.5" customHeight="1" x14ac:dyDescent="0.3">
      <c r="A900" s="511"/>
      <c r="B900" s="511"/>
      <c r="C900" s="511"/>
      <c r="D900" s="511"/>
      <c r="E900" s="511"/>
      <c r="F900" s="511"/>
      <c r="G900" s="511"/>
      <c r="H900" s="511"/>
      <c r="I900" s="511"/>
      <c r="J900" s="511"/>
      <c r="K900" s="511"/>
      <c r="L900" s="511"/>
      <c r="M900" s="511"/>
      <c r="N900" s="511"/>
      <c r="O900" s="511"/>
      <c r="P900" s="511"/>
      <c r="Q900" s="511"/>
      <c r="R900" s="511"/>
      <c r="S900" s="511"/>
      <c r="T900" s="511"/>
      <c r="U900" s="511"/>
      <c r="V900" s="511"/>
      <c r="W900" s="511"/>
      <c r="X900" s="511"/>
      <c r="Y900" s="511"/>
      <c r="Z900" s="511"/>
    </row>
    <row r="901" spans="1:26" ht="19.5" customHeight="1" x14ac:dyDescent="0.3">
      <c r="A901" s="511"/>
      <c r="B901" s="511"/>
      <c r="C901" s="511"/>
      <c r="D901" s="511"/>
      <c r="E901" s="511"/>
      <c r="F901" s="511"/>
      <c r="G901" s="511"/>
      <c r="H901" s="511"/>
      <c r="I901" s="511"/>
      <c r="J901" s="511"/>
      <c r="K901" s="511"/>
      <c r="L901" s="511"/>
      <c r="M901" s="511"/>
      <c r="N901" s="511"/>
      <c r="O901" s="511"/>
      <c r="P901" s="511"/>
      <c r="Q901" s="511"/>
      <c r="R901" s="511"/>
      <c r="S901" s="511"/>
      <c r="T901" s="511"/>
      <c r="U901" s="511"/>
      <c r="V901" s="511"/>
      <c r="W901" s="511"/>
      <c r="X901" s="511"/>
      <c r="Y901" s="511"/>
      <c r="Z901" s="511"/>
    </row>
    <row r="902" spans="1:26" ht="19.5" customHeight="1" x14ac:dyDescent="0.3">
      <c r="A902" s="511"/>
      <c r="B902" s="511"/>
      <c r="C902" s="511"/>
      <c r="D902" s="511"/>
      <c r="E902" s="511"/>
      <c r="F902" s="511"/>
      <c r="G902" s="511"/>
      <c r="H902" s="511"/>
      <c r="I902" s="511"/>
      <c r="J902" s="511"/>
      <c r="K902" s="511"/>
      <c r="L902" s="511"/>
      <c r="M902" s="511"/>
      <c r="N902" s="511"/>
      <c r="O902" s="511"/>
      <c r="P902" s="511"/>
      <c r="Q902" s="511"/>
      <c r="R902" s="511"/>
      <c r="S902" s="511"/>
      <c r="T902" s="511"/>
      <c r="U902" s="511"/>
      <c r="V902" s="511"/>
      <c r="W902" s="511"/>
      <c r="X902" s="511"/>
      <c r="Y902" s="511"/>
      <c r="Z902" s="511"/>
    </row>
    <row r="903" spans="1:26" ht="19.5" customHeight="1" x14ac:dyDescent="0.3">
      <c r="A903" s="511"/>
      <c r="B903" s="511"/>
      <c r="C903" s="511"/>
      <c r="D903" s="511"/>
      <c r="E903" s="511"/>
      <c r="F903" s="511"/>
      <c r="G903" s="511"/>
      <c r="H903" s="511"/>
      <c r="I903" s="511"/>
      <c r="J903" s="511"/>
      <c r="K903" s="511"/>
      <c r="L903" s="511"/>
      <c r="M903" s="511"/>
      <c r="N903" s="511"/>
      <c r="O903" s="511"/>
      <c r="P903" s="511"/>
      <c r="Q903" s="511"/>
      <c r="R903" s="511"/>
      <c r="S903" s="511"/>
      <c r="T903" s="511"/>
      <c r="U903" s="511"/>
      <c r="V903" s="511"/>
      <c r="W903" s="511"/>
      <c r="X903" s="511"/>
      <c r="Y903" s="511"/>
      <c r="Z903" s="511"/>
    </row>
    <row r="904" spans="1:26" ht="19.5" customHeight="1" x14ac:dyDescent="0.3">
      <c r="A904" s="511"/>
      <c r="B904" s="511"/>
      <c r="C904" s="511"/>
      <c r="D904" s="511"/>
      <c r="E904" s="511"/>
      <c r="F904" s="511"/>
      <c r="G904" s="511"/>
      <c r="H904" s="511"/>
      <c r="I904" s="511"/>
      <c r="J904" s="511"/>
      <c r="K904" s="511"/>
      <c r="L904" s="511"/>
      <c r="M904" s="511"/>
      <c r="N904" s="511"/>
      <c r="O904" s="511"/>
      <c r="P904" s="511"/>
      <c r="Q904" s="511"/>
      <c r="R904" s="511"/>
      <c r="S904" s="511"/>
      <c r="T904" s="511"/>
      <c r="U904" s="511"/>
      <c r="V904" s="511"/>
      <c r="W904" s="511"/>
      <c r="X904" s="511"/>
      <c r="Y904" s="511"/>
      <c r="Z904" s="511"/>
    </row>
    <row r="905" spans="1:26" ht="19.5" customHeight="1" x14ac:dyDescent="0.3">
      <c r="A905" s="511"/>
      <c r="B905" s="511"/>
      <c r="C905" s="511"/>
      <c r="D905" s="511"/>
      <c r="E905" s="511"/>
      <c r="F905" s="511"/>
      <c r="G905" s="511"/>
      <c r="H905" s="511"/>
      <c r="I905" s="511"/>
      <c r="J905" s="511"/>
      <c r="K905" s="511"/>
      <c r="L905" s="511"/>
      <c r="M905" s="511"/>
      <c r="N905" s="511"/>
      <c r="O905" s="511"/>
      <c r="P905" s="511"/>
      <c r="Q905" s="511"/>
      <c r="R905" s="511"/>
      <c r="S905" s="511"/>
      <c r="T905" s="511"/>
      <c r="U905" s="511"/>
      <c r="V905" s="511"/>
      <c r="W905" s="511"/>
      <c r="X905" s="511"/>
      <c r="Y905" s="511"/>
      <c r="Z905" s="511"/>
    </row>
    <row r="906" spans="1:26" ht="19.5" customHeight="1" x14ac:dyDescent="0.3">
      <c r="A906" s="511"/>
      <c r="B906" s="511"/>
      <c r="C906" s="511"/>
      <c r="D906" s="511"/>
      <c r="E906" s="511"/>
      <c r="F906" s="511"/>
      <c r="G906" s="511"/>
      <c r="H906" s="511"/>
      <c r="I906" s="511"/>
      <c r="J906" s="511"/>
      <c r="K906" s="511"/>
      <c r="L906" s="511"/>
      <c r="M906" s="511"/>
      <c r="N906" s="511"/>
      <c r="O906" s="511"/>
      <c r="P906" s="511"/>
      <c r="Q906" s="511"/>
      <c r="R906" s="511"/>
      <c r="S906" s="511"/>
      <c r="T906" s="511"/>
      <c r="U906" s="511"/>
      <c r="V906" s="511"/>
      <c r="W906" s="511"/>
      <c r="X906" s="511"/>
      <c r="Y906" s="511"/>
      <c r="Z906" s="511"/>
    </row>
    <row r="907" spans="1:26" ht="19.5" customHeight="1" x14ac:dyDescent="0.3">
      <c r="A907" s="511"/>
      <c r="B907" s="511"/>
      <c r="C907" s="511"/>
      <c r="D907" s="511"/>
      <c r="E907" s="511"/>
      <c r="F907" s="511"/>
      <c r="G907" s="511"/>
      <c r="H907" s="511"/>
      <c r="I907" s="511"/>
      <c r="J907" s="511"/>
      <c r="K907" s="511"/>
      <c r="L907" s="511"/>
      <c r="M907" s="511"/>
      <c r="N907" s="511"/>
      <c r="O907" s="511"/>
      <c r="P907" s="511"/>
      <c r="Q907" s="511"/>
      <c r="R907" s="511"/>
      <c r="S907" s="511"/>
      <c r="T907" s="511"/>
      <c r="U907" s="511"/>
      <c r="V907" s="511"/>
      <c r="W907" s="511"/>
      <c r="X907" s="511"/>
      <c r="Y907" s="511"/>
      <c r="Z907" s="511"/>
    </row>
    <row r="908" spans="1:26" ht="19.5" customHeight="1" x14ac:dyDescent="0.3">
      <c r="A908" s="511"/>
      <c r="B908" s="511"/>
      <c r="C908" s="511"/>
      <c r="D908" s="511"/>
      <c r="E908" s="511"/>
      <c r="F908" s="511"/>
      <c r="G908" s="511"/>
      <c r="H908" s="511"/>
      <c r="I908" s="511"/>
      <c r="J908" s="511"/>
      <c r="K908" s="511"/>
      <c r="L908" s="511"/>
      <c r="M908" s="511"/>
      <c r="N908" s="511"/>
      <c r="O908" s="511"/>
      <c r="P908" s="511"/>
      <c r="Q908" s="511"/>
      <c r="R908" s="511"/>
      <c r="S908" s="511"/>
      <c r="T908" s="511"/>
      <c r="U908" s="511"/>
      <c r="V908" s="511"/>
      <c r="W908" s="511"/>
      <c r="X908" s="511"/>
      <c r="Y908" s="511"/>
      <c r="Z908" s="511"/>
    </row>
    <row r="909" spans="1:26" ht="19.5" customHeight="1" x14ac:dyDescent="0.3">
      <c r="A909" s="511"/>
      <c r="B909" s="511"/>
      <c r="C909" s="511"/>
      <c r="D909" s="511"/>
      <c r="E909" s="511"/>
      <c r="F909" s="511"/>
      <c r="G909" s="511"/>
      <c r="H909" s="511"/>
      <c r="I909" s="511"/>
      <c r="J909" s="511"/>
      <c r="K909" s="511"/>
      <c r="L909" s="511"/>
      <c r="M909" s="511"/>
      <c r="N909" s="511"/>
      <c r="O909" s="511"/>
      <c r="P909" s="511"/>
      <c r="Q909" s="511"/>
      <c r="R909" s="511"/>
      <c r="S909" s="511"/>
      <c r="T909" s="511"/>
      <c r="U909" s="511"/>
      <c r="V909" s="511"/>
      <c r="W909" s="511"/>
      <c r="X909" s="511"/>
      <c r="Y909" s="511"/>
      <c r="Z909" s="511"/>
    </row>
    <row r="910" spans="1:26" ht="19.5" customHeight="1" x14ac:dyDescent="0.3">
      <c r="A910" s="511"/>
      <c r="B910" s="511"/>
      <c r="C910" s="511"/>
      <c r="D910" s="511"/>
      <c r="E910" s="511"/>
      <c r="F910" s="511"/>
      <c r="G910" s="511"/>
      <c r="H910" s="511"/>
      <c r="I910" s="511"/>
      <c r="J910" s="511"/>
      <c r="K910" s="511"/>
      <c r="L910" s="511"/>
      <c r="M910" s="511"/>
      <c r="N910" s="511"/>
      <c r="O910" s="511"/>
      <c r="P910" s="511"/>
      <c r="Q910" s="511"/>
      <c r="R910" s="511"/>
      <c r="S910" s="511"/>
      <c r="T910" s="511"/>
      <c r="U910" s="511"/>
      <c r="V910" s="511"/>
      <c r="W910" s="511"/>
      <c r="X910" s="511"/>
      <c r="Y910" s="511"/>
      <c r="Z910" s="511"/>
    </row>
    <row r="911" spans="1:26" ht="19.5" customHeight="1" x14ac:dyDescent="0.3">
      <c r="A911" s="511"/>
      <c r="B911" s="511"/>
      <c r="C911" s="511"/>
      <c r="D911" s="511"/>
      <c r="E911" s="511"/>
      <c r="F911" s="511"/>
      <c r="G911" s="511"/>
      <c r="H911" s="511"/>
      <c r="I911" s="511"/>
      <c r="J911" s="511"/>
      <c r="K911" s="511"/>
      <c r="L911" s="511"/>
      <c r="M911" s="511"/>
      <c r="N911" s="511"/>
      <c r="O911" s="511"/>
      <c r="P911" s="511"/>
      <c r="Q911" s="511"/>
      <c r="R911" s="511"/>
      <c r="S911" s="511"/>
      <c r="T911" s="511"/>
      <c r="U911" s="511"/>
      <c r="V911" s="511"/>
      <c r="W911" s="511"/>
      <c r="X911" s="511"/>
      <c r="Y911" s="511"/>
      <c r="Z911" s="511"/>
    </row>
    <row r="912" spans="1:26" ht="19.5" customHeight="1" x14ac:dyDescent="0.3">
      <c r="A912" s="511"/>
      <c r="B912" s="511"/>
      <c r="C912" s="511"/>
      <c r="D912" s="511"/>
      <c r="E912" s="511"/>
      <c r="F912" s="511"/>
      <c r="G912" s="511"/>
      <c r="H912" s="511"/>
      <c r="I912" s="511"/>
      <c r="J912" s="511"/>
      <c r="K912" s="511"/>
      <c r="L912" s="511"/>
      <c r="M912" s="511"/>
      <c r="N912" s="511"/>
      <c r="O912" s="511"/>
      <c r="P912" s="511"/>
      <c r="Q912" s="511"/>
      <c r="R912" s="511"/>
      <c r="S912" s="511"/>
      <c r="T912" s="511"/>
      <c r="U912" s="511"/>
      <c r="V912" s="511"/>
      <c r="W912" s="511"/>
      <c r="X912" s="511"/>
      <c r="Y912" s="511"/>
      <c r="Z912" s="511"/>
    </row>
    <row r="913" spans="1:26" ht="19.5" customHeight="1" x14ac:dyDescent="0.3">
      <c r="A913" s="511"/>
      <c r="B913" s="511"/>
      <c r="C913" s="511"/>
      <c r="D913" s="511"/>
      <c r="E913" s="511"/>
      <c r="F913" s="511"/>
      <c r="G913" s="511"/>
      <c r="H913" s="511"/>
      <c r="I913" s="511"/>
      <c r="J913" s="511"/>
      <c r="K913" s="511"/>
      <c r="L913" s="511"/>
      <c r="M913" s="511"/>
      <c r="N913" s="511"/>
      <c r="O913" s="511"/>
      <c r="P913" s="511"/>
      <c r="Q913" s="511"/>
      <c r="R913" s="511"/>
      <c r="S913" s="511"/>
      <c r="T913" s="511"/>
      <c r="U913" s="511"/>
      <c r="V913" s="511"/>
      <c r="W913" s="511"/>
      <c r="X913" s="511"/>
      <c r="Y913" s="511"/>
      <c r="Z913" s="511"/>
    </row>
    <row r="914" spans="1:26" ht="19.5" customHeight="1" x14ac:dyDescent="0.3">
      <c r="A914" s="511"/>
      <c r="B914" s="511"/>
      <c r="C914" s="511"/>
      <c r="D914" s="511"/>
      <c r="E914" s="511"/>
      <c r="F914" s="511"/>
      <c r="G914" s="511"/>
      <c r="H914" s="511"/>
      <c r="I914" s="511"/>
      <c r="J914" s="511"/>
      <c r="K914" s="511"/>
      <c r="L914" s="511"/>
      <c r="M914" s="511"/>
      <c r="N914" s="511"/>
      <c r="O914" s="511"/>
      <c r="P914" s="511"/>
      <c r="Q914" s="511"/>
      <c r="R914" s="511"/>
      <c r="S914" s="511"/>
      <c r="T914" s="511"/>
      <c r="U914" s="511"/>
      <c r="V914" s="511"/>
      <c r="W914" s="511"/>
      <c r="X914" s="511"/>
      <c r="Y914" s="511"/>
      <c r="Z914" s="511"/>
    </row>
    <row r="915" spans="1:26" ht="19.5" customHeight="1" x14ac:dyDescent="0.3">
      <c r="A915" s="511"/>
      <c r="B915" s="511"/>
      <c r="C915" s="511"/>
      <c r="D915" s="511"/>
      <c r="E915" s="511"/>
      <c r="F915" s="511"/>
      <c r="G915" s="511"/>
      <c r="H915" s="511"/>
      <c r="I915" s="511"/>
      <c r="J915" s="511"/>
      <c r="K915" s="511"/>
      <c r="L915" s="511"/>
      <c r="M915" s="511"/>
      <c r="N915" s="511"/>
      <c r="O915" s="511"/>
      <c r="P915" s="511"/>
      <c r="Q915" s="511"/>
      <c r="R915" s="511"/>
      <c r="S915" s="511"/>
      <c r="T915" s="511"/>
      <c r="U915" s="511"/>
      <c r="V915" s="511"/>
      <c r="W915" s="511"/>
      <c r="X915" s="511"/>
      <c r="Y915" s="511"/>
      <c r="Z915" s="511"/>
    </row>
    <row r="916" spans="1:26" ht="19.5" customHeight="1" x14ac:dyDescent="0.3">
      <c r="A916" s="511"/>
      <c r="B916" s="511"/>
      <c r="C916" s="511"/>
      <c r="D916" s="511"/>
      <c r="E916" s="511"/>
      <c r="F916" s="511"/>
      <c r="G916" s="511"/>
      <c r="H916" s="511"/>
      <c r="I916" s="511"/>
      <c r="J916" s="511"/>
      <c r="K916" s="511"/>
      <c r="L916" s="511"/>
      <c r="M916" s="511"/>
      <c r="N916" s="511"/>
      <c r="O916" s="511"/>
      <c r="P916" s="511"/>
      <c r="Q916" s="511"/>
      <c r="R916" s="511"/>
      <c r="S916" s="511"/>
      <c r="T916" s="511"/>
      <c r="U916" s="511"/>
      <c r="V916" s="511"/>
      <c r="W916" s="511"/>
      <c r="X916" s="511"/>
      <c r="Y916" s="511"/>
      <c r="Z916" s="511"/>
    </row>
    <row r="917" spans="1:26" ht="19.5" customHeight="1" x14ac:dyDescent="0.3">
      <c r="A917" s="511"/>
      <c r="B917" s="511"/>
      <c r="C917" s="511"/>
      <c r="D917" s="511"/>
      <c r="E917" s="511"/>
      <c r="F917" s="511"/>
      <c r="G917" s="511"/>
      <c r="H917" s="511"/>
      <c r="I917" s="511"/>
      <c r="J917" s="511"/>
      <c r="K917" s="511"/>
      <c r="L917" s="511"/>
      <c r="M917" s="511"/>
      <c r="N917" s="511"/>
      <c r="O917" s="511"/>
      <c r="P917" s="511"/>
      <c r="Q917" s="511"/>
      <c r="R917" s="511"/>
      <c r="S917" s="511"/>
      <c r="T917" s="511"/>
      <c r="U917" s="511"/>
      <c r="V917" s="511"/>
      <c r="W917" s="511"/>
      <c r="X917" s="511"/>
      <c r="Y917" s="511"/>
      <c r="Z917" s="511"/>
    </row>
    <row r="918" spans="1:26" ht="19.5" customHeight="1" x14ac:dyDescent="0.3">
      <c r="A918" s="511"/>
      <c r="B918" s="511"/>
      <c r="C918" s="511"/>
      <c r="D918" s="511"/>
      <c r="E918" s="511"/>
      <c r="F918" s="511"/>
      <c r="G918" s="511"/>
      <c r="H918" s="511"/>
      <c r="I918" s="511"/>
      <c r="J918" s="511"/>
      <c r="K918" s="511"/>
      <c r="L918" s="511"/>
      <c r="M918" s="511"/>
      <c r="N918" s="511"/>
      <c r="O918" s="511"/>
      <c r="P918" s="511"/>
      <c r="Q918" s="511"/>
      <c r="R918" s="511"/>
      <c r="S918" s="511"/>
      <c r="T918" s="511"/>
      <c r="U918" s="511"/>
      <c r="V918" s="511"/>
      <c r="W918" s="511"/>
      <c r="X918" s="511"/>
      <c r="Y918" s="511"/>
      <c r="Z918" s="511"/>
    </row>
    <row r="919" spans="1:26" ht="19.5" customHeight="1" x14ac:dyDescent="0.3">
      <c r="A919" s="511"/>
      <c r="B919" s="511"/>
      <c r="C919" s="511"/>
      <c r="D919" s="511"/>
      <c r="E919" s="511"/>
      <c r="F919" s="511"/>
      <c r="G919" s="511"/>
      <c r="H919" s="511"/>
      <c r="I919" s="511"/>
      <c r="J919" s="511"/>
      <c r="K919" s="511"/>
      <c r="L919" s="511"/>
      <c r="M919" s="511"/>
      <c r="N919" s="511"/>
      <c r="O919" s="511"/>
      <c r="P919" s="511"/>
      <c r="Q919" s="511"/>
      <c r="R919" s="511"/>
      <c r="S919" s="511"/>
      <c r="T919" s="511"/>
      <c r="U919" s="511"/>
      <c r="V919" s="511"/>
      <c r="W919" s="511"/>
      <c r="X919" s="511"/>
      <c r="Y919" s="511"/>
      <c r="Z919" s="511"/>
    </row>
    <row r="920" spans="1:26" ht="19.5" customHeight="1" x14ac:dyDescent="0.3">
      <c r="A920" s="511"/>
      <c r="B920" s="511"/>
      <c r="C920" s="511"/>
      <c r="D920" s="511"/>
      <c r="E920" s="511"/>
      <c r="F920" s="511"/>
      <c r="G920" s="511"/>
      <c r="H920" s="511"/>
      <c r="I920" s="511"/>
      <c r="J920" s="511"/>
      <c r="K920" s="511"/>
      <c r="L920" s="511"/>
      <c r="M920" s="511"/>
      <c r="N920" s="511"/>
      <c r="O920" s="511"/>
      <c r="P920" s="511"/>
      <c r="Q920" s="511"/>
      <c r="R920" s="511"/>
      <c r="S920" s="511"/>
      <c r="T920" s="511"/>
      <c r="U920" s="511"/>
      <c r="V920" s="511"/>
      <c r="W920" s="511"/>
      <c r="X920" s="511"/>
      <c r="Y920" s="511"/>
      <c r="Z920" s="511"/>
    </row>
    <row r="921" spans="1:26" ht="19.5" customHeight="1" x14ac:dyDescent="0.3">
      <c r="A921" s="511"/>
      <c r="B921" s="511"/>
      <c r="C921" s="511"/>
      <c r="D921" s="511"/>
      <c r="E921" s="511"/>
      <c r="F921" s="511"/>
      <c r="G921" s="511"/>
      <c r="H921" s="511"/>
      <c r="I921" s="511"/>
      <c r="J921" s="511"/>
      <c r="K921" s="511"/>
      <c r="L921" s="511"/>
      <c r="M921" s="511"/>
      <c r="N921" s="511"/>
      <c r="O921" s="511"/>
      <c r="P921" s="511"/>
      <c r="Q921" s="511"/>
      <c r="R921" s="511"/>
      <c r="S921" s="511"/>
      <c r="T921" s="511"/>
      <c r="U921" s="511"/>
      <c r="V921" s="511"/>
      <c r="W921" s="511"/>
      <c r="X921" s="511"/>
      <c r="Y921" s="511"/>
      <c r="Z921" s="511"/>
    </row>
    <row r="922" spans="1:26" ht="19.5" customHeight="1" x14ac:dyDescent="0.3">
      <c r="A922" s="511"/>
      <c r="B922" s="511"/>
      <c r="C922" s="511"/>
      <c r="D922" s="511"/>
      <c r="E922" s="511"/>
      <c r="F922" s="511"/>
      <c r="G922" s="511"/>
      <c r="H922" s="511"/>
      <c r="I922" s="511"/>
      <c r="J922" s="511"/>
      <c r="K922" s="511"/>
      <c r="L922" s="511"/>
      <c r="M922" s="511"/>
      <c r="N922" s="511"/>
      <c r="O922" s="511"/>
      <c r="P922" s="511"/>
      <c r="Q922" s="511"/>
      <c r="R922" s="511"/>
      <c r="S922" s="511"/>
      <c r="T922" s="511"/>
      <c r="U922" s="511"/>
      <c r="V922" s="511"/>
      <c r="W922" s="511"/>
      <c r="X922" s="511"/>
      <c r="Y922" s="511"/>
      <c r="Z922" s="511"/>
    </row>
    <row r="923" spans="1:26" ht="19.5" customHeight="1" x14ac:dyDescent="0.3">
      <c r="A923" s="511"/>
      <c r="B923" s="511"/>
      <c r="C923" s="511"/>
      <c r="D923" s="511"/>
      <c r="E923" s="511"/>
      <c r="F923" s="511"/>
      <c r="G923" s="511"/>
      <c r="H923" s="511"/>
      <c r="I923" s="511"/>
      <c r="J923" s="511"/>
      <c r="K923" s="511"/>
      <c r="L923" s="511"/>
      <c r="M923" s="511"/>
      <c r="N923" s="511"/>
      <c r="O923" s="511"/>
      <c r="P923" s="511"/>
      <c r="Q923" s="511"/>
      <c r="R923" s="511"/>
      <c r="S923" s="511"/>
      <c r="T923" s="511"/>
      <c r="U923" s="511"/>
      <c r="V923" s="511"/>
      <c r="W923" s="511"/>
      <c r="X923" s="511"/>
      <c r="Y923" s="511"/>
      <c r="Z923" s="511"/>
    </row>
    <row r="924" spans="1:26" ht="19.5" customHeight="1" x14ac:dyDescent="0.3">
      <c r="A924" s="511"/>
      <c r="B924" s="511"/>
      <c r="C924" s="511"/>
      <c r="D924" s="511"/>
      <c r="E924" s="511"/>
      <c r="F924" s="511"/>
      <c r="G924" s="511"/>
      <c r="H924" s="511"/>
      <c r="I924" s="511"/>
      <c r="J924" s="511"/>
      <c r="K924" s="511"/>
      <c r="L924" s="511"/>
      <c r="M924" s="511"/>
      <c r="N924" s="511"/>
      <c r="O924" s="511"/>
      <c r="P924" s="511"/>
      <c r="Q924" s="511"/>
      <c r="R924" s="511"/>
      <c r="S924" s="511"/>
      <c r="T924" s="511"/>
      <c r="U924" s="511"/>
      <c r="V924" s="511"/>
      <c r="W924" s="511"/>
      <c r="X924" s="511"/>
      <c r="Y924" s="511"/>
      <c r="Z924" s="511"/>
    </row>
    <row r="925" spans="1:26" ht="19.5" customHeight="1" x14ac:dyDescent="0.3">
      <c r="A925" s="511"/>
      <c r="B925" s="511"/>
      <c r="C925" s="511"/>
      <c r="D925" s="511"/>
      <c r="E925" s="511"/>
      <c r="F925" s="511"/>
      <c r="G925" s="511"/>
      <c r="H925" s="511"/>
      <c r="I925" s="511"/>
      <c r="J925" s="511"/>
      <c r="K925" s="511"/>
      <c r="L925" s="511"/>
      <c r="M925" s="511"/>
      <c r="N925" s="511"/>
      <c r="O925" s="511"/>
      <c r="P925" s="511"/>
      <c r="Q925" s="511"/>
      <c r="R925" s="511"/>
      <c r="S925" s="511"/>
      <c r="T925" s="511"/>
      <c r="U925" s="511"/>
      <c r="V925" s="511"/>
      <c r="W925" s="511"/>
      <c r="X925" s="511"/>
      <c r="Y925" s="511"/>
      <c r="Z925" s="511"/>
    </row>
    <row r="926" spans="1:26" ht="19.5" customHeight="1" x14ac:dyDescent="0.3">
      <c r="A926" s="511"/>
      <c r="B926" s="511"/>
      <c r="C926" s="511"/>
      <c r="D926" s="511"/>
      <c r="E926" s="511"/>
      <c r="F926" s="511"/>
      <c r="G926" s="511"/>
      <c r="H926" s="511"/>
      <c r="I926" s="511"/>
      <c r="J926" s="511"/>
      <c r="K926" s="511"/>
      <c r="L926" s="511"/>
      <c r="M926" s="511"/>
      <c r="N926" s="511"/>
      <c r="O926" s="511"/>
      <c r="P926" s="511"/>
      <c r="Q926" s="511"/>
      <c r="R926" s="511"/>
      <c r="S926" s="511"/>
      <c r="T926" s="511"/>
      <c r="U926" s="511"/>
      <c r="V926" s="511"/>
      <c r="W926" s="511"/>
      <c r="X926" s="511"/>
      <c r="Y926" s="511"/>
      <c r="Z926" s="511"/>
    </row>
    <row r="927" spans="1:26" ht="19.5" customHeight="1" x14ac:dyDescent="0.3">
      <c r="A927" s="511"/>
      <c r="B927" s="511"/>
      <c r="C927" s="511"/>
      <c r="D927" s="511"/>
      <c r="E927" s="511"/>
      <c r="F927" s="511"/>
      <c r="G927" s="511"/>
      <c r="H927" s="511"/>
      <c r="I927" s="511"/>
      <c r="J927" s="511"/>
      <c r="K927" s="511"/>
      <c r="L927" s="511"/>
      <c r="M927" s="511"/>
      <c r="N927" s="511"/>
      <c r="O927" s="511"/>
      <c r="P927" s="511"/>
      <c r="Q927" s="511"/>
      <c r="R927" s="511"/>
      <c r="S927" s="511"/>
      <c r="T927" s="511"/>
      <c r="U927" s="511"/>
      <c r="V927" s="511"/>
      <c r="W927" s="511"/>
      <c r="X927" s="511"/>
      <c r="Y927" s="511"/>
      <c r="Z927" s="511"/>
    </row>
    <row r="928" spans="1:26" ht="19.5" customHeight="1" x14ac:dyDescent="0.3">
      <c r="A928" s="511"/>
      <c r="B928" s="511"/>
      <c r="C928" s="511"/>
      <c r="D928" s="511"/>
      <c r="E928" s="511"/>
      <c r="F928" s="511"/>
      <c r="G928" s="511"/>
      <c r="H928" s="511"/>
      <c r="I928" s="511"/>
      <c r="J928" s="511"/>
      <c r="K928" s="511"/>
      <c r="L928" s="511"/>
      <c r="M928" s="511"/>
      <c r="N928" s="511"/>
      <c r="O928" s="511"/>
      <c r="P928" s="511"/>
      <c r="Q928" s="511"/>
      <c r="R928" s="511"/>
      <c r="S928" s="511"/>
      <c r="T928" s="511"/>
      <c r="U928" s="511"/>
      <c r="V928" s="511"/>
      <c r="W928" s="511"/>
      <c r="X928" s="511"/>
      <c r="Y928" s="511"/>
      <c r="Z928" s="511"/>
    </row>
    <row r="929" spans="1:26" ht="19.5" customHeight="1" x14ac:dyDescent="0.3">
      <c r="A929" s="511"/>
      <c r="B929" s="511"/>
      <c r="C929" s="511"/>
      <c r="D929" s="511"/>
      <c r="E929" s="511"/>
      <c r="F929" s="511"/>
      <c r="G929" s="511"/>
      <c r="H929" s="511"/>
      <c r="I929" s="511"/>
      <c r="J929" s="511"/>
      <c r="K929" s="511"/>
      <c r="L929" s="511"/>
      <c r="M929" s="511"/>
      <c r="N929" s="511"/>
      <c r="O929" s="511"/>
      <c r="P929" s="511"/>
      <c r="Q929" s="511"/>
      <c r="R929" s="511"/>
      <c r="S929" s="511"/>
      <c r="T929" s="511"/>
      <c r="U929" s="511"/>
      <c r="V929" s="511"/>
      <c r="W929" s="511"/>
      <c r="X929" s="511"/>
      <c r="Y929" s="511"/>
      <c r="Z929" s="511"/>
    </row>
    <row r="930" spans="1:26" ht="19.5" customHeight="1" x14ac:dyDescent="0.3">
      <c r="A930" s="511"/>
      <c r="B930" s="511"/>
      <c r="C930" s="511"/>
      <c r="D930" s="511"/>
      <c r="E930" s="511"/>
      <c r="F930" s="511"/>
      <c r="G930" s="511"/>
      <c r="H930" s="511"/>
      <c r="I930" s="511"/>
      <c r="J930" s="511"/>
      <c r="K930" s="511"/>
      <c r="L930" s="511"/>
      <c r="M930" s="511"/>
      <c r="N930" s="511"/>
      <c r="O930" s="511"/>
      <c r="P930" s="511"/>
      <c r="Q930" s="511"/>
      <c r="R930" s="511"/>
      <c r="S930" s="511"/>
      <c r="T930" s="511"/>
      <c r="U930" s="511"/>
      <c r="V930" s="511"/>
      <c r="W930" s="511"/>
      <c r="X930" s="511"/>
      <c r="Y930" s="511"/>
      <c r="Z930" s="511"/>
    </row>
    <row r="931" spans="1:26" ht="19.5" customHeight="1" x14ac:dyDescent="0.3">
      <c r="A931" s="511"/>
      <c r="B931" s="511"/>
      <c r="C931" s="511"/>
      <c r="D931" s="511"/>
      <c r="E931" s="511"/>
      <c r="F931" s="511"/>
      <c r="G931" s="511"/>
      <c r="H931" s="511"/>
      <c r="I931" s="511"/>
      <c r="J931" s="511"/>
      <c r="K931" s="511"/>
      <c r="L931" s="511"/>
      <c r="M931" s="511"/>
      <c r="N931" s="511"/>
      <c r="O931" s="511"/>
      <c r="P931" s="511"/>
      <c r="Q931" s="511"/>
      <c r="R931" s="511"/>
      <c r="S931" s="511"/>
      <c r="T931" s="511"/>
      <c r="U931" s="511"/>
      <c r="V931" s="511"/>
      <c r="W931" s="511"/>
      <c r="X931" s="511"/>
      <c r="Y931" s="511"/>
      <c r="Z931" s="511"/>
    </row>
    <row r="932" spans="1:26" ht="19.5" customHeight="1" x14ac:dyDescent="0.3">
      <c r="A932" s="511"/>
      <c r="B932" s="511"/>
      <c r="C932" s="511"/>
      <c r="D932" s="511"/>
      <c r="E932" s="511"/>
      <c r="F932" s="511"/>
      <c r="G932" s="511"/>
      <c r="H932" s="511"/>
      <c r="I932" s="511"/>
      <c r="J932" s="511"/>
      <c r="K932" s="511"/>
      <c r="L932" s="511"/>
      <c r="M932" s="511"/>
      <c r="N932" s="511"/>
      <c r="O932" s="511"/>
      <c r="P932" s="511"/>
      <c r="Q932" s="511"/>
      <c r="R932" s="511"/>
      <c r="S932" s="511"/>
      <c r="T932" s="511"/>
      <c r="U932" s="511"/>
      <c r="V932" s="511"/>
      <c r="W932" s="511"/>
      <c r="X932" s="511"/>
      <c r="Y932" s="511"/>
      <c r="Z932" s="511"/>
    </row>
    <row r="933" spans="1:26" ht="19.5" customHeight="1" x14ac:dyDescent="0.3">
      <c r="A933" s="511"/>
      <c r="B933" s="511"/>
      <c r="C933" s="511"/>
      <c r="D933" s="511"/>
      <c r="E933" s="511"/>
      <c r="F933" s="511"/>
      <c r="G933" s="511"/>
      <c r="H933" s="511"/>
      <c r="I933" s="511"/>
      <c r="J933" s="511"/>
      <c r="K933" s="511"/>
      <c r="L933" s="511"/>
      <c r="M933" s="511"/>
      <c r="N933" s="511"/>
      <c r="O933" s="511"/>
      <c r="P933" s="511"/>
      <c r="Q933" s="511"/>
      <c r="R933" s="511"/>
      <c r="S933" s="511"/>
      <c r="T933" s="511"/>
      <c r="U933" s="511"/>
      <c r="V933" s="511"/>
      <c r="W933" s="511"/>
      <c r="X933" s="511"/>
      <c r="Y933" s="511"/>
      <c r="Z933" s="511"/>
    </row>
    <row r="934" spans="1:26" ht="19.5" customHeight="1" x14ac:dyDescent="0.3">
      <c r="A934" s="511"/>
      <c r="B934" s="511"/>
      <c r="C934" s="511"/>
      <c r="D934" s="511"/>
      <c r="E934" s="511"/>
      <c r="F934" s="511"/>
      <c r="G934" s="511"/>
      <c r="H934" s="511"/>
      <c r="I934" s="511"/>
      <c r="J934" s="511"/>
      <c r="K934" s="511"/>
      <c r="L934" s="511"/>
      <c r="M934" s="511"/>
      <c r="N934" s="511"/>
      <c r="O934" s="511"/>
      <c r="P934" s="511"/>
      <c r="Q934" s="511"/>
      <c r="R934" s="511"/>
      <c r="S934" s="511"/>
      <c r="T934" s="511"/>
      <c r="U934" s="511"/>
      <c r="V934" s="511"/>
      <c r="W934" s="511"/>
      <c r="X934" s="511"/>
      <c r="Y934" s="511"/>
      <c r="Z934" s="511"/>
    </row>
    <row r="935" spans="1:26" ht="19.5" customHeight="1" x14ac:dyDescent="0.3">
      <c r="A935" s="511"/>
      <c r="B935" s="511"/>
      <c r="C935" s="511"/>
      <c r="D935" s="511"/>
      <c r="E935" s="511"/>
      <c r="F935" s="511"/>
      <c r="G935" s="511"/>
      <c r="H935" s="511"/>
      <c r="I935" s="511"/>
      <c r="J935" s="511"/>
      <c r="K935" s="511"/>
      <c r="L935" s="511"/>
      <c r="M935" s="511"/>
      <c r="N935" s="511"/>
      <c r="O935" s="511"/>
      <c r="P935" s="511"/>
      <c r="Q935" s="511"/>
      <c r="R935" s="511"/>
      <c r="S935" s="511"/>
      <c r="T935" s="511"/>
      <c r="U935" s="511"/>
      <c r="V935" s="511"/>
      <c r="W935" s="511"/>
      <c r="X935" s="511"/>
      <c r="Y935" s="511"/>
      <c r="Z935" s="511"/>
    </row>
    <row r="936" spans="1:26" ht="19.5" customHeight="1" x14ac:dyDescent="0.3">
      <c r="A936" s="511"/>
      <c r="B936" s="511"/>
      <c r="C936" s="511"/>
      <c r="D936" s="511"/>
      <c r="E936" s="511"/>
      <c r="F936" s="511"/>
      <c r="G936" s="511"/>
      <c r="H936" s="511"/>
      <c r="I936" s="511"/>
      <c r="J936" s="511"/>
      <c r="K936" s="511"/>
      <c r="L936" s="511"/>
      <c r="M936" s="511"/>
      <c r="N936" s="511"/>
      <c r="O936" s="511"/>
      <c r="P936" s="511"/>
      <c r="Q936" s="511"/>
      <c r="R936" s="511"/>
      <c r="S936" s="511"/>
      <c r="T936" s="511"/>
      <c r="U936" s="511"/>
      <c r="V936" s="511"/>
      <c r="W936" s="511"/>
      <c r="X936" s="511"/>
      <c r="Y936" s="511"/>
      <c r="Z936" s="511"/>
    </row>
    <row r="937" spans="1:26" ht="19.5" customHeight="1" x14ac:dyDescent="0.3">
      <c r="A937" s="511"/>
      <c r="B937" s="511"/>
      <c r="C937" s="511"/>
      <c r="D937" s="511"/>
      <c r="E937" s="511"/>
      <c r="F937" s="511"/>
      <c r="G937" s="511"/>
      <c r="H937" s="511"/>
      <c r="I937" s="511"/>
      <c r="J937" s="511"/>
      <c r="K937" s="511"/>
      <c r="L937" s="511"/>
      <c r="M937" s="511"/>
      <c r="N937" s="511"/>
      <c r="O937" s="511"/>
      <c r="P937" s="511"/>
      <c r="Q937" s="511"/>
      <c r="R937" s="511"/>
      <c r="S937" s="511"/>
      <c r="T937" s="511"/>
      <c r="U937" s="511"/>
      <c r="V937" s="511"/>
      <c r="W937" s="511"/>
      <c r="X937" s="511"/>
      <c r="Y937" s="511"/>
      <c r="Z937" s="511"/>
    </row>
    <row r="938" spans="1:26" ht="19.5" customHeight="1" x14ac:dyDescent="0.3">
      <c r="A938" s="511"/>
      <c r="B938" s="511"/>
      <c r="C938" s="511"/>
      <c r="D938" s="511"/>
      <c r="E938" s="511"/>
      <c r="F938" s="511"/>
      <c r="G938" s="511"/>
      <c r="H938" s="511"/>
      <c r="I938" s="511"/>
      <c r="J938" s="511"/>
      <c r="K938" s="511"/>
      <c r="L938" s="511"/>
      <c r="M938" s="511"/>
      <c r="N938" s="511"/>
      <c r="O938" s="511"/>
      <c r="P938" s="511"/>
      <c r="Q938" s="511"/>
      <c r="R938" s="511"/>
      <c r="S938" s="511"/>
      <c r="T938" s="511"/>
      <c r="U938" s="511"/>
      <c r="V938" s="511"/>
      <c r="W938" s="511"/>
      <c r="X938" s="511"/>
      <c r="Y938" s="511"/>
      <c r="Z938" s="511"/>
    </row>
    <row r="939" spans="1:26" ht="19.5" customHeight="1" x14ac:dyDescent="0.3">
      <c r="A939" s="511"/>
      <c r="B939" s="511"/>
      <c r="C939" s="511"/>
      <c r="D939" s="511"/>
      <c r="E939" s="511"/>
      <c r="F939" s="511"/>
      <c r="G939" s="511"/>
      <c r="H939" s="511"/>
      <c r="I939" s="511"/>
      <c r="J939" s="511"/>
      <c r="K939" s="511"/>
      <c r="L939" s="511"/>
      <c r="M939" s="511"/>
      <c r="N939" s="511"/>
      <c r="O939" s="511"/>
      <c r="P939" s="511"/>
      <c r="Q939" s="511"/>
      <c r="R939" s="511"/>
      <c r="S939" s="511"/>
      <c r="T939" s="511"/>
      <c r="U939" s="511"/>
      <c r="V939" s="511"/>
      <c r="W939" s="511"/>
      <c r="X939" s="511"/>
      <c r="Y939" s="511"/>
      <c r="Z939" s="511"/>
    </row>
    <row r="940" spans="1:26" ht="19.5" customHeight="1" x14ac:dyDescent="0.3">
      <c r="A940" s="511"/>
      <c r="B940" s="511"/>
      <c r="C940" s="511"/>
      <c r="D940" s="511"/>
      <c r="E940" s="511"/>
      <c r="F940" s="511"/>
      <c r="G940" s="511"/>
      <c r="H940" s="511"/>
      <c r="I940" s="511"/>
      <c r="J940" s="511"/>
      <c r="K940" s="511"/>
      <c r="L940" s="511"/>
      <c r="M940" s="511"/>
      <c r="N940" s="511"/>
      <c r="O940" s="511"/>
      <c r="P940" s="511"/>
      <c r="Q940" s="511"/>
      <c r="R940" s="511"/>
      <c r="S940" s="511"/>
      <c r="T940" s="511"/>
      <c r="U940" s="511"/>
      <c r="V940" s="511"/>
      <c r="W940" s="511"/>
      <c r="X940" s="511"/>
      <c r="Y940" s="511"/>
      <c r="Z940" s="511"/>
    </row>
    <row r="941" spans="1:26" ht="19.5" customHeight="1" x14ac:dyDescent="0.3">
      <c r="A941" s="511"/>
      <c r="B941" s="511"/>
      <c r="C941" s="511"/>
      <c r="D941" s="511"/>
      <c r="E941" s="511"/>
      <c r="F941" s="511"/>
      <c r="G941" s="511"/>
      <c r="H941" s="511"/>
      <c r="I941" s="511"/>
      <c r="J941" s="511"/>
      <c r="K941" s="511"/>
      <c r="L941" s="511"/>
      <c r="M941" s="511"/>
      <c r="N941" s="511"/>
      <c r="O941" s="511"/>
      <c r="P941" s="511"/>
      <c r="Q941" s="511"/>
      <c r="R941" s="511"/>
      <c r="S941" s="511"/>
      <c r="T941" s="511"/>
      <c r="U941" s="511"/>
      <c r="V941" s="511"/>
      <c r="W941" s="511"/>
      <c r="X941" s="511"/>
      <c r="Y941" s="511"/>
      <c r="Z941" s="511"/>
    </row>
    <row r="942" spans="1:26" ht="19.5" customHeight="1" x14ac:dyDescent="0.3">
      <c r="A942" s="511"/>
      <c r="B942" s="511"/>
      <c r="C942" s="511"/>
      <c r="D942" s="511"/>
      <c r="E942" s="511"/>
      <c r="F942" s="511"/>
      <c r="G942" s="511"/>
      <c r="H942" s="511"/>
      <c r="I942" s="511"/>
      <c r="J942" s="511"/>
      <c r="K942" s="511"/>
      <c r="L942" s="511"/>
      <c r="M942" s="511"/>
      <c r="N942" s="511"/>
      <c r="O942" s="511"/>
      <c r="P942" s="511"/>
      <c r="Q942" s="511"/>
      <c r="R942" s="511"/>
      <c r="S942" s="511"/>
      <c r="T942" s="511"/>
      <c r="U942" s="511"/>
      <c r="V942" s="511"/>
      <c r="W942" s="511"/>
      <c r="X942" s="511"/>
      <c r="Y942" s="511"/>
      <c r="Z942" s="511"/>
    </row>
    <row r="943" spans="1:26" ht="19.5" customHeight="1" x14ac:dyDescent="0.3">
      <c r="A943" s="511"/>
      <c r="B943" s="511"/>
      <c r="C943" s="511"/>
      <c r="D943" s="511"/>
      <c r="E943" s="511"/>
      <c r="F943" s="511"/>
      <c r="G943" s="511"/>
      <c r="H943" s="511"/>
      <c r="I943" s="511"/>
      <c r="J943" s="511"/>
      <c r="K943" s="511"/>
      <c r="L943" s="511"/>
      <c r="M943" s="511"/>
      <c r="N943" s="511"/>
      <c r="O943" s="511"/>
      <c r="P943" s="511"/>
      <c r="Q943" s="511"/>
      <c r="R943" s="511"/>
      <c r="S943" s="511"/>
      <c r="T943" s="511"/>
      <c r="U943" s="511"/>
      <c r="V943" s="511"/>
      <c r="W943" s="511"/>
      <c r="X943" s="511"/>
      <c r="Y943" s="511"/>
      <c r="Z943" s="511"/>
    </row>
    <row r="944" spans="1:26" ht="19.5" customHeight="1" x14ac:dyDescent="0.3">
      <c r="A944" s="511"/>
      <c r="B944" s="511"/>
      <c r="C944" s="511"/>
      <c r="D944" s="511"/>
      <c r="E944" s="511"/>
      <c r="F944" s="511"/>
      <c r="G944" s="511"/>
      <c r="H944" s="511"/>
      <c r="I944" s="511"/>
      <c r="J944" s="511"/>
      <c r="K944" s="511"/>
      <c r="L944" s="511"/>
      <c r="M944" s="511"/>
      <c r="N944" s="511"/>
      <c r="O944" s="511"/>
      <c r="P944" s="511"/>
      <c r="Q944" s="511"/>
      <c r="R944" s="511"/>
      <c r="S944" s="511"/>
      <c r="T944" s="511"/>
      <c r="U944" s="511"/>
      <c r="V944" s="511"/>
      <c r="W944" s="511"/>
      <c r="X944" s="511"/>
      <c r="Y944" s="511"/>
      <c r="Z944" s="511"/>
    </row>
    <row r="945" spans="1:26" ht="19.5" customHeight="1" x14ac:dyDescent="0.3">
      <c r="A945" s="511"/>
      <c r="B945" s="511"/>
      <c r="C945" s="511"/>
      <c r="D945" s="511"/>
      <c r="E945" s="511"/>
      <c r="F945" s="511"/>
      <c r="G945" s="511"/>
      <c r="H945" s="511"/>
      <c r="I945" s="511"/>
      <c r="J945" s="511"/>
      <c r="K945" s="511"/>
      <c r="L945" s="511"/>
      <c r="M945" s="511"/>
      <c r="N945" s="511"/>
      <c r="O945" s="511"/>
      <c r="P945" s="511"/>
      <c r="Q945" s="511"/>
      <c r="R945" s="511"/>
      <c r="S945" s="511"/>
      <c r="T945" s="511"/>
      <c r="U945" s="511"/>
      <c r="V945" s="511"/>
      <c r="W945" s="511"/>
      <c r="X945" s="511"/>
      <c r="Y945" s="511"/>
      <c r="Z945" s="511"/>
    </row>
    <row r="946" spans="1:26" ht="19.5" customHeight="1" x14ac:dyDescent="0.3">
      <c r="A946" s="511"/>
      <c r="B946" s="511"/>
      <c r="C946" s="511"/>
      <c r="D946" s="511"/>
      <c r="E946" s="511"/>
      <c r="F946" s="511"/>
      <c r="G946" s="511"/>
      <c r="H946" s="511"/>
      <c r="I946" s="511"/>
      <c r="J946" s="511"/>
      <c r="K946" s="511"/>
      <c r="L946" s="511"/>
      <c r="M946" s="511"/>
      <c r="N946" s="511"/>
      <c r="O946" s="511"/>
      <c r="P946" s="511"/>
      <c r="Q946" s="511"/>
      <c r="R946" s="511"/>
      <c r="S946" s="511"/>
      <c r="T946" s="511"/>
      <c r="U946" s="511"/>
      <c r="V946" s="511"/>
      <c r="W946" s="511"/>
      <c r="X946" s="511"/>
      <c r="Y946" s="511"/>
      <c r="Z946" s="511"/>
    </row>
    <row r="947" spans="1:26" ht="19.5" customHeight="1" x14ac:dyDescent="0.3">
      <c r="A947" s="511"/>
      <c r="B947" s="511"/>
      <c r="C947" s="511"/>
      <c r="D947" s="511"/>
      <c r="E947" s="511"/>
      <c r="F947" s="511"/>
      <c r="G947" s="511"/>
      <c r="H947" s="511"/>
      <c r="I947" s="511"/>
      <c r="J947" s="511"/>
      <c r="K947" s="511"/>
      <c r="L947" s="511"/>
      <c r="M947" s="511"/>
      <c r="N947" s="511"/>
      <c r="O947" s="511"/>
      <c r="P947" s="511"/>
      <c r="Q947" s="511"/>
      <c r="R947" s="511"/>
      <c r="S947" s="511"/>
      <c r="T947" s="511"/>
      <c r="U947" s="511"/>
      <c r="V947" s="511"/>
      <c r="W947" s="511"/>
      <c r="X947" s="511"/>
      <c r="Y947" s="511"/>
      <c r="Z947" s="511"/>
    </row>
    <row r="948" spans="1:26" ht="19.5" customHeight="1" x14ac:dyDescent="0.3">
      <c r="A948" s="511"/>
      <c r="B948" s="511"/>
      <c r="C948" s="511"/>
      <c r="D948" s="511"/>
      <c r="E948" s="511"/>
      <c r="F948" s="511"/>
      <c r="G948" s="511"/>
      <c r="H948" s="511"/>
      <c r="I948" s="511"/>
      <c r="J948" s="511"/>
      <c r="K948" s="511"/>
      <c r="L948" s="511"/>
      <c r="M948" s="511"/>
      <c r="N948" s="511"/>
      <c r="O948" s="511"/>
      <c r="P948" s="511"/>
      <c r="Q948" s="511"/>
      <c r="R948" s="511"/>
      <c r="S948" s="511"/>
      <c r="T948" s="511"/>
      <c r="U948" s="511"/>
      <c r="V948" s="511"/>
      <c r="W948" s="511"/>
      <c r="X948" s="511"/>
      <c r="Y948" s="511"/>
      <c r="Z948" s="511"/>
    </row>
    <row r="949" spans="1:26" ht="19.5" customHeight="1" x14ac:dyDescent="0.3">
      <c r="A949" s="511"/>
      <c r="B949" s="511"/>
      <c r="C949" s="511"/>
      <c r="D949" s="511"/>
      <c r="E949" s="511"/>
      <c r="F949" s="511"/>
      <c r="G949" s="511"/>
      <c r="H949" s="511"/>
      <c r="I949" s="511"/>
      <c r="J949" s="511"/>
      <c r="K949" s="511"/>
      <c r="L949" s="511"/>
      <c r="M949" s="511"/>
      <c r="N949" s="511"/>
      <c r="O949" s="511"/>
      <c r="P949" s="511"/>
      <c r="Q949" s="511"/>
      <c r="R949" s="511"/>
      <c r="S949" s="511"/>
      <c r="T949" s="511"/>
      <c r="U949" s="511"/>
      <c r="V949" s="511"/>
      <c r="W949" s="511"/>
      <c r="X949" s="511"/>
      <c r="Y949" s="511"/>
      <c r="Z949" s="511"/>
    </row>
    <row r="950" spans="1:26" ht="19.5" customHeight="1" x14ac:dyDescent="0.3">
      <c r="A950" s="511"/>
      <c r="B950" s="511"/>
      <c r="C950" s="511"/>
      <c r="D950" s="511"/>
      <c r="E950" s="511"/>
      <c r="F950" s="511"/>
      <c r="G950" s="511"/>
      <c r="H950" s="511"/>
      <c r="I950" s="511"/>
      <c r="J950" s="511"/>
      <c r="K950" s="511"/>
      <c r="L950" s="511"/>
      <c r="M950" s="511"/>
      <c r="N950" s="511"/>
      <c r="O950" s="511"/>
      <c r="P950" s="511"/>
      <c r="Q950" s="511"/>
      <c r="R950" s="511"/>
      <c r="S950" s="511"/>
      <c r="T950" s="511"/>
      <c r="U950" s="511"/>
      <c r="V950" s="511"/>
      <c r="W950" s="511"/>
      <c r="X950" s="511"/>
      <c r="Y950" s="511"/>
      <c r="Z950" s="511"/>
    </row>
    <row r="951" spans="1:26" ht="19.5" customHeight="1" x14ac:dyDescent="0.3">
      <c r="A951" s="511"/>
      <c r="B951" s="511"/>
      <c r="C951" s="511"/>
      <c r="D951" s="511"/>
      <c r="E951" s="511"/>
      <c r="F951" s="511"/>
      <c r="G951" s="511"/>
      <c r="H951" s="511"/>
      <c r="I951" s="511"/>
      <c r="J951" s="511"/>
      <c r="K951" s="511"/>
      <c r="L951" s="511"/>
      <c r="M951" s="511"/>
      <c r="N951" s="511"/>
      <c r="O951" s="511"/>
      <c r="P951" s="511"/>
      <c r="Q951" s="511"/>
      <c r="R951" s="511"/>
      <c r="S951" s="511"/>
      <c r="T951" s="511"/>
      <c r="U951" s="511"/>
      <c r="V951" s="511"/>
      <c r="W951" s="511"/>
      <c r="X951" s="511"/>
      <c r="Y951" s="511"/>
      <c r="Z951" s="511"/>
    </row>
    <row r="952" spans="1:26" ht="19.5" customHeight="1" x14ac:dyDescent="0.3">
      <c r="A952" s="511"/>
      <c r="B952" s="511"/>
      <c r="C952" s="511"/>
      <c r="D952" s="511"/>
      <c r="E952" s="511"/>
      <c r="F952" s="511"/>
      <c r="G952" s="511"/>
      <c r="H952" s="511"/>
      <c r="I952" s="511"/>
      <c r="J952" s="511"/>
      <c r="K952" s="511"/>
      <c r="L952" s="511"/>
      <c r="M952" s="511"/>
      <c r="N952" s="511"/>
      <c r="O952" s="511"/>
      <c r="P952" s="511"/>
      <c r="Q952" s="511"/>
      <c r="R952" s="511"/>
      <c r="S952" s="511"/>
      <c r="T952" s="511"/>
      <c r="U952" s="511"/>
      <c r="V952" s="511"/>
      <c r="W952" s="511"/>
      <c r="X952" s="511"/>
      <c r="Y952" s="511"/>
      <c r="Z952" s="511"/>
    </row>
    <row r="953" spans="1:26" ht="19.5" customHeight="1" x14ac:dyDescent="0.3">
      <c r="A953" s="511"/>
      <c r="B953" s="511"/>
      <c r="C953" s="511"/>
      <c r="D953" s="511"/>
      <c r="E953" s="511"/>
      <c r="F953" s="511"/>
      <c r="G953" s="511"/>
      <c r="H953" s="511"/>
      <c r="I953" s="511"/>
      <c r="J953" s="511"/>
      <c r="K953" s="511"/>
      <c r="L953" s="511"/>
      <c r="M953" s="511"/>
      <c r="N953" s="511"/>
      <c r="O953" s="511"/>
      <c r="P953" s="511"/>
      <c r="Q953" s="511"/>
      <c r="R953" s="511"/>
      <c r="S953" s="511"/>
      <c r="T953" s="511"/>
      <c r="U953" s="511"/>
      <c r="V953" s="511"/>
      <c r="W953" s="511"/>
      <c r="X953" s="511"/>
      <c r="Y953" s="511"/>
      <c r="Z953" s="511"/>
    </row>
    <row r="954" spans="1:26" ht="19.5" customHeight="1" x14ac:dyDescent="0.3">
      <c r="A954" s="511"/>
      <c r="B954" s="511"/>
      <c r="C954" s="511"/>
      <c r="D954" s="511"/>
      <c r="E954" s="511"/>
      <c r="F954" s="511"/>
      <c r="G954" s="511"/>
      <c r="H954" s="511"/>
      <c r="I954" s="511"/>
      <c r="J954" s="511"/>
      <c r="K954" s="511"/>
      <c r="L954" s="511"/>
      <c r="M954" s="511"/>
      <c r="N954" s="511"/>
      <c r="O954" s="511"/>
      <c r="P954" s="511"/>
      <c r="Q954" s="511"/>
      <c r="R954" s="511"/>
      <c r="S954" s="511"/>
      <c r="T954" s="511"/>
      <c r="U954" s="511"/>
      <c r="V954" s="511"/>
      <c r="W954" s="511"/>
      <c r="X954" s="511"/>
      <c r="Y954" s="511"/>
      <c r="Z954" s="511"/>
    </row>
    <row r="955" spans="1:26" ht="19.5" customHeight="1" x14ac:dyDescent="0.3">
      <c r="A955" s="511"/>
      <c r="B955" s="511"/>
      <c r="C955" s="511"/>
      <c r="D955" s="511"/>
      <c r="E955" s="511"/>
      <c r="F955" s="511"/>
      <c r="G955" s="511"/>
      <c r="H955" s="511"/>
      <c r="I955" s="511"/>
      <c r="J955" s="511"/>
      <c r="K955" s="511"/>
      <c r="L955" s="511"/>
      <c r="M955" s="511"/>
      <c r="N955" s="511"/>
      <c r="O955" s="511"/>
      <c r="P955" s="511"/>
      <c r="Q955" s="511"/>
      <c r="R955" s="511"/>
      <c r="S955" s="511"/>
      <c r="T955" s="511"/>
      <c r="U955" s="511"/>
      <c r="V955" s="511"/>
      <c r="W955" s="511"/>
      <c r="X955" s="511"/>
      <c r="Y955" s="511"/>
      <c r="Z955" s="511"/>
    </row>
    <row r="956" spans="1:26" ht="19.5" customHeight="1" x14ac:dyDescent="0.3">
      <c r="A956" s="511"/>
      <c r="B956" s="511"/>
      <c r="C956" s="511"/>
      <c r="D956" s="511"/>
      <c r="E956" s="511"/>
      <c r="F956" s="511"/>
      <c r="G956" s="511"/>
      <c r="H956" s="511"/>
      <c r="I956" s="511"/>
      <c r="J956" s="511"/>
      <c r="K956" s="511"/>
      <c r="L956" s="511"/>
      <c r="M956" s="511"/>
      <c r="N956" s="511"/>
      <c r="O956" s="511"/>
      <c r="P956" s="511"/>
      <c r="Q956" s="511"/>
      <c r="R956" s="511"/>
      <c r="S956" s="511"/>
      <c r="T956" s="511"/>
      <c r="U956" s="511"/>
      <c r="V956" s="511"/>
      <c r="W956" s="511"/>
      <c r="X956" s="511"/>
      <c r="Y956" s="511"/>
      <c r="Z956" s="511"/>
    </row>
    <row r="957" spans="1:26" ht="19.5" customHeight="1" x14ac:dyDescent="0.3">
      <c r="A957" s="511"/>
      <c r="B957" s="511"/>
      <c r="C957" s="511"/>
      <c r="D957" s="511"/>
      <c r="E957" s="511"/>
      <c r="F957" s="511"/>
      <c r="G957" s="511"/>
      <c r="H957" s="511"/>
      <c r="I957" s="511"/>
      <c r="J957" s="511"/>
      <c r="K957" s="511"/>
      <c r="L957" s="511"/>
      <c r="M957" s="511"/>
      <c r="N957" s="511"/>
      <c r="O957" s="511"/>
      <c r="P957" s="511"/>
      <c r="Q957" s="511"/>
      <c r="R957" s="511"/>
      <c r="S957" s="511"/>
      <c r="T957" s="511"/>
      <c r="U957" s="511"/>
      <c r="V957" s="511"/>
      <c r="W957" s="511"/>
      <c r="X957" s="511"/>
      <c r="Y957" s="511"/>
      <c r="Z957" s="511"/>
    </row>
    <row r="958" spans="1:26" ht="19.5" customHeight="1" x14ac:dyDescent="0.3">
      <c r="A958" s="511"/>
      <c r="B958" s="511"/>
      <c r="C958" s="511"/>
      <c r="D958" s="511"/>
      <c r="E958" s="511"/>
      <c r="F958" s="511"/>
      <c r="G958" s="511"/>
      <c r="H958" s="511"/>
      <c r="I958" s="511"/>
      <c r="J958" s="511"/>
      <c r="K958" s="511"/>
      <c r="L958" s="511"/>
      <c r="M958" s="511"/>
      <c r="N958" s="511"/>
      <c r="O958" s="511"/>
      <c r="P958" s="511"/>
      <c r="Q958" s="511"/>
      <c r="R958" s="511"/>
      <c r="S958" s="511"/>
      <c r="T958" s="511"/>
      <c r="U958" s="511"/>
      <c r="V958" s="511"/>
      <c r="W958" s="511"/>
      <c r="X958" s="511"/>
      <c r="Y958" s="511"/>
      <c r="Z958" s="511"/>
    </row>
    <row r="959" spans="1:26" ht="19.5" customHeight="1" x14ac:dyDescent="0.3">
      <c r="A959" s="511"/>
      <c r="B959" s="511"/>
      <c r="C959" s="511"/>
      <c r="D959" s="511"/>
      <c r="E959" s="511"/>
      <c r="F959" s="511"/>
      <c r="G959" s="511"/>
      <c r="H959" s="511"/>
      <c r="I959" s="511"/>
      <c r="J959" s="511"/>
      <c r="K959" s="511"/>
      <c r="L959" s="511"/>
      <c r="M959" s="511"/>
      <c r="N959" s="511"/>
      <c r="O959" s="511"/>
      <c r="P959" s="511"/>
      <c r="Q959" s="511"/>
      <c r="R959" s="511"/>
      <c r="S959" s="511"/>
      <c r="T959" s="511"/>
      <c r="U959" s="511"/>
      <c r="V959" s="511"/>
      <c r="W959" s="511"/>
      <c r="X959" s="511"/>
      <c r="Y959" s="511"/>
      <c r="Z959" s="511"/>
    </row>
    <row r="960" spans="1:26" ht="19.5" customHeight="1" x14ac:dyDescent="0.3">
      <c r="A960" s="511"/>
      <c r="B960" s="511"/>
      <c r="C960" s="511"/>
      <c r="D960" s="511"/>
      <c r="E960" s="511"/>
      <c r="F960" s="511"/>
      <c r="G960" s="511"/>
      <c r="H960" s="511"/>
      <c r="I960" s="511"/>
      <c r="J960" s="511"/>
      <c r="K960" s="511"/>
      <c r="L960" s="511"/>
      <c r="M960" s="511"/>
      <c r="N960" s="511"/>
      <c r="O960" s="511"/>
      <c r="P960" s="511"/>
      <c r="Q960" s="511"/>
      <c r="R960" s="511"/>
      <c r="S960" s="511"/>
      <c r="T960" s="511"/>
      <c r="U960" s="511"/>
      <c r="V960" s="511"/>
      <c r="W960" s="511"/>
      <c r="X960" s="511"/>
      <c r="Y960" s="511"/>
      <c r="Z960" s="511"/>
    </row>
    <row r="961" spans="1:26" ht="19.5" customHeight="1" x14ac:dyDescent="0.3">
      <c r="A961" s="511"/>
      <c r="B961" s="511"/>
      <c r="C961" s="511"/>
      <c r="D961" s="511"/>
      <c r="E961" s="511"/>
      <c r="F961" s="511"/>
      <c r="G961" s="511"/>
      <c r="H961" s="511"/>
      <c r="I961" s="511"/>
      <c r="J961" s="511"/>
      <c r="K961" s="511"/>
      <c r="L961" s="511"/>
      <c r="M961" s="511"/>
      <c r="N961" s="511"/>
      <c r="O961" s="511"/>
      <c r="P961" s="511"/>
      <c r="Q961" s="511"/>
      <c r="R961" s="511"/>
      <c r="S961" s="511"/>
      <c r="T961" s="511"/>
      <c r="U961" s="511"/>
      <c r="V961" s="511"/>
      <c r="W961" s="511"/>
      <c r="X961" s="511"/>
      <c r="Y961" s="511"/>
      <c r="Z961" s="511"/>
    </row>
    <row r="962" spans="1:26" ht="19.5" customHeight="1" x14ac:dyDescent="0.3">
      <c r="A962" s="511"/>
      <c r="B962" s="511"/>
      <c r="C962" s="511"/>
      <c r="D962" s="511"/>
      <c r="E962" s="511"/>
      <c r="F962" s="511"/>
      <c r="G962" s="511"/>
      <c r="H962" s="511"/>
      <c r="I962" s="511"/>
      <c r="J962" s="511"/>
      <c r="K962" s="511"/>
      <c r="L962" s="511"/>
      <c r="M962" s="511"/>
      <c r="N962" s="511"/>
      <c r="O962" s="511"/>
      <c r="P962" s="511"/>
      <c r="Q962" s="511"/>
      <c r="R962" s="511"/>
      <c r="S962" s="511"/>
      <c r="T962" s="511"/>
      <c r="U962" s="511"/>
      <c r="V962" s="511"/>
      <c r="W962" s="511"/>
      <c r="X962" s="511"/>
      <c r="Y962" s="511"/>
      <c r="Z962" s="511"/>
    </row>
    <row r="963" spans="1:26" ht="19.5" customHeight="1" x14ac:dyDescent="0.3">
      <c r="A963" s="511"/>
      <c r="B963" s="511"/>
      <c r="C963" s="511"/>
      <c r="D963" s="511"/>
      <c r="E963" s="511"/>
      <c r="F963" s="511"/>
      <c r="G963" s="511"/>
      <c r="H963" s="511"/>
      <c r="I963" s="511"/>
      <c r="J963" s="511"/>
      <c r="K963" s="511"/>
      <c r="L963" s="511"/>
      <c r="M963" s="511"/>
      <c r="N963" s="511"/>
      <c r="O963" s="511"/>
      <c r="P963" s="511"/>
      <c r="Q963" s="511"/>
      <c r="R963" s="511"/>
      <c r="S963" s="511"/>
      <c r="T963" s="511"/>
      <c r="U963" s="511"/>
      <c r="V963" s="511"/>
      <c r="W963" s="511"/>
      <c r="X963" s="511"/>
      <c r="Y963" s="511"/>
      <c r="Z963" s="511"/>
    </row>
    <row r="964" spans="1:26" ht="19.5" customHeight="1" x14ac:dyDescent="0.3">
      <c r="A964" s="511"/>
      <c r="B964" s="511"/>
      <c r="C964" s="511"/>
      <c r="D964" s="511"/>
      <c r="E964" s="511"/>
      <c r="F964" s="511"/>
      <c r="G964" s="511"/>
      <c r="H964" s="511"/>
      <c r="I964" s="511"/>
      <c r="J964" s="511"/>
      <c r="K964" s="511"/>
      <c r="L964" s="511"/>
      <c r="M964" s="511"/>
      <c r="N964" s="511"/>
      <c r="O964" s="511"/>
      <c r="P964" s="511"/>
      <c r="Q964" s="511"/>
      <c r="R964" s="511"/>
      <c r="S964" s="511"/>
      <c r="T964" s="511"/>
      <c r="U964" s="511"/>
      <c r="V964" s="511"/>
      <c r="W964" s="511"/>
      <c r="X964" s="511"/>
      <c r="Y964" s="511"/>
      <c r="Z964" s="511"/>
    </row>
    <row r="965" spans="1:26" ht="19.5" customHeight="1" x14ac:dyDescent="0.3">
      <c r="A965" s="511"/>
      <c r="B965" s="511"/>
      <c r="C965" s="511"/>
      <c r="D965" s="511"/>
      <c r="E965" s="511"/>
      <c r="F965" s="511"/>
      <c r="G965" s="511"/>
      <c r="H965" s="511"/>
      <c r="I965" s="511"/>
      <c r="J965" s="511"/>
      <c r="K965" s="511"/>
      <c r="L965" s="511"/>
      <c r="M965" s="511"/>
      <c r="N965" s="511"/>
      <c r="O965" s="511"/>
      <c r="P965" s="511"/>
      <c r="Q965" s="511"/>
      <c r="R965" s="511"/>
      <c r="S965" s="511"/>
      <c r="T965" s="511"/>
      <c r="U965" s="511"/>
      <c r="V965" s="511"/>
      <c r="W965" s="511"/>
      <c r="X965" s="511"/>
      <c r="Y965" s="511"/>
      <c r="Z965" s="511"/>
    </row>
    <row r="966" spans="1:26" ht="19.5" customHeight="1" x14ac:dyDescent="0.3">
      <c r="A966" s="511"/>
      <c r="B966" s="511"/>
      <c r="C966" s="511"/>
      <c r="D966" s="511"/>
      <c r="E966" s="511"/>
      <c r="F966" s="511"/>
      <c r="G966" s="511"/>
      <c r="H966" s="511"/>
      <c r="I966" s="511"/>
      <c r="J966" s="511"/>
      <c r="K966" s="511"/>
      <c r="L966" s="511"/>
      <c r="M966" s="511"/>
      <c r="N966" s="511"/>
      <c r="O966" s="511"/>
      <c r="P966" s="511"/>
      <c r="Q966" s="511"/>
      <c r="R966" s="511"/>
      <c r="S966" s="511"/>
      <c r="T966" s="511"/>
      <c r="U966" s="511"/>
      <c r="V966" s="511"/>
      <c r="W966" s="511"/>
      <c r="X966" s="511"/>
      <c r="Y966" s="511"/>
      <c r="Z966" s="511"/>
    </row>
    <row r="967" spans="1:26" ht="19.5" customHeight="1" x14ac:dyDescent="0.3">
      <c r="A967" s="511"/>
      <c r="B967" s="511"/>
      <c r="C967" s="511"/>
      <c r="D967" s="511"/>
      <c r="E967" s="511"/>
      <c r="F967" s="511"/>
      <c r="G967" s="511"/>
      <c r="H967" s="511"/>
      <c r="I967" s="511"/>
      <c r="J967" s="511"/>
      <c r="K967" s="511"/>
      <c r="L967" s="511"/>
      <c r="M967" s="511"/>
      <c r="N967" s="511"/>
      <c r="O967" s="511"/>
      <c r="P967" s="511"/>
      <c r="Q967" s="511"/>
      <c r="R967" s="511"/>
      <c r="S967" s="511"/>
      <c r="T967" s="511"/>
      <c r="U967" s="511"/>
      <c r="V967" s="511"/>
      <c r="W967" s="511"/>
      <c r="X967" s="511"/>
      <c r="Y967" s="511"/>
      <c r="Z967" s="511"/>
    </row>
    <row r="968" spans="1:26" ht="19.5" customHeight="1" x14ac:dyDescent="0.3">
      <c r="A968" s="511"/>
      <c r="B968" s="511"/>
      <c r="C968" s="511"/>
      <c r="D968" s="511"/>
      <c r="E968" s="511"/>
      <c r="F968" s="511"/>
      <c r="G968" s="511"/>
      <c r="H968" s="511"/>
      <c r="I968" s="511"/>
      <c r="J968" s="511"/>
      <c r="K968" s="511"/>
      <c r="L968" s="511"/>
      <c r="M968" s="511"/>
      <c r="N968" s="511"/>
      <c r="O968" s="511"/>
      <c r="P968" s="511"/>
      <c r="Q968" s="511"/>
      <c r="R968" s="511"/>
      <c r="S968" s="511"/>
      <c r="T968" s="511"/>
      <c r="U968" s="511"/>
      <c r="V968" s="511"/>
      <c r="W968" s="511"/>
      <c r="X968" s="511"/>
      <c r="Y968" s="511"/>
      <c r="Z968" s="511"/>
    </row>
    <row r="969" spans="1:26" ht="19.5" customHeight="1" x14ac:dyDescent="0.3">
      <c r="A969" s="511"/>
      <c r="B969" s="511"/>
      <c r="C969" s="511"/>
      <c r="D969" s="511"/>
      <c r="E969" s="511"/>
      <c r="F969" s="511"/>
      <c r="G969" s="511"/>
      <c r="H969" s="511"/>
      <c r="I969" s="511"/>
      <c r="J969" s="511"/>
      <c r="K969" s="511"/>
      <c r="L969" s="511"/>
      <c r="M969" s="511"/>
      <c r="N969" s="511"/>
      <c r="O969" s="511"/>
      <c r="P969" s="511"/>
      <c r="Q969" s="511"/>
      <c r="R969" s="511"/>
      <c r="S969" s="511"/>
      <c r="T969" s="511"/>
      <c r="U969" s="511"/>
      <c r="V969" s="511"/>
      <c r="W969" s="511"/>
      <c r="X969" s="511"/>
      <c r="Y969" s="511"/>
      <c r="Z969" s="511"/>
    </row>
    <row r="970" spans="1:26" ht="19.5" customHeight="1" x14ac:dyDescent="0.3">
      <c r="A970" s="511"/>
      <c r="B970" s="511"/>
      <c r="C970" s="511"/>
      <c r="D970" s="511"/>
      <c r="E970" s="511"/>
      <c r="F970" s="511"/>
      <c r="G970" s="511"/>
      <c r="H970" s="511"/>
      <c r="I970" s="511"/>
      <c r="J970" s="511"/>
      <c r="K970" s="511"/>
      <c r="L970" s="511"/>
      <c r="M970" s="511"/>
      <c r="N970" s="511"/>
      <c r="O970" s="511"/>
      <c r="P970" s="511"/>
      <c r="Q970" s="511"/>
      <c r="R970" s="511"/>
      <c r="S970" s="511"/>
      <c r="T970" s="511"/>
      <c r="U970" s="511"/>
      <c r="V970" s="511"/>
      <c r="W970" s="511"/>
      <c r="X970" s="511"/>
      <c r="Y970" s="511"/>
      <c r="Z970" s="511"/>
    </row>
    <row r="971" spans="1:26" ht="19.5" customHeight="1" x14ac:dyDescent="0.3">
      <c r="A971" s="511"/>
      <c r="B971" s="511"/>
      <c r="C971" s="511"/>
      <c r="D971" s="511"/>
      <c r="E971" s="511"/>
      <c r="F971" s="511"/>
      <c r="G971" s="511"/>
      <c r="H971" s="511"/>
      <c r="I971" s="511"/>
      <c r="J971" s="511"/>
      <c r="K971" s="511"/>
      <c r="L971" s="511"/>
      <c r="M971" s="511"/>
      <c r="N971" s="511"/>
      <c r="O971" s="511"/>
      <c r="P971" s="511"/>
      <c r="Q971" s="511"/>
      <c r="R971" s="511"/>
      <c r="S971" s="511"/>
      <c r="T971" s="511"/>
      <c r="U971" s="511"/>
      <c r="V971" s="511"/>
      <c r="W971" s="511"/>
      <c r="X971" s="511"/>
      <c r="Y971" s="511"/>
      <c r="Z971" s="511"/>
    </row>
    <row r="972" spans="1:26" ht="19.5" customHeight="1" x14ac:dyDescent="0.3">
      <c r="A972" s="511"/>
      <c r="B972" s="511"/>
      <c r="C972" s="511"/>
      <c r="D972" s="511"/>
      <c r="E972" s="511"/>
      <c r="F972" s="511"/>
      <c r="G972" s="511"/>
      <c r="H972" s="511"/>
      <c r="I972" s="511"/>
      <c r="J972" s="511"/>
      <c r="K972" s="511"/>
      <c r="L972" s="511"/>
      <c r="M972" s="511"/>
      <c r="N972" s="511"/>
      <c r="O972" s="511"/>
      <c r="P972" s="511"/>
      <c r="Q972" s="511"/>
      <c r="R972" s="511"/>
      <c r="S972" s="511"/>
      <c r="T972" s="511"/>
      <c r="U972" s="511"/>
      <c r="V972" s="511"/>
      <c r="W972" s="511"/>
      <c r="X972" s="511"/>
      <c r="Y972" s="511"/>
      <c r="Z972" s="511"/>
    </row>
    <row r="973" spans="1:26" ht="19.5" customHeight="1" x14ac:dyDescent="0.3">
      <c r="A973" s="511"/>
      <c r="B973" s="511"/>
      <c r="C973" s="511"/>
      <c r="D973" s="511"/>
      <c r="E973" s="511"/>
      <c r="F973" s="511"/>
      <c r="G973" s="511"/>
      <c r="H973" s="511"/>
      <c r="I973" s="511"/>
      <c r="J973" s="511"/>
      <c r="K973" s="511"/>
      <c r="L973" s="511"/>
      <c r="M973" s="511"/>
      <c r="N973" s="511"/>
      <c r="O973" s="511"/>
      <c r="P973" s="511"/>
      <c r="Q973" s="511"/>
      <c r="R973" s="511"/>
      <c r="S973" s="511"/>
      <c r="T973" s="511"/>
      <c r="U973" s="511"/>
      <c r="V973" s="511"/>
      <c r="W973" s="511"/>
      <c r="X973" s="511"/>
      <c r="Y973" s="511"/>
      <c r="Z973" s="511"/>
    </row>
    <row r="974" spans="1:26" ht="19.5" customHeight="1" x14ac:dyDescent="0.3">
      <c r="A974" s="511"/>
      <c r="B974" s="511"/>
      <c r="C974" s="511"/>
      <c r="D974" s="511"/>
      <c r="E974" s="511"/>
      <c r="F974" s="511"/>
      <c r="G974" s="511"/>
      <c r="H974" s="511"/>
      <c r="I974" s="511"/>
      <c r="J974" s="511"/>
      <c r="K974" s="511"/>
      <c r="L974" s="511"/>
      <c r="M974" s="511"/>
      <c r="N974" s="511"/>
      <c r="O974" s="511"/>
      <c r="P974" s="511"/>
      <c r="Q974" s="511"/>
      <c r="R974" s="511"/>
      <c r="S974" s="511"/>
      <c r="T974" s="511"/>
      <c r="U974" s="511"/>
      <c r="V974" s="511"/>
      <c r="W974" s="511"/>
      <c r="X974" s="511"/>
      <c r="Y974" s="511"/>
      <c r="Z974" s="511"/>
    </row>
    <row r="975" spans="1:26" ht="19.5" customHeight="1" x14ac:dyDescent="0.3">
      <c r="A975" s="511"/>
      <c r="B975" s="511"/>
      <c r="C975" s="511"/>
      <c r="D975" s="511"/>
      <c r="E975" s="511"/>
      <c r="F975" s="511"/>
      <c r="G975" s="511"/>
      <c r="H975" s="511"/>
      <c r="I975" s="511"/>
      <c r="J975" s="511"/>
      <c r="K975" s="511"/>
      <c r="L975" s="511"/>
      <c r="M975" s="511"/>
      <c r="N975" s="511"/>
      <c r="O975" s="511"/>
      <c r="P975" s="511"/>
      <c r="Q975" s="511"/>
      <c r="R975" s="511"/>
      <c r="S975" s="511"/>
      <c r="T975" s="511"/>
      <c r="U975" s="511"/>
      <c r="V975" s="511"/>
      <c r="W975" s="511"/>
      <c r="X975" s="511"/>
      <c r="Y975" s="511"/>
      <c r="Z975" s="511"/>
    </row>
    <row r="976" spans="1:26" ht="19.5" customHeight="1" x14ac:dyDescent="0.3">
      <c r="A976" s="511"/>
      <c r="B976" s="511"/>
      <c r="C976" s="511"/>
      <c r="D976" s="511"/>
      <c r="E976" s="511"/>
      <c r="F976" s="511"/>
      <c r="G976" s="511"/>
      <c r="H976" s="511"/>
      <c r="I976" s="511"/>
      <c r="J976" s="511"/>
      <c r="K976" s="511"/>
      <c r="L976" s="511"/>
      <c r="M976" s="511"/>
      <c r="N976" s="511"/>
      <c r="O976" s="511"/>
      <c r="P976" s="511"/>
      <c r="Q976" s="511"/>
      <c r="R976" s="511"/>
      <c r="S976" s="511"/>
      <c r="T976" s="511"/>
      <c r="U976" s="511"/>
      <c r="V976" s="511"/>
      <c r="W976" s="511"/>
      <c r="X976" s="511"/>
      <c r="Y976" s="511"/>
      <c r="Z976" s="511"/>
    </row>
    <row r="977" spans="1:26" ht="19.5" customHeight="1" x14ac:dyDescent="0.3">
      <c r="A977" s="511"/>
      <c r="B977" s="511"/>
      <c r="C977" s="511"/>
      <c r="D977" s="511"/>
      <c r="E977" s="511"/>
      <c r="F977" s="511"/>
      <c r="G977" s="511"/>
      <c r="H977" s="511"/>
      <c r="I977" s="511"/>
      <c r="J977" s="511"/>
      <c r="K977" s="511"/>
      <c r="L977" s="511"/>
      <c r="M977" s="511"/>
      <c r="N977" s="511"/>
      <c r="O977" s="511"/>
      <c r="P977" s="511"/>
      <c r="Q977" s="511"/>
      <c r="R977" s="511"/>
      <c r="S977" s="511"/>
      <c r="T977" s="511"/>
      <c r="U977" s="511"/>
      <c r="V977" s="511"/>
      <c r="W977" s="511"/>
      <c r="X977" s="511"/>
      <c r="Y977" s="511"/>
      <c r="Z977" s="511"/>
    </row>
    <row r="978" spans="1:26" ht="19.5" customHeight="1" x14ac:dyDescent="0.3">
      <c r="A978" s="511"/>
      <c r="B978" s="511"/>
      <c r="C978" s="511"/>
      <c r="D978" s="511"/>
      <c r="E978" s="511"/>
      <c r="F978" s="511"/>
      <c r="G978" s="511"/>
      <c r="H978" s="511"/>
      <c r="I978" s="511"/>
      <c r="J978" s="511"/>
      <c r="K978" s="511"/>
      <c r="L978" s="511"/>
      <c r="M978" s="511"/>
      <c r="N978" s="511"/>
      <c r="O978" s="511"/>
      <c r="P978" s="511"/>
      <c r="Q978" s="511"/>
      <c r="R978" s="511"/>
      <c r="S978" s="511"/>
      <c r="T978" s="511"/>
      <c r="U978" s="511"/>
      <c r="V978" s="511"/>
      <c r="W978" s="511"/>
      <c r="X978" s="511"/>
      <c r="Y978" s="511"/>
      <c r="Z978" s="511"/>
    </row>
    <row r="979" spans="1:26" ht="19.5" customHeight="1" x14ac:dyDescent="0.3">
      <c r="A979" s="511"/>
      <c r="B979" s="511"/>
      <c r="C979" s="511"/>
      <c r="D979" s="511"/>
      <c r="E979" s="511"/>
      <c r="F979" s="511"/>
      <c r="G979" s="511"/>
      <c r="H979" s="511"/>
      <c r="I979" s="511"/>
      <c r="J979" s="511"/>
      <c r="K979" s="511"/>
      <c r="L979" s="511"/>
      <c r="M979" s="511"/>
      <c r="N979" s="511"/>
      <c r="O979" s="511"/>
      <c r="P979" s="511"/>
      <c r="Q979" s="511"/>
      <c r="R979" s="511"/>
      <c r="S979" s="511"/>
      <c r="T979" s="511"/>
      <c r="U979" s="511"/>
      <c r="V979" s="511"/>
      <c r="W979" s="511"/>
      <c r="X979" s="511"/>
      <c r="Y979" s="511"/>
      <c r="Z979" s="511"/>
    </row>
    <row r="980" spans="1:26" ht="19.5" customHeight="1" x14ac:dyDescent="0.3">
      <c r="A980" s="511"/>
      <c r="B980" s="511"/>
      <c r="C980" s="511"/>
      <c r="D980" s="511"/>
      <c r="E980" s="511"/>
      <c r="F980" s="511"/>
      <c r="G980" s="511"/>
      <c r="H980" s="511"/>
      <c r="I980" s="511"/>
      <c r="J980" s="511"/>
      <c r="K980" s="511"/>
      <c r="L980" s="511"/>
      <c r="M980" s="511"/>
      <c r="N980" s="511"/>
      <c r="O980" s="511"/>
      <c r="P980" s="511"/>
      <c r="Q980" s="511"/>
      <c r="R980" s="511"/>
      <c r="S980" s="511"/>
      <c r="T980" s="511"/>
      <c r="U980" s="511"/>
      <c r="V980" s="511"/>
      <c r="W980" s="511"/>
      <c r="X980" s="511"/>
      <c r="Y980" s="511"/>
      <c r="Z980" s="511"/>
    </row>
    <row r="981" spans="1:26" ht="19.5" customHeight="1" x14ac:dyDescent="0.3">
      <c r="A981" s="511"/>
      <c r="B981" s="511"/>
      <c r="C981" s="511"/>
      <c r="D981" s="511"/>
      <c r="E981" s="511"/>
      <c r="F981" s="511"/>
      <c r="G981" s="511"/>
      <c r="H981" s="511"/>
      <c r="I981" s="511"/>
      <c r="J981" s="511"/>
      <c r="K981" s="511"/>
      <c r="L981" s="511"/>
      <c r="M981" s="511"/>
      <c r="N981" s="511"/>
      <c r="O981" s="511"/>
      <c r="P981" s="511"/>
      <c r="Q981" s="511"/>
      <c r="R981" s="511"/>
      <c r="S981" s="511"/>
      <c r="T981" s="511"/>
      <c r="U981" s="511"/>
      <c r="V981" s="511"/>
      <c r="W981" s="511"/>
      <c r="X981" s="511"/>
      <c r="Y981" s="511"/>
      <c r="Z981" s="511"/>
    </row>
    <row r="982" spans="1:26" ht="19.5" customHeight="1" x14ac:dyDescent="0.3">
      <c r="A982" s="511"/>
      <c r="B982" s="511"/>
      <c r="C982" s="511"/>
      <c r="D982" s="511"/>
      <c r="E982" s="511"/>
      <c r="F982" s="511"/>
      <c r="G982" s="511"/>
      <c r="H982" s="511"/>
      <c r="I982" s="511"/>
      <c r="J982" s="511"/>
      <c r="K982" s="511"/>
      <c r="L982" s="511"/>
      <c r="M982" s="511"/>
      <c r="N982" s="511"/>
      <c r="O982" s="511"/>
      <c r="P982" s="511"/>
      <c r="Q982" s="511"/>
      <c r="R982" s="511"/>
      <c r="S982" s="511"/>
      <c r="T982" s="511"/>
      <c r="U982" s="511"/>
      <c r="V982" s="511"/>
      <c r="W982" s="511"/>
      <c r="X982" s="511"/>
      <c r="Y982" s="511"/>
      <c r="Z982" s="511"/>
    </row>
    <row r="983" spans="1:26" ht="19.5" customHeight="1" x14ac:dyDescent="0.3">
      <c r="A983" s="511"/>
      <c r="B983" s="511"/>
      <c r="C983" s="511"/>
      <c r="D983" s="511"/>
      <c r="E983" s="511"/>
      <c r="F983" s="511"/>
      <c r="G983" s="511"/>
      <c r="H983" s="511"/>
      <c r="I983" s="511"/>
      <c r="J983" s="511"/>
      <c r="K983" s="511"/>
      <c r="L983" s="511"/>
      <c r="M983" s="511"/>
      <c r="N983" s="511"/>
      <c r="O983" s="511"/>
      <c r="P983" s="511"/>
      <c r="Q983" s="511"/>
      <c r="R983" s="511"/>
      <c r="S983" s="511"/>
      <c r="T983" s="511"/>
      <c r="U983" s="511"/>
      <c r="V983" s="511"/>
      <c r="W983" s="511"/>
      <c r="X983" s="511"/>
      <c r="Y983" s="511"/>
      <c r="Z983" s="511"/>
    </row>
    <row r="984" spans="1:26" ht="19.5" customHeight="1" x14ac:dyDescent="0.3">
      <c r="A984" s="511"/>
      <c r="B984" s="511"/>
      <c r="C984" s="511"/>
      <c r="D984" s="511"/>
      <c r="E984" s="511"/>
      <c r="F984" s="511"/>
      <c r="G984" s="511"/>
      <c r="H984" s="511"/>
      <c r="I984" s="511"/>
      <c r="J984" s="511"/>
      <c r="K984" s="511"/>
      <c r="L984" s="511"/>
      <c r="M984" s="511"/>
      <c r="N984" s="511"/>
      <c r="O984" s="511"/>
      <c r="P984" s="511"/>
      <c r="Q984" s="511"/>
      <c r="R984" s="511"/>
      <c r="S984" s="511"/>
      <c r="T984" s="511"/>
      <c r="U984" s="511"/>
      <c r="V984" s="511"/>
      <c r="W984" s="511"/>
      <c r="X984" s="511"/>
      <c r="Y984" s="511"/>
      <c r="Z984" s="511"/>
    </row>
    <row r="985" spans="1:26" ht="19.5" customHeight="1" x14ac:dyDescent="0.3">
      <c r="A985" s="511"/>
      <c r="B985" s="511"/>
      <c r="C985" s="511"/>
      <c r="D985" s="511"/>
      <c r="E985" s="511"/>
      <c r="F985" s="511"/>
      <c r="G985" s="511"/>
      <c r="H985" s="511"/>
      <c r="I985" s="511"/>
      <c r="J985" s="511"/>
      <c r="K985" s="511"/>
      <c r="L985" s="511"/>
      <c r="M985" s="511"/>
      <c r="N985" s="511"/>
      <c r="O985" s="511"/>
      <c r="P985" s="511"/>
      <c r="Q985" s="511"/>
      <c r="R985" s="511"/>
      <c r="S985" s="511"/>
      <c r="T985" s="511"/>
      <c r="U985" s="511"/>
      <c r="V985" s="511"/>
      <c r="W985" s="511"/>
      <c r="X985" s="511"/>
      <c r="Y985" s="511"/>
      <c r="Z985" s="511"/>
    </row>
    <row r="986" spans="1:26" ht="19.5" customHeight="1" x14ac:dyDescent="0.3">
      <c r="A986" s="511"/>
      <c r="B986" s="511"/>
      <c r="C986" s="511"/>
      <c r="D986" s="511"/>
      <c r="E986" s="511"/>
      <c r="F986" s="511"/>
      <c r="G986" s="511"/>
      <c r="H986" s="511"/>
      <c r="I986" s="511"/>
      <c r="J986" s="511"/>
      <c r="K986" s="511"/>
      <c r="L986" s="511"/>
      <c r="M986" s="511"/>
      <c r="N986" s="511"/>
      <c r="O986" s="511"/>
      <c r="P986" s="511"/>
      <c r="Q986" s="511"/>
      <c r="R986" s="511"/>
      <c r="S986" s="511"/>
      <c r="T986" s="511"/>
      <c r="U986" s="511"/>
      <c r="V986" s="511"/>
      <c r="W986" s="511"/>
      <c r="X986" s="511"/>
      <c r="Y986" s="511"/>
      <c r="Z986" s="511"/>
    </row>
    <row r="987" spans="1:26" ht="19.5" customHeight="1" x14ac:dyDescent="0.3">
      <c r="A987" s="511"/>
      <c r="B987" s="511"/>
      <c r="C987" s="511"/>
      <c r="D987" s="511"/>
      <c r="E987" s="511"/>
      <c r="F987" s="511"/>
      <c r="G987" s="511"/>
      <c r="H987" s="511"/>
      <c r="I987" s="511"/>
      <c r="J987" s="511"/>
      <c r="K987" s="511"/>
      <c r="L987" s="511"/>
      <c r="M987" s="511"/>
      <c r="N987" s="511"/>
      <c r="O987" s="511"/>
      <c r="P987" s="511"/>
      <c r="Q987" s="511"/>
      <c r="R987" s="511"/>
      <c r="S987" s="511"/>
      <c r="T987" s="511"/>
      <c r="U987" s="511"/>
      <c r="V987" s="511"/>
      <c r="W987" s="511"/>
      <c r="X987" s="511"/>
      <c r="Y987" s="511"/>
      <c r="Z987" s="511"/>
    </row>
    <row r="988" spans="1:26" ht="19.5" customHeight="1" x14ac:dyDescent="0.3">
      <c r="A988" s="511"/>
      <c r="B988" s="511"/>
      <c r="C988" s="511"/>
      <c r="D988" s="511"/>
      <c r="E988" s="511"/>
      <c r="F988" s="511"/>
      <c r="G988" s="511"/>
      <c r="H988" s="511"/>
      <c r="I988" s="511"/>
      <c r="J988" s="511"/>
      <c r="K988" s="511"/>
      <c r="L988" s="511"/>
      <c r="M988" s="511"/>
      <c r="N988" s="511"/>
      <c r="O988" s="511"/>
      <c r="P988" s="511"/>
      <c r="Q988" s="511"/>
      <c r="R988" s="511"/>
      <c r="S988" s="511"/>
      <c r="T988" s="511"/>
      <c r="U988" s="511"/>
      <c r="V988" s="511"/>
      <c r="W988" s="511"/>
      <c r="X988" s="511"/>
      <c r="Y988" s="511"/>
      <c r="Z988" s="511"/>
    </row>
    <row r="989" spans="1:26" ht="19.5" customHeight="1" x14ac:dyDescent="0.3">
      <c r="A989" s="511"/>
      <c r="B989" s="511"/>
      <c r="C989" s="511"/>
      <c r="D989" s="511"/>
      <c r="E989" s="511"/>
      <c r="F989" s="511"/>
      <c r="G989" s="511"/>
      <c r="H989" s="511"/>
      <c r="I989" s="511"/>
      <c r="J989" s="511"/>
      <c r="K989" s="511"/>
      <c r="L989" s="511"/>
      <c r="M989" s="511"/>
      <c r="N989" s="511"/>
      <c r="O989" s="511"/>
      <c r="P989" s="511"/>
      <c r="Q989" s="511"/>
      <c r="R989" s="511"/>
      <c r="S989" s="511"/>
      <c r="T989" s="511"/>
      <c r="U989" s="511"/>
      <c r="V989" s="511"/>
      <c r="W989" s="511"/>
      <c r="X989" s="511"/>
      <c r="Y989" s="511"/>
      <c r="Z989" s="511"/>
    </row>
    <row r="990" spans="1:26" ht="19.5" customHeight="1" x14ac:dyDescent="0.3">
      <c r="A990" s="511"/>
      <c r="B990" s="511"/>
      <c r="C990" s="511"/>
      <c r="D990" s="511"/>
      <c r="E990" s="511"/>
      <c r="F990" s="511"/>
      <c r="G990" s="511"/>
      <c r="H990" s="511"/>
      <c r="I990" s="511"/>
      <c r="J990" s="511"/>
      <c r="K990" s="511"/>
      <c r="L990" s="511"/>
      <c r="M990" s="511"/>
      <c r="N990" s="511"/>
      <c r="O990" s="511"/>
      <c r="P990" s="511"/>
      <c r="Q990" s="511"/>
      <c r="R990" s="511"/>
      <c r="S990" s="511"/>
      <c r="T990" s="511"/>
      <c r="U990" s="511"/>
      <c r="V990" s="511"/>
      <c r="W990" s="511"/>
      <c r="X990" s="511"/>
      <c r="Y990" s="511"/>
      <c r="Z990" s="511"/>
    </row>
    <row r="991" spans="1:26" ht="19.5" customHeight="1" x14ac:dyDescent="0.3">
      <c r="A991" s="511"/>
      <c r="B991" s="511"/>
      <c r="C991" s="511"/>
      <c r="D991" s="511"/>
      <c r="E991" s="511"/>
      <c r="F991" s="511"/>
      <c r="G991" s="511"/>
      <c r="H991" s="511"/>
      <c r="I991" s="511"/>
      <c r="J991" s="511"/>
      <c r="K991" s="511"/>
      <c r="L991" s="511"/>
      <c r="M991" s="511"/>
      <c r="N991" s="511"/>
      <c r="O991" s="511"/>
      <c r="P991" s="511"/>
      <c r="Q991" s="511"/>
      <c r="R991" s="511"/>
      <c r="S991" s="511"/>
      <c r="T991" s="511"/>
      <c r="U991" s="511"/>
      <c r="V991" s="511"/>
      <c r="W991" s="511"/>
      <c r="X991" s="511"/>
      <c r="Y991" s="511"/>
      <c r="Z991" s="511"/>
    </row>
    <row r="992" spans="1:26" ht="19.5" customHeight="1" x14ac:dyDescent="0.3">
      <c r="A992" s="511"/>
      <c r="B992" s="511"/>
      <c r="C992" s="511"/>
      <c r="D992" s="511"/>
      <c r="E992" s="511"/>
      <c r="F992" s="511"/>
      <c r="G992" s="511"/>
      <c r="H992" s="511"/>
      <c r="I992" s="511"/>
      <c r="J992" s="511"/>
      <c r="K992" s="511"/>
      <c r="L992" s="511"/>
      <c r="M992" s="511"/>
      <c r="N992" s="511"/>
      <c r="O992" s="511"/>
      <c r="P992" s="511"/>
      <c r="Q992" s="511"/>
      <c r="R992" s="511"/>
      <c r="S992" s="511"/>
      <c r="T992" s="511"/>
      <c r="U992" s="511"/>
      <c r="V992" s="511"/>
      <c r="W992" s="511"/>
      <c r="X992" s="511"/>
      <c r="Y992" s="511"/>
      <c r="Z992" s="511"/>
    </row>
    <row r="993" spans="1:26" ht="19.5" customHeight="1" x14ac:dyDescent="0.3">
      <c r="A993" s="511"/>
      <c r="B993" s="511"/>
      <c r="C993" s="511"/>
      <c r="D993" s="511"/>
      <c r="E993" s="511"/>
      <c r="F993" s="511"/>
      <c r="G993" s="511"/>
      <c r="H993" s="511"/>
      <c r="I993" s="511"/>
      <c r="J993" s="511"/>
      <c r="K993" s="511"/>
      <c r="L993" s="511"/>
      <c r="M993" s="511"/>
      <c r="N993" s="511"/>
      <c r="O993" s="511"/>
      <c r="P993" s="511"/>
      <c r="Q993" s="511"/>
      <c r="R993" s="511"/>
      <c r="S993" s="511"/>
      <c r="T993" s="511"/>
      <c r="U993" s="511"/>
      <c r="V993" s="511"/>
      <c r="W993" s="511"/>
      <c r="X993" s="511"/>
      <c r="Y993" s="511"/>
      <c r="Z993" s="511"/>
    </row>
    <row r="994" spans="1:26" ht="19.5" customHeight="1" x14ac:dyDescent="0.3">
      <c r="A994" s="511"/>
      <c r="B994" s="511"/>
      <c r="C994" s="511"/>
      <c r="D994" s="511"/>
      <c r="E994" s="511"/>
      <c r="F994" s="511"/>
      <c r="G994" s="511"/>
      <c r="H994" s="511"/>
      <c r="I994" s="511"/>
      <c r="J994" s="511"/>
      <c r="K994" s="511"/>
      <c r="L994" s="511"/>
      <c r="M994" s="511"/>
      <c r="N994" s="511"/>
      <c r="O994" s="511"/>
      <c r="P994" s="511"/>
      <c r="Q994" s="511"/>
      <c r="R994" s="511"/>
      <c r="S994" s="511"/>
      <c r="T994" s="511"/>
      <c r="U994" s="511"/>
      <c r="V994" s="511"/>
      <c r="W994" s="511"/>
      <c r="X994" s="511"/>
      <c r="Y994" s="511"/>
      <c r="Z994" s="511"/>
    </row>
    <row r="995" spans="1:26" ht="19.5" customHeight="1" x14ac:dyDescent="0.3">
      <c r="A995" s="511"/>
      <c r="B995" s="511"/>
      <c r="C995" s="511"/>
      <c r="D995" s="511"/>
      <c r="E995" s="511"/>
      <c r="F995" s="511"/>
      <c r="G995" s="511"/>
      <c r="H995" s="511"/>
      <c r="I995" s="511"/>
      <c r="J995" s="511"/>
      <c r="K995" s="511"/>
      <c r="L995" s="511"/>
      <c r="M995" s="511"/>
      <c r="N995" s="511"/>
      <c r="O995" s="511"/>
      <c r="P995" s="511"/>
      <c r="Q995" s="511"/>
      <c r="R995" s="511"/>
      <c r="S995" s="511"/>
      <c r="T995" s="511"/>
      <c r="U995" s="511"/>
      <c r="V995" s="511"/>
      <c r="W995" s="511"/>
      <c r="X995" s="511"/>
      <c r="Y995" s="511"/>
      <c r="Z995" s="511"/>
    </row>
    <row r="996" spans="1:26" ht="19.5" customHeight="1" x14ac:dyDescent="0.3">
      <c r="A996" s="511"/>
      <c r="B996" s="511"/>
      <c r="C996" s="511"/>
      <c r="D996" s="511"/>
      <c r="E996" s="511"/>
      <c r="F996" s="511"/>
      <c r="G996" s="511"/>
      <c r="H996" s="511"/>
      <c r="I996" s="511"/>
      <c r="J996" s="511"/>
      <c r="K996" s="511"/>
      <c r="L996" s="511"/>
      <c r="M996" s="511"/>
      <c r="N996" s="511"/>
      <c r="O996" s="511"/>
      <c r="P996" s="511"/>
      <c r="Q996" s="511"/>
      <c r="R996" s="511"/>
      <c r="S996" s="511"/>
      <c r="T996" s="511"/>
      <c r="U996" s="511"/>
      <c r="V996" s="511"/>
      <c r="W996" s="511"/>
      <c r="X996" s="511"/>
      <c r="Y996" s="511"/>
      <c r="Z996" s="511"/>
    </row>
    <row r="997" spans="1:26" ht="19.5" customHeight="1" x14ac:dyDescent="0.3">
      <c r="A997" s="511"/>
      <c r="B997" s="511"/>
      <c r="C997" s="511"/>
      <c r="D997" s="511"/>
      <c r="E997" s="511"/>
      <c r="F997" s="511"/>
      <c r="G997" s="511"/>
      <c r="H997" s="511"/>
      <c r="I997" s="511"/>
      <c r="J997" s="511"/>
      <c r="K997" s="511"/>
      <c r="L997" s="511"/>
      <c r="M997" s="511"/>
      <c r="N997" s="511"/>
      <c r="O997" s="511"/>
      <c r="P997" s="511"/>
      <c r="Q997" s="511"/>
      <c r="R997" s="511"/>
      <c r="S997" s="511"/>
      <c r="T997" s="511"/>
      <c r="U997" s="511"/>
      <c r="V997" s="511"/>
      <c r="W997" s="511"/>
      <c r="X997" s="511"/>
      <c r="Y997" s="511"/>
      <c r="Z997" s="511"/>
    </row>
    <row r="998" spans="1:26" ht="19.5" customHeight="1" x14ac:dyDescent="0.3">
      <c r="A998" s="511"/>
      <c r="B998" s="511"/>
      <c r="C998" s="511"/>
      <c r="D998" s="511"/>
      <c r="E998" s="511"/>
      <c r="F998" s="511"/>
      <c r="G998" s="511"/>
      <c r="H998" s="511"/>
      <c r="I998" s="511"/>
      <c r="J998" s="511"/>
      <c r="K998" s="511"/>
      <c r="L998" s="511"/>
      <c r="M998" s="511"/>
      <c r="N998" s="511"/>
      <c r="O998" s="511"/>
      <c r="P998" s="511"/>
      <c r="Q998" s="511"/>
      <c r="R998" s="511"/>
      <c r="S998" s="511"/>
      <c r="T998" s="511"/>
      <c r="U998" s="511"/>
      <c r="V998" s="511"/>
      <c r="W998" s="511"/>
      <c r="X998" s="511"/>
      <c r="Y998" s="511"/>
      <c r="Z998" s="511"/>
    </row>
    <row r="999" spans="1:26" ht="19.5" customHeight="1" x14ac:dyDescent="0.3">
      <c r="A999" s="511"/>
      <c r="B999" s="511"/>
      <c r="C999" s="511"/>
      <c r="D999" s="511"/>
      <c r="E999" s="511"/>
      <c r="F999" s="511"/>
      <c r="G999" s="511"/>
      <c r="H999" s="511"/>
      <c r="I999" s="511"/>
      <c r="J999" s="511"/>
      <c r="K999" s="511"/>
      <c r="L999" s="511"/>
      <c r="M999" s="511"/>
      <c r="N999" s="511"/>
      <c r="O999" s="511"/>
      <c r="P999" s="511"/>
      <c r="Q999" s="511"/>
      <c r="R999" s="511"/>
      <c r="S999" s="511"/>
      <c r="T999" s="511"/>
      <c r="U999" s="511"/>
      <c r="V999" s="511"/>
      <c r="W999" s="511"/>
      <c r="X999" s="511"/>
      <c r="Y999" s="511"/>
      <c r="Z999" s="511"/>
    </row>
    <row r="1000" spans="1:26" ht="19.5" customHeight="1" x14ac:dyDescent="0.3">
      <c r="A1000" s="511"/>
      <c r="B1000" s="511"/>
      <c r="C1000" s="511"/>
      <c r="D1000" s="511"/>
      <c r="E1000" s="511"/>
      <c r="F1000" s="511"/>
      <c r="G1000" s="511"/>
      <c r="H1000" s="511"/>
      <c r="I1000" s="511"/>
      <c r="J1000" s="511"/>
      <c r="K1000" s="511"/>
      <c r="L1000" s="511"/>
      <c r="M1000" s="511"/>
      <c r="N1000" s="511"/>
      <c r="O1000" s="511"/>
      <c r="P1000" s="511"/>
      <c r="Q1000" s="511"/>
      <c r="R1000" s="511"/>
      <c r="S1000" s="511"/>
      <c r="T1000" s="511"/>
      <c r="U1000" s="511"/>
      <c r="V1000" s="511"/>
      <c r="W1000" s="511"/>
      <c r="X1000" s="511"/>
      <c r="Y1000" s="511"/>
      <c r="Z1000" s="511"/>
    </row>
  </sheetData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B876-2B07-4531-B196-312F061A681C}">
  <dimension ref="A1:Z999"/>
  <sheetViews>
    <sheetView workbookViewId="0">
      <selection activeCell="C16" sqref="C16"/>
    </sheetView>
  </sheetViews>
  <sheetFormatPr defaultColWidth="14.44140625" defaultRowHeight="14.4" x14ac:dyDescent="0.3"/>
  <cols>
    <col min="1" max="1" width="8.6640625" style="529" customWidth="1"/>
    <col min="2" max="2" width="19.5546875" style="529" bestFit="1" customWidth="1"/>
    <col min="3" max="3" width="11.77734375" style="529" bestFit="1" customWidth="1"/>
    <col min="4" max="4" width="13.33203125" style="529" bestFit="1" customWidth="1"/>
    <col min="5" max="5" width="9" style="529" bestFit="1" customWidth="1"/>
    <col min="6" max="6" width="13.5546875" style="529" bestFit="1" customWidth="1"/>
    <col min="7" max="7" width="17.6640625" style="529" bestFit="1" customWidth="1"/>
    <col min="8" max="8" width="9" style="529" bestFit="1" customWidth="1"/>
    <col min="9" max="9" width="10.33203125" style="529" bestFit="1" customWidth="1"/>
    <col min="10" max="10" width="8.6640625" style="529" customWidth="1"/>
    <col min="11" max="11" width="15.33203125" style="529" customWidth="1"/>
    <col min="12" max="12" width="9" style="529" bestFit="1" customWidth="1"/>
    <col min="13" max="26" width="8.6640625" style="529" customWidth="1"/>
    <col min="27" max="16384" width="14.44140625" style="529"/>
  </cols>
  <sheetData>
    <row r="1" spans="1:26" s="525" customFormat="1" ht="21" x14ac:dyDescent="0.35">
      <c r="A1" s="523"/>
      <c r="B1" s="523"/>
      <c r="C1" s="523"/>
      <c r="D1" s="523"/>
      <c r="E1" s="523"/>
      <c r="F1" s="524" t="s">
        <v>387</v>
      </c>
      <c r="G1" s="524" t="s">
        <v>403</v>
      </c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</row>
    <row r="2" spans="1:26" ht="20.399999999999999" x14ac:dyDescent="0.3">
      <c r="A2" s="526"/>
      <c r="B2" s="687" t="s">
        <v>382</v>
      </c>
      <c r="C2" s="688"/>
      <c r="D2" s="526"/>
      <c r="E2" s="526"/>
      <c r="F2" s="527"/>
      <c r="G2" s="528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</row>
    <row r="3" spans="1:26" ht="20.399999999999999" x14ac:dyDescent="0.3">
      <c r="A3" s="526"/>
      <c r="B3" s="530" t="s">
        <v>383</v>
      </c>
      <c r="C3" s="530" t="s">
        <v>384</v>
      </c>
      <c r="D3" s="526"/>
      <c r="E3" s="526"/>
      <c r="F3" s="531"/>
      <c r="G3" s="531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</row>
    <row r="4" spans="1:26" ht="20.399999999999999" x14ac:dyDescent="0.3">
      <c r="A4" s="526"/>
      <c r="B4" s="532" t="s">
        <v>385</v>
      </c>
      <c r="C4" s="532">
        <v>8000</v>
      </c>
      <c r="D4" s="526"/>
      <c r="E4" s="526"/>
      <c r="F4" s="531"/>
      <c r="G4" s="531"/>
      <c r="H4" s="526"/>
      <c r="I4" s="526"/>
      <c r="J4" s="526"/>
      <c r="K4" s="526"/>
      <c r="L4" s="526"/>
      <c r="M4" s="526"/>
      <c r="N4" s="526"/>
      <c r="O4" s="526"/>
      <c r="P4" s="526"/>
      <c r="Q4" s="526"/>
      <c r="R4" s="526"/>
      <c r="S4" s="526"/>
      <c r="T4" s="526"/>
      <c r="U4" s="526"/>
      <c r="V4" s="526"/>
      <c r="W4" s="526"/>
      <c r="X4" s="526"/>
      <c r="Y4" s="526"/>
      <c r="Z4" s="526"/>
    </row>
    <row r="5" spans="1:26" ht="20.399999999999999" x14ac:dyDescent="0.3">
      <c r="A5" s="526"/>
      <c r="B5" s="532" t="s">
        <v>386</v>
      </c>
      <c r="C5" s="532">
        <v>6000</v>
      </c>
      <c r="D5" s="526"/>
      <c r="E5" s="526"/>
      <c r="F5" s="531"/>
      <c r="G5" s="531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</row>
    <row r="6" spans="1:26" ht="20.399999999999999" x14ac:dyDescent="0.3">
      <c r="A6" s="526"/>
      <c r="B6" s="533" t="s">
        <v>387</v>
      </c>
      <c r="C6" s="533">
        <v>3000</v>
      </c>
      <c r="D6" s="526"/>
      <c r="E6" s="526"/>
      <c r="F6" s="531"/>
      <c r="G6" s="531"/>
      <c r="H6" s="526"/>
      <c r="I6" s="526"/>
      <c r="J6" s="526"/>
      <c r="K6" s="526"/>
      <c r="L6" s="526"/>
      <c r="M6" s="526"/>
      <c r="N6" s="526"/>
      <c r="O6" s="526"/>
      <c r="P6" s="526"/>
      <c r="Q6" s="526"/>
      <c r="R6" s="526"/>
      <c r="S6" s="526"/>
      <c r="T6" s="526"/>
      <c r="U6" s="526"/>
      <c r="V6" s="526"/>
      <c r="W6" s="526"/>
      <c r="X6" s="526"/>
      <c r="Y6" s="526"/>
      <c r="Z6" s="526"/>
    </row>
    <row r="7" spans="1:26" ht="20.399999999999999" x14ac:dyDescent="0.3">
      <c r="A7" s="526"/>
      <c r="B7" s="532" t="s">
        <v>388</v>
      </c>
      <c r="C7" s="532">
        <v>2500</v>
      </c>
      <c r="D7" s="526"/>
      <c r="E7" s="526"/>
      <c r="F7" s="531"/>
      <c r="G7" s="531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  <c r="T7" s="526"/>
      <c r="U7" s="526"/>
      <c r="V7" s="526"/>
      <c r="W7" s="526"/>
      <c r="X7" s="526"/>
      <c r="Y7" s="526"/>
      <c r="Z7" s="526"/>
    </row>
    <row r="8" spans="1:26" ht="34.799999999999997" x14ac:dyDescent="0.3">
      <c r="A8" s="526"/>
      <c r="B8" s="532" t="s">
        <v>389</v>
      </c>
      <c r="C8" s="532">
        <v>700</v>
      </c>
      <c r="D8" s="526"/>
      <c r="E8" s="526"/>
      <c r="F8" s="531"/>
      <c r="G8" s="531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6"/>
    </row>
    <row r="9" spans="1:26" ht="20.399999999999999" x14ac:dyDescent="0.3">
      <c r="A9" s="526"/>
      <c r="B9" s="532" t="s">
        <v>390</v>
      </c>
      <c r="C9" s="532">
        <v>20000</v>
      </c>
      <c r="D9" s="526"/>
      <c r="E9" s="526"/>
      <c r="F9" s="531"/>
      <c r="G9" s="531"/>
      <c r="H9" s="526"/>
      <c r="I9" s="526"/>
      <c r="J9" s="526"/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526"/>
      <c r="V9" s="526"/>
      <c r="W9" s="526"/>
      <c r="X9" s="526"/>
      <c r="Y9" s="526"/>
      <c r="Z9" s="526"/>
    </row>
    <row r="10" spans="1:26" ht="20.399999999999999" x14ac:dyDescent="0.3">
      <c r="A10" s="526"/>
      <c r="B10" s="532" t="s">
        <v>391</v>
      </c>
      <c r="C10" s="532">
        <v>4500</v>
      </c>
      <c r="D10" s="526"/>
      <c r="E10" s="526"/>
      <c r="F10" s="531"/>
      <c r="G10" s="531"/>
      <c r="H10" s="526"/>
      <c r="I10" s="526"/>
      <c r="J10" s="526"/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526"/>
      <c r="V10" s="526"/>
      <c r="W10" s="526"/>
      <c r="X10" s="526"/>
      <c r="Y10" s="526"/>
      <c r="Z10" s="526"/>
    </row>
    <row r="11" spans="1:26" ht="20.399999999999999" x14ac:dyDescent="0.3">
      <c r="A11" s="526"/>
      <c r="B11" s="532" t="s">
        <v>392</v>
      </c>
      <c r="C11" s="532">
        <v>10000</v>
      </c>
      <c r="D11" s="526"/>
      <c r="E11" s="526"/>
      <c r="F11" s="531"/>
      <c r="G11" s="531"/>
      <c r="H11" s="526"/>
      <c r="I11" s="526"/>
      <c r="J11" s="526"/>
      <c r="K11" s="526"/>
      <c r="L11" s="526"/>
      <c r="M11" s="526"/>
      <c r="N11" s="526"/>
      <c r="O11" s="526"/>
      <c r="P11" s="526"/>
      <c r="Q11" s="526"/>
      <c r="R11" s="526"/>
      <c r="S11" s="526"/>
      <c r="T11" s="526"/>
      <c r="U11" s="526"/>
      <c r="V11" s="526"/>
      <c r="W11" s="526"/>
      <c r="X11" s="526"/>
      <c r="Y11" s="526"/>
      <c r="Z11" s="526"/>
    </row>
    <row r="12" spans="1:26" ht="20.399999999999999" x14ac:dyDescent="0.3">
      <c r="A12" s="526"/>
      <c r="B12" s="532" t="s">
        <v>393</v>
      </c>
      <c r="C12" s="532">
        <v>2000</v>
      </c>
      <c r="D12" s="526"/>
      <c r="E12" s="526"/>
      <c r="F12" s="531"/>
      <c r="G12" s="531"/>
      <c r="H12" s="526"/>
      <c r="I12" s="526"/>
      <c r="J12" s="526"/>
      <c r="K12" s="526"/>
      <c r="L12" s="526"/>
      <c r="M12" s="526"/>
      <c r="N12" s="526"/>
      <c r="O12" s="526"/>
      <c r="P12" s="526"/>
      <c r="Q12" s="526"/>
      <c r="R12" s="526"/>
      <c r="S12" s="526"/>
      <c r="T12" s="526"/>
      <c r="U12" s="526"/>
      <c r="V12" s="526"/>
      <c r="W12" s="526"/>
      <c r="X12" s="526"/>
      <c r="Y12" s="526"/>
      <c r="Z12" s="526"/>
    </row>
    <row r="13" spans="1:26" ht="20.399999999999999" x14ac:dyDescent="0.3">
      <c r="A13" s="526"/>
      <c r="B13" s="532" t="s">
        <v>394</v>
      </c>
      <c r="C13" s="532">
        <v>400</v>
      </c>
      <c r="D13" s="526"/>
      <c r="E13" s="526"/>
      <c r="F13" s="531"/>
      <c r="G13" s="531"/>
      <c r="H13" s="526"/>
      <c r="I13" s="526"/>
      <c r="J13" s="526"/>
      <c r="K13" s="526"/>
      <c r="L13" s="526"/>
      <c r="M13" s="526"/>
      <c r="N13" s="526"/>
      <c r="O13" s="526"/>
      <c r="P13" s="526"/>
      <c r="Q13" s="526"/>
      <c r="R13" s="526"/>
      <c r="S13" s="526"/>
      <c r="T13" s="526"/>
      <c r="U13" s="526"/>
      <c r="V13" s="526"/>
      <c r="W13" s="526"/>
      <c r="X13" s="526"/>
      <c r="Y13" s="526"/>
      <c r="Z13" s="526"/>
    </row>
    <row r="14" spans="1:26" ht="18.600000000000001" x14ac:dyDescent="0.3">
      <c r="A14" s="526"/>
      <c r="B14" s="534" t="s">
        <v>271</v>
      </c>
      <c r="C14" s="534">
        <f>SUM(C4:C13)</f>
        <v>57100</v>
      </c>
      <c r="D14" s="526"/>
      <c r="E14" s="526"/>
      <c r="F14" s="526"/>
      <c r="G14" s="526"/>
      <c r="H14" s="526"/>
      <c r="I14" s="526"/>
      <c r="J14" s="526"/>
      <c r="K14" s="526"/>
      <c r="L14" s="526"/>
      <c r="M14" s="526"/>
      <c r="N14" s="526"/>
      <c r="O14" s="526"/>
      <c r="P14" s="526"/>
      <c r="Q14" s="526"/>
      <c r="R14" s="526"/>
      <c r="S14" s="526"/>
      <c r="T14" s="526"/>
      <c r="U14" s="526"/>
      <c r="V14" s="526"/>
      <c r="W14" s="526"/>
      <c r="X14" s="526"/>
      <c r="Y14" s="526"/>
      <c r="Z14" s="526"/>
    </row>
    <row r="15" spans="1:26" ht="18.600000000000001" x14ac:dyDescent="0.3">
      <c r="A15" s="526"/>
      <c r="B15" s="526"/>
      <c r="C15" s="526"/>
      <c r="D15" s="526"/>
      <c r="E15" s="526"/>
      <c r="F15" s="526"/>
      <c r="G15" s="526"/>
      <c r="H15" s="526"/>
      <c r="I15" s="526"/>
      <c r="J15" s="526"/>
      <c r="K15" s="526"/>
      <c r="L15" s="526"/>
      <c r="M15" s="526"/>
      <c r="N15" s="526"/>
      <c r="O15" s="526"/>
      <c r="P15" s="526"/>
      <c r="Q15" s="526"/>
      <c r="R15" s="526"/>
      <c r="S15" s="526"/>
      <c r="T15" s="526"/>
      <c r="U15" s="526"/>
      <c r="V15" s="526"/>
      <c r="W15" s="526"/>
      <c r="X15" s="526"/>
      <c r="Y15" s="526"/>
      <c r="Z15" s="526"/>
    </row>
    <row r="16" spans="1:26" ht="18.600000000000001" x14ac:dyDescent="0.3">
      <c r="A16" s="526"/>
      <c r="B16" s="526"/>
      <c r="C16" s="526"/>
      <c r="D16" s="526"/>
      <c r="E16" s="526"/>
      <c r="F16" s="526"/>
      <c r="G16" s="526"/>
      <c r="H16" s="526"/>
      <c r="I16" s="526"/>
      <c r="J16" s="526"/>
      <c r="K16" s="526"/>
      <c r="L16" s="526"/>
      <c r="M16" s="526"/>
      <c r="N16" s="526"/>
      <c r="O16" s="526"/>
      <c r="P16" s="526"/>
      <c r="Q16" s="526"/>
      <c r="R16" s="526"/>
      <c r="S16" s="526"/>
      <c r="T16" s="526"/>
      <c r="U16" s="526"/>
      <c r="V16" s="526"/>
      <c r="W16" s="526"/>
      <c r="X16" s="526"/>
      <c r="Y16" s="526"/>
      <c r="Z16" s="526"/>
    </row>
    <row r="17" spans="1:26" ht="18.600000000000001" x14ac:dyDescent="0.3">
      <c r="A17" s="526"/>
      <c r="B17" s="526"/>
      <c r="C17" s="526"/>
      <c r="D17" s="526"/>
      <c r="E17" s="526"/>
      <c r="F17" s="526"/>
      <c r="G17" s="526"/>
      <c r="H17" s="526"/>
      <c r="I17" s="526"/>
      <c r="J17" s="526"/>
      <c r="K17" s="526"/>
      <c r="L17" s="526"/>
      <c r="M17" s="526"/>
      <c r="N17" s="526"/>
      <c r="O17" s="526"/>
      <c r="P17" s="526"/>
      <c r="Q17" s="526"/>
      <c r="R17" s="526"/>
      <c r="S17" s="526"/>
      <c r="T17" s="526"/>
      <c r="U17" s="526"/>
      <c r="V17" s="526"/>
      <c r="W17" s="526"/>
      <c r="X17" s="526"/>
      <c r="Y17" s="526"/>
      <c r="Z17" s="526"/>
    </row>
    <row r="18" spans="1:26" ht="18.600000000000001" x14ac:dyDescent="0.3">
      <c r="A18" s="526"/>
      <c r="B18" s="526"/>
      <c r="C18" s="526"/>
      <c r="D18" s="526"/>
      <c r="E18" s="526"/>
      <c r="F18" s="526"/>
      <c r="G18" s="526"/>
      <c r="H18" s="526"/>
      <c r="I18" s="526"/>
      <c r="J18" s="526"/>
      <c r="K18" s="526"/>
      <c r="L18" s="526"/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6"/>
    </row>
    <row r="19" spans="1:26" ht="18.600000000000001" x14ac:dyDescent="0.3">
      <c r="A19" s="526"/>
      <c r="B19" s="526"/>
      <c r="C19" s="526"/>
      <c r="D19" s="526"/>
      <c r="E19" s="526"/>
      <c r="F19" s="526"/>
      <c r="G19" s="526"/>
      <c r="H19" s="526"/>
      <c r="I19" s="526"/>
      <c r="J19" s="526"/>
      <c r="K19" s="526"/>
      <c r="L19" s="526"/>
      <c r="M19" s="526"/>
      <c r="N19" s="526"/>
      <c r="O19" s="526"/>
      <c r="P19" s="526"/>
      <c r="Q19" s="526"/>
      <c r="R19" s="526"/>
      <c r="S19" s="526"/>
      <c r="T19" s="526"/>
      <c r="U19" s="526"/>
      <c r="V19" s="526"/>
      <c r="W19" s="526"/>
      <c r="X19" s="526"/>
      <c r="Y19" s="526"/>
      <c r="Z19" s="526"/>
    </row>
    <row r="20" spans="1:26" ht="18.600000000000001" x14ac:dyDescent="0.3">
      <c r="A20" s="526"/>
      <c r="B20" s="526"/>
      <c r="C20" s="526"/>
      <c r="D20" s="526"/>
      <c r="E20" s="526"/>
      <c r="F20" s="526"/>
      <c r="G20" s="526"/>
      <c r="H20" s="526"/>
      <c r="I20" s="526"/>
      <c r="J20" s="526"/>
      <c r="K20" s="526"/>
      <c r="L20" s="526"/>
      <c r="M20" s="526"/>
      <c r="N20" s="526"/>
      <c r="O20" s="526"/>
      <c r="P20" s="526"/>
      <c r="Q20" s="526"/>
      <c r="R20" s="526"/>
      <c r="S20" s="526"/>
      <c r="T20" s="526"/>
      <c r="U20" s="526"/>
      <c r="V20" s="526"/>
      <c r="W20" s="526"/>
      <c r="X20" s="526"/>
      <c r="Y20" s="526"/>
      <c r="Z20" s="526"/>
    </row>
    <row r="21" spans="1:26" ht="18.600000000000001" x14ac:dyDescent="0.3">
      <c r="A21" s="526"/>
      <c r="B21" s="526"/>
      <c r="C21" s="526"/>
      <c r="D21" s="526"/>
      <c r="E21" s="526"/>
      <c r="F21" s="526"/>
      <c r="G21" s="526"/>
      <c r="H21" s="526"/>
      <c r="I21" s="526"/>
      <c r="J21" s="526"/>
      <c r="K21" s="526"/>
      <c r="L21" s="526"/>
      <c r="M21" s="526"/>
      <c r="N21" s="526"/>
      <c r="O21" s="526"/>
      <c r="P21" s="526"/>
      <c r="Q21" s="526"/>
      <c r="R21" s="526"/>
      <c r="S21" s="526"/>
      <c r="T21" s="526"/>
      <c r="U21" s="526"/>
      <c r="V21" s="526"/>
      <c r="W21" s="526"/>
      <c r="X21" s="526"/>
      <c r="Y21" s="526"/>
      <c r="Z21" s="526"/>
    </row>
    <row r="22" spans="1:26" ht="18.600000000000001" x14ac:dyDescent="0.3">
      <c r="A22" s="526"/>
      <c r="B22" s="526"/>
      <c r="C22" s="526"/>
      <c r="D22" s="526"/>
      <c r="E22" s="526"/>
      <c r="F22" s="526"/>
      <c r="G22" s="526"/>
      <c r="H22" s="526"/>
      <c r="I22" s="526"/>
      <c r="J22" s="526"/>
      <c r="K22" s="526"/>
      <c r="L22" s="526"/>
      <c r="M22" s="526"/>
      <c r="N22" s="526"/>
      <c r="O22" s="526"/>
      <c r="P22" s="526"/>
      <c r="Q22" s="526"/>
      <c r="R22" s="526"/>
      <c r="S22" s="526"/>
      <c r="T22" s="526"/>
      <c r="U22" s="526"/>
      <c r="V22" s="526"/>
      <c r="W22" s="526"/>
      <c r="X22" s="526"/>
      <c r="Y22" s="526"/>
      <c r="Z22" s="526"/>
    </row>
    <row r="23" spans="1:26" ht="18.600000000000001" x14ac:dyDescent="0.3">
      <c r="A23" s="526"/>
      <c r="B23" s="526"/>
      <c r="C23" s="526"/>
      <c r="D23" s="526"/>
      <c r="E23" s="526"/>
      <c r="F23" s="526"/>
      <c r="G23" s="526"/>
      <c r="H23" s="526"/>
      <c r="I23" s="526"/>
      <c r="J23" s="526"/>
      <c r="K23" s="526"/>
      <c r="L23" s="526"/>
      <c r="M23" s="526"/>
      <c r="N23" s="526"/>
      <c r="O23" s="526"/>
      <c r="P23" s="526"/>
      <c r="Q23" s="526"/>
      <c r="R23" s="526"/>
      <c r="S23" s="526"/>
      <c r="T23" s="526"/>
      <c r="U23" s="526"/>
      <c r="V23" s="526"/>
      <c r="W23" s="526"/>
      <c r="X23" s="526"/>
      <c r="Y23" s="526"/>
      <c r="Z23" s="526"/>
    </row>
    <row r="24" spans="1:26" ht="18.600000000000001" x14ac:dyDescent="0.3">
      <c r="A24" s="526"/>
      <c r="B24" s="526"/>
      <c r="C24" s="526"/>
      <c r="D24" s="526"/>
      <c r="E24" s="526"/>
      <c r="F24" s="526"/>
      <c r="G24" s="526"/>
      <c r="H24" s="526"/>
      <c r="I24" s="526"/>
      <c r="J24" s="526"/>
      <c r="K24" s="526"/>
      <c r="L24" s="526"/>
      <c r="M24" s="526"/>
      <c r="N24" s="526"/>
      <c r="O24" s="526"/>
      <c r="P24" s="526"/>
      <c r="Q24" s="526"/>
      <c r="R24" s="526"/>
      <c r="S24" s="526"/>
      <c r="T24" s="526"/>
      <c r="U24" s="526"/>
      <c r="V24" s="526"/>
      <c r="W24" s="526"/>
      <c r="X24" s="526"/>
      <c r="Y24" s="526"/>
      <c r="Z24" s="526"/>
    </row>
    <row r="25" spans="1:26" ht="21" x14ac:dyDescent="0.3">
      <c r="A25" s="526"/>
      <c r="B25" s="535" t="s">
        <v>404</v>
      </c>
      <c r="C25" s="535">
        <v>1000</v>
      </c>
      <c r="D25" s="526"/>
      <c r="E25" s="526"/>
      <c r="F25" s="536" t="s">
        <v>405</v>
      </c>
      <c r="G25" s="536" t="s">
        <v>406</v>
      </c>
      <c r="H25" s="526"/>
      <c r="I25" s="526"/>
      <c r="J25" s="526"/>
      <c r="K25" s="526"/>
      <c r="L25" s="526"/>
      <c r="M25" s="526"/>
      <c r="N25" s="526"/>
      <c r="O25" s="526"/>
      <c r="P25" s="526"/>
      <c r="Q25" s="526"/>
      <c r="R25" s="526"/>
      <c r="S25" s="526"/>
      <c r="T25" s="526"/>
      <c r="U25" s="526"/>
      <c r="V25" s="526"/>
      <c r="W25" s="526"/>
      <c r="X25" s="526"/>
      <c r="Y25" s="526"/>
      <c r="Z25" s="526"/>
    </row>
    <row r="26" spans="1:26" ht="21" x14ac:dyDescent="0.3">
      <c r="A26" s="526"/>
      <c r="B26" s="535" t="s">
        <v>405</v>
      </c>
      <c r="C26" s="535">
        <v>20</v>
      </c>
      <c r="D26" s="526"/>
      <c r="E26" s="526"/>
      <c r="F26" s="537"/>
      <c r="G26" s="537"/>
      <c r="H26" s="526"/>
      <c r="I26" s="526"/>
      <c r="J26" s="526"/>
      <c r="K26" s="526"/>
      <c r="L26" s="526"/>
      <c r="M26" s="526"/>
      <c r="N26" s="526"/>
      <c r="O26" s="526"/>
      <c r="P26" s="526"/>
      <c r="Q26" s="526"/>
      <c r="R26" s="526"/>
      <c r="S26" s="526"/>
      <c r="T26" s="526"/>
      <c r="U26" s="526"/>
      <c r="V26" s="526"/>
      <c r="W26" s="526"/>
      <c r="X26" s="526"/>
      <c r="Y26" s="526"/>
      <c r="Z26" s="526"/>
    </row>
    <row r="27" spans="1:26" ht="21" x14ac:dyDescent="0.3">
      <c r="A27" s="526"/>
      <c r="B27" s="535" t="s">
        <v>211</v>
      </c>
      <c r="C27" s="535">
        <v>1</v>
      </c>
      <c r="D27" s="526"/>
      <c r="E27" s="526"/>
      <c r="F27" s="538"/>
      <c r="G27" s="538"/>
      <c r="H27" s="526"/>
      <c r="I27" s="526"/>
      <c r="J27" s="526"/>
      <c r="K27" s="526"/>
      <c r="L27" s="526"/>
      <c r="M27" s="526"/>
      <c r="N27" s="526"/>
      <c r="O27" s="526"/>
      <c r="P27" s="526"/>
      <c r="Q27" s="526"/>
      <c r="R27" s="526"/>
      <c r="S27" s="526"/>
      <c r="T27" s="526"/>
      <c r="U27" s="526"/>
      <c r="V27" s="526"/>
      <c r="W27" s="526"/>
      <c r="X27" s="526"/>
      <c r="Y27" s="526"/>
      <c r="Z27" s="526"/>
    </row>
    <row r="28" spans="1:26" ht="19.8" x14ac:dyDescent="0.3">
      <c r="A28" s="526"/>
      <c r="B28" s="539"/>
      <c r="C28" s="539"/>
      <c r="D28" s="526"/>
      <c r="E28" s="526"/>
      <c r="F28" s="538"/>
      <c r="G28" s="538"/>
      <c r="H28" s="526"/>
      <c r="I28" s="526"/>
      <c r="J28" s="526"/>
      <c r="K28" s="526"/>
      <c r="L28" s="526"/>
      <c r="M28" s="526"/>
      <c r="N28" s="526"/>
      <c r="O28" s="526"/>
      <c r="P28" s="526"/>
      <c r="Q28" s="526"/>
      <c r="R28" s="526"/>
      <c r="S28" s="526"/>
      <c r="T28" s="526"/>
      <c r="U28" s="526"/>
      <c r="V28" s="526"/>
      <c r="W28" s="526"/>
      <c r="X28" s="526"/>
      <c r="Y28" s="526"/>
      <c r="Z28" s="526"/>
    </row>
    <row r="29" spans="1:26" ht="21" x14ac:dyDescent="0.3">
      <c r="A29" s="526"/>
      <c r="B29" s="535" t="s">
        <v>406</v>
      </c>
      <c r="C29" s="535">
        <f>PRODUCT(C25,C26,C27)</f>
        <v>20000</v>
      </c>
      <c r="D29" s="526"/>
      <c r="E29" s="526"/>
      <c r="F29" s="538"/>
      <c r="G29" s="538"/>
      <c r="H29" s="526"/>
      <c r="I29" s="526"/>
      <c r="J29" s="526"/>
      <c r="K29" s="526"/>
      <c r="L29" s="526"/>
      <c r="M29" s="526"/>
      <c r="N29" s="526"/>
      <c r="O29" s="526"/>
      <c r="P29" s="526"/>
      <c r="Q29" s="526"/>
      <c r="R29" s="526"/>
      <c r="S29" s="526"/>
      <c r="T29" s="526"/>
      <c r="U29" s="526"/>
      <c r="V29" s="526"/>
      <c r="W29" s="526"/>
      <c r="X29" s="526"/>
      <c r="Y29" s="526"/>
      <c r="Z29" s="526"/>
    </row>
    <row r="30" spans="1:26" ht="19.8" x14ac:dyDescent="0.3">
      <c r="A30" s="526"/>
      <c r="B30" s="526"/>
      <c r="C30" s="526"/>
      <c r="D30" s="526"/>
      <c r="E30" s="526"/>
      <c r="F30" s="538"/>
      <c r="G30" s="538"/>
      <c r="H30" s="526"/>
      <c r="I30" s="526"/>
      <c r="J30" s="526"/>
      <c r="K30" s="526"/>
      <c r="L30" s="526"/>
      <c r="M30" s="526"/>
      <c r="N30" s="526"/>
      <c r="O30" s="526"/>
      <c r="P30" s="526"/>
      <c r="Q30" s="526"/>
      <c r="R30" s="526"/>
      <c r="S30" s="526"/>
      <c r="T30" s="526"/>
      <c r="U30" s="526"/>
      <c r="V30" s="526"/>
      <c r="W30" s="526"/>
      <c r="X30" s="526"/>
      <c r="Y30" s="526"/>
      <c r="Z30" s="526"/>
    </row>
    <row r="31" spans="1:26" ht="19.8" x14ac:dyDescent="0.3">
      <c r="A31" s="526"/>
      <c r="B31" s="526"/>
      <c r="C31" s="526"/>
      <c r="D31" s="526"/>
      <c r="E31" s="526"/>
      <c r="F31" s="538"/>
      <c r="G31" s="538"/>
      <c r="H31" s="526"/>
      <c r="I31" s="526"/>
      <c r="J31" s="526"/>
      <c r="K31" s="526"/>
      <c r="L31" s="526"/>
      <c r="M31" s="526"/>
      <c r="N31" s="526"/>
      <c r="O31" s="526"/>
      <c r="P31" s="526"/>
      <c r="Q31" s="526"/>
      <c r="R31" s="526"/>
      <c r="S31" s="526"/>
      <c r="T31" s="526"/>
      <c r="U31" s="526"/>
      <c r="V31" s="526"/>
      <c r="W31" s="526"/>
      <c r="X31" s="526"/>
      <c r="Y31" s="526"/>
      <c r="Z31" s="526"/>
    </row>
    <row r="32" spans="1:26" ht="19.8" x14ac:dyDescent="0.3">
      <c r="A32" s="526"/>
      <c r="B32" s="526"/>
      <c r="C32" s="526"/>
      <c r="D32" s="526"/>
      <c r="E32" s="526"/>
      <c r="F32" s="538"/>
      <c r="G32" s="538"/>
      <c r="H32" s="526"/>
      <c r="I32" s="526"/>
      <c r="J32" s="526"/>
      <c r="K32" s="526"/>
      <c r="L32" s="526"/>
      <c r="M32" s="526"/>
      <c r="N32" s="526"/>
      <c r="O32" s="526"/>
      <c r="P32" s="526"/>
      <c r="Q32" s="526"/>
      <c r="R32" s="526"/>
      <c r="S32" s="526"/>
      <c r="T32" s="526"/>
      <c r="U32" s="526"/>
      <c r="V32" s="526"/>
      <c r="W32" s="526"/>
      <c r="X32" s="526"/>
      <c r="Y32" s="526"/>
      <c r="Z32" s="526"/>
    </row>
    <row r="33" spans="1:26" ht="19.8" x14ac:dyDescent="0.3">
      <c r="A33" s="526"/>
      <c r="B33" s="526"/>
      <c r="C33" s="526"/>
      <c r="D33" s="526"/>
      <c r="E33" s="526"/>
      <c r="F33" s="538"/>
      <c r="G33" s="538"/>
      <c r="H33" s="526"/>
      <c r="I33" s="526"/>
      <c r="J33" s="526"/>
      <c r="K33" s="526"/>
      <c r="L33" s="526"/>
      <c r="M33" s="526"/>
      <c r="N33" s="526"/>
      <c r="O33" s="526"/>
      <c r="P33" s="526"/>
      <c r="Q33" s="526"/>
      <c r="R33" s="526"/>
      <c r="S33" s="526"/>
      <c r="T33" s="526"/>
      <c r="U33" s="526"/>
      <c r="V33" s="526"/>
      <c r="W33" s="526"/>
      <c r="X33" s="526"/>
      <c r="Y33" s="526"/>
      <c r="Z33" s="526"/>
    </row>
    <row r="34" spans="1:26" ht="19.8" x14ac:dyDescent="0.3">
      <c r="A34" s="526"/>
      <c r="B34" s="526"/>
      <c r="C34" s="526"/>
      <c r="D34" s="526"/>
      <c r="E34" s="526"/>
      <c r="F34" s="538"/>
      <c r="G34" s="538"/>
      <c r="H34" s="526"/>
      <c r="I34" s="526"/>
      <c r="J34" s="526"/>
      <c r="K34" s="526"/>
      <c r="L34" s="526"/>
      <c r="M34" s="526"/>
      <c r="N34" s="526"/>
      <c r="O34" s="526"/>
      <c r="P34" s="526"/>
      <c r="Q34" s="526"/>
      <c r="R34" s="526"/>
      <c r="S34" s="526"/>
      <c r="T34" s="526"/>
      <c r="U34" s="526"/>
      <c r="V34" s="526"/>
      <c r="W34" s="526"/>
      <c r="X34" s="526"/>
      <c r="Y34" s="526"/>
      <c r="Z34" s="526"/>
    </row>
    <row r="35" spans="1:26" ht="19.8" x14ac:dyDescent="0.3">
      <c r="A35" s="526"/>
      <c r="B35" s="526"/>
      <c r="C35" s="526"/>
      <c r="D35" s="526"/>
      <c r="E35" s="526"/>
      <c r="F35" s="538"/>
      <c r="G35" s="538"/>
      <c r="H35" s="526"/>
      <c r="I35" s="526"/>
      <c r="J35" s="526"/>
      <c r="K35" s="526"/>
      <c r="L35" s="526"/>
      <c r="M35" s="526"/>
      <c r="N35" s="526"/>
      <c r="O35" s="526"/>
      <c r="P35" s="526"/>
      <c r="Q35" s="526"/>
      <c r="R35" s="526"/>
      <c r="S35" s="526"/>
      <c r="T35" s="526"/>
      <c r="U35" s="526"/>
      <c r="V35" s="526"/>
      <c r="W35" s="526"/>
      <c r="X35" s="526"/>
      <c r="Y35" s="526"/>
      <c r="Z35" s="526"/>
    </row>
    <row r="36" spans="1:26" ht="19.8" x14ac:dyDescent="0.3">
      <c r="A36" s="526"/>
      <c r="B36" s="526"/>
      <c r="C36" s="526"/>
      <c r="D36" s="526"/>
      <c r="E36" s="526"/>
      <c r="F36" s="538"/>
      <c r="G36" s="538"/>
      <c r="H36" s="526"/>
      <c r="I36" s="526"/>
      <c r="J36" s="526"/>
      <c r="K36" s="526"/>
      <c r="L36" s="526"/>
      <c r="M36" s="526"/>
      <c r="N36" s="526"/>
      <c r="O36" s="526"/>
      <c r="P36" s="526"/>
      <c r="Q36" s="526"/>
      <c r="R36" s="526"/>
      <c r="S36" s="526"/>
      <c r="T36" s="526"/>
      <c r="U36" s="526"/>
      <c r="V36" s="526"/>
      <c r="W36" s="526"/>
      <c r="X36" s="526"/>
      <c r="Y36" s="526"/>
      <c r="Z36" s="526"/>
    </row>
    <row r="37" spans="1:26" ht="19.8" x14ac:dyDescent="0.3">
      <c r="A37" s="526"/>
      <c r="B37" s="526"/>
      <c r="C37" s="526"/>
      <c r="D37" s="526"/>
      <c r="E37" s="526"/>
      <c r="F37" s="538"/>
      <c r="G37" s="538"/>
      <c r="H37" s="526"/>
      <c r="I37" s="526"/>
      <c r="J37" s="526"/>
      <c r="K37" s="526"/>
      <c r="L37" s="526"/>
      <c r="M37" s="526"/>
      <c r="N37" s="526"/>
      <c r="O37" s="526"/>
      <c r="P37" s="526"/>
      <c r="Q37" s="526"/>
      <c r="R37" s="526"/>
      <c r="S37" s="526"/>
      <c r="T37" s="526"/>
      <c r="U37" s="526"/>
      <c r="V37" s="526"/>
      <c r="W37" s="526"/>
      <c r="X37" s="526"/>
      <c r="Y37" s="526"/>
      <c r="Z37" s="526"/>
    </row>
    <row r="38" spans="1:26" ht="19.8" x14ac:dyDescent="0.3">
      <c r="A38" s="526"/>
      <c r="B38" s="526"/>
      <c r="C38" s="526"/>
      <c r="D38" s="526"/>
      <c r="E38" s="526"/>
      <c r="F38" s="538"/>
      <c r="G38" s="538"/>
      <c r="H38" s="526"/>
      <c r="I38" s="526"/>
      <c r="J38" s="526"/>
      <c r="K38" s="526"/>
      <c r="L38" s="526"/>
      <c r="M38" s="526"/>
      <c r="N38" s="526"/>
      <c r="O38" s="526"/>
      <c r="P38" s="526"/>
      <c r="Q38" s="526"/>
      <c r="R38" s="526"/>
      <c r="S38" s="526"/>
      <c r="T38" s="526"/>
      <c r="U38" s="526"/>
      <c r="V38" s="526"/>
      <c r="W38" s="526"/>
      <c r="X38" s="526"/>
      <c r="Y38" s="526"/>
      <c r="Z38" s="526"/>
    </row>
    <row r="39" spans="1:26" ht="18.600000000000001" x14ac:dyDescent="0.3">
      <c r="A39" s="526"/>
      <c r="B39" s="526"/>
      <c r="J39" s="526"/>
      <c r="K39" s="526"/>
      <c r="L39" s="526"/>
      <c r="M39" s="526"/>
      <c r="N39" s="526"/>
      <c r="O39" s="526"/>
      <c r="P39" s="526"/>
      <c r="Q39" s="526"/>
      <c r="R39" s="526"/>
      <c r="S39" s="526"/>
      <c r="T39" s="526"/>
      <c r="U39" s="526"/>
      <c r="V39" s="526"/>
      <c r="W39" s="526"/>
      <c r="X39" s="526"/>
      <c r="Y39" s="526"/>
      <c r="Z39" s="526"/>
    </row>
    <row r="40" spans="1:26" ht="18.600000000000001" x14ac:dyDescent="0.3">
      <c r="A40" s="526"/>
      <c r="B40" s="526"/>
      <c r="J40" s="526"/>
      <c r="K40" s="526"/>
      <c r="L40" s="526"/>
      <c r="M40" s="526"/>
      <c r="N40" s="526"/>
      <c r="O40" s="526"/>
      <c r="P40" s="526"/>
      <c r="Q40" s="526"/>
      <c r="R40" s="526"/>
      <c r="S40" s="526"/>
      <c r="T40" s="526"/>
      <c r="U40" s="526"/>
      <c r="V40" s="526"/>
      <c r="W40" s="526"/>
      <c r="X40" s="526"/>
      <c r="Y40" s="526"/>
      <c r="Z40" s="526"/>
    </row>
    <row r="41" spans="1:26" ht="19.8" x14ac:dyDescent="0.3">
      <c r="A41" s="526"/>
      <c r="B41" s="526"/>
      <c r="C41" s="526"/>
      <c r="D41" s="540" t="s">
        <v>406</v>
      </c>
      <c r="E41" s="689" t="s">
        <v>211</v>
      </c>
      <c r="F41" s="690"/>
      <c r="G41" s="690"/>
      <c r="H41" s="690"/>
      <c r="I41" s="691"/>
      <c r="J41" s="526"/>
      <c r="K41" s="526"/>
      <c r="L41" s="526"/>
      <c r="M41" s="526"/>
      <c r="N41" s="526"/>
      <c r="O41" s="526"/>
      <c r="P41" s="526"/>
      <c r="Q41" s="526"/>
      <c r="R41" s="526"/>
      <c r="S41" s="526"/>
      <c r="T41" s="526"/>
      <c r="U41" s="526"/>
      <c r="V41" s="526"/>
      <c r="W41" s="526"/>
      <c r="X41" s="526"/>
      <c r="Y41" s="526"/>
      <c r="Z41" s="526"/>
    </row>
    <row r="42" spans="1:26" ht="21" x14ac:dyDescent="0.3">
      <c r="A42" s="526"/>
      <c r="B42" s="526"/>
      <c r="C42" s="526"/>
      <c r="D42" s="541">
        <f>C29</f>
        <v>20000</v>
      </c>
      <c r="E42" s="541">
        <v>1</v>
      </c>
      <c r="F42" s="541">
        <v>2</v>
      </c>
      <c r="G42" s="541">
        <v>5</v>
      </c>
      <c r="H42" s="541">
        <v>7</v>
      </c>
      <c r="I42" s="541">
        <v>10</v>
      </c>
      <c r="J42" s="526"/>
      <c r="K42" s="535" t="s">
        <v>404</v>
      </c>
      <c r="L42" s="535">
        <v>1000</v>
      </c>
      <c r="M42" s="526"/>
      <c r="N42" s="526"/>
      <c r="O42" s="526"/>
      <c r="P42" s="526"/>
      <c r="Q42" s="526"/>
      <c r="R42" s="526"/>
      <c r="S42" s="526"/>
      <c r="T42" s="526"/>
      <c r="U42" s="526"/>
      <c r="V42" s="526"/>
      <c r="W42" s="526"/>
      <c r="X42" s="526"/>
      <c r="Y42" s="526"/>
      <c r="Z42" s="526"/>
    </row>
    <row r="43" spans="1:26" ht="21" x14ac:dyDescent="0.3">
      <c r="A43" s="526"/>
      <c r="B43" s="526"/>
      <c r="C43" s="692" t="s">
        <v>405</v>
      </c>
      <c r="D43" s="542">
        <v>10</v>
      </c>
      <c r="E43" s="543"/>
      <c r="F43" s="543"/>
      <c r="G43" s="543"/>
      <c r="H43" s="543"/>
      <c r="I43" s="543"/>
      <c r="J43" s="526"/>
      <c r="K43" s="535" t="s">
        <v>405</v>
      </c>
      <c r="L43" s="535">
        <v>20</v>
      </c>
      <c r="M43" s="526"/>
      <c r="N43" s="526"/>
      <c r="O43" s="526"/>
      <c r="P43" s="526"/>
      <c r="Q43" s="526"/>
      <c r="R43" s="526"/>
      <c r="S43" s="526"/>
      <c r="T43" s="526"/>
      <c r="U43" s="526"/>
      <c r="V43" s="526"/>
      <c r="W43" s="526"/>
      <c r="X43" s="526"/>
      <c r="Y43" s="526"/>
      <c r="Z43" s="526"/>
    </row>
    <row r="44" spans="1:26" ht="21" x14ac:dyDescent="0.3">
      <c r="A44" s="526"/>
      <c r="B44" s="526"/>
      <c r="C44" s="693"/>
      <c r="D44" s="542">
        <v>30</v>
      </c>
      <c r="E44" s="543"/>
      <c r="F44" s="543"/>
      <c r="G44" s="543"/>
      <c r="H44" s="543"/>
      <c r="I44" s="543"/>
      <c r="J44" s="526"/>
      <c r="K44" s="535" t="s">
        <v>211</v>
      </c>
      <c r="L44" s="535">
        <v>1</v>
      </c>
      <c r="M44" s="526"/>
      <c r="N44" s="526"/>
      <c r="O44" s="526"/>
      <c r="P44" s="526"/>
      <c r="Q44" s="526"/>
      <c r="R44" s="526"/>
      <c r="S44" s="526"/>
      <c r="T44" s="526"/>
      <c r="U44" s="526"/>
      <c r="V44" s="526"/>
      <c r="W44" s="526"/>
      <c r="X44" s="526"/>
      <c r="Y44" s="526"/>
      <c r="Z44" s="526"/>
    </row>
    <row r="45" spans="1:26" ht="19.8" x14ac:dyDescent="0.3">
      <c r="A45" s="526"/>
      <c r="B45" s="526"/>
      <c r="C45" s="693"/>
      <c r="D45" s="542">
        <v>40</v>
      </c>
      <c r="E45" s="543"/>
      <c r="F45" s="543"/>
      <c r="G45" s="543"/>
      <c r="H45" s="543"/>
      <c r="I45" s="543"/>
      <c r="J45" s="526"/>
      <c r="K45" s="539"/>
      <c r="L45" s="539"/>
      <c r="M45" s="526"/>
      <c r="N45" s="526"/>
      <c r="O45" s="526"/>
      <c r="P45" s="526"/>
      <c r="Q45" s="526"/>
      <c r="R45" s="526"/>
      <c r="S45" s="526"/>
      <c r="T45" s="526"/>
      <c r="U45" s="526"/>
      <c r="V45" s="526"/>
      <c r="W45" s="526"/>
      <c r="X45" s="526"/>
      <c r="Y45" s="526"/>
      <c r="Z45" s="526"/>
    </row>
    <row r="46" spans="1:26" ht="21.6" customHeight="1" x14ac:dyDescent="0.3">
      <c r="A46" s="526"/>
      <c r="B46" s="526"/>
      <c r="C46" s="693"/>
      <c r="D46" s="542">
        <v>50</v>
      </c>
      <c r="E46" s="543"/>
      <c r="F46" s="543"/>
      <c r="G46" s="543"/>
      <c r="H46" s="543"/>
      <c r="I46" s="543"/>
      <c r="J46" s="526"/>
      <c r="K46" s="535" t="s">
        <v>406</v>
      </c>
      <c r="L46" s="535">
        <f>PRODUCT(L42,L43,L44)</f>
        <v>20000</v>
      </c>
      <c r="M46" s="526"/>
      <c r="N46" s="526"/>
      <c r="O46" s="526"/>
      <c r="P46" s="526"/>
      <c r="Q46" s="526"/>
      <c r="R46" s="526"/>
      <c r="S46" s="526"/>
      <c r="T46" s="526"/>
      <c r="U46" s="526"/>
      <c r="V46" s="526"/>
      <c r="W46" s="526"/>
      <c r="X46" s="526"/>
      <c r="Y46" s="526"/>
      <c r="Z46" s="526"/>
    </row>
    <row r="47" spans="1:26" ht="19.8" x14ac:dyDescent="0.3">
      <c r="A47" s="526"/>
      <c r="B47" s="526"/>
      <c r="C47" s="693"/>
      <c r="D47" s="542">
        <v>60</v>
      </c>
      <c r="E47" s="543"/>
      <c r="F47" s="543"/>
      <c r="G47" s="543"/>
      <c r="H47" s="543"/>
      <c r="I47" s="543"/>
      <c r="J47" s="526"/>
      <c r="K47" s="526"/>
      <c r="L47" s="526"/>
      <c r="M47" s="526"/>
      <c r="N47" s="526"/>
      <c r="O47" s="526"/>
      <c r="P47" s="526"/>
      <c r="Q47" s="526"/>
      <c r="R47" s="526"/>
      <c r="S47" s="526"/>
      <c r="T47" s="526"/>
      <c r="U47" s="526"/>
      <c r="V47" s="526"/>
      <c r="W47" s="526"/>
      <c r="X47" s="526"/>
      <c r="Y47" s="526"/>
      <c r="Z47" s="526"/>
    </row>
    <row r="48" spans="1:26" ht="19.8" x14ac:dyDescent="0.3">
      <c r="A48" s="526"/>
      <c r="B48" s="526"/>
      <c r="C48" s="693"/>
      <c r="D48" s="542">
        <v>70</v>
      </c>
      <c r="E48" s="543"/>
      <c r="F48" s="543"/>
      <c r="G48" s="543"/>
      <c r="H48" s="543"/>
      <c r="I48" s="543"/>
      <c r="J48" s="526"/>
      <c r="K48" s="526"/>
      <c r="L48" s="526"/>
      <c r="M48" s="526"/>
      <c r="N48" s="526"/>
      <c r="O48" s="526"/>
      <c r="P48" s="526"/>
      <c r="Q48" s="526"/>
      <c r="R48" s="526"/>
      <c r="S48" s="526"/>
      <c r="T48" s="526"/>
      <c r="U48" s="526"/>
      <c r="V48" s="526"/>
      <c r="W48" s="526"/>
      <c r="X48" s="526"/>
      <c r="Y48" s="526"/>
      <c r="Z48" s="526"/>
    </row>
    <row r="49" spans="1:26" ht="19.8" x14ac:dyDescent="0.3">
      <c r="A49" s="526"/>
      <c r="B49" s="526"/>
      <c r="C49" s="693"/>
      <c r="D49" s="542">
        <v>80</v>
      </c>
      <c r="E49" s="543"/>
      <c r="F49" s="543"/>
      <c r="G49" s="543"/>
      <c r="H49" s="543"/>
      <c r="I49" s="543"/>
      <c r="J49" s="526"/>
      <c r="K49" s="526"/>
      <c r="L49" s="526"/>
      <c r="M49" s="526"/>
      <c r="N49" s="526"/>
      <c r="O49" s="526"/>
      <c r="P49" s="526"/>
      <c r="Q49" s="526"/>
      <c r="R49" s="526"/>
      <c r="S49" s="526"/>
      <c r="T49" s="526"/>
      <c r="U49" s="526"/>
      <c r="V49" s="526"/>
      <c r="W49" s="526"/>
      <c r="X49" s="526"/>
      <c r="Y49" s="526"/>
      <c r="Z49" s="526"/>
    </row>
    <row r="50" spans="1:26" ht="19.8" x14ac:dyDescent="0.3">
      <c r="A50" s="526"/>
      <c r="B50" s="526"/>
      <c r="C50" s="693"/>
      <c r="D50" s="542">
        <v>90</v>
      </c>
      <c r="E50" s="543"/>
      <c r="F50" s="543"/>
      <c r="G50" s="543"/>
      <c r="H50" s="543"/>
      <c r="I50" s="543"/>
      <c r="J50" s="526"/>
      <c r="K50" s="526"/>
      <c r="L50" s="526"/>
      <c r="M50" s="526"/>
      <c r="N50" s="526"/>
      <c r="O50" s="526"/>
      <c r="P50" s="526"/>
      <c r="Q50" s="526"/>
      <c r="R50" s="526"/>
      <c r="S50" s="526"/>
      <c r="T50" s="526"/>
      <c r="U50" s="526"/>
      <c r="V50" s="526"/>
      <c r="W50" s="526"/>
      <c r="X50" s="526"/>
      <c r="Y50" s="526"/>
      <c r="Z50" s="526"/>
    </row>
    <row r="51" spans="1:26" ht="19.8" x14ac:dyDescent="0.3">
      <c r="A51" s="526"/>
      <c r="B51" s="526"/>
      <c r="C51" s="694"/>
      <c r="D51" s="542">
        <v>100</v>
      </c>
      <c r="E51" s="543"/>
      <c r="F51" s="543"/>
      <c r="G51" s="543"/>
      <c r="H51" s="543"/>
      <c r="I51" s="543"/>
      <c r="J51" s="526"/>
      <c r="K51" s="526"/>
      <c r="L51" s="526"/>
      <c r="M51" s="526"/>
      <c r="N51" s="526"/>
      <c r="O51" s="526"/>
      <c r="P51" s="526"/>
      <c r="Q51" s="526"/>
      <c r="R51" s="526"/>
      <c r="S51" s="526"/>
      <c r="T51" s="526"/>
      <c r="U51" s="526"/>
      <c r="V51" s="526"/>
      <c r="W51" s="526"/>
      <c r="X51" s="526"/>
      <c r="Y51" s="526"/>
      <c r="Z51" s="526"/>
    </row>
    <row r="52" spans="1:26" ht="18.600000000000001" x14ac:dyDescent="0.3">
      <c r="A52" s="526"/>
      <c r="B52" s="526"/>
      <c r="C52" s="526"/>
      <c r="D52" s="526"/>
      <c r="E52" s="526"/>
      <c r="F52" s="526"/>
      <c r="G52" s="526"/>
      <c r="H52" s="526"/>
      <c r="I52" s="526"/>
      <c r="J52" s="526"/>
      <c r="K52" s="526"/>
      <c r="L52" s="526"/>
      <c r="M52" s="526"/>
      <c r="N52" s="526"/>
      <c r="O52" s="526"/>
      <c r="P52" s="526"/>
      <c r="Q52" s="526"/>
      <c r="R52" s="526"/>
      <c r="S52" s="526"/>
      <c r="T52" s="526"/>
      <c r="U52" s="526"/>
      <c r="V52" s="526"/>
      <c r="W52" s="526"/>
      <c r="X52" s="526"/>
      <c r="Y52" s="526"/>
      <c r="Z52" s="526"/>
    </row>
    <row r="53" spans="1:26" ht="18.600000000000001" x14ac:dyDescent="0.3">
      <c r="A53" s="526"/>
      <c r="B53" s="526"/>
      <c r="C53" s="526"/>
      <c r="D53" s="526"/>
      <c r="E53" s="526"/>
      <c r="F53" s="526"/>
      <c r="G53" s="526"/>
      <c r="H53" s="526"/>
      <c r="I53" s="526"/>
      <c r="J53" s="526"/>
      <c r="K53" s="526"/>
      <c r="L53" s="526"/>
      <c r="M53" s="526"/>
      <c r="N53" s="526"/>
      <c r="O53" s="526"/>
      <c r="P53" s="526"/>
      <c r="Q53" s="526"/>
      <c r="R53" s="526"/>
      <c r="S53" s="526"/>
      <c r="T53" s="526"/>
      <c r="U53" s="526"/>
      <c r="V53" s="526"/>
      <c r="W53" s="526"/>
      <c r="X53" s="526"/>
      <c r="Y53" s="526"/>
      <c r="Z53" s="526"/>
    </row>
    <row r="54" spans="1:26" ht="18.600000000000001" x14ac:dyDescent="0.3">
      <c r="A54" s="526"/>
      <c r="B54" s="526"/>
      <c r="C54" s="526"/>
      <c r="D54" s="526"/>
      <c r="E54" s="526"/>
      <c r="F54" s="526"/>
      <c r="G54" s="526"/>
      <c r="H54" s="526"/>
      <c r="I54" s="526"/>
      <c r="J54" s="526"/>
      <c r="K54" s="526"/>
      <c r="L54" s="526"/>
      <c r="M54" s="526"/>
      <c r="N54" s="526"/>
      <c r="O54" s="526"/>
      <c r="P54" s="526"/>
      <c r="Q54" s="526"/>
      <c r="R54" s="526"/>
      <c r="S54" s="526"/>
      <c r="T54" s="526"/>
      <c r="U54" s="526"/>
      <c r="V54" s="526"/>
      <c r="W54" s="526"/>
      <c r="X54" s="526"/>
      <c r="Y54" s="526"/>
      <c r="Z54" s="526"/>
    </row>
    <row r="55" spans="1:26" ht="18.600000000000001" x14ac:dyDescent="0.3">
      <c r="A55" s="526"/>
      <c r="B55" s="526"/>
      <c r="C55" s="526"/>
      <c r="D55" s="526"/>
      <c r="E55" s="526"/>
      <c r="F55" s="526"/>
      <c r="G55" s="526"/>
      <c r="H55" s="526"/>
      <c r="I55" s="526"/>
      <c r="J55" s="526"/>
      <c r="K55" s="526"/>
      <c r="L55" s="526"/>
      <c r="M55" s="526"/>
      <c r="N55" s="526"/>
      <c r="O55" s="526"/>
      <c r="P55" s="526"/>
      <c r="Q55" s="526"/>
      <c r="R55" s="526"/>
      <c r="S55" s="526"/>
      <c r="T55" s="526"/>
      <c r="U55" s="526"/>
      <c r="V55" s="526"/>
      <c r="W55" s="526"/>
      <c r="X55" s="526"/>
      <c r="Y55" s="526"/>
      <c r="Z55" s="526"/>
    </row>
    <row r="56" spans="1:26" ht="18.600000000000001" x14ac:dyDescent="0.3">
      <c r="A56" s="526"/>
      <c r="B56" s="526"/>
      <c r="C56" s="526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</row>
    <row r="57" spans="1:26" ht="18.600000000000001" x14ac:dyDescent="0.3">
      <c r="A57" s="526"/>
      <c r="B57" s="526"/>
      <c r="C57" s="526"/>
      <c r="D57" s="526"/>
      <c r="E57" s="526"/>
      <c r="F57" s="526"/>
      <c r="G57" s="526"/>
      <c r="H57" s="526"/>
      <c r="I57" s="526"/>
      <c r="J57" s="526"/>
      <c r="K57" s="526"/>
      <c r="L57" s="526"/>
      <c r="M57" s="526"/>
      <c r="N57" s="526"/>
      <c r="O57" s="526"/>
      <c r="P57" s="526"/>
      <c r="Q57" s="526"/>
      <c r="R57" s="526"/>
      <c r="S57" s="526"/>
      <c r="T57" s="526"/>
      <c r="U57" s="526"/>
      <c r="V57" s="526"/>
      <c r="W57" s="526"/>
      <c r="X57" s="526"/>
      <c r="Y57" s="526"/>
      <c r="Z57" s="526"/>
    </row>
    <row r="58" spans="1:26" ht="18.600000000000001" x14ac:dyDescent="0.3">
      <c r="A58" s="526"/>
      <c r="B58" s="526"/>
      <c r="C58" s="526"/>
      <c r="D58" s="526"/>
      <c r="E58" s="526"/>
      <c r="F58" s="526"/>
      <c r="G58" s="526"/>
      <c r="H58" s="526"/>
      <c r="I58" s="526"/>
      <c r="J58" s="526"/>
      <c r="K58" s="526"/>
      <c r="L58" s="526"/>
      <c r="M58" s="526"/>
      <c r="N58" s="526"/>
      <c r="O58" s="526"/>
      <c r="P58" s="526"/>
      <c r="Q58" s="526"/>
      <c r="R58" s="526"/>
      <c r="S58" s="526"/>
      <c r="T58" s="526"/>
      <c r="U58" s="526"/>
      <c r="V58" s="526"/>
      <c r="W58" s="526"/>
      <c r="X58" s="526"/>
      <c r="Y58" s="526"/>
      <c r="Z58" s="526"/>
    </row>
    <row r="59" spans="1:26" ht="18.600000000000001" x14ac:dyDescent="0.3">
      <c r="A59" s="526"/>
      <c r="B59" s="526"/>
      <c r="C59" s="526"/>
      <c r="D59" s="526"/>
      <c r="E59" s="526"/>
      <c r="F59" s="526"/>
      <c r="G59" s="526"/>
      <c r="H59" s="526"/>
      <c r="I59" s="526"/>
      <c r="J59" s="526"/>
      <c r="K59" s="526"/>
      <c r="L59" s="526"/>
      <c r="M59" s="526"/>
      <c r="N59" s="526"/>
      <c r="O59" s="526"/>
      <c r="P59" s="526"/>
      <c r="Q59" s="526"/>
      <c r="R59" s="526"/>
      <c r="S59" s="526"/>
      <c r="T59" s="526"/>
      <c r="U59" s="526"/>
      <c r="V59" s="526"/>
      <c r="W59" s="526"/>
      <c r="X59" s="526"/>
      <c r="Y59" s="526"/>
      <c r="Z59" s="526"/>
    </row>
    <row r="60" spans="1:26" ht="18.600000000000001" x14ac:dyDescent="0.3">
      <c r="A60" s="526"/>
      <c r="B60" s="526"/>
      <c r="C60" s="526"/>
      <c r="D60" s="526"/>
      <c r="E60" s="526"/>
      <c r="F60" s="526"/>
      <c r="G60" s="526"/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</row>
    <row r="61" spans="1:26" ht="18.600000000000001" x14ac:dyDescent="0.3">
      <c r="A61" s="526"/>
      <c r="B61" s="526"/>
      <c r="C61" s="526"/>
      <c r="D61" s="526"/>
      <c r="E61" s="526"/>
      <c r="F61" s="526"/>
      <c r="G61" s="526"/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</row>
    <row r="62" spans="1:26" ht="18.600000000000001" x14ac:dyDescent="0.3">
      <c r="A62" s="526"/>
      <c r="B62" s="526"/>
      <c r="C62" s="526"/>
      <c r="D62" s="526"/>
      <c r="E62" s="526"/>
      <c r="F62" s="526"/>
      <c r="G62" s="526"/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</row>
    <row r="63" spans="1:26" ht="18.600000000000001" x14ac:dyDescent="0.3">
      <c r="A63" s="526"/>
      <c r="B63" s="526"/>
      <c r="C63" s="52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</row>
    <row r="64" spans="1:26" ht="18.600000000000001" x14ac:dyDescent="0.3">
      <c r="A64" s="526"/>
      <c r="B64" s="526"/>
      <c r="C64" s="526"/>
      <c r="D64" s="526"/>
      <c r="E64" s="526"/>
      <c r="F64" s="526"/>
      <c r="G64" s="526"/>
      <c r="H64" s="526"/>
      <c r="I64" s="526"/>
      <c r="J64" s="526"/>
      <c r="K64" s="526"/>
      <c r="L64" s="526"/>
      <c r="M64" s="526"/>
      <c r="N64" s="526"/>
      <c r="O64" s="526"/>
      <c r="P64" s="526"/>
      <c r="Q64" s="526"/>
      <c r="R64" s="526"/>
      <c r="S64" s="526"/>
      <c r="T64" s="526"/>
      <c r="U64" s="526"/>
      <c r="V64" s="526"/>
      <c r="W64" s="526"/>
      <c r="X64" s="526"/>
      <c r="Y64" s="526"/>
      <c r="Z64" s="526"/>
    </row>
    <row r="65" spans="1:26" ht="18.600000000000001" x14ac:dyDescent="0.3">
      <c r="A65" s="526"/>
      <c r="B65" s="526"/>
      <c r="C65" s="526"/>
      <c r="D65" s="526"/>
      <c r="E65" s="526"/>
      <c r="F65" s="526"/>
      <c r="G65" s="526"/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</row>
    <row r="66" spans="1:26" ht="18.600000000000001" x14ac:dyDescent="0.3">
      <c r="A66" s="526"/>
      <c r="B66" s="526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</row>
    <row r="67" spans="1:26" ht="18.600000000000001" x14ac:dyDescent="0.3">
      <c r="A67" s="526"/>
      <c r="B67" s="526"/>
      <c r="C67" s="526"/>
      <c r="D67" s="526"/>
      <c r="E67" s="526"/>
      <c r="F67" s="526"/>
      <c r="G67" s="526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</row>
    <row r="68" spans="1:26" ht="18.600000000000001" x14ac:dyDescent="0.3">
      <c r="A68" s="526"/>
      <c r="B68" s="526"/>
      <c r="C68" s="526"/>
      <c r="D68" s="526"/>
      <c r="E68" s="526"/>
      <c r="F68" s="526"/>
      <c r="G68" s="526"/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</row>
    <row r="69" spans="1:26" ht="18.600000000000001" x14ac:dyDescent="0.3">
      <c r="A69" s="526"/>
      <c r="B69" s="526"/>
      <c r="C69" s="526"/>
      <c r="D69" s="526"/>
      <c r="E69" s="526"/>
      <c r="F69" s="526"/>
      <c r="G69" s="526"/>
      <c r="H69" s="526"/>
      <c r="I69" s="526"/>
      <c r="J69" s="526"/>
      <c r="K69" s="526"/>
      <c r="L69" s="526"/>
      <c r="M69" s="526"/>
      <c r="N69" s="526"/>
      <c r="O69" s="526"/>
      <c r="P69" s="526"/>
      <c r="Q69" s="526"/>
      <c r="R69" s="526"/>
      <c r="S69" s="526"/>
      <c r="T69" s="526"/>
      <c r="U69" s="526"/>
      <c r="V69" s="526"/>
      <c r="W69" s="526"/>
      <c r="X69" s="526"/>
      <c r="Y69" s="526"/>
      <c r="Z69" s="526"/>
    </row>
    <row r="70" spans="1:26" ht="18.600000000000001" x14ac:dyDescent="0.3">
      <c r="A70" s="526"/>
      <c r="B70" s="526"/>
      <c r="C70" s="526"/>
      <c r="D70" s="526"/>
      <c r="E70" s="526"/>
      <c r="F70" s="526"/>
      <c r="G70" s="526"/>
      <c r="H70" s="526"/>
      <c r="I70" s="526"/>
      <c r="J70" s="526"/>
      <c r="K70" s="526"/>
      <c r="L70" s="526"/>
      <c r="M70" s="526"/>
      <c r="N70" s="526"/>
      <c r="O70" s="526"/>
      <c r="P70" s="526"/>
      <c r="Q70" s="526"/>
      <c r="R70" s="526"/>
      <c r="S70" s="526"/>
      <c r="T70" s="526"/>
      <c r="U70" s="526"/>
      <c r="V70" s="526"/>
      <c r="W70" s="526"/>
      <c r="X70" s="526"/>
      <c r="Y70" s="526"/>
      <c r="Z70" s="526"/>
    </row>
    <row r="71" spans="1:26" ht="18.600000000000001" x14ac:dyDescent="0.3">
      <c r="A71" s="526"/>
      <c r="B71" s="526"/>
      <c r="C71" s="526"/>
      <c r="D71" s="526"/>
      <c r="E71" s="526"/>
      <c r="F71" s="526"/>
      <c r="G71" s="526"/>
      <c r="H71" s="526"/>
      <c r="I71" s="526"/>
      <c r="J71" s="526"/>
      <c r="K71" s="526"/>
      <c r="L71" s="526"/>
      <c r="M71" s="526"/>
      <c r="N71" s="526"/>
      <c r="O71" s="526"/>
      <c r="P71" s="526"/>
      <c r="Q71" s="526"/>
      <c r="R71" s="526"/>
      <c r="S71" s="526"/>
      <c r="T71" s="526"/>
      <c r="U71" s="526"/>
      <c r="V71" s="526"/>
      <c r="W71" s="526"/>
      <c r="X71" s="526"/>
      <c r="Y71" s="526"/>
      <c r="Z71" s="526"/>
    </row>
    <row r="72" spans="1:26" ht="18.600000000000001" x14ac:dyDescent="0.3">
      <c r="A72" s="526"/>
      <c r="B72" s="526"/>
      <c r="C72" s="526"/>
      <c r="D72" s="526"/>
      <c r="E72" s="526"/>
      <c r="F72" s="526"/>
      <c r="G72" s="526"/>
      <c r="H72" s="526"/>
      <c r="I72" s="526"/>
      <c r="J72" s="526"/>
      <c r="K72" s="526"/>
      <c r="L72" s="526"/>
      <c r="M72" s="526"/>
      <c r="N72" s="526"/>
      <c r="O72" s="526"/>
      <c r="P72" s="526"/>
      <c r="Q72" s="526"/>
      <c r="R72" s="526"/>
      <c r="S72" s="526"/>
      <c r="T72" s="526"/>
      <c r="U72" s="526"/>
      <c r="V72" s="526"/>
      <c r="W72" s="526"/>
      <c r="X72" s="526"/>
      <c r="Y72" s="526"/>
      <c r="Z72" s="526"/>
    </row>
    <row r="73" spans="1:26" ht="18.600000000000001" x14ac:dyDescent="0.3">
      <c r="A73" s="526"/>
      <c r="B73" s="526"/>
      <c r="C73" s="526"/>
      <c r="D73" s="526"/>
      <c r="E73" s="526"/>
      <c r="F73" s="526"/>
      <c r="G73" s="526"/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6"/>
      <c r="V73" s="526"/>
      <c r="W73" s="526"/>
      <c r="X73" s="526"/>
      <c r="Y73" s="526"/>
      <c r="Z73" s="526"/>
    </row>
    <row r="74" spans="1:26" ht="18.600000000000001" x14ac:dyDescent="0.3">
      <c r="A74" s="526"/>
      <c r="B74" s="526"/>
      <c r="C74" s="526"/>
      <c r="D74" s="526"/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</row>
    <row r="75" spans="1:26" ht="18.600000000000001" x14ac:dyDescent="0.3">
      <c r="A75" s="526"/>
      <c r="B75" s="526"/>
      <c r="C75" s="526"/>
      <c r="D75" s="526"/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</row>
    <row r="76" spans="1:26" ht="18.600000000000001" x14ac:dyDescent="0.3">
      <c r="A76" s="526"/>
      <c r="B76" s="526"/>
      <c r="C76" s="526"/>
      <c r="D76" s="526"/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526"/>
      <c r="Q76" s="526"/>
      <c r="R76" s="526"/>
      <c r="S76" s="526"/>
      <c r="T76" s="526"/>
      <c r="U76" s="526"/>
      <c r="V76" s="526"/>
      <c r="W76" s="526"/>
      <c r="X76" s="526"/>
      <c r="Y76" s="526"/>
      <c r="Z76" s="526"/>
    </row>
    <row r="77" spans="1:26" ht="18.600000000000001" x14ac:dyDescent="0.3">
      <c r="A77" s="526"/>
      <c r="B77" s="526"/>
      <c r="C77" s="526"/>
      <c r="D77" s="526"/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6"/>
      <c r="V77" s="526"/>
      <c r="W77" s="526"/>
      <c r="X77" s="526"/>
      <c r="Y77" s="526"/>
      <c r="Z77" s="526"/>
    </row>
    <row r="78" spans="1:26" ht="18.600000000000001" x14ac:dyDescent="0.3">
      <c r="A78" s="526"/>
      <c r="B78" s="526"/>
      <c r="C78" s="526"/>
      <c r="D78" s="526"/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6"/>
      <c r="V78" s="526"/>
      <c r="W78" s="526"/>
      <c r="X78" s="526"/>
      <c r="Y78" s="526"/>
      <c r="Z78" s="526"/>
    </row>
    <row r="79" spans="1:26" ht="18.600000000000001" x14ac:dyDescent="0.3">
      <c r="A79" s="526"/>
      <c r="B79" s="526"/>
      <c r="C79" s="526"/>
      <c r="D79" s="526"/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526"/>
      <c r="Q79" s="526"/>
      <c r="R79" s="526"/>
      <c r="S79" s="526"/>
      <c r="T79" s="526"/>
      <c r="U79" s="526"/>
      <c r="V79" s="526"/>
      <c r="W79" s="526"/>
      <c r="X79" s="526"/>
      <c r="Y79" s="526"/>
      <c r="Z79" s="526"/>
    </row>
    <row r="80" spans="1:26" ht="18.600000000000001" x14ac:dyDescent="0.3">
      <c r="A80" s="526"/>
      <c r="B80" s="526"/>
      <c r="C80" s="526"/>
      <c r="D80" s="526"/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</row>
    <row r="81" spans="1:26" ht="18.600000000000001" x14ac:dyDescent="0.3">
      <c r="A81" s="526"/>
      <c r="B81" s="526"/>
      <c r="C81" s="526"/>
      <c r="D81" s="526"/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</row>
    <row r="82" spans="1:26" ht="18.600000000000001" x14ac:dyDescent="0.3">
      <c r="A82" s="526"/>
      <c r="B82" s="526"/>
      <c r="C82" s="526"/>
      <c r="D82" s="526"/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526"/>
      <c r="Q82" s="526"/>
      <c r="R82" s="526"/>
      <c r="S82" s="526"/>
      <c r="T82" s="526"/>
      <c r="U82" s="526"/>
      <c r="V82" s="526"/>
      <c r="W82" s="526"/>
      <c r="X82" s="526"/>
      <c r="Y82" s="526"/>
      <c r="Z82" s="526"/>
    </row>
    <row r="83" spans="1:26" ht="18.600000000000001" x14ac:dyDescent="0.3">
      <c r="A83" s="526"/>
      <c r="B83" s="526"/>
      <c r="C83" s="526"/>
      <c r="D83" s="526"/>
      <c r="E83" s="526"/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</row>
    <row r="84" spans="1:26" ht="18.600000000000001" x14ac:dyDescent="0.3">
      <c r="A84" s="526"/>
      <c r="B84" s="526"/>
      <c r="C84" s="526"/>
      <c r="D84" s="526"/>
      <c r="E84" s="526"/>
      <c r="F84" s="526"/>
      <c r="G84" s="526"/>
      <c r="H84" s="526"/>
      <c r="I84" s="526"/>
      <c r="J84" s="526"/>
      <c r="K84" s="526"/>
      <c r="L84" s="526"/>
      <c r="M84" s="526"/>
      <c r="N84" s="526"/>
      <c r="O84" s="526"/>
      <c r="P84" s="526"/>
      <c r="Q84" s="526"/>
      <c r="R84" s="526"/>
      <c r="S84" s="526"/>
      <c r="T84" s="526"/>
      <c r="U84" s="526"/>
      <c r="V84" s="526"/>
      <c r="W84" s="526"/>
      <c r="X84" s="526"/>
      <c r="Y84" s="526"/>
      <c r="Z84" s="526"/>
    </row>
    <row r="85" spans="1:26" ht="18.600000000000001" x14ac:dyDescent="0.3">
      <c r="A85" s="526"/>
      <c r="B85" s="526"/>
      <c r="C85" s="526"/>
      <c r="D85" s="526"/>
      <c r="E85" s="526"/>
      <c r="F85" s="526"/>
      <c r="G85" s="526"/>
      <c r="H85" s="526"/>
      <c r="I85" s="526"/>
      <c r="J85" s="526"/>
      <c r="K85" s="526"/>
      <c r="L85" s="526"/>
      <c r="M85" s="526"/>
      <c r="N85" s="526"/>
      <c r="O85" s="526"/>
      <c r="P85" s="526"/>
      <c r="Q85" s="526"/>
      <c r="R85" s="526"/>
      <c r="S85" s="526"/>
      <c r="T85" s="526"/>
      <c r="U85" s="526"/>
      <c r="V85" s="526"/>
      <c r="W85" s="526"/>
      <c r="X85" s="526"/>
      <c r="Y85" s="526"/>
      <c r="Z85" s="526"/>
    </row>
    <row r="86" spans="1:26" ht="18.600000000000001" x14ac:dyDescent="0.3">
      <c r="A86" s="526"/>
      <c r="B86" s="526"/>
      <c r="C86" s="526"/>
      <c r="D86" s="526"/>
      <c r="E86" s="526"/>
      <c r="F86" s="526"/>
      <c r="G86" s="526"/>
      <c r="H86" s="526"/>
      <c r="I86" s="526"/>
      <c r="J86" s="526"/>
      <c r="K86" s="526"/>
      <c r="L86" s="526"/>
      <c r="M86" s="526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26"/>
    </row>
    <row r="87" spans="1:26" ht="18.600000000000001" x14ac:dyDescent="0.3">
      <c r="A87" s="526"/>
      <c r="B87" s="526"/>
      <c r="C87" s="526"/>
      <c r="D87" s="526"/>
      <c r="E87" s="526"/>
      <c r="F87" s="526"/>
      <c r="G87" s="526"/>
      <c r="H87" s="526"/>
      <c r="I87" s="526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/>
      <c r="V87" s="526"/>
      <c r="W87" s="526"/>
      <c r="X87" s="526"/>
      <c r="Y87" s="526"/>
      <c r="Z87" s="526"/>
    </row>
    <row r="88" spans="1:26" ht="18.600000000000001" x14ac:dyDescent="0.3">
      <c r="A88" s="526"/>
      <c r="B88" s="526"/>
      <c r="C88" s="526"/>
      <c r="D88" s="526"/>
      <c r="E88" s="526"/>
      <c r="F88" s="526"/>
      <c r="G88" s="526"/>
      <c r="H88" s="526"/>
      <c r="I88" s="526"/>
      <c r="J88" s="526"/>
      <c r="K88" s="526"/>
      <c r="L88" s="526"/>
      <c r="M88" s="526"/>
      <c r="N88" s="526"/>
      <c r="O88" s="526"/>
      <c r="P88" s="526"/>
      <c r="Q88" s="526"/>
      <c r="R88" s="526"/>
      <c r="S88" s="526"/>
      <c r="T88" s="526"/>
      <c r="U88" s="526"/>
      <c r="V88" s="526"/>
      <c r="W88" s="526"/>
      <c r="X88" s="526"/>
      <c r="Y88" s="526"/>
      <c r="Z88" s="526"/>
    </row>
    <row r="89" spans="1:26" ht="18.600000000000001" x14ac:dyDescent="0.3">
      <c r="A89" s="526"/>
      <c r="B89" s="526"/>
      <c r="C89" s="526"/>
      <c r="D89" s="526"/>
      <c r="E89" s="526"/>
      <c r="F89" s="526"/>
      <c r="G89" s="526"/>
      <c r="H89" s="526"/>
      <c r="I89" s="526"/>
      <c r="J89" s="526"/>
      <c r="K89" s="526"/>
      <c r="L89" s="526"/>
      <c r="M89" s="526"/>
      <c r="N89" s="526"/>
      <c r="O89" s="526"/>
      <c r="P89" s="526"/>
      <c r="Q89" s="526"/>
      <c r="R89" s="526"/>
      <c r="S89" s="526"/>
      <c r="T89" s="526"/>
      <c r="U89" s="526"/>
      <c r="V89" s="526"/>
      <c r="W89" s="526"/>
      <c r="X89" s="526"/>
      <c r="Y89" s="526"/>
      <c r="Z89" s="526"/>
    </row>
    <row r="90" spans="1:26" ht="18.600000000000001" x14ac:dyDescent="0.3">
      <c r="A90" s="526"/>
      <c r="B90" s="526"/>
      <c r="C90" s="526"/>
      <c r="D90" s="526"/>
      <c r="E90" s="526"/>
      <c r="F90" s="526"/>
      <c r="G90" s="526"/>
      <c r="H90" s="526"/>
      <c r="I90" s="526"/>
      <c r="J90" s="526"/>
      <c r="K90" s="526"/>
      <c r="L90" s="526"/>
      <c r="M90" s="526"/>
      <c r="N90" s="526"/>
      <c r="O90" s="526"/>
      <c r="P90" s="526"/>
      <c r="Q90" s="526"/>
      <c r="R90" s="526"/>
      <c r="S90" s="526"/>
      <c r="T90" s="526"/>
      <c r="U90" s="526"/>
      <c r="V90" s="526"/>
      <c r="W90" s="526"/>
      <c r="X90" s="526"/>
      <c r="Y90" s="526"/>
      <c r="Z90" s="526"/>
    </row>
    <row r="91" spans="1:26" ht="18.600000000000001" x14ac:dyDescent="0.3">
      <c r="A91" s="526"/>
      <c r="B91" s="526"/>
      <c r="C91" s="526"/>
      <c r="D91" s="526"/>
      <c r="E91" s="526"/>
      <c r="F91" s="526"/>
      <c r="G91" s="526"/>
      <c r="H91" s="526"/>
      <c r="I91" s="526"/>
      <c r="J91" s="526"/>
      <c r="K91" s="526"/>
      <c r="L91" s="526"/>
      <c r="M91" s="526"/>
      <c r="N91" s="526"/>
      <c r="O91" s="526"/>
      <c r="P91" s="526"/>
      <c r="Q91" s="526"/>
      <c r="R91" s="526"/>
      <c r="S91" s="526"/>
      <c r="T91" s="526"/>
      <c r="U91" s="526"/>
      <c r="V91" s="526"/>
      <c r="W91" s="526"/>
      <c r="X91" s="526"/>
      <c r="Y91" s="526"/>
      <c r="Z91" s="526"/>
    </row>
    <row r="92" spans="1:26" ht="18.600000000000001" x14ac:dyDescent="0.3">
      <c r="A92" s="526"/>
      <c r="B92" s="526"/>
      <c r="C92" s="526"/>
      <c r="D92" s="526"/>
      <c r="E92" s="526"/>
      <c r="F92" s="526"/>
      <c r="G92" s="526"/>
      <c r="H92" s="526"/>
      <c r="I92" s="526"/>
      <c r="J92" s="526"/>
      <c r="K92" s="526"/>
      <c r="L92" s="526"/>
      <c r="M92" s="526"/>
      <c r="N92" s="526"/>
      <c r="O92" s="526"/>
      <c r="P92" s="526"/>
      <c r="Q92" s="526"/>
      <c r="R92" s="526"/>
      <c r="S92" s="526"/>
      <c r="T92" s="526"/>
      <c r="U92" s="526"/>
      <c r="V92" s="526"/>
      <c r="W92" s="526"/>
      <c r="X92" s="526"/>
      <c r="Y92" s="526"/>
      <c r="Z92" s="526"/>
    </row>
    <row r="93" spans="1:26" ht="18.600000000000001" x14ac:dyDescent="0.3">
      <c r="A93" s="526"/>
      <c r="B93" s="526"/>
      <c r="C93" s="526"/>
      <c r="D93" s="526"/>
      <c r="E93" s="526"/>
      <c r="F93" s="526"/>
      <c r="G93" s="526"/>
      <c r="H93" s="526"/>
      <c r="I93" s="526"/>
      <c r="J93" s="526"/>
      <c r="K93" s="526"/>
      <c r="L93" s="526"/>
      <c r="M93" s="526"/>
      <c r="N93" s="526"/>
      <c r="O93" s="526"/>
      <c r="P93" s="526"/>
      <c r="Q93" s="526"/>
      <c r="R93" s="526"/>
      <c r="S93" s="526"/>
      <c r="T93" s="526"/>
      <c r="U93" s="526"/>
      <c r="V93" s="526"/>
      <c r="W93" s="526"/>
      <c r="X93" s="526"/>
      <c r="Y93" s="526"/>
      <c r="Z93" s="526"/>
    </row>
    <row r="94" spans="1:26" ht="18.600000000000001" x14ac:dyDescent="0.3">
      <c r="A94" s="526"/>
      <c r="B94" s="526"/>
      <c r="C94" s="526"/>
      <c r="D94" s="526"/>
      <c r="E94" s="526"/>
      <c r="F94" s="526"/>
      <c r="G94" s="526"/>
      <c r="H94" s="526"/>
      <c r="I94" s="526"/>
      <c r="J94" s="526"/>
      <c r="K94" s="526"/>
      <c r="L94" s="526"/>
      <c r="M94" s="526"/>
      <c r="N94" s="526"/>
      <c r="O94" s="526"/>
      <c r="P94" s="526"/>
      <c r="Q94" s="526"/>
      <c r="R94" s="526"/>
      <c r="S94" s="526"/>
      <c r="T94" s="526"/>
      <c r="U94" s="526"/>
      <c r="V94" s="526"/>
      <c r="W94" s="526"/>
      <c r="X94" s="526"/>
      <c r="Y94" s="526"/>
      <c r="Z94" s="526"/>
    </row>
    <row r="95" spans="1:26" ht="18.600000000000001" x14ac:dyDescent="0.3">
      <c r="A95" s="526"/>
      <c r="B95" s="526"/>
      <c r="C95" s="526"/>
      <c r="D95" s="526"/>
      <c r="E95" s="526"/>
      <c r="F95" s="526"/>
      <c r="G95" s="526"/>
      <c r="H95" s="526"/>
      <c r="I95" s="526"/>
      <c r="J95" s="526"/>
      <c r="K95" s="526"/>
      <c r="L95" s="526"/>
      <c r="M95" s="526"/>
      <c r="N95" s="526"/>
      <c r="O95" s="526"/>
      <c r="P95" s="526"/>
      <c r="Q95" s="526"/>
      <c r="R95" s="526"/>
      <c r="S95" s="526"/>
      <c r="T95" s="526"/>
      <c r="U95" s="526"/>
      <c r="V95" s="526"/>
      <c r="W95" s="526"/>
      <c r="X95" s="526"/>
      <c r="Y95" s="526"/>
      <c r="Z95" s="526"/>
    </row>
    <row r="96" spans="1:26" ht="18.600000000000001" x14ac:dyDescent="0.3">
      <c r="A96" s="526"/>
      <c r="B96" s="526"/>
      <c r="C96" s="526"/>
      <c r="D96" s="526"/>
      <c r="E96" s="526"/>
      <c r="F96" s="526"/>
      <c r="G96" s="526"/>
      <c r="H96" s="526"/>
      <c r="I96" s="526"/>
      <c r="J96" s="526"/>
      <c r="K96" s="526"/>
      <c r="L96" s="526"/>
      <c r="M96" s="526"/>
      <c r="N96" s="526"/>
      <c r="O96" s="526"/>
      <c r="P96" s="526"/>
      <c r="Q96" s="526"/>
      <c r="R96" s="526"/>
      <c r="S96" s="526"/>
      <c r="T96" s="526"/>
      <c r="U96" s="526"/>
      <c r="V96" s="526"/>
      <c r="W96" s="526"/>
      <c r="X96" s="526"/>
      <c r="Y96" s="526"/>
      <c r="Z96" s="526"/>
    </row>
    <row r="97" spans="1:26" ht="18.600000000000001" x14ac:dyDescent="0.3">
      <c r="A97" s="526"/>
      <c r="B97" s="526"/>
      <c r="C97" s="526"/>
      <c r="D97" s="526"/>
      <c r="E97" s="526"/>
      <c r="F97" s="526"/>
      <c r="G97" s="526"/>
      <c r="H97" s="526"/>
      <c r="I97" s="526"/>
      <c r="J97" s="526"/>
      <c r="K97" s="526"/>
      <c r="L97" s="526"/>
      <c r="M97" s="526"/>
      <c r="N97" s="526"/>
      <c r="O97" s="526"/>
      <c r="P97" s="526"/>
      <c r="Q97" s="526"/>
      <c r="R97" s="526"/>
      <c r="S97" s="526"/>
      <c r="T97" s="526"/>
      <c r="U97" s="526"/>
      <c r="V97" s="526"/>
      <c r="W97" s="526"/>
      <c r="X97" s="526"/>
      <c r="Y97" s="526"/>
      <c r="Z97" s="526"/>
    </row>
    <row r="98" spans="1:26" ht="18.600000000000001" x14ac:dyDescent="0.3">
      <c r="A98" s="526"/>
      <c r="B98" s="526"/>
      <c r="C98" s="526"/>
      <c r="D98" s="526"/>
      <c r="E98" s="526"/>
      <c r="F98" s="526"/>
      <c r="G98" s="526"/>
      <c r="H98" s="526"/>
      <c r="I98" s="526"/>
      <c r="J98" s="526"/>
      <c r="K98" s="526"/>
      <c r="L98" s="526"/>
      <c r="M98" s="526"/>
      <c r="N98" s="526"/>
      <c r="O98" s="526"/>
      <c r="P98" s="526"/>
      <c r="Q98" s="526"/>
      <c r="R98" s="526"/>
      <c r="S98" s="526"/>
      <c r="T98" s="526"/>
      <c r="U98" s="526"/>
      <c r="V98" s="526"/>
      <c r="W98" s="526"/>
      <c r="X98" s="526"/>
      <c r="Y98" s="526"/>
      <c r="Z98" s="526"/>
    </row>
    <row r="99" spans="1:26" ht="18.600000000000001" x14ac:dyDescent="0.3">
      <c r="A99" s="526"/>
      <c r="B99" s="526"/>
      <c r="C99" s="526"/>
      <c r="D99" s="526"/>
      <c r="E99" s="526"/>
      <c r="F99" s="526"/>
      <c r="G99" s="526"/>
      <c r="H99" s="526"/>
      <c r="I99" s="526"/>
      <c r="J99" s="526"/>
      <c r="K99" s="526"/>
      <c r="L99" s="526"/>
      <c r="M99" s="526"/>
      <c r="N99" s="526"/>
      <c r="O99" s="526"/>
      <c r="P99" s="526"/>
      <c r="Q99" s="526"/>
      <c r="R99" s="526"/>
      <c r="S99" s="526"/>
      <c r="T99" s="526"/>
      <c r="U99" s="526"/>
      <c r="V99" s="526"/>
      <c r="W99" s="526"/>
      <c r="X99" s="526"/>
      <c r="Y99" s="526"/>
      <c r="Z99" s="526"/>
    </row>
    <row r="100" spans="1:26" ht="18.600000000000001" x14ac:dyDescent="0.3">
      <c r="A100" s="526"/>
      <c r="B100" s="526"/>
      <c r="C100" s="526"/>
      <c r="D100" s="526"/>
      <c r="E100" s="526"/>
      <c r="F100" s="526"/>
      <c r="G100" s="526"/>
      <c r="H100" s="526"/>
      <c r="I100" s="526"/>
      <c r="J100" s="526"/>
      <c r="K100" s="526"/>
      <c r="L100" s="526"/>
      <c r="M100" s="526"/>
      <c r="N100" s="526"/>
      <c r="O100" s="526"/>
      <c r="P100" s="526"/>
      <c r="Q100" s="526"/>
      <c r="R100" s="526"/>
      <c r="S100" s="526"/>
      <c r="T100" s="526"/>
      <c r="U100" s="526"/>
      <c r="V100" s="526"/>
      <c r="W100" s="526"/>
      <c r="X100" s="526"/>
      <c r="Y100" s="526"/>
      <c r="Z100" s="526"/>
    </row>
    <row r="101" spans="1:26" ht="18.600000000000001" x14ac:dyDescent="0.3">
      <c r="A101" s="526"/>
      <c r="B101" s="526"/>
      <c r="C101" s="526"/>
      <c r="D101" s="526"/>
      <c r="E101" s="526"/>
      <c r="F101" s="526"/>
      <c r="G101" s="526"/>
      <c r="H101" s="526"/>
      <c r="I101" s="526"/>
      <c r="J101" s="526"/>
      <c r="K101" s="526"/>
      <c r="L101" s="526"/>
      <c r="M101" s="526"/>
      <c r="N101" s="526"/>
      <c r="O101" s="526"/>
      <c r="P101" s="526"/>
      <c r="Q101" s="526"/>
      <c r="R101" s="526"/>
      <c r="S101" s="526"/>
      <c r="T101" s="526"/>
      <c r="U101" s="526"/>
      <c r="V101" s="526"/>
      <c r="W101" s="526"/>
      <c r="X101" s="526"/>
      <c r="Y101" s="526"/>
      <c r="Z101" s="526"/>
    </row>
    <row r="102" spans="1:26" ht="18.600000000000001" x14ac:dyDescent="0.3">
      <c r="A102" s="526"/>
      <c r="B102" s="526"/>
      <c r="C102" s="526"/>
      <c r="D102" s="526"/>
      <c r="E102" s="526"/>
      <c r="F102" s="526"/>
      <c r="G102" s="526"/>
      <c r="H102" s="526"/>
      <c r="I102" s="526"/>
      <c r="J102" s="526"/>
      <c r="K102" s="526"/>
      <c r="L102" s="526"/>
      <c r="M102" s="526"/>
      <c r="N102" s="526"/>
      <c r="O102" s="526"/>
      <c r="P102" s="526"/>
      <c r="Q102" s="526"/>
      <c r="R102" s="526"/>
      <c r="S102" s="526"/>
      <c r="T102" s="526"/>
      <c r="U102" s="526"/>
      <c r="V102" s="526"/>
      <c r="W102" s="526"/>
      <c r="X102" s="526"/>
      <c r="Y102" s="526"/>
      <c r="Z102" s="526"/>
    </row>
    <row r="103" spans="1:26" ht="18.600000000000001" x14ac:dyDescent="0.3">
      <c r="A103" s="526"/>
      <c r="B103" s="526"/>
      <c r="C103" s="526"/>
      <c r="D103" s="526"/>
      <c r="E103" s="526"/>
      <c r="F103" s="526"/>
      <c r="G103" s="526"/>
      <c r="H103" s="526"/>
      <c r="I103" s="526"/>
      <c r="J103" s="526"/>
      <c r="K103" s="526"/>
      <c r="L103" s="526"/>
      <c r="M103" s="526"/>
      <c r="N103" s="526"/>
      <c r="O103" s="526"/>
      <c r="P103" s="526"/>
      <c r="Q103" s="526"/>
      <c r="R103" s="526"/>
      <c r="S103" s="526"/>
      <c r="T103" s="526"/>
      <c r="U103" s="526"/>
      <c r="V103" s="526"/>
      <c r="W103" s="526"/>
      <c r="X103" s="526"/>
      <c r="Y103" s="526"/>
      <c r="Z103" s="526"/>
    </row>
    <row r="104" spans="1:26" ht="18.600000000000001" x14ac:dyDescent="0.3">
      <c r="A104" s="526"/>
      <c r="B104" s="526"/>
      <c r="C104" s="526"/>
      <c r="D104" s="526"/>
      <c r="E104" s="526"/>
      <c r="F104" s="526"/>
      <c r="G104" s="526"/>
      <c r="H104" s="526"/>
      <c r="I104" s="526"/>
      <c r="J104" s="526"/>
      <c r="K104" s="526"/>
      <c r="L104" s="526"/>
      <c r="M104" s="526"/>
      <c r="N104" s="526"/>
      <c r="O104" s="526"/>
      <c r="P104" s="526"/>
      <c r="Q104" s="526"/>
      <c r="R104" s="526"/>
      <c r="S104" s="526"/>
      <c r="T104" s="526"/>
      <c r="U104" s="526"/>
      <c r="V104" s="526"/>
      <c r="W104" s="526"/>
      <c r="X104" s="526"/>
      <c r="Y104" s="526"/>
      <c r="Z104" s="526"/>
    </row>
    <row r="105" spans="1:26" ht="18.600000000000001" x14ac:dyDescent="0.3">
      <c r="A105" s="526"/>
      <c r="B105" s="526"/>
      <c r="C105" s="526"/>
      <c r="D105" s="526"/>
      <c r="E105" s="526"/>
      <c r="F105" s="526"/>
      <c r="G105" s="526"/>
      <c r="H105" s="526"/>
      <c r="I105" s="526"/>
      <c r="J105" s="526"/>
      <c r="K105" s="526"/>
      <c r="L105" s="526"/>
      <c r="M105" s="526"/>
      <c r="N105" s="526"/>
      <c r="O105" s="526"/>
      <c r="P105" s="526"/>
      <c r="Q105" s="526"/>
      <c r="R105" s="526"/>
      <c r="S105" s="526"/>
      <c r="T105" s="526"/>
      <c r="U105" s="526"/>
      <c r="V105" s="526"/>
      <c r="W105" s="526"/>
      <c r="X105" s="526"/>
      <c r="Y105" s="526"/>
      <c r="Z105" s="526"/>
    </row>
    <row r="106" spans="1:26" ht="18.600000000000001" x14ac:dyDescent="0.3">
      <c r="A106" s="526"/>
      <c r="B106" s="526"/>
      <c r="C106" s="526"/>
      <c r="D106" s="526"/>
      <c r="E106" s="526"/>
      <c r="F106" s="526"/>
      <c r="G106" s="526"/>
      <c r="H106" s="526"/>
      <c r="I106" s="526"/>
      <c r="J106" s="526"/>
      <c r="K106" s="526"/>
      <c r="L106" s="526"/>
      <c r="M106" s="526"/>
      <c r="N106" s="526"/>
      <c r="O106" s="526"/>
      <c r="P106" s="526"/>
      <c r="Q106" s="526"/>
      <c r="R106" s="526"/>
      <c r="S106" s="526"/>
      <c r="T106" s="526"/>
      <c r="U106" s="526"/>
      <c r="V106" s="526"/>
      <c r="W106" s="526"/>
      <c r="X106" s="526"/>
      <c r="Y106" s="526"/>
      <c r="Z106" s="526"/>
    </row>
    <row r="107" spans="1:26" ht="18.600000000000001" x14ac:dyDescent="0.3">
      <c r="A107" s="526"/>
      <c r="B107" s="526"/>
      <c r="C107" s="526"/>
      <c r="D107" s="526"/>
      <c r="E107" s="526"/>
      <c r="F107" s="526"/>
      <c r="G107" s="526"/>
      <c r="H107" s="526"/>
      <c r="I107" s="526"/>
      <c r="J107" s="526"/>
      <c r="K107" s="526"/>
      <c r="L107" s="526"/>
      <c r="M107" s="526"/>
      <c r="N107" s="526"/>
      <c r="O107" s="526"/>
      <c r="P107" s="526"/>
      <c r="Q107" s="526"/>
      <c r="R107" s="526"/>
      <c r="S107" s="526"/>
      <c r="T107" s="526"/>
      <c r="U107" s="526"/>
      <c r="V107" s="526"/>
      <c r="W107" s="526"/>
      <c r="X107" s="526"/>
      <c r="Y107" s="526"/>
      <c r="Z107" s="526"/>
    </row>
    <row r="108" spans="1:26" ht="18.600000000000001" x14ac:dyDescent="0.3">
      <c r="A108" s="526"/>
      <c r="B108" s="526"/>
      <c r="C108" s="526"/>
      <c r="D108" s="526"/>
      <c r="E108" s="526"/>
      <c r="F108" s="526"/>
      <c r="G108" s="526"/>
      <c r="H108" s="526"/>
      <c r="I108" s="526"/>
      <c r="J108" s="526"/>
      <c r="K108" s="526"/>
      <c r="L108" s="526"/>
      <c r="M108" s="526"/>
      <c r="N108" s="526"/>
      <c r="O108" s="526"/>
      <c r="P108" s="526"/>
      <c r="Q108" s="526"/>
      <c r="R108" s="526"/>
      <c r="S108" s="526"/>
      <c r="T108" s="526"/>
      <c r="U108" s="526"/>
      <c r="V108" s="526"/>
      <c r="W108" s="526"/>
      <c r="X108" s="526"/>
      <c r="Y108" s="526"/>
      <c r="Z108" s="526"/>
    </row>
    <row r="109" spans="1:26" ht="18.600000000000001" x14ac:dyDescent="0.3">
      <c r="A109" s="526"/>
      <c r="B109" s="526"/>
      <c r="C109" s="526"/>
      <c r="D109" s="526"/>
      <c r="E109" s="526"/>
      <c r="F109" s="526"/>
      <c r="G109" s="526"/>
      <c r="H109" s="526"/>
      <c r="I109" s="526"/>
      <c r="J109" s="526"/>
      <c r="K109" s="526"/>
      <c r="L109" s="526"/>
      <c r="M109" s="526"/>
      <c r="N109" s="526"/>
      <c r="O109" s="526"/>
      <c r="P109" s="526"/>
      <c r="Q109" s="526"/>
      <c r="R109" s="526"/>
      <c r="S109" s="526"/>
      <c r="T109" s="526"/>
      <c r="U109" s="526"/>
      <c r="V109" s="526"/>
      <c r="W109" s="526"/>
      <c r="X109" s="526"/>
      <c r="Y109" s="526"/>
      <c r="Z109" s="526"/>
    </row>
    <row r="110" spans="1:26" ht="18.600000000000001" x14ac:dyDescent="0.3">
      <c r="A110" s="526"/>
      <c r="B110" s="526"/>
      <c r="C110" s="526"/>
      <c r="D110" s="526"/>
      <c r="E110" s="526"/>
      <c r="F110" s="526"/>
      <c r="G110" s="526"/>
      <c r="H110" s="526"/>
      <c r="I110" s="526"/>
      <c r="J110" s="526"/>
      <c r="K110" s="526"/>
      <c r="L110" s="526"/>
      <c r="M110" s="526"/>
      <c r="N110" s="526"/>
      <c r="O110" s="526"/>
      <c r="P110" s="526"/>
      <c r="Q110" s="526"/>
      <c r="R110" s="526"/>
      <c r="S110" s="526"/>
      <c r="T110" s="526"/>
      <c r="U110" s="526"/>
      <c r="V110" s="526"/>
      <c r="W110" s="526"/>
      <c r="X110" s="526"/>
      <c r="Y110" s="526"/>
      <c r="Z110" s="526"/>
    </row>
    <row r="111" spans="1:26" ht="18.600000000000001" x14ac:dyDescent="0.3">
      <c r="A111" s="526"/>
      <c r="B111" s="526"/>
      <c r="C111" s="526"/>
      <c r="D111" s="526"/>
      <c r="E111" s="526"/>
      <c r="F111" s="526"/>
      <c r="G111" s="526"/>
      <c r="H111" s="526"/>
      <c r="I111" s="526"/>
      <c r="J111" s="526"/>
      <c r="K111" s="526"/>
      <c r="L111" s="526"/>
      <c r="M111" s="526"/>
      <c r="N111" s="526"/>
      <c r="O111" s="526"/>
      <c r="P111" s="526"/>
      <c r="Q111" s="526"/>
      <c r="R111" s="526"/>
      <c r="S111" s="526"/>
      <c r="T111" s="526"/>
      <c r="U111" s="526"/>
      <c r="V111" s="526"/>
      <c r="W111" s="526"/>
      <c r="X111" s="526"/>
      <c r="Y111" s="526"/>
      <c r="Z111" s="526"/>
    </row>
    <row r="112" spans="1:26" ht="18.600000000000001" x14ac:dyDescent="0.3">
      <c r="A112" s="526"/>
      <c r="B112" s="526"/>
      <c r="C112" s="526"/>
      <c r="D112" s="526"/>
      <c r="E112" s="526"/>
      <c r="F112" s="526"/>
      <c r="G112" s="526"/>
      <c r="H112" s="526"/>
      <c r="I112" s="526"/>
      <c r="J112" s="526"/>
      <c r="K112" s="526"/>
      <c r="L112" s="526"/>
      <c r="M112" s="526"/>
      <c r="N112" s="526"/>
      <c r="O112" s="526"/>
      <c r="P112" s="526"/>
      <c r="Q112" s="526"/>
      <c r="R112" s="526"/>
      <c r="S112" s="526"/>
      <c r="T112" s="526"/>
      <c r="U112" s="526"/>
      <c r="V112" s="526"/>
      <c r="W112" s="526"/>
      <c r="X112" s="526"/>
      <c r="Y112" s="526"/>
      <c r="Z112" s="526"/>
    </row>
    <row r="113" spans="1:26" ht="18.600000000000001" x14ac:dyDescent="0.3">
      <c r="A113" s="526"/>
      <c r="B113" s="526"/>
      <c r="C113" s="526"/>
      <c r="D113" s="526"/>
      <c r="E113" s="526"/>
      <c r="F113" s="526"/>
      <c r="G113" s="526"/>
      <c r="H113" s="526"/>
      <c r="I113" s="526"/>
      <c r="J113" s="526"/>
      <c r="K113" s="526"/>
      <c r="L113" s="526"/>
      <c r="M113" s="526"/>
      <c r="N113" s="526"/>
      <c r="O113" s="526"/>
      <c r="P113" s="526"/>
      <c r="Q113" s="526"/>
      <c r="R113" s="526"/>
      <c r="S113" s="526"/>
      <c r="T113" s="526"/>
      <c r="U113" s="526"/>
      <c r="V113" s="526"/>
      <c r="W113" s="526"/>
      <c r="X113" s="526"/>
      <c r="Y113" s="526"/>
      <c r="Z113" s="526"/>
    </row>
    <row r="114" spans="1:26" ht="18.600000000000001" x14ac:dyDescent="0.3">
      <c r="A114" s="526"/>
      <c r="B114" s="526"/>
      <c r="C114" s="526"/>
      <c r="D114" s="526"/>
      <c r="E114" s="526"/>
      <c r="F114" s="526"/>
      <c r="G114" s="526"/>
      <c r="H114" s="526"/>
      <c r="I114" s="526"/>
      <c r="J114" s="526"/>
      <c r="K114" s="526"/>
      <c r="L114" s="526"/>
      <c r="M114" s="526"/>
      <c r="N114" s="526"/>
      <c r="O114" s="526"/>
      <c r="P114" s="526"/>
      <c r="Q114" s="526"/>
      <c r="R114" s="526"/>
      <c r="S114" s="526"/>
      <c r="T114" s="526"/>
      <c r="U114" s="526"/>
      <c r="V114" s="526"/>
      <c r="W114" s="526"/>
      <c r="X114" s="526"/>
      <c r="Y114" s="526"/>
      <c r="Z114" s="526"/>
    </row>
    <row r="115" spans="1:26" ht="18.600000000000001" x14ac:dyDescent="0.3">
      <c r="A115" s="526"/>
      <c r="B115" s="526"/>
      <c r="C115" s="526"/>
      <c r="D115" s="526"/>
      <c r="E115" s="526"/>
      <c r="F115" s="526"/>
      <c r="G115" s="526"/>
      <c r="H115" s="526"/>
      <c r="I115" s="526"/>
      <c r="J115" s="526"/>
      <c r="K115" s="526"/>
      <c r="L115" s="526"/>
      <c r="M115" s="526"/>
      <c r="N115" s="526"/>
      <c r="O115" s="526"/>
      <c r="P115" s="526"/>
      <c r="Q115" s="526"/>
      <c r="R115" s="526"/>
      <c r="S115" s="526"/>
      <c r="T115" s="526"/>
      <c r="U115" s="526"/>
      <c r="V115" s="526"/>
      <c r="W115" s="526"/>
      <c r="X115" s="526"/>
      <c r="Y115" s="526"/>
      <c r="Z115" s="526"/>
    </row>
    <row r="116" spans="1:26" ht="18.600000000000001" x14ac:dyDescent="0.3">
      <c r="A116" s="526"/>
      <c r="B116" s="526"/>
      <c r="C116" s="526"/>
      <c r="D116" s="526"/>
      <c r="E116" s="526"/>
      <c r="F116" s="526"/>
      <c r="G116" s="526"/>
      <c r="H116" s="526"/>
      <c r="I116" s="526"/>
      <c r="J116" s="526"/>
      <c r="K116" s="526"/>
      <c r="L116" s="526"/>
      <c r="M116" s="526"/>
      <c r="N116" s="526"/>
      <c r="O116" s="526"/>
      <c r="P116" s="526"/>
      <c r="Q116" s="526"/>
      <c r="R116" s="526"/>
      <c r="S116" s="526"/>
      <c r="T116" s="526"/>
      <c r="U116" s="526"/>
      <c r="V116" s="526"/>
      <c r="W116" s="526"/>
      <c r="X116" s="526"/>
      <c r="Y116" s="526"/>
      <c r="Z116" s="526"/>
    </row>
    <row r="117" spans="1:26" ht="18.600000000000001" x14ac:dyDescent="0.3">
      <c r="A117" s="526"/>
      <c r="B117" s="526"/>
      <c r="C117" s="526"/>
      <c r="D117" s="526"/>
      <c r="E117" s="526"/>
      <c r="F117" s="526"/>
      <c r="G117" s="526"/>
      <c r="H117" s="526"/>
      <c r="I117" s="526"/>
      <c r="J117" s="526"/>
      <c r="K117" s="526"/>
      <c r="L117" s="526"/>
      <c r="M117" s="526"/>
      <c r="N117" s="526"/>
      <c r="O117" s="526"/>
      <c r="P117" s="526"/>
      <c r="Q117" s="526"/>
      <c r="R117" s="526"/>
      <c r="S117" s="526"/>
      <c r="T117" s="526"/>
      <c r="U117" s="526"/>
      <c r="V117" s="526"/>
      <c r="W117" s="526"/>
      <c r="X117" s="526"/>
      <c r="Y117" s="526"/>
      <c r="Z117" s="526"/>
    </row>
    <row r="118" spans="1:26" ht="18.600000000000001" x14ac:dyDescent="0.3">
      <c r="A118" s="526"/>
      <c r="B118" s="526"/>
      <c r="C118" s="526"/>
      <c r="D118" s="526"/>
      <c r="E118" s="526"/>
      <c r="F118" s="526"/>
      <c r="G118" s="526"/>
      <c r="H118" s="526"/>
      <c r="I118" s="526"/>
      <c r="J118" s="526"/>
      <c r="K118" s="526"/>
      <c r="L118" s="526"/>
      <c r="M118" s="526"/>
      <c r="N118" s="526"/>
      <c r="O118" s="526"/>
      <c r="P118" s="526"/>
      <c r="Q118" s="526"/>
      <c r="R118" s="526"/>
      <c r="S118" s="526"/>
      <c r="T118" s="526"/>
      <c r="U118" s="526"/>
      <c r="V118" s="526"/>
      <c r="W118" s="526"/>
      <c r="X118" s="526"/>
      <c r="Y118" s="526"/>
      <c r="Z118" s="526"/>
    </row>
    <row r="119" spans="1:26" ht="18.600000000000001" x14ac:dyDescent="0.3">
      <c r="A119" s="526"/>
      <c r="B119" s="526"/>
      <c r="C119" s="526"/>
      <c r="D119" s="526"/>
      <c r="E119" s="526"/>
      <c r="F119" s="526"/>
      <c r="G119" s="526"/>
      <c r="H119" s="526"/>
      <c r="I119" s="526"/>
      <c r="J119" s="526"/>
      <c r="K119" s="526"/>
      <c r="L119" s="526"/>
      <c r="M119" s="526"/>
      <c r="N119" s="526"/>
      <c r="O119" s="526"/>
      <c r="P119" s="526"/>
      <c r="Q119" s="526"/>
      <c r="R119" s="526"/>
      <c r="S119" s="526"/>
      <c r="T119" s="526"/>
      <c r="U119" s="526"/>
      <c r="V119" s="526"/>
      <c r="W119" s="526"/>
      <c r="X119" s="526"/>
      <c r="Y119" s="526"/>
      <c r="Z119" s="526"/>
    </row>
    <row r="120" spans="1:26" ht="18.600000000000001" x14ac:dyDescent="0.3">
      <c r="A120" s="526"/>
      <c r="B120" s="526"/>
      <c r="C120" s="526"/>
      <c r="D120" s="526"/>
      <c r="E120" s="526"/>
      <c r="F120" s="526"/>
      <c r="G120" s="526"/>
      <c r="H120" s="526"/>
      <c r="I120" s="526"/>
      <c r="J120" s="526"/>
      <c r="K120" s="526"/>
      <c r="L120" s="526"/>
      <c r="M120" s="526"/>
      <c r="N120" s="526"/>
      <c r="O120" s="526"/>
      <c r="P120" s="526"/>
      <c r="Q120" s="526"/>
      <c r="R120" s="526"/>
      <c r="S120" s="526"/>
      <c r="T120" s="526"/>
      <c r="U120" s="526"/>
      <c r="V120" s="526"/>
      <c r="W120" s="526"/>
      <c r="X120" s="526"/>
      <c r="Y120" s="526"/>
      <c r="Z120" s="526"/>
    </row>
    <row r="121" spans="1:26" ht="18.600000000000001" x14ac:dyDescent="0.3">
      <c r="A121" s="526"/>
      <c r="B121" s="526"/>
      <c r="C121" s="526"/>
      <c r="D121" s="526"/>
      <c r="E121" s="526"/>
      <c r="F121" s="526"/>
      <c r="G121" s="526"/>
      <c r="H121" s="526"/>
      <c r="I121" s="526"/>
      <c r="J121" s="526"/>
      <c r="K121" s="526"/>
      <c r="L121" s="526"/>
      <c r="M121" s="526"/>
      <c r="N121" s="526"/>
      <c r="O121" s="526"/>
      <c r="P121" s="526"/>
      <c r="Q121" s="526"/>
      <c r="R121" s="526"/>
      <c r="S121" s="526"/>
      <c r="T121" s="526"/>
      <c r="U121" s="526"/>
      <c r="V121" s="526"/>
      <c r="W121" s="526"/>
      <c r="X121" s="526"/>
      <c r="Y121" s="526"/>
      <c r="Z121" s="526"/>
    </row>
    <row r="122" spans="1:26" ht="18.600000000000001" x14ac:dyDescent="0.3">
      <c r="A122" s="526"/>
      <c r="B122" s="526"/>
      <c r="C122" s="526"/>
      <c r="D122" s="526"/>
      <c r="E122" s="526"/>
      <c r="F122" s="526"/>
      <c r="G122" s="526"/>
      <c r="H122" s="526"/>
      <c r="I122" s="526"/>
      <c r="J122" s="526"/>
      <c r="K122" s="526"/>
      <c r="L122" s="526"/>
      <c r="M122" s="526"/>
      <c r="N122" s="526"/>
      <c r="O122" s="526"/>
      <c r="P122" s="526"/>
      <c r="Q122" s="526"/>
      <c r="R122" s="526"/>
      <c r="S122" s="526"/>
      <c r="T122" s="526"/>
      <c r="U122" s="526"/>
      <c r="V122" s="526"/>
      <c r="W122" s="526"/>
      <c r="X122" s="526"/>
      <c r="Y122" s="526"/>
      <c r="Z122" s="526"/>
    </row>
    <row r="123" spans="1:26" ht="18.600000000000001" x14ac:dyDescent="0.3">
      <c r="A123" s="526"/>
      <c r="B123" s="526"/>
      <c r="C123" s="526"/>
      <c r="D123" s="526"/>
      <c r="E123" s="526"/>
      <c r="F123" s="526"/>
      <c r="G123" s="526"/>
      <c r="H123" s="526"/>
      <c r="I123" s="526"/>
      <c r="J123" s="526"/>
      <c r="K123" s="526"/>
      <c r="L123" s="526"/>
      <c r="M123" s="526"/>
      <c r="N123" s="526"/>
      <c r="O123" s="526"/>
      <c r="P123" s="526"/>
      <c r="Q123" s="526"/>
      <c r="R123" s="526"/>
      <c r="S123" s="526"/>
      <c r="T123" s="526"/>
      <c r="U123" s="526"/>
      <c r="V123" s="526"/>
      <c r="W123" s="526"/>
      <c r="X123" s="526"/>
      <c r="Y123" s="526"/>
      <c r="Z123" s="526"/>
    </row>
    <row r="124" spans="1:26" ht="18.600000000000001" x14ac:dyDescent="0.3">
      <c r="A124" s="526"/>
      <c r="B124" s="526"/>
      <c r="C124" s="526"/>
      <c r="D124" s="526"/>
      <c r="E124" s="526"/>
      <c r="F124" s="526"/>
      <c r="G124" s="526"/>
      <c r="H124" s="526"/>
      <c r="I124" s="526"/>
      <c r="J124" s="526"/>
      <c r="K124" s="526"/>
      <c r="L124" s="526"/>
      <c r="M124" s="526"/>
      <c r="N124" s="526"/>
      <c r="O124" s="526"/>
      <c r="P124" s="526"/>
      <c r="Q124" s="526"/>
      <c r="R124" s="526"/>
      <c r="S124" s="526"/>
      <c r="T124" s="526"/>
      <c r="U124" s="526"/>
      <c r="V124" s="526"/>
      <c r="W124" s="526"/>
      <c r="X124" s="526"/>
      <c r="Y124" s="526"/>
      <c r="Z124" s="526"/>
    </row>
    <row r="125" spans="1:26" ht="18.600000000000001" x14ac:dyDescent="0.3">
      <c r="A125" s="526"/>
      <c r="B125" s="526"/>
      <c r="C125" s="526"/>
      <c r="D125" s="526"/>
      <c r="E125" s="526"/>
      <c r="F125" s="526"/>
      <c r="G125" s="526"/>
      <c r="H125" s="526"/>
      <c r="I125" s="526"/>
      <c r="J125" s="526"/>
      <c r="K125" s="526"/>
      <c r="L125" s="526"/>
      <c r="M125" s="526"/>
      <c r="N125" s="526"/>
      <c r="O125" s="526"/>
      <c r="P125" s="526"/>
      <c r="Q125" s="526"/>
      <c r="R125" s="526"/>
      <c r="S125" s="526"/>
      <c r="T125" s="526"/>
      <c r="U125" s="526"/>
      <c r="V125" s="526"/>
      <c r="W125" s="526"/>
      <c r="X125" s="526"/>
      <c r="Y125" s="526"/>
      <c r="Z125" s="526"/>
    </row>
    <row r="126" spans="1:26" ht="18.600000000000001" x14ac:dyDescent="0.3">
      <c r="A126" s="526"/>
      <c r="B126" s="526"/>
      <c r="C126" s="526"/>
      <c r="D126" s="526"/>
      <c r="E126" s="526"/>
      <c r="F126" s="526"/>
      <c r="G126" s="526"/>
      <c r="H126" s="526"/>
      <c r="I126" s="526"/>
      <c r="J126" s="526"/>
      <c r="K126" s="526"/>
      <c r="L126" s="526"/>
      <c r="M126" s="526"/>
      <c r="N126" s="526"/>
      <c r="O126" s="526"/>
      <c r="P126" s="526"/>
      <c r="Q126" s="526"/>
      <c r="R126" s="526"/>
      <c r="S126" s="526"/>
      <c r="T126" s="526"/>
      <c r="U126" s="526"/>
      <c r="V126" s="526"/>
      <c r="W126" s="526"/>
      <c r="X126" s="526"/>
      <c r="Y126" s="526"/>
      <c r="Z126" s="526"/>
    </row>
    <row r="127" spans="1:26" ht="18.600000000000001" x14ac:dyDescent="0.3">
      <c r="A127" s="526"/>
      <c r="B127" s="526"/>
      <c r="C127" s="526"/>
      <c r="D127" s="526"/>
      <c r="E127" s="526"/>
      <c r="F127" s="526"/>
      <c r="G127" s="526"/>
      <c r="H127" s="526"/>
      <c r="I127" s="526"/>
      <c r="J127" s="526"/>
      <c r="K127" s="526"/>
      <c r="L127" s="526"/>
      <c r="M127" s="526"/>
      <c r="N127" s="526"/>
      <c r="O127" s="526"/>
      <c r="P127" s="526"/>
      <c r="Q127" s="526"/>
      <c r="R127" s="526"/>
      <c r="S127" s="526"/>
      <c r="T127" s="526"/>
      <c r="U127" s="526"/>
      <c r="V127" s="526"/>
      <c r="W127" s="526"/>
      <c r="X127" s="526"/>
      <c r="Y127" s="526"/>
      <c r="Z127" s="526"/>
    </row>
    <row r="128" spans="1:26" ht="18.600000000000001" x14ac:dyDescent="0.3">
      <c r="A128" s="526"/>
      <c r="B128" s="526"/>
      <c r="C128" s="526"/>
      <c r="D128" s="526"/>
      <c r="E128" s="526"/>
      <c r="F128" s="526"/>
      <c r="G128" s="526"/>
      <c r="H128" s="526"/>
      <c r="I128" s="526"/>
      <c r="J128" s="526"/>
      <c r="K128" s="526"/>
      <c r="L128" s="526"/>
      <c r="M128" s="526"/>
      <c r="N128" s="526"/>
      <c r="O128" s="526"/>
      <c r="P128" s="526"/>
      <c r="Q128" s="526"/>
      <c r="R128" s="526"/>
      <c r="S128" s="526"/>
      <c r="T128" s="526"/>
      <c r="U128" s="526"/>
      <c r="V128" s="526"/>
      <c r="W128" s="526"/>
      <c r="X128" s="526"/>
      <c r="Y128" s="526"/>
      <c r="Z128" s="526"/>
    </row>
    <row r="129" spans="1:26" ht="18.600000000000001" x14ac:dyDescent="0.3">
      <c r="A129" s="526"/>
      <c r="B129" s="526"/>
      <c r="C129" s="526"/>
      <c r="D129" s="526"/>
      <c r="E129" s="526"/>
      <c r="F129" s="526"/>
      <c r="G129" s="526"/>
      <c r="H129" s="526"/>
      <c r="I129" s="526"/>
      <c r="J129" s="526"/>
      <c r="K129" s="526"/>
      <c r="L129" s="526"/>
      <c r="M129" s="526"/>
      <c r="N129" s="526"/>
      <c r="O129" s="526"/>
      <c r="P129" s="526"/>
      <c r="Q129" s="526"/>
      <c r="R129" s="526"/>
      <c r="S129" s="526"/>
      <c r="T129" s="526"/>
      <c r="U129" s="526"/>
      <c r="V129" s="526"/>
      <c r="W129" s="526"/>
      <c r="X129" s="526"/>
      <c r="Y129" s="526"/>
      <c r="Z129" s="526"/>
    </row>
    <row r="130" spans="1:26" ht="18.600000000000001" x14ac:dyDescent="0.3">
      <c r="A130" s="526"/>
      <c r="B130" s="526"/>
      <c r="C130" s="526"/>
      <c r="D130" s="526"/>
      <c r="E130" s="526"/>
      <c r="F130" s="526"/>
      <c r="G130" s="526"/>
      <c r="H130" s="526"/>
      <c r="I130" s="526"/>
      <c r="J130" s="526"/>
      <c r="K130" s="526"/>
      <c r="L130" s="526"/>
      <c r="M130" s="526"/>
      <c r="N130" s="526"/>
      <c r="O130" s="526"/>
      <c r="P130" s="526"/>
      <c r="Q130" s="526"/>
      <c r="R130" s="526"/>
      <c r="S130" s="526"/>
      <c r="T130" s="526"/>
      <c r="U130" s="526"/>
      <c r="V130" s="526"/>
      <c r="W130" s="526"/>
      <c r="X130" s="526"/>
      <c r="Y130" s="526"/>
      <c r="Z130" s="526"/>
    </row>
    <row r="131" spans="1:26" ht="18.600000000000001" x14ac:dyDescent="0.3">
      <c r="A131" s="526"/>
      <c r="B131" s="526"/>
      <c r="C131" s="526"/>
      <c r="D131" s="526"/>
      <c r="E131" s="526"/>
      <c r="F131" s="526"/>
      <c r="G131" s="526"/>
      <c r="H131" s="526"/>
      <c r="I131" s="526"/>
      <c r="J131" s="526"/>
      <c r="K131" s="526"/>
      <c r="L131" s="526"/>
      <c r="M131" s="526"/>
      <c r="N131" s="526"/>
      <c r="O131" s="526"/>
      <c r="P131" s="526"/>
      <c r="Q131" s="526"/>
      <c r="R131" s="526"/>
      <c r="S131" s="526"/>
      <c r="T131" s="526"/>
      <c r="U131" s="526"/>
      <c r="V131" s="526"/>
      <c r="W131" s="526"/>
      <c r="X131" s="526"/>
      <c r="Y131" s="526"/>
      <c r="Z131" s="526"/>
    </row>
    <row r="132" spans="1:26" ht="18.600000000000001" x14ac:dyDescent="0.3">
      <c r="A132" s="526"/>
      <c r="B132" s="526"/>
      <c r="C132" s="526"/>
      <c r="D132" s="526"/>
      <c r="E132" s="526"/>
      <c r="F132" s="526"/>
      <c r="G132" s="526"/>
      <c r="H132" s="526"/>
      <c r="I132" s="526"/>
      <c r="J132" s="526"/>
      <c r="K132" s="526"/>
      <c r="L132" s="526"/>
      <c r="M132" s="526"/>
      <c r="N132" s="526"/>
      <c r="O132" s="526"/>
      <c r="P132" s="526"/>
      <c r="Q132" s="526"/>
      <c r="R132" s="526"/>
      <c r="S132" s="526"/>
      <c r="T132" s="526"/>
      <c r="U132" s="526"/>
      <c r="V132" s="526"/>
      <c r="W132" s="526"/>
      <c r="X132" s="526"/>
      <c r="Y132" s="526"/>
      <c r="Z132" s="526"/>
    </row>
    <row r="133" spans="1:26" ht="18.600000000000001" x14ac:dyDescent="0.3">
      <c r="A133" s="526"/>
      <c r="B133" s="526"/>
      <c r="C133" s="526"/>
      <c r="D133" s="526"/>
      <c r="E133" s="526"/>
      <c r="F133" s="526"/>
      <c r="G133" s="526"/>
      <c r="H133" s="526"/>
      <c r="I133" s="526"/>
      <c r="J133" s="526"/>
      <c r="K133" s="526"/>
      <c r="L133" s="526"/>
      <c r="M133" s="526"/>
      <c r="N133" s="526"/>
      <c r="O133" s="526"/>
      <c r="P133" s="526"/>
      <c r="Q133" s="526"/>
      <c r="R133" s="526"/>
      <c r="S133" s="526"/>
      <c r="T133" s="526"/>
      <c r="U133" s="526"/>
      <c r="V133" s="526"/>
      <c r="W133" s="526"/>
      <c r="X133" s="526"/>
      <c r="Y133" s="526"/>
      <c r="Z133" s="526"/>
    </row>
    <row r="134" spans="1:26" ht="18.600000000000001" x14ac:dyDescent="0.3">
      <c r="A134" s="526"/>
      <c r="B134" s="526"/>
      <c r="C134" s="526"/>
      <c r="D134" s="526"/>
      <c r="E134" s="526"/>
      <c r="F134" s="526"/>
      <c r="G134" s="526"/>
      <c r="H134" s="526"/>
      <c r="I134" s="526"/>
      <c r="J134" s="526"/>
      <c r="K134" s="526"/>
      <c r="L134" s="526"/>
      <c r="M134" s="526"/>
      <c r="N134" s="526"/>
      <c r="O134" s="526"/>
      <c r="P134" s="526"/>
      <c r="Q134" s="526"/>
      <c r="R134" s="526"/>
      <c r="S134" s="526"/>
      <c r="T134" s="526"/>
      <c r="U134" s="526"/>
      <c r="V134" s="526"/>
      <c r="W134" s="526"/>
      <c r="X134" s="526"/>
      <c r="Y134" s="526"/>
      <c r="Z134" s="526"/>
    </row>
    <row r="135" spans="1:26" ht="18.600000000000001" x14ac:dyDescent="0.3">
      <c r="A135" s="526"/>
      <c r="B135" s="526"/>
      <c r="C135" s="526"/>
      <c r="D135" s="526"/>
      <c r="E135" s="526"/>
      <c r="F135" s="526"/>
      <c r="G135" s="526"/>
      <c r="H135" s="526"/>
      <c r="I135" s="526"/>
      <c r="J135" s="526"/>
      <c r="K135" s="526"/>
      <c r="L135" s="526"/>
      <c r="M135" s="526"/>
      <c r="N135" s="526"/>
      <c r="O135" s="526"/>
      <c r="P135" s="526"/>
      <c r="Q135" s="526"/>
      <c r="R135" s="526"/>
      <c r="S135" s="526"/>
      <c r="T135" s="526"/>
      <c r="U135" s="526"/>
      <c r="V135" s="526"/>
      <c r="W135" s="526"/>
      <c r="X135" s="526"/>
      <c r="Y135" s="526"/>
      <c r="Z135" s="526"/>
    </row>
    <row r="136" spans="1:26" ht="18.600000000000001" x14ac:dyDescent="0.3">
      <c r="A136" s="526"/>
      <c r="B136" s="526"/>
      <c r="C136" s="526"/>
      <c r="D136" s="526"/>
      <c r="E136" s="526"/>
      <c r="F136" s="526"/>
      <c r="G136" s="526"/>
      <c r="H136" s="526"/>
      <c r="I136" s="526"/>
      <c r="J136" s="526"/>
      <c r="K136" s="526"/>
      <c r="L136" s="526"/>
      <c r="M136" s="526"/>
      <c r="N136" s="526"/>
      <c r="O136" s="526"/>
      <c r="P136" s="526"/>
      <c r="Q136" s="526"/>
      <c r="R136" s="526"/>
      <c r="S136" s="526"/>
      <c r="T136" s="526"/>
      <c r="U136" s="526"/>
      <c r="V136" s="526"/>
      <c r="W136" s="526"/>
      <c r="X136" s="526"/>
      <c r="Y136" s="526"/>
      <c r="Z136" s="526"/>
    </row>
    <row r="137" spans="1:26" ht="18.600000000000001" x14ac:dyDescent="0.3">
      <c r="A137" s="526"/>
      <c r="B137" s="526"/>
      <c r="C137" s="526"/>
      <c r="D137" s="526"/>
      <c r="E137" s="526"/>
      <c r="F137" s="526"/>
      <c r="G137" s="526"/>
      <c r="H137" s="526"/>
      <c r="I137" s="526"/>
      <c r="J137" s="526"/>
      <c r="K137" s="526"/>
      <c r="L137" s="526"/>
      <c r="M137" s="526"/>
      <c r="N137" s="526"/>
      <c r="O137" s="526"/>
      <c r="P137" s="526"/>
      <c r="Q137" s="526"/>
      <c r="R137" s="526"/>
      <c r="S137" s="526"/>
      <c r="T137" s="526"/>
      <c r="U137" s="526"/>
      <c r="V137" s="526"/>
      <c r="W137" s="526"/>
      <c r="X137" s="526"/>
      <c r="Y137" s="526"/>
      <c r="Z137" s="526"/>
    </row>
    <row r="138" spans="1:26" ht="18.600000000000001" x14ac:dyDescent="0.3">
      <c r="A138" s="526"/>
      <c r="B138" s="526"/>
      <c r="C138" s="526"/>
      <c r="D138" s="526"/>
      <c r="E138" s="526"/>
      <c r="F138" s="526"/>
      <c r="G138" s="526"/>
      <c r="H138" s="526"/>
      <c r="I138" s="526"/>
      <c r="J138" s="526"/>
      <c r="K138" s="526"/>
      <c r="L138" s="526"/>
      <c r="M138" s="526"/>
      <c r="N138" s="526"/>
      <c r="O138" s="526"/>
      <c r="P138" s="526"/>
      <c r="Q138" s="526"/>
      <c r="R138" s="526"/>
      <c r="S138" s="526"/>
      <c r="T138" s="526"/>
      <c r="U138" s="526"/>
      <c r="V138" s="526"/>
      <c r="W138" s="526"/>
      <c r="X138" s="526"/>
      <c r="Y138" s="526"/>
      <c r="Z138" s="526"/>
    </row>
    <row r="139" spans="1:26" ht="18.600000000000001" x14ac:dyDescent="0.3">
      <c r="A139" s="526"/>
      <c r="B139" s="526"/>
      <c r="C139" s="526"/>
      <c r="D139" s="526"/>
      <c r="E139" s="526"/>
      <c r="F139" s="526"/>
      <c r="G139" s="526"/>
      <c r="H139" s="526"/>
      <c r="I139" s="526"/>
      <c r="J139" s="526"/>
      <c r="K139" s="526"/>
      <c r="L139" s="526"/>
      <c r="M139" s="526"/>
      <c r="N139" s="526"/>
      <c r="O139" s="526"/>
      <c r="P139" s="526"/>
      <c r="Q139" s="526"/>
      <c r="R139" s="526"/>
      <c r="S139" s="526"/>
      <c r="T139" s="526"/>
      <c r="U139" s="526"/>
      <c r="V139" s="526"/>
      <c r="W139" s="526"/>
      <c r="X139" s="526"/>
      <c r="Y139" s="526"/>
      <c r="Z139" s="526"/>
    </row>
    <row r="140" spans="1:26" ht="18.600000000000001" x14ac:dyDescent="0.3">
      <c r="A140" s="526"/>
      <c r="B140" s="526"/>
      <c r="C140" s="526"/>
      <c r="D140" s="526"/>
      <c r="E140" s="526"/>
      <c r="F140" s="526"/>
      <c r="G140" s="526"/>
      <c r="H140" s="526"/>
      <c r="I140" s="526"/>
      <c r="J140" s="526"/>
      <c r="K140" s="526"/>
      <c r="L140" s="526"/>
      <c r="M140" s="526"/>
      <c r="N140" s="526"/>
      <c r="O140" s="526"/>
      <c r="P140" s="526"/>
      <c r="Q140" s="526"/>
      <c r="R140" s="526"/>
      <c r="S140" s="526"/>
      <c r="T140" s="526"/>
      <c r="U140" s="526"/>
      <c r="V140" s="526"/>
      <c r="W140" s="526"/>
      <c r="X140" s="526"/>
      <c r="Y140" s="526"/>
      <c r="Z140" s="526"/>
    </row>
    <row r="141" spans="1:26" ht="18.600000000000001" x14ac:dyDescent="0.3">
      <c r="A141" s="526"/>
      <c r="B141" s="526"/>
      <c r="C141" s="526"/>
      <c r="D141" s="526"/>
      <c r="E141" s="526"/>
      <c r="F141" s="526"/>
      <c r="G141" s="526"/>
      <c r="H141" s="526"/>
      <c r="I141" s="526"/>
      <c r="J141" s="526"/>
      <c r="K141" s="526"/>
      <c r="L141" s="526"/>
      <c r="M141" s="526"/>
      <c r="N141" s="526"/>
      <c r="O141" s="526"/>
      <c r="P141" s="526"/>
      <c r="Q141" s="526"/>
      <c r="R141" s="526"/>
      <c r="S141" s="526"/>
      <c r="T141" s="526"/>
      <c r="U141" s="526"/>
      <c r="V141" s="526"/>
      <c r="W141" s="526"/>
      <c r="X141" s="526"/>
      <c r="Y141" s="526"/>
      <c r="Z141" s="526"/>
    </row>
    <row r="142" spans="1:26" ht="18.600000000000001" x14ac:dyDescent="0.3">
      <c r="A142" s="526"/>
      <c r="B142" s="526"/>
      <c r="C142" s="526"/>
      <c r="D142" s="526"/>
      <c r="E142" s="526"/>
      <c r="F142" s="526"/>
      <c r="G142" s="526"/>
      <c r="H142" s="526"/>
      <c r="I142" s="526"/>
      <c r="J142" s="526"/>
      <c r="K142" s="526"/>
      <c r="L142" s="526"/>
      <c r="M142" s="526"/>
      <c r="N142" s="526"/>
      <c r="O142" s="526"/>
      <c r="P142" s="526"/>
      <c r="Q142" s="526"/>
      <c r="R142" s="526"/>
      <c r="S142" s="526"/>
      <c r="T142" s="526"/>
      <c r="U142" s="526"/>
      <c r="V142" s="526"/>
      <c r="W142" s="526"/>
      <c r="X142" s="526"/>
      <c r="Y142" s="526"/>
      <c r="Z142" s="526"/>
    </row>
    <row r="143" spans="1:26" ht="18.600000000000001" x14ac:dyDescent="0.3">
      <c r="A143" s="526"/>
      <c r="B143" s="526"/>
      <c r="C143" s="526"/>
      <c r="D143" s="526"/>
      <c r="E143" s="526"/>
      <c r="F143" s="526"/>
      <c r="G143" s="526"/>
      <c r="H143" s="526"/>
      <c r="I143" s="526"/>
      <c r="J143" s="526"/>
      <c r="K143" s="526"/>
      <c r="L143" s="526"/>
      <c r="M143" s="526"/>
      <c r="N143" s="526"/>
      <c r="O143" s="526"/>
      <c r="P143" s="526"/>
      <c r="Q143" s="526"/>
      <c r="R143" s="526"/>
      <c r="S143" s="526"/>
      <c r="T143" s="526"/>
      <c r="U143" s="526"/>
      <c r="V143" s="526"/>
      <c r="W143" s="526"/>
      <c r="X143" s="526"/>
      <c r="Y143" s="526"/>
      <c r="Z143" s="526"/>
    </row>
    <row r="144" spans="1:26" ht="18.600000000000001" x14ac:dyDescent="0.3">
      <c r="A144" s="526"/>
      <c r="B144" s="526"/>
      <c r="C144" s="526"/>
      <c r="D144" s="526"/>
      <c r="E144" s="526"/>
      <c r="F144" s="526"/>
      <c r="G144" s="526"/>
      <c r="H144" s="526"/>
      <c r="I144" s="526"/>
      <c r="J144" s="526"/>
      <c r="K144" s="526"/>
      <c r="L144" s="526"/>
      <c r="M144" s="526"/>
      <c r="N144" s="526"/>
      <c r="O144" s="526"/>
      <c r="P144" s="526"/>
      <c r="Q144" s="526"/>
      <c r="R144" s="526"/>
      <c r="S144" s="526"/>
      <c r="T144" s="526"/>
      <c r="U144" s="526"/>
      <c r="V144" s="526"/>
      <c r="W144" s="526"/>
      <c r="X144" s="526"/>
      <c r="Y144" s="526"/>
      <c r="Z144" s="526"/>
    </row>
    <row r="145" spans="1:26" ht="18.600000000000001" x14ac:dyDescent="0.3">
      <c r="A145" s="526"/>
      <c r="B145" s="526"/>
      <c r="C145" s="526"/>
      <c r="D145" s="526"/>
      <c r="E145" s="526"/>
      <c r="F145" s="526"/>
      <c r="G145" s="526"/>
      <c r="H145" s="526"/>
      <c r="I145" s="526"/>
      <c r="J145" s="526"/>
      <c r="K145" s="526"/>
      <c r="L145" s="526"/>
      <c r="M145" s="526"/>
      <c r="N145" s="526"/>
      <c r="O145" s="526"/>
      <c r="P145" s="526"/>
      <c r="Q145" s="526"/>
      <c r="R145" s="526"/>
      <c r="S145" s="526"/>
      <c r="T145" s="526"/>
      <c r="U145" s="526"/>
      <c r="V145" s="526"/>
      <c r="W145" s="526"/>
      <c r="X145" s="526"/>
      <c r="Y145" s="526"/>
      <c r="Z145" s="526"/>
    </row>
    <row r="146" spans="1:26" ht="18.600000000000001" x14ac:dyDescent="0.3">
      <c r="A146" s="526"/>
      <c r="B146" s="526"/>
      <c r="C146" s="526"/>
      <c r="D146" s="526"/>
      <c r="E146" s="526"/>
      <c r="F146" s="526"/>
      <c r="G146" s="526"/>
      <c r="H146" s="526"/>
      <c r="I146" s="526"/>
      <c r="J146" s="526"/>
      <c r="K146" s="526"/>
      <c r="L146" s="526"/>
      <c r="M146" s="526"/>
      <c r="N146" s="526"/>
      <c r="O146" s="526"/>
      <c r="P146" s="526"/>
      <c r="Q146" s="526"/>
      <c r="R146" s="526"/>
      <c r="S146" s="526"/>
      <c r="T146" s="526"/>
      <c r="U146" s="526"/>
      <c r="V146" s="526"/>
      <c r="W146" s="526"/>
      <c r="X146" s="526"/>
      <c r="Y146" s="526"/>
      <c r="Z146" s="526"/>
    </row>
    <row r="147" spans="1:26" ht="18.600000000000001" x14ac:dyDescent="0.3">
      <c r="A147" s="526"/>
      <c r="B147" s="526"/>
      <c r="C147" s="526"/>
      <c r="D147" s="526"/>
      <c r="E147" s="526"/>
      <c r="F147" s="526"/>
      <c r="G147" s="526"/>
      <c r="H147" s="526"/>
      <c r="I147" s="526"/>
      <c r="J147" s="526"/>
      <c r="K147" s="526"/>
      <c r="L147" s="526"/>
      <c r="M147" s="526"/>
      <c r="N147" s="526"/>
      <c r="O147" s="526"/>
      <c r="P147" s="526"/>
      <c r="Q147" s="526"/>
      <c r="R147" s="526"/>
      <c r="S147" s="526"/>
      <c r="T147" s="526"/>
      <c r="U147" s="526"/>
      <c r="V147" s="526"/>
      <c r="W147" s="526"/>
      <c r="X147" s="526"/>
      <c r="Y147" s="526"/>
      <c r="Z147" s="526"/>
    </row>
    <row r="148" spans="1:26" ht="18.600000000000001" x14ac:dyDescent="0.3">
      <c r="A148" s="526"/>
      <c r="B148" s="526"/>
      <c r="C148" s="526"/>
      <c r="D148" s="526"/>
      <c r="E148" s="526"/>
      <c r="F148" s="526"/>
      <c r="G148" s="526"/>
      <c r="H148" s="526"/>
      <c r="I148" s="526"/>
      <c r="J148" s="526"/>
      <c r="K148" s="526"/>
      <c r="L148" s="526"/>
      <c r="M148" s="526"/>
      <c r="N148" s="526"/>
      <c r="O148" s="526"/>
      <c r="P148" s="526"/>
      <c r="Q148" s="526"/>
      <c r="R148" s="526"/>
      <c r="S148" s="526"/>
      <c r="T148" s="526"/>
      <c r="U148" s="526"/>
      <c r="V148" s="526"/>
      <c r="W148" s="526"/>
      <c r="X148" s="526"/>
      <c r="Y148" s="526"/>
      <c r="Z148" s="526"/>
    </row>
    <row r="149" spans="1:26" ht="18.600000000000001" x14ac:dyDescent="0.3">
      <c r="A149" s="526"/>
      <c r="B149" s="526"/>
      <c r="C149" s="526"/>
      <c r="D149" s="526"/>
      <c r="E149" s="526"/>
      <c r="F149" s="526"/>
      <c r="G149" s="526"/>
      <c r="H149" s="526"/>
      <c r="I149" s="526"/>
      <c r="J149" s="526"/>
      <c r="K149" s="526"/>
      <c r="L149" s="526"/>
      <c r="M149" s="526"/>
      <c r="N149" s="526"/>
      <c r="O149" s="526"/>
      <c r="P149" s="526"/>
      <c r="Q149" s="526"/>
      <c r="R149" s="526"/>
      <c r="S149" s="526"/>
      <c r="T149" s="526"/>
      <c r="U149" s="526"/>
      <c r="V149" s="526"/>
      <c r="W149" s="526"/>
      <c r="X149" s="526"/>
      <c r="Y149" s="526"/>
      <c r="Z149" s="526"/>
    </row>
    <row r="150" spans="1:26" ht="18.600000000000001" x14ac:dyDescent="0.3">
      <c r="A150" s="526"/>
      <c r="B150" s="526"/>
      <c r="C150" s="526"/>
      <c r="D150" s="526"/>
      <c r="E150" s="526"/>
      <c r="F150" s="526"/>
      <c r="G150" s="526"/>
      <c r="H150" s="526"/>
      <c r="I150" s="526"/>
      <c r="J150" s="526"/>
      <c r="K150" s="526"/>
      <c r="L150" s="526"/>
      <c r="M150" s="526"/>
      <c r="N150" s="526"/>
      <c r="O150" s="526"/>
      <c r="P150" s="526"/>
      <c r="Q150" s="526"/>
      <c r="R150" s="526"/>
      <c r="S150" s="526"/>
      <c r="T150" s="526"/>
      <c r="U150" s="526"/>
      <c r="V150" s="526"/>
      <c r="W150" s="526"/>
      <c r="X150" s="526"/>
      <c r="Y150" s="526"/>
      <c r="Z150" s="526"/>
    </row>
    <row r="151" spans="1:26" ht="18.600000000000001" x14ac:dyDescent="0.3">
      <c r="A151" s="526"/>
      <c r="B151" s="526"/>
      <c r="C151" s="526"/>
      <c r="D151" s="526"/>
      <c r="E151" s="526"/>
      <c r="F151" s="526"/>
      <c r="G151" s="526"/>
      <c r="H151" s="526"/>
      <c r="I151" s="526"/>
      <c r="J151" s="526"/>
      <c r="K151" s="526"/>
      <c r="L151" s="526"/>
      <c r="M151" s="526"/>
      <c r="N151" s="526"/>
      <c r="O151" s="526"/>
      <c r="P151" s="526"/>
      <c r="Q151" s="526"/>
      <c r="R151" s="526"/>
      <c r="S151" s="526"/>
      <c r="T151" s="526"/>
      <c r="U151" s="526"/>
      <c r="V151" s="526"/>
      <c r="W151" s="526"/>
      <c r="X151" s="526"/>
      <c r="Y151" s="526"/>
      <c r="Z151" s="526"/>
    </row>
    <row r="152" spans="1:26" ht="18.600000000000001" x14ac:dyDescent="0.3">
      <c r="A152" s="526"/>
      <c r="B152" s="526"/>
      <c r="C152" s="526"/>
      <c r="D152" s="526"/>
      <c r="E152" s="526"/>
      <c r="F152" s="526"/>
      <c r="G152" s="526"/>
      <c r="H152" s="526"/>
      <c r="I152" s="526"/>
      <c r="J152" s="526"/>
      <c r="K152" s="526"/>
      <c r="L152" s="526"/>
      <c r="M152" s="526"/>
      <c r="N152" s="526"/>
      <c r="O152" s="526"/>
      <c r="P152" s="526"/>
      <c r="Q152" s="526"/>
      <c r="R152" s="526"/>
      <c r="S152" s="526"/>
      <c r="T152" s="526"/>
      <c r="U152" s="526"/>
      <c r="V152" s="526"/>
      <c r="W152" s="526"/>
      <c r="X152" s="526"/>
      <c r="Y152" s="526"/>
      <c r="Z152" s="526"/>
    </row>
    <row r="153" spans="1:26" ht="18.600000000000001" x14ac:dyDescent="0.3">
      <c r="A153" s="526"/>
      <c r="B153" s="526"/>
      <c r="C153" s="526"/>
      <c r="D153" s="526"/>
      <c r="E153" s="526"/>
      <c r="F153" s="526"/>
      <c r="G153" s="526"/>
      <c r="H153" s="526"/>
      <c r="I153" s="526"/>
      <c r="J153" s="526"/>
      <c r="K153" s="526"/>
      <c r="L153" s="526"/>
      <c r="M153" s="526"/>
      <c r="N153" s="526"/>
      <c r="O153" s="526"/>
      <c r="P153" s="526"/>
      <c r="Q153" s="526"/>
      <c r="R153" s="526"/>
      <c r="S153" s="526"/>
      <c r="T153" s="526"/>
      <c r="U153" s="526"/>
      <c r="V153" s="526"/>
      <c r="W153" s="526"/>
      <c r="X153" s="526"/>
      <c r="Y153" s="526"/>
      <c r="Z153" s="526"/>
    </row>
    <row r="154" spans="1:26" ht="18.600000000000001" x14ac:dyDescent="0.3">
      <c r="A154" s="526"/>
      <c r="B154" s="526"/>
      <c r="C154" s="526"/>
      <c r="D154" s="526"/>
      <c r="E154" s="526"/>
      <c r="F154" s="526"/>
      <c r="G154" s="526"/>
      <c r="H154" s="526"/>
      <c r="I154" s="526"/>
      <c r="J154" s="526"/>
      <c r="K154" s="526"/>
      <c r="L154" s="526"/>
      <c r="M154" s="526"/>
      <c r="N154" s="526"/>
      <c r="O154" s="526"/>
      <c r="P154" s="526"/>
      <c r="Q154" s="526"/>
      <c r="R154" s="526"/>
      <c r="S154" s="526"/>
      <c r="T154" s="526"/>
      <c r="U154" s="526"/>
      <c r="V154" s="526"/>
      <c r="W154" s="526"/>
      <c r="X154" s="526"/>
      <c r="Y154" s="526"/>
      <c r="Z154" s="526"/>
    </row>
    <row r="155" spans="1:26" ht="18.600000000000001" x14ac:dyDescent="0.3">
      <c r="A155" s="526"/>
      <c r="B155" s="526"/>
      <c r="C155" s="526"/>
      <c r="D155" s="526"/>
      <c r="E155" s="526"/>
      <c r="F155" s="526"/>
      <c r="G155" s="526"/>
      <c r="H155" s="526"/>
      <c r="I155" s="526"/>
      <c r="J155" s="526"/>
      <c r="K155" s="526"/>
      <c r="L155" s="526"/>
      <c r="M155" s="526"/>
      <c r="N155" s="526"/>
      <c r="O155" s="526"/>
      <c r="P155" s="526"/>
      <c r="Q155" s="526"/>
      <c r="R155" s="526"/>
      <c r="S155" s="526"/>
      <c r="T155" s="526"/>
      <c r="U155" s="526"/>
      <c r="V155" s="526"/>
      <c r="W155" s="526"/>
      <c r="X155" s="526"/>
      <c r="Y155" s="526"/>
      <c r="Z155" s="526"/>
    </row>
    <row r="156" spans="1:26" ht="18.600000000000001" x14ac:dyDescent="0.3">
      <c r="A156" s="526"/>
      <c r="B156" s="526"/>
      <c r="C156" s="526"/>
      <c r="D156" s="526"/>
      <c r="E156" s="526"/>
      <c r="F156" s="526"/>
      <c r="G156" s="526"/>
      <c r="H156" s="526"/>
      <c r="I156" s="526"/>
      <c r="J156" s="526"/>
      <c r="K156" s="526"/>
      <c r="L156" s="526"/>
      <c r="M156" s="526"/>
      <c r="N156" s="526"/>
      <c r="O156" s="526"/>
      <c r="P156" s="526"/>
      <c r="Q156" s="526"/>
      <c r="R156" s="526"/>
      <c r="S156" s="526"/>
      <c r="T156" s="526"/>
      <c r="U156" s="526"/>
      <c r="V156" s="526"/>
      <c r="W156" s="526"/>
      <c r="X156" s="526"/>
      <c r="Y156" s="526"/>
      <c r="Z156" s="526"/>
    </row>
    <row r="157" spans="1:26" ht="18.600000000000001" x14ac:dyDescent="0.3">
      <c r="A157" s="526"/>
      <c r="B157" s="526"/>
      <c r="C157" s="526"/>
      <c r="D157" s="526"/>
      <c r="E157" s="526"/>
      <c r="F157" s="526"/>
      <c r="G157" s="526"/>
      <c r="H157" s="526"/>
      <c r="I157" s="526"/>
      <c r="J157" s="526"/>
      <c r="K157" s="526"/>
      <c r="L157" s="526"/>
      <c r="M157" s="526"/>
      <c r="N157" s="526"/>
      <c r="O157" s="526"/>
      <c r="P157" s="526"/>
      <c r="Q157" s="526"/>
      <c r="R157" s="526"/>
      <c r="S157" s="526"/>
      <c r="T157" s="526"/>
      <c r="U157" s="526"/>
      <c r="V157" s="526"/>
      <c r="W157" s="526"/>
      <c r="X157" s="526"/>
      <c r="Y157" s="526"/>
      <c r="Z157" s="526"/>
    </row>
    <row r="158" spans="1:26" ht="18.600000000000001" x14ac:dyDescent="0.3">
      <c r="A158" s="526"/>
      <c r="B158" s="526"/>
      <c r="C158" s="526"/>
      <c r="D158" s="526"/>
      <c r="E158" s="526"/>
      <c r="F158" s="526"/>
      <c r="G158" s="526"/>
      <c r="H158" s="526"/>
      <c r="I158" s="526"/>
      <c r="J158" s="526"/>
      <c r="K158" s="526"/>
      <c r="L158" s="526"/>
      <c r="M158" s="526"/>
      <c r="N158" s="526"/>
      <c r="O158" s="526"/>
      <c r="P158" s="526"/>
      <c r="Q158" s="526"/>
      <c r="R158" s="526"/>
      <c r="S158" s="526"/>
      <c r="T158" s="526"/>
      <c r="U158" s="526"/>
      <c r="V158" s="526"/>
      <c r="W158" s="526"/>
      <c r="X158" s="526"/>
      <c r="Y158" s="526"/>
      <c r="Z158" s="526"/>
    </row>
    <row r="159" spans="1:26" ht="18.600000000000001" x14ac:dyDescent="0.3">
      <c r="A159" s="526"/>
      <c r="B159" s="526"/>
      <c r="C159" s="526"/>
      <c r="D159" s="526"/>
      <c r="E159" s="526"/>
      <c r="F159" s="526"/>
      <c r="G159" s="526"/>
      <c r="H159" s="526"/>
      <c r="I159" s="526"/>
      <c r="J159" s="526"/>
      <c r="K159" s="526"/>
      <c r="L159" s="526"/>
      <c r="M159" s="526"/>
      <c r="N159" s="526"/>
      <c r="O159" s="526"/>
      <c r="P159" s="526"/>
      <c r="Q159" s="526"/>
      <c r="R159" s="526"/>
      <c r="S159" s="526"/>
      <c r="T159" s="526"/>
      <c r="U159" s="526"/>
      <c r="V159" s="526"/>
      <c r="W159" s="526"/>
      <c r="X159" s="526"/>
      <c r="Y159" s="526"/>
      <c r="Z159" s="526"/>
    </row>
    <row r="160" spans="1:26" ht="18.600000000000001" x14ac:dyDescent="0.3">
      <c r="A160" s="526"/>
      <c r="B160" s="526"/>
      <c r="C160" s="526"/>
      <c r="D160" s="526"/>
      <c r="E160" s="526"/>
      <c r="F160" s="526"/>
      <c r="G160" s="526"/>
      <c r="H160" s="526"/>
      <c r="I160" s="526"/>
      <c r="J160" s="526"/>
      <c r="K160" s="526"/>
      <c r="L160" s="526"/>
      <c r="M160" s="526"/>
      <c r="N160" s="526"/>
      <c r="O160" s="526"/>
      <c r="P160" s="526"/>
      <c r="Q160" s="526"/>
      <c r="R160" s="526"/>
      <c r="S160" s="526"/>
      <c r="T160" s="526"/>
      <c r="U160" s="526"/>
      <c r="V160" s="526"/>
      <c r="W160" s="526"/>
      <c r="X160" s="526"/>
      <c r="Y160" s="526"/>
      <c r="Z160" s="526"/>
    </row>
    <row r="161" spans="1:26" ht="18.600000000000001" x14ac:dyDescent="0.3">
      <c r="A161" s="526"/>
      <c r="B161" s="526"/>
      <c r="C161" s="526"/>
      <c r="D161" s="526"/>
      <c r="E161" s="526"/>
      <c r="F161" s="526"/>
      <c r="G161" s="526"/>
      <c r="H161" s="526"/>
      <c r="I161" s="526"/>
      <c r="J161" s="526"/>
      <c r="K161" s="526"/>
      <c r="L161" s="526"/>
      <c r="M161" s="526"/>
      <c r="N161" s="526"/>
      <c r="O161" s="526"/>
      <c r="P161" s="526"/>
      <c r="Q161" s="526"/>
      <c r="R161" s="526"/>
      <c r="S161" s="526"/>
      <c r="T161" s="526"/>
      <c r="U161" s="526"/>
      <c r="V161" s="526"/>
      <c r="W161" s="526"/>
      <c r="X161" s="526"/>
      <c r="Y161" s="526"/>
      <c r="Z161" s="526"/>
    </row>
    <row r="162" spans="1:26" ht="18.600000000000001" x14ac:dyDescent="0.3">
      <c r="A162" s="526"/>
      <c r="B162" s="526"/>
      <c r="C162" s="526"/>
      <c r="D162" s="526"/>
      <c r="E162" s="526"/>
      <c r="F162" s="526"/>
      <c r="G162" s="526"/>
      <c r="H162" s="526"/>
      <c r="I162" s="526"/>
      <c r="J162" s="526"/>
      <c r="K162" s="526"/>
      <c r="L162" s="526"/>
      <c r="M162" s="526"/>
      <c r="N162" s="526"/>
      <c r="O162" s="526"/>
      <c r="P162" s="526"/>
      <c r="Q162" s="526"/>
      <c r="R162" s="526"/>
      <c r="S162" s="526"/>
      <c r="T162" s="526"/>
      <c r="U162" s="526"/>
      <c r="V162" s="526"/>
      <c r="W162" s="526"/>
      <c r="X162" s="526"/>
      <c r="Y162" s="526"/>
      <c r="Z162" s="526"/>
    </row>
    <row r="163" spans="1:26" ht="18.600000000000001" x14ac:dyDescent="0.3">
      <c r="A163" s="526"/>
      <c r="B163" s="526"/>
      <c r="C163" s="526"/>
      <c r="D163" s="526"/>
      <c r="E163" s="526"/>
      <c r="F163" s="526"/>
      <c r="G163" s="526"/>
      <c r="H163" s="526"/>
      <c r="I163" s="526"/>
      <c r="J163" s="526"/>
      <c r="K163" s="526"/>
      <c r="L163" s="526"/>
      <c r="M163" s="526"/>
      <c r="N163" s="526"/>
      <c r="O163" s="526"/>
      <c r="P163" s="526"/>
      <c r="Q163" s="526"/>
      <c r="R163" s="526"/>
      <c r="S163" s="526"/>
      <c r="T163" s="526"/>
      <c r="U163" s="526"/>
      <c r="V163" s="526"/>
      <c r="W163" s="526"/>
      <c r="X163" s="526"/>
      <c r="Y163" s="526"/>
      <c r="Z163" s="526"/>
    </row>
    <row r="164" spans="1:26" ht="18.600000000000001" x14ac:dyDescent="0.3">
      <c r="A164" s="526"/>
      <c r="B164" s="526"/>
      <c r="C164" s="526"/>
      <c r="D164" s="526"/>
      <c r="E164" s="526"/>
      <c r="F164" s="526"/>
      <c r="G164" s="526"/>
      <c r="H164" s="526"/>
      <c r="I164" s="526"/>
      <c r="J164" s="526"/>
      <c r="K164" s="526"/>
      <c r="L164" s="526"/>
      <c r="M164" s="526"/>
      <c r="N164" s="526"/>
      <c r="O164" s="526"/>
      <c r="P164" s="526"/>
      <c r="Q164" s="526"/>
      <c r="R164" s="526"/>
      <c r="S164" s="526"/>
      <c r="T164" s="526"/>
      <c r="U164" s="526"/>
      <c r="V164" s="526"/>
      <c r="W164" s="526"/>
      <c r="X164" s="526"/>
      <c r="Y164" s="526"/>
      <c r="Z164" s="526"/>
    </row>
    <row r="165" spans="1:26" ht="18.600000000000001" x14ac:dyDescent="0.3">
      <c r="A165" s="526"/>
      <c r="B165" s="526"/>
      <c r="C165" s="526"/>
      <c r="D165" s="526"/>
      <c r="E165" s="526"/>
      <c r="F165" s="526"/>
      <c r="G165" s="526"/>
      <c r="H165" s="526"/>
      <c r="I165" s="526"/>
      <c r="J165" s="526"/>
      <c r="K165" s="526"/>
      <c r="L165" s="526"/>
      <c r="M165" s="526"/>
      <c r="N165" s="526"/>
      <c r="O165" s="526"/>
      <c r="P165" s="526"/>
      <c r="Q165" s="526"/>
      <c r="R165" s="526"/>
      <c r="S165" s="526"/>
      <c r="T165" s="526"/>
      <c r="U165" s="526"/>
      <c r="V165" s="526"/>
      <c r="W165" s="526"/>
      <c r="X165" s="526"/>
      <c r="Y165" s="526"/>
      <c r="Z165" s="526"/>
    </row>
    <row r="166" spans="1:26" ht="18.600000000000001" x14ac:dyDescent="0.3">
      <c r="A166" s="526"/>
      <c r="B166" s="526"/>
      <c r="C166" s="526"/>
      <c r="D166" s="526"/>
      <c r="E166" s="526"/>
      <c r="F166" s="526"/>
      <c r="G166" s="526"/>
      <c r="H166" s="526"/>
      <c r="I166" s="526"/>
      <c r="J166" s="526"/>
      <c r="K166" s="526"/>
      <c r="L166" s="526"/>
      <c r="M166" s="526"/>
      <c r="N166" s="526"/>
      <c r="O166" s="526"/>
      <c r="P166" s="526"/>
      <c r="Q166" s="526"/>
      <c r="R166" s="526"/>
      <c r="S166" s="526"/>
      <c r="T166" s="526"/>
      <c r="U166" s="526"/>
      <c r="V166" s="526"/>
      <c r="W166" s="526"/>
      <c r="X166" s="526"/>
      <c r="Y166" s="526"/>
      <c r="Z166" s="526"/>
    </row>
    <row r="167" spans="1:26" ht="18.600000000000001" x14ac:dyDescent="0.3">
      <c r="A167" s="526"/>
      <c r="B167" s="526"/>
      <c r="C167" s="526"/>
      <c r="D167" s="526"/>
      <c r="E167" s="526"/>
      <c r="F167" s="526"/>
      <c r="G167" s="526"/>
      <c r="H167" s="526"/>
      <c r="I167" s="526"/>
      <c r="J167" s="526"/>
      <c r="K167" s="526"/>
      <c r="L167" s="526"/>
      <c r="M167" s="526"/>
      <c r="N167" s="526"/>
      <c r="O167" s="526"/>
      <c r="P167" s="526"/>
      <c r="Q167" s="526"/>
      <c r="R167" s="526"/>
      <c r="S167" s="526"/>
      <c r="T167" s="526"/>
      <c r="U167" s="526"/>
      <c r="V167" s="526"/>
      <c r="W167" s="526"/>
      <c r="X167" s="526"/>
      <c r="Y167" s="526"/>
      <c r="Z167" s="526"/>
    </row>
    <row r="168" spans="1:26" ht="18.600000000000001" x14ac:dyDescent="0.3">
      <c r="A168" s="526"/>
      <c r="B168" s="526"/>
      <c r="C168" s="526"/>
      <c r="D168" s="526"/>
      <c r="E168" s="526"/>
      <c r="F168" s="526"/>
      <c r="G168" s="526"/>
      <c r="H168" s="526"/>
      <c r="I168" s="526"/>
      <c r="J168" s="526"/>
      <c r="K168" s="526"/>
      <c r="L168" s="526"/>
      <c r="M168" s="526"/>
      <c r="N168" s="526"/>
      <c r="O168" s="526"/>
      <c r="P168" s="526"/>
      <c r="Q168" s="526"/>
      <c r="R168" s="526"/>
      <c r="S168" s="526"/>
      <c r="T168" s="526"/>
      <c r="U168" s="526"/>
      <c r="V168" s="526"/>
      <c r="W168" s="526"/>
      <c r="X168" s="526"/>
      <c r="Y168" s="526"/>
      <c r="Z168" s="526"/>
    </row>
    <row r="169" spans="1:26" ht="18.600000000000001" x14ac:dyDescent="0.3">
      <c r="A169" s="526"/>
      <c r="B169" s="526"/>
      <c r="C169" s="526"/>
      <c r="D169" s="526"/>
      <c r="E169" s="526"/>
      <c r="F169" s="526"/>
      <c r="G169" s="526"/>
      <c r="H169" s="526"/>
      <c r="I169" s="526"/>
      <c r="J169" s="526"/>
      <c r="K169" s="526"/>
      <c r="L169" s="526"/>
      <c r="M169" s="526"/>
      <c r="N169" s="526"/>
      <c r="O169" s="526"/>
      <c r="P169" s="526"/>
      <c r="Q169" s="526"/>
      <c r="R169" s="526"/>
      <c r="S169" s="526"/>
      <c r="T169" s="526"/>
      <c r="U169" s="526"/>
      <c r="V169" s="526"/>
      <c r="W169" s="526"/>
      <c r="X169" s="526"/>
      <c r="Y169" s="526"/>
      <c r="Z169" s="526"/>
    </row>
    <row r="170" spans="1:26" ht="18.600000000000001" x14ac:dyDescent="0.3">
      <c r="A170" s="526"/>
      <c r="B170" s="526"/>
      <c r="C170" s="526"/>
      <c r="D170" s="526"/>
      <c r="E170" s="526"/>
      <c r="F170" s="526"/>
      <c r="G170" s="526"/>
      <c r="H170" s="526"/>
      <c r="I170" s="526"/>
      <c r="J170" s="526"/>
      <c r="K170" s="526"/>
      <c r="L170" s="526"/>
      <c r="M170" s="526"/>
      <c r="N170" s="526"/>
      <c r="O170" s="526"/>
      <c r="P170" s="526"/>
      <c r="Q170" s="526"/>
      <c r="R170" s="526"/>
      <c r="S170" s="526"/>
      <c r="T170" s="526"/>
      <c r="U170" s="526"/>
      <c r="V170" s="526"/>
      <c r="W170" s="526"/>
      <c r="X170" s="526"/>
      <c r="Y170" s="526"/>
      <c r="Z170" s="526"/>
    </row>
    <row r="171" spans="1:26" ht="18.600000000000001" x14ac:dyDescent="0.3">
      <c r="A171" s="526"/>
      <c r="B171" s="526"/>
      <c r="C171" s="526"/>
      <c r="D171" s="526"/>
      <c r="E171" s="526"/>
      <c r="F171" s="526"/>
      <c r="G171" s="526"/>
      <c r="H171" s="526"/>
      <c r="I171" s="526"/>
      <c r="J171" s="526"/>
      <c r="K171" s="526"/>
      <c r="L171" s="526"/>
      <c r="M171" s="526"/>
      <c r="N171" s="526"/>
      <c r="O171" s="526"/>
      <c r="P171" s="526"/>
      <c r="Q171" s="526"/>
      <c r="R171" s="526"/>
      <c r="S171" s="526"/>
      <c r="T171" s="526"/>
      <c r="U171" s="526"/>
      <c r="V171" s="526"/>
      <c r="W171" s="526"/>
      <c r="X171" s="526"/>
      <c r="Y171" s="526"/>
      <c r="Z171" s="526"/>
    </row>
    <row r="172" spans="1:26" ht="18.600000000000001" x14ac:dyDescent="0.3">
      <c r="A172" s="526"/>
      <c r="B172" s="526"/>
      <c r="C172" s="526"/>
      <c r="D172" s="526"/>
      <c r="E172" s="526"/>
      <c r="F172" s="526"/>
      <c r="G172" s="526"/>
      <c r="H172" s="526"/>
      <c r="I172" s="526"/>
      <c r="J172" s="526"/>
      <c r="K172" s="526"/>
      <c r="L172" s="526"/>
      <c r="M172" s="526"/>
      <c r="N172" s="526"/>
      <c r="O172" s="526"/>
      <c r="P172" s="526"/>
      <c r="Q172" s="526"/>
      <c r="R172" s="526"/>
      <c r="S172" s="526"/>
      <c r="T172" s="526"/>
      <c r="U172" s="526"/>
      <c r="V172" s="526"/>
      <c r="W172" s="526"/>
      <c r="X172" s="526"/>
      <c r="Y172" s="526"/>
      <c r="Z172" s="526"/>
    </row>
    <row r="173" spans="1:26" ht="18.600000000000001" x14ac:dyDescent="0.3">
      <c r="A173" s="526"/>
      <c r="B173" s="526"/>
      <c r="C173" s="526"/>
      <c r="D173" s="526"/>
      <c r="E173" s="526"/>
      <c r="F173" s="526"/>
      <c r="G173" s="526"/>
      <c r="H173" s="526"/>
      <c r="I173" s="526"/>
      <c r="J173" s="526"/>
      <c r="K173" s="526"/>
      <c r="L173" s="526"/>
      <c r="M173" s="526"/>
      <c r="N173" s="526"/>
      <c r="O173" s="526"/>
      <c r="P173" s="526"/>
      <c r="Q173" s="526"/>
      <c r="R173" s="526"/>
      <c r="S173" s="526"/>
      <c r="T173" s="526"/>
      <c r="U173" s="526"/>
      <c r="V173" s="526"/>
      <c r="W173" s="526"/>
      <c r="X173" s="526"/>
      <c r="Y173" s="526"/>
      <c r="Z173" s="526"/>
    </row>
    <row r="174" spans="1:26" ht="18.600000000000001" x14ac:dyDescent="0.3">
      <c r="A174" s="526"/>
      <c r="B174" s="526"/>
      <c r="C174" s="526"/>
      <c r="D174" s="526"/>
      <c r="E174" s="526"/>
      <c r="F174" s="526"/>
      <c r="G174" s="526"/>
      <c r="H174" s="526"/>
      <c r="I174" s="526"/>
      <c r="J174" s="526"/>
      <c r="K174" s="526"/>
      <c r="L174" s="526"/>
      <c r="M174" s="526"/>
      <c r="N174" s="526"/>
      <c r="O174" s="526"/>
      <c r="P174" s="526"/>
      <c r="Q174" s="526"/>
      <c r="R174" s="526"/>
      <c r="S174" s="526"/>
      <c r="T174" s="526"/>
      <c r="U174" s="526"/>
      <c r="V174" s="526"/>
      <c r="W174" s="526"/>
      <c r="X174" s="526"/>
      <c r="Y174" s="526"/>
      <c r="Z174" s="526"/>
    </row>
    <row r="175" spans="1:26" ht="18.600000000000001" x14ac:dyDescent="0.3">
      <c r="A175" s="526"/>
      <c r="B175" s="526"/>
      <c r="C175" s="526"/>
      <c r="D175" s="526"/>
      <c r="E175" s="526"/>
      <c r="F175" s="526"/>
      <c r="G175" s="526"/>
      <c r="H175" s="526"/>
      <c r="I175" s="526"/>
      <c r="J175" s="526"/>
      <c r="K175" s="526"/>
      <c r="L175" s="526"/>
      <c r="M175" s="526"/>
      <c r="N175" s="526"/>
      <c r="O175" s="526"/>
      <c r="P175" s="526"/>
      <c r="Q175" s="526"/>
      <c r="R175" s="526"/>
      <c r="S175" s="526"/>
      <c r="T175" s="526"/>
      <c r="U175" s="526"/>
      <c r="V175" s="526"/>
      <c r="W175" s="526"/>
      <c r="X175" s="526"/>
      <c r="Y175" s="526"/>
      <c r="Z175" s="526"/>
    </row>
    <row r="176" spans="1:26" ht="18.600000000000001" x14ac:dyDescent="0.3">
      <c r="A176" s="526"/>
      <c r="B176" s="526"/>
      <c r="C176" s="526"/>
      <c r="D176" s="526"/>
      <c r="E176" s="526"/>
      <c r="F176" s="526"/>
      <c r="G176" s="526"/>
      <c r="H176" s="526"/>
      <c r="I176" s="526"/>
      <c r="J176" s="526"/>
      <c r="K176" s="526"/>
      <c r="L176" s="526"/>
      <c r="M176" s="526"/>
      <c r="N176" s="526"/>
      <c r="O176" s="526"/>
      <c r="P176" s="526"/>
      <c r="Q176" s="526"/>
      <c r="R176" s="526"/>
      <c r="S176" s="526"/>
      <c r="T176" s="526"/>
      <c r="U176" s="526"/>
      <c r="V176" s="526"/>
      <c r="W176" s="526"/>
      <c r="X176" s="526"/>
      <c r="Y176" s="526"/>
      <c r="Z176" s="526"/>
    </row>
    <row r="177" spans="1:26" ht="18.600000000000001" x14ac:dyDescent="0.3">
      <c r="A177" s="526"/>
      <c r="B177" s="526"/>
      <c r="C177" s="526"/>
      <c r="D177" s="526"/>
      <c r="E177" s="526"/>
      <c r="F177" s="526"/>
      <c r="G177" s="526"/>
      <c r="H177" s="526"/>
      <c r="I177" s="526"/>
      <c r="J177" s="526"/>
      <c r="K177" s="526"/>
      <c r="L177" s="526"/>
      <c r="M177" s="526"/>
      <c r="N177" s="526"/>
      <c r="O177" s="526"/>
      <c r="P177" s="526"/>
      <c r="Q177" s="526"/>
      <c r="R177" s="526"/>
      <c r="S177" s="526"/>
      <c r="T177" s="526"/>
      <c r="U177" s="526"/>
      <c r="V177" s="526"/>
      <c r="W177" s="526"/>
      <c r="X177" s="526"/>
      <c r="Y177" s="526"/>
      <c r="Z177" s="526"/>
    </row>
    <row r="178" spans="1:26" ht="18.600000000000001" x14ac:dyDescent="0.3">
      <c r="A178" s="526"/>
      <c r="B178" s="526"/>
      <c r="C178" s="526"/>
      <c r="D178" s="526"/>
      <c r="E178" s="526"/>
      <c r="F178" s="526"/>
      <c r="G178" s="526"/>
      <c r="H178" s="526"/>
      <c r="I178" s="526"/>
      <c r="J178" s="526"/>
      <c r="K178" s="526"/>
      <c r="L178" s="526"/>
      <c r="M178" s="526"/>
      <c r="N178" s="526"/>
      <c r="O178" s="526"/>
      <c r="P178" s="526"/>
      <c r="Q178" s="526"/>
      <c r="R178" s="526"/>
      <c r="S178" s="526"/>
      <c r="T178" s="526"/>
      <c r="U178" s="526"/>
      <c r="V178" s="526"/>
      <c r="W178" s="526"/>
      <c r="X178" s="526"/>
      <c r="Y178" s="526"/>
      <c r="Z178" s="526"/>
    </row>
    <row r="179" spans="1:26" ht="18.600000000000001" x14ac:dyDescent="0.3">
      <c r="A179" s="526"/>
      <c r="B179" s="526"/>
      <c r="C179" s="526"/>
      <c r="D179" s="526"/>
      <c r="E179" s="526"/>
      <c r="F179" s="526"/>
      <c r="G179" s="526"/>
      <c r="H179" s="526"/>
      <c r="I179" s="526"/>
      <c r="J179" s="526"/>
      <c r="K179" s="526"/>
      <c r="L179" s="526"/>
      <c r="M179" s="526"/>
      <c r="N179" s="526"/>
      <c r="O179" s="526"/>
      <c r="P179" s="526"/>
      <c r="Q179" s="526"/>
      <c r="R179" s="526"/>
      <c r="S179" s="526"/>
      <c r="T179" s="526"/>
      <c r="U179" s="526"/>
      <c r="V179" s="526"/>
      <c r="W179" s="526"/>
      <c r="X179" s="526"/>
      <c r="Y179" s="526"/>
      <c r="Z179" s="526"/>
    </row>
    <row r="180" spans="1:26" ht="18.600000000000001" x14ac:dyDescent="0.3">
      <c r="A180" s="526"/>
      <c r="B180" s="526"/>
      <c r="C180" s="526"/>
      <c r="D180" s="526"/>
      <c r="E180" s="526"/>
      <c r="F180" s="526"/>
      <c r="G180" s="526"/>
      <c r="H180" s="526"/>
      <c r="I180" s="526"/>
      <c r="J180" s="526"/>
      <c r="K180" s="526"/>
      <c r="L180" s="526"/>
      <c r="M180" s="526"/>
      <c r="N180" s="526"/>
      <c r="O180" s="526"/>
      <c r="P180" s="526"/>
      <c r="Q180" s="526"/>
      <c r="R180" s="526"/>
      <c r="S180" s="526"/>
      <c r="T180" s="526"/>
      <c r="U180" s="526"/>
      <c r="V180" s="526"/>
      <c r="W180" s="526"/>
      <c r="X180" s="526"/>
      <c r="Y180" s="526"/>
      <c r="Z180" s="526"/>
    </row>
    <row r="181" spans="1:26" ht="18.600000000000001" x14ac:dyDescent="0.3">
      <c r="A181" s="526"/>
      <c r="B181" s="526"/>
      <c r="C181" s="526"/>
      <c r="D181" s="526"/>
      <c r="E181" s="526"/>
      <c r="F181" s="526"/>
      <c r="G181" s="526"/>
      <c r="H181" s="526"/>
      <c r="I181" s="526"/>
      <c r="J181" s="526"/>
      <c r="K181" s="526"/>
      <c r="L181" s="526"/>
      <c r="M181" s="526"/>
      <c r="N181" s="526"/>
      <c r="O181" s="526"/>
      <c r="P181" s="526"/>
      <c r="Q181" s="526"/>
      <c r="R181" s="526"/>
      <c r="S181" s="526"/>
      <c r="T181" s="526"/>
      <c r="U181" s="526"/>
      <c r="V181" s="526"/>
      <c r="W181" s="526"/>
      <c r="X181" s="526"/>
      <c r="Y181" s="526"/>
      <c r="Z181" s="526"/>
    </row>
    <row r="182" spans="1:26" ht="18.600000000000001" x14ac:dyDescent="0.3">
      <c r="A182" s="526"/>
      <c r="B182" s="526"/>
      <c r="C182" s="526"/>
      <c r="D182" s="526"/>
      <c r="E182" s="526"/>
      <c r="F182" s="526"/>
      <c r="G182" s="526"/>
      <c r="H182" s="526"/>
      <c r="I182" s="526"/>
      <c r="J182" s="526"/>
      <c r="K182" s="526"/>
      <c r="L182" s="526"/>
      <c r="M182" s="526"/>
      <c r="N182" s="526"/>
      <c r="O182" s="526"/>
      <c r="P182" s="526"/>
      <c r="Q182" s="526"/>
      <c r="R182" s="526"/>
      <c r="S182" s="526"/>
      <c r="T182" s="526"/>
      <c r="U182" s="526"/>
      <c r="V182" s="526"/>
      <c r="W182" s="526"/>
      <c r="X182" s="526"/>
      <c r="Y182" s="526"/>
      <c r="Z182" s="526"/>
    </row>
    <row r="183" spans="1:26" ht="18.600000000000001" x14ac:dyDescent="0.3">
      <c r="A183" s="526"/>
      <c r="B183" s="526"/>
      <c r="C183" s="526"/>
      <c r="D183" s="526"/>
      <c r="E183" s="526"/>
      <c r="F183" s="526"/>
      <c r="G183" s="526"/>
      <c r="H183" s="526"/>
      <c r="I183" s="526"/>
      <c r="J183" s="526"/>
      <c r="K183" s="526"/>
      <c r="L183" s="526"/>
      <c r="M183" s="526"/>
      <c r="N183" s="526"/>
      <c r="O183" s="526"/>
      <c r="P183" s="526"/>
      <c r="Q183" s="526"/>
      <c r="R183" s="526"/>
      <c r="S183" s="526"/>
      <c r="T183" s="526"/>
      <c r="U183" s="526"/>
      <c r="V183" s="526"/>
      <c r="W183" s="526"/>
      <c r="X183" s="526"/>
      <c r="Y183" s="526"/>
      <c r="Z183" s="526"/>
    </row>
    <row r="184" spans="1:26" ht="18.600000000000001" x14ac:dyDescent="0.3">
      <c r="A184" s="526"/>
      <c r="B184" s="526"/>
      <c r="C184" s="526"/>
      <c r="D184" s="526"/>
      <c r="E184" s="526"/>
      <c r="F184" s="526"/>
      <c r="G184" s="526"/>
      <c r="H184" s="526"/>
      <c r="I184" s="526"/>
      <c r="J184" s="526"/>
      <c r="K184" s="526"/>
      <c r="L184" s="526"/>
      <c r="M184" s="526"/>
      <c r="N184" s="526"/>
      <c r="O184" s="526"/>
      <c r="P184" s="526"/>
      <c r="Q184" s="526"/>
      <c r="R184" s="526"/>
      <c r="S184" s="526"/>
      <c r="T184" s="526"/>
      <c r="U184" s="526"/>
      <c r="V184" s="526"/>
      <c r="W184" s="526"/>
      <c r="X184" s="526"/>
      <c r="Y184" s="526"/>
      <c r="Z184" s="526"/>
    </row>
    <row r="185" spans="1:26" ht="18.600000000000001" x14ac:dyDescent="0.3">
      <c r="A185" s="526"/>
      <c r="B185" s="526"/>
      <c r="C185" s="526"/>
      <c r="D185" s="526"/>
      <c r="E185" s="526"/>
      <c r="F185" s="526"/>
      <c r="G185" s="526"/>
      <c r="H185" s="526"/>
      <c r="I185" s="526"/>
      <c r="J185" s="526"/>
      <c r="K185" s="526"/>
      <c r="L185" s="526"/>
      <c r="M185" s="526"/>
      <c r="N185" s="526"/>
      <c r="O185" s="526"/>
      <c r="P185" s="526"/>
      <c r="Q185" s="526"/>
      <c r="R185" s="526"/>
      <c r="S185" s="526"/>
      <c r="T185" s="526"/>
      <c r="U185" s="526"/>
      <c r="V185" s="526"/>
      <c r="W185" s="526"/>
      <c r="X185" s="526"/>
      <c r="Y185" s="526"/>
      <c r="Z185" s="526"/>
    </row>
    <row r="186" spans="1:26" ht="18.600000000000001" x14ac:dyDescent="0.3">
      <c r="A186" s="526"/>
      <c r="B186" s="526"/>
      <c r="C186" s="526"/>
      <c r="D186" s="526"/>
      <c r="E186" s="526"/>
      <c r="F186" s="526"/>
      <c r="G186" s="526"/>
      <c r="H186" s="526"/>
      <c r="I186" s="526"/>
      <c r="J186" s="526"/>
      <c r="K186" s="526"/>
      <c r="L186" s="526"/>
      <c r="M186" s="526"/>
      <c r="N186" s="526"/>
      <c r="O186" s="526"/>
      <c r="P186" s="526"/>
      <c r="Q186" s="526"/>
      <c r="R186" s="526"/>
      <c r="S186" s="526"/>
      <c r="T186" s="526"/>
      <c r="U186" s="526"/>
      <c r="V186" s="526"/>
      <c r="W186" s="526"/>
      <c r="X186" s="526"/>
      <c r="Y186" s="526"/>
      <c r="Z186" s="526"/>
    </row>
    <row r="187" spans="1:26" ht="18.600000000000001" x14ac:dyDescent="0.3">
      <c r="A187" s="526"/>
      <c r="B187" s="526"/>
      <c r="C187" s="526"/>
      <c r="D187" s="526"/>
      <c r="E187" s="526"/>
      <c r="F187" s="526"/>
      <c r="G187" s="526"/>
      <c r="H187" s="526"/>
      <c r="I187" s="526"/>
      <c r="J187" s="526"/>
      <c r="K187" s="526"/>
      <c r="L187" s="526"/>
      <c r="M187" s="526"/>
      <c r="N187" s="526"/>
      <c r="O187" s="526"/>
      <c r="P187" s="526"/>
      <c r="Q187" s="526"/>
      <c r="R187" s="526"/>
      <c r="S187" s="526"/>
      <c r="T187" s="526"/>
      <c r="U187" s="526"/>
      <c r="V187" s="526"/>
      <c r="W187" s="526"/>
      <c r="X187" s="526"/>
      <c r="Y187" s="526"/>
      <c r="Z187" s="526"/>
    </row>
    <row r="188" spans="1:26" ht="18.600000000000001" x14ac:dyDescent="0.3">
      <c r="A188" s="526"/>
      <c r="B188" s="526"/>
      <c r="C188" s="526"/>
      <c r="D188" s="526"/>
      <c r="E188" s="526"/>
      <c r="F188" s="526"/>
      <c r="G188" s="526"/>
      <c r="H188" s="526"/>
      <c r="I188" s="526"/>
      <c r="J188" s="526"/>
      <c r="K188" s="526"/>
      <c r="L188" s="526"/>
      <c r="M188" s="526"/>
      <c r="N188" s="526"/>
      <c r="O188" s="526"/>
      <c r="P188" s="526"/>
      <c r="Q188" s="526"/>
      <c r="R188" s="526"/>
      <c r="S188" s="526"/>
      <c r="T188" s="526"/>
      <c r="U188" s="526"/>
      <c r="V188" s="526"/>
      <c r="W188" s="526"/>
      <c r="X188" s="526"/>
      <c r="Y188" s="526"/>
      <c r="Z188" s="526"/>
    </row>
    <row r="189" spans="1:26" ht="18.600000000000001" x14ac:dyDescent="0.3">
      <c r="A189" s="526"/>
      <c r="B189" s="526"/>
      <c r="C189" s="526"/>
      <c r="D189" s="526"/>
      <c r="E189" s="526"/>
      <c r="F189" s="526"/>
      <c r="G189" s="526"/>
      <c r="H189" s="526"/>
      <c r="I189" s="526"/>
      <c r="J189" s="526"/>
      <c r="K189" s="526"/>
      <c r="L189" s="526"/>
      <c r="M189" s="526"/>
      <c r="N189" s="526"/>
      <c r="O189" s="526"/>
      <c r="P189" s="526"/>
      <c r="Q189" s="526"/>
      <c r="R189" s="526"/>
      <c r="S189" s="526"/>
      <c r="T189" s="526"/>
      <c r="U189" s="526"/>
      <c r="V189" s="526"/>
      <c r="W189" s="526"/>
      <c r="X189" s="526"/>
      <c r="Y189" s="526"/>
      <c r="Z189" s="526"/>
    </row>
    <row r="190" spans="1:26" ht="18.600000000000001" x14ac:dyDescent="0.3">
      <c r="A190" s="526"/>
      <c r="B190" s="526"/>
      <c r="C190" s="526"/>
      <c r="D190" s="526"/>
      <c r="E190" s="526"/>
      <c r="F190" s="526"/>
      <c r="G190" s="526"/>
      <c r="H190" s="526"/>
      <c r="I190" s="526"/>
      <c r="J190" s="526"/>
      <c r="K190" s="526"/>
      <c r="L190" s="526"/>
      <c r="M190" s="526"/>
      <c r="N190" s="526"/>
      <c r="O190" s="526"/>
      <c r="P190" s="526"/>
      <c r="Q190" s="526"/>
      <c r="R190" s="526"/>
      <c r="S190" s="526"/>
      <c r="T190" s="526"/>
      <c r="U190" s="526"/>
      <c r="V190" s="526"/>
      <c r="W190" s="526"/>
      <c r="X190" s="526"/>
      <c r="Y190" s="526"/>
      <c r="Z190" s="526"/>
    </row>
    <row r="191" spans="1:26" ht="18.600000000000001" x14ac:dyDescent="0.3">
      <c r="A191" s="526"/>
      <c r="B191" s="526"/>
      <c r="C191" s="526"/>
      <c r="D191" s="526"/>
      <c r="E191" s="526"/>
      <c r="F191" s="526"/>
      <c r="G191" s="526"/>
      <c r="H191" s="526"/>
      <c r="I191" s="526"/>
      <c r="J191" s="526"/>
      <c r="K191" s="526"/>
      <c r="L191" s="526"/>
      <c r="M191" s="526"/>
      <c r="N191" s="526"/>
      <c r="O191" s="526"/>
      <c r="P191" s="526"/>
      <c r="Q191" s="526"/>
      <c r="R191" s="526"/>
      <c r="S191" s="526"/>
      <c r="T191" s="526"/>
      <c r="U191" s="526"/>
      <c r="V191" s="526"/>
      <c r="W191" s="526"/>
      <c r="X191" s="526"/>
      <c r="Y191" s="526"/>
      <c r="Z191" s="526"/>
    </row>
    <row r="192" spans="1:26" ht="18.600000000000001" x14ac:dyDescent="0.3">
      <c r="A192" s="526"/>
      <c r="B192" s="526"/>
      <c r="C192" s="526"/>
      <c r="D192" s="526"/>
      <c r="E192" s="526"/>
      <c r="F192" s="526"/>
      <c r="G192" s="526"/>
      <c r="H192" s="526"/>
      <c r="I192" s="526"/>
      <c r="J192" s="526"/>
      <c r="K192" s="526"/>
      <c r="L192" s="526"/>
      <c r="M192" s="526"/>
      <c r="N192" s="526"/>
      <c r="O192" s="526"/>
      <c r="P192" s="526"/>
      <c r="Q192" s="526"/>
      <c r="R192" s="526"/>
      <c r="S192" s="526"/>
      <c r="T192" s="526"/>
      <c r="U192" s="526"/>
      <c r="V192" s="526"/>
      <c r="W192" s="526"/>
      <c r="X192" s="526"/>
      <c r="Y192" s="526"/>
      <c r="Z192" s="526"/>
    </row>
    <row r="193" spans="1:26" ht="18.600000000000001" x14ac:dyDescent="0.3">
      <c r="A193" s="526"/>
      <c r="B193" s="526"/>
      <c r="C193" s="526"/>
      <c r="D193" s="526"/>
      <c r="E193" s="526"/>
      <c r="F193" s="526"/>
      <c r="G193" s="526"/>
      <c r="H193" s="526"/>
      <c r="I193" s="526"/>
      <c r="J193" s="526"/>
      <c r="K193" s="526"/>
      <c r="L193" s="526"/>
      <c r="M193" s="526"/>
      <c r="N193" s="526"/>
      <c r="O193" s="526"/>
      <c r="P193" s="526"/>
      <c r="Q193" s="526"/>
      <c r="R193" s="526"/>
      <c r="S193" s="526"/>
      <c r="T193" s="526"/>
      <c r="U193" s="526"/>
      <c r="V193" s="526"/>
      <c r="W193" s="526"/>
      <c r="X193" s="526"/>
      <c r="Y193" s="526"/>
      <c r="Z193" s="526"/>
    </row>
    <row r="194" spans="1:26" ht="18.600000000000001" x14ac:dyDescent="0.3">
      <c r="A194" s="526"/>
      <c r="B194" s="526"/>
      <c r="C194" s="526"/>
      <c r="D194" s="526"/>
      <c r="E194" s="526"/>
      <c r="F194" s="526"/>
      <c r="G194" s="526"/>
      <c r="H194" s="526"/>
      <c r="I194" s="526"/>
      <c r="J194" s="526"/>
      <c r="K194" s="526"/>
      <c r="L194" s="526"/>
      <c r="M194" s="526"/>
      <c r="N194" s="526"/>
      <c r="O194" s="526"/>
      <c r="P194" s="526"/>
      <c r="Q194" s="526"/>
      <c r="R194" s="526"/>
      <c r="S194" s="526"/>
      <c r="T194" s="526"/>
      <c r="U194" s="526"/>
      <c r="V194" s="526"/>
      <c r="W194" s="526"/>
      <c r="X194" s="526"/>
      <c r="Y194" s="526"/>
      <c r="Z194" s="526"/>
    </row>
    <row r="195" spans="1:26" ht="18.600000000000001" x14ac:dyDescent="0.3">
      <c r="A195" s="526"/>
      <c r="B195" s="526"/>
      <c r="C195" s="526"/>
      <c r="D195" s="526"/>
      <c r="E195" s="526"/>
      <c r="F195" s="526"/>
      <c r="G195" s="526"/>
      <c r="H195" s="526"/>
      <c r="I195" s="526"/>
      <c r="J195" s="526"/>
      <c r="K195" s="526"/>
      <c r="L195" s="526"/>
      <c r="M195" s="526"/>
      <c r="N195" s="526"/>
      <c r="O195" s="526"/>
      <c r="P195" s="526"/>
      <c r="Q195" s="526"/>
      <c r="R195" s="526"/>
      <c r="S195" s="526"/>
      <c r="T195" s="526"/>
      <c r="U195" s="526"/>
      <c r="V195" s="526"/>
      <c r="W195" s="526"/>
      <c r="X195" s="526"/>
      <c r="Y195" s="526"/>
      <c r="Z195" s="526"/>
    </row>
    <row r="196" spans="1:26" ht="18.600000000000001" x14ac:dyDescent="0.3">
      <c r="A196" s="526"/>
      <c r="B196" s="526"/>
      <c r="C196" s="526"/>
      <c r="D196" s="526"/>
      <c r="E196" s="526"/>
      <c r="F196" s="526"/>
      <c r="G196" s="526"/>
      <c r="H196" s="526"/>
      <c r="I196" s="526"/>
      <c r="J196" s="526"/>
      <c r="K196" s="526"/>
      <c r="L196" s="526"/>
      <c r="M196" s="526"/>
      <c r="N196" s="526"/>
      <c r="O196" s="526"/>
      <c r="P196" s="526"/>
      <c r="Q196" s="526"/>
      <c r="R196" s="526"/>
      <c r="S196" s="526"/>
      <c r="T196" s="526"/>
      <c r="U196" s="526"/>
      <c r="V196" s="526"/>
      <c r="W196" s="526"/>
      <c r="X196" s="526"/>
      <c r="Y196" s="526"/>
      <c r="Z196" s="526"/>
    </row>
    <row r="197" spans="1:26" ht="18.600000000000001" x14ac:dyDescent="0.3">
      <c r="A197" s="526"/>
      <c r="B197" s="526"/>
      <c r="C197" s="526"/>
      <c r="D197" s="526"/>
      <c r="E197" s="526"/>
      <c r="F197" s="526"/>
      <c r="G197" s="526"/>
      <c r="H197" s="526"/>
      <c r="I197" s="526"/>
      <c r="J197" s="526"/>
      <c r="K197" s="526"/>
      <c r="L197" s="526"/>
      <c r="M197" s="526"/>
      <c r="N197" s="526"/>
      <c r="O197" s="526"/>
      <c r="P197" s="526"/>
      <c r="Q197" s="526"/>
      <c r="R197" s="526"/>
      <c r="S197" s="526"/>
      <c r="T197" s="526"/>
      <c r="U197" s="526"/>
      <c r="V197" s="526"/>
      <c r="W197" s="526"/>
      <c r="X197" s="526"/>
      <c r="Y197" s="526"/>
      <c r="Z197" s="526"/>
    </row>
    <row r="198" spans="1:26" ht="18.600000000000001" x14ac:dyDescent="0.3">
      <c r="A198" s="526"/>
      <c r="B198" s="526"/>
      <c r="C198" s="526"/>
      <c r="D198" s="526"/>
      <c r="E198" s="526"/>
      <c r="F198" s="526"/>
      <c r="G198" s="526"/>
      <c r="H198" s="526"/>
      <c r="I198" s="526"/>
      <c r="J198" s="526"/>
      <c r="K198" s="526"/>
      <c r="L198" s="526"/>
      <c r="M198" s="526"/>
      <c r="N198" s="526"/>
      <c r="O198" s="526"/>
      <c r="P198" s="526"/>
      <c r="Q198" s="526"/>
      <c r="R198" s="526"/>
      <c r="S198" s="526"/>
      <c r="T198" s="526"/>
      <c r="U198" s="526"/>
      <c r="V198" s="526"/>
      <c r="W198" s="526"/>
      <c r="X198" s="526"/>
      <c r="Y198" s="526"/>
      <c r="Z198" s="526"/>
    </row>
    <row r="199" spans="1:26" ht="18.600000000000001" x14ac:dyDescent="0.3">
      <c r="A199" s="526"/>
      <c r="B199" s="526"/>
      <c r="C199" s="526"/>
      <c r="D199" s="526"/>
      <c r="E199" s="526"/>
      <c r="F199" s="526"/>
      <c r="G199" s="526"/>
      <c r="H199" s="526"/>
      <c r="I199" s="526"/>
      <c r="J199" s="526"/>
      <c r="K199" s="526"/>
      <c r="L199" s="526"/>
      <c r="M199" s="526"/>
      <c r="N199" s="526"/>
      <c r="O199" s="526"/>
      <c r="P199" s="526"/>
      <c r="Q199" s="526"/>
      <c r="R199" s="526"/>
      <c r="S199" s="526"/>
      <c r="T199" s="526"/>
      <c r="U199" s="526"/>
      <c r="V199" s="526"/>
      <c r="W199" s="526"/>
      <c r="X199" s="526"/>
      <c r="Y199" s="526"/>
      <c r="Z199" s="526"/>
    </row>
    <row r="200" spans="1:26" ht="18.600000000000001" x14ac:dyDescent="0.3">
      <c r="A200" s="526"/>
      <c r="B200" s="526"/>
      <c r="C200" s="526"/>
      <c r="D200" s="526"/>
      <c r="E200" s="526"/>
      <c r="F200" s="526"/>
      <c r="G200" s="526"/>
      <c r="H200" s="526"/>
      <c r="I200" s="526"/>
      <c r="J200" s="526"/>
      <c r="K200" s="526"/>
      <c r="L200" s="526"/>
      <c r="M200" s="526"/>
      <c r="N200" s="526"/>
      <c r="O200" s="526"/>
      <c r="P200" s="526"/>
      <c r="Q200" s="526"/>
      <c r="R200" s="526"/>
      <c r="S200" s="526"/>
      <c r="T200" s="526"/>
      <c r="U200" s="526"/>
      <c r="V200" s="526"/>
      <c r="W200" s="526"/>
      <c r="X200" s="526"/>
      <c r="Y200" s="526"/>
      <c r="Z200" s="526"/>
    </row>
    <row r="201" spans="1:26" ht="18.600000000000001" x14ac:dyDescent="0.3">
      <c r="A201" s="526"/>
      <c r="B201" s="526"/>
      <c r="C201" s="526"/>
      <c r="D201" s="526"/>
      <c r="E201" s="526"/>
      <c r="F201" s="526"/>
      <c r="G201" s="526"/>
      <c r="H201" s="526"/>
      <c r="I201" s="526"/>
      <c r="J201" s="526"/>
      <c r="K201" s="526"/>
      <c r="L201" s="526"/>
      <c r="M201" s="526"/>
      <c r="N201" s="526"/>
      <c r="O201" s="526"/>
      <c r="P201" s="526"/>
      <c r="Q201" s="526"/>
      <c r="R201" s="526"/>
      <c r="S201" s="526"/>
      <c r="T201" s="526"/>
      <c r="U201" s="526"/>
      <c r="V201" s="526"/>
      <c r="W201" s="526"/>
      <c r="X201" s="526"/>
      <c r="Y201" s="526"/>
      <c r="Z201" s="526"/>
    </row>
    <row r="202" spans="1:26" ht="18.600000000000001" x14ac:dyDescent="0.3">
      <c r="A202" s="526"/>
      <c r="B202" s="526"/>
      <c r="C202" s="526"/>
      <c r="D202" s="526"/>
      <c r="E202" s="526"/>
      <c r="F202" s="526"/>
      <c r="G202" s="526"/>
      <c r="H202" s="526"/>
      <c r="I202" s="526"/>
      <c r="J202" s="526"/>
      <c r="K202" s="526"/>
      <c r="L202" s="526"/>
      <c r="M202" s="526"/>
      <c r="N202" s="526"/>
      <c r="O202" s="526"/>
      <c r="P202" s="526"/>
      <c r="Q202" s="526"/>
      <c r="R202" s="526"/>
      <c r="S202" s="526"/>
      <c r="T202" s="526"/>
      <c r="U202" s="526"/>
      <c r="V202" s="526"/>
      <c r="W202" s="526"/>
      <c r="X202" s="526"/>
      <c r="Y202" s="526"/>
      <c r="Z202" s="526"/>
    </row>
    <row r="203" spans="1:26" ht="18.600000000000001" x14ac:dyDescent="0.3">
      <c r="A203" s="526"/>
      <c r="B203" s="526"/>
      <c r="C203" s="526"/>
      <c r="D203" s="526"/>
      <c r="E203" s="526"/>
      <c r="F203" s="526"/>
      <c r="G203" s="526"/>
      <c r="H203" s="526"/>
      <c r="I203" s="526"/>
      <c r="J203" s="526"/>
      <c r="K203" s="526"/>
      <c r="L203" s="526"/>
      <c r="M203" s="526"/>
      <c r="N203" s="526"/>
      <c r="O203" s="526"/>
      <c r="P203" s="526"/>
      <c r="Q203" s="526"/>
      <c r="R203" s="526"/>
      <c r="S203" s="526"/>
      <c r="T203" s="526"/>
      <c r="U203" s="526"/>
      <c r="V203" s="526"/>
      <c r="W203" s="526"/>
      <c r="X203" s="526"/>
      <c r="Y203" s="526"/>
      <c r="Z203" s="526"/>
    </row>
    <row r="204" spans="1:26" ht="18.600000000000001" x14ac:dyDescent="0.3">
      <c r="A204" s="526"/>
      <c r="B204" s="526"/>
      <c r="C204" s="526"/>
      <c r="D204" s="526"/>
      <c r="E204" s="526"/>
      <c r="F204" s="526"/>
      <c r="G204" s="526"/>
      <c r="H204" s="526"/>
      <c r="I204" s="526"/>
      <c r="J204" s="526"/>
      <c r="K204" s="526"/>
      <c r="L204" s="526"/>
      <c r="M204" s="526"/>
      <c r="N204" s="526"/>
      <c r="O204" s="526"/>
      <c r="P204" s="526"/>
      <c r="Q204" s="526"/>
      <c r="R204" s="526"/>
      <c r="S204" s="526"/>
      <c r="T204" s="526"/>
      <c r="U204" s="526"/>
      <c r="V204" s="526"/>
      <c r="W204" s="526"/>
      <c r="X204" s="526"/>
      <c r="Y204" s="526"/>
      <c r="Z204" s="526"/>
    </row>
    <row r="205" spans="1:26" ht="18.600000000000001" x14ac:dyDescent="0.3">
      <c r="A205" s="526"/>
      <c r="B205" s="526"/>
      <c r="C205" s="526"/>
      <c r="D205" s="526"/>
      <c r="E205" s="526"/>
      <c r="F205" s="526"/>
      <c r="G205" s="526"/>
      <c r="H205" s="526"/>
      <c r="I205" s="526"/>
      <c r="J205" s="526"/>
      <c r="K205" s="526"/>
      <c r="L205" s="526"/>
      <c r="M205" s="526"/>
      <c r="N205" s="526"/>
      <c r="O205" s="526"/>
      <c r="P205" s="526"/>
      <c r="Q205" s="526"/>
      <c r="R205" s="526"/>
      <c r="S205" s="526"/>
      <c r="T205" s="526"/>
      <c r="U205" s="526"/>
      <c r="V205" s="526"/>
      <c r="W205" s="526"/>
      <c r="X205" s="526"/>
      <c r="Y205" s="526"/>
      <c r="Z205" s="526"/>
    </row>
    <row r="206" spans="1:26" ht="18.600000000000001" x14ac:dyDescent="0.3">
      <c r="A206" s="526"/>
      <c r="B206" s="526"/>
      <c r="C206" s="526"/>
      <c r="D206" s="526"/>
      <c r="E206" s="526"/>
      <c r="F206" s="526"/>
      <c r="G206" s="526"/>
      <c r="H206" s="526"/>
      <c r="I206" s="526"/>
      <c r="J206" s="526"/>
      <c r="K206" s="526"/>
      <c r="L206" s="526"/>
      <c r="M206" s="526"/>
      <c r="N206" s="526"/>
      <c r="O206" s="526"/>
      <c r="P206" s="526"/>
      <c r="Q206" s="526"/>
      <c r="R206" s="526"/>
      <c r="S206" s="526"/>
      <c r="T206" s="526"/>
      <c r="U206" s="526"/>
      <c r="V206" s="526"/>
      <c r="W206" s="526"/>
      <c r="X206" s="526"/>
      <c r="Y206" s="526"/>
      <c r="Z206" s="526"/>
    </row>
    <row r="207" spans="1:26" ht="18.600000000000001" x14ac:dyDescent="0.3">
      <c r="A207" s="526"/>
      <c r="B207" s="526"/>
      <c r="C207" s="526"/>
      <c r="D207" s="526"/>
      <c r="E207" s="526"/>
      <c r="F207" s="526"/>
      <c r="G207" s="526"/>
      <c r="H207" s="526"/>
      <c r="I207" s="526"/>
      <c r="J207" s="526"/>
      <c r="K207" s="526"/>
      <c r="L207" s="526"/>
      <c r="M207" s="526"/>
      <c r="N207" s="526"/>
      <c r="O207" s="526"/>
      <c r="P207" s="526"/>
      <c r="Q207" s="526"/>
      <c r="R207" s="526"/>
      <c r="S207" s="526"/>
      <c r="T207" s="526"/>
      <c r="U207" s="526"/>
      <c r="V207" s="526"/>
      <c r="W207" s="526"/>
      <c r="X207" s="526"/>
      <c r="Y207" s="526"/>
      <c r="Z207" s="526"/>
    </row>
    <row r="208" spans="1:26" ht="18.600000000000001" x14ac:dyDescent="0.3">
      <c r="A208" s="526"/>
      <c r="B208" s="526"/>
      <c r="C208" s="526"/>
      <c r="D208" s="526"/>
      <c r="E208" s="526"/>
      <c r="F208" s="526"/>
      <c r="G208" s="526"/>
      <c r="H208" s="526"/>
      <c r="I208" s="526"/>
      <c r="J208" s="526"/>
      <c r="K208" s="526"/>
      <c r="L208" s="526"/>
      <c r="M208" s="526"/>
      <c r="N208" s="526"/>
      <c r="O208" s="526"/>
      <c r="P208" s="526"/>
      <c r="Q208" s="526"/>
      <c r="R208" s="526"/>
      <c r="S208" s="526"/>
      <c r="T208" s="526"/>
      <c r="U208" s="526"/>
      <c r="V208" s="526"/>
      <c r="W208" s="526"/>
      <c r="X208" s="526"/>
      <c r="Y208" s="526"/>
      <c r="Z208" s="526"/>
    </row>
    <row r="209" spans="1:26" ht="18.600000000000001" x14ac:dyDescent="0.3">
      <c r="A209" s="526"/>
      <c r="B209" s="526"/>
      <c r="C209" s="526"/>
      <c r="D209" s="526"/>
      <c r="E209" s="526"/>
      <c r="F209" s="526"/>
      <c r="G209" s="526"/>
      <c r="H209" s="526"/>
      <c r="I209" s="526"/>
      <c r="J209" s="526"/>
      <c r="K209" s="526"/>
      <c r="L209" s="526"/>
      <c r="M209" s="526"/>
      <c r="N209" s="526"/>
      <c r="O209" s="526"/>
      <c r="P209" s="526"/>
      <c r="Q209" s="526"/>
      <c r="R209" s="526"/>
      <c r="S209" s="526"/>
      <c r="T209" s="526"/>
      <c r="U209" s="526"/>
      <c r="V209" s="526"/>
      <c r="W209" s="526"/>
      <c r="X209" s="526"/>
      <c r="Y209" s="526"/>
      <c r="Z209" s="526"/>
    </row>
    <row r="210" spans="1:26" ht="18.600000000000001" x14ac:dyDescent="0.3">
      <c r="A210" s="526"/>
      <c r="B210" s="526"/>
      <c r="C210" s="526"/>
      <c r="D210" s="526"/>
      <c r="E210" s="526"/>
      <c r="F210" s="526"/>
      <c r="G210" s="526"/>
      <c r="H210" s="526"/>
      <c r="I210" s="526"/>
      <c r="J210" s="526"/>
      <c r="K210" s="526"/>
      <c r="L210" s="526"/>
      <c r="M210" s="526"/>
      <c r="N210" s="526"/>
      <c r="O210" s="526"/>
      <c r="P210" s="526"/>
      <c r="Q210" s="526"/>
      <c r="R210" s="526"/>
      <c r="S210" s="526"/>
      <c r="T210" s="526"/>
      <c r="U210" s="526"/>
      <c r="V210" s="526"/>
      <c r="W210" s="526"/>
      <c r="X210" s="526"/>
      <c r="Y210" s="526"/>
      <c r="Z210" s="526"/>
    </row>
    <row r="211" spans="1:26" ht="18.600000000000001" x14ac:dyDescent="0.3">
      <c r="A211" s="526"/>
      <c r="B211" s="526"/>
      <c r="C211" s="526"/>
      <c r="D211" s="526"/>
      <c r="E211" s="526"/>
      <c r="F211" s="526"/>
      <c r="G211" s="526"/>
      <c r="H211" s="526"/>
      <c r="I211" s="526"/>
      <c r="J211" s="526"/>
      <c r="K211" s="526"/>
      <c r="L211" s="526"/>
      <c r="M211" s="526"/>
      <c r="N211" s="526"/>
      <c r="O211" s="526"/>
      <c r="P211" s="526"/>
      <c r="Q211" s="526"/>
      <c r="R211" s="526"/>
      <c r="S211" s="526"/>
      <c r="T211" s="526"/>
      <c r="U211" s="526"/>
      <c r="V211" s="526"/>
      <c r="W211" s="526"/>
      <c r="X211" s="526"/>
      <c r="Y211" s="526"/>
      <c r="Z211" s="526"/>
    </row>
    <row r="212" spans="1:26" ht="18.600000000000001" x14ac:dyDescent="0.3">
      <c r="A212" s="526"/>
      <c r="B212" s="526"/>
      <c r="C212" s="526"/>
      <c r="D212" s="526"/>
      <c r="E212" s="526"/>
      <c r="F212" s="526"/>
      <c r="G212" s="526"/>
      <c r="H212" s="526"/>
      <c r="I212" s="526"/>
      <c r="J212" s="526"/>
      <c r="K212" s="526"/>
      <c r="L212" s="526"/>
      <c r="M212" s="526"/>
      <c r="N212" s="526"/>
      <c r="O212" s="526"/>
      <c r="P212" s="526"/>
      <c r="Q212" s="526"/>
      <c r="R212" s="526"/>
      <c r="S212" s="526"/>
      <c r="T212" s="526"/>
      <c r="U212" s="526"/>
      <c r="V212" s="526"/>
      <c r="W212" s="526"/>
      <c r="X212" s="526"/>
      <c r="Y212" s="526"/>
      <c r="Z212" s="526"/>
    </row>
    <row r="213" spans="1:26" ht="18.600000000000001" x14ac:dyDescent="0.3">
      <c r="A213" s="526"/>
      <c r="B213" s="526"/>
      <c r="C213" s="526"/>
      <c r="D213" s="526"/>
      <c r="E213" s="526"/>
      <c r="F213" s="526"/>
      <c r="G213" s="526"/>
      <c r="H213" s="526"/>
      <c r="I213" s="526"/>
      <c r="J213" s="526"/>
      <c r="K213" s="526"/>
      <c r="L213" s="526"/>
      <c r="M213" s="526"/>
      <c r="N213" s="526"/>
      <c r="O213" s="526"/>
      <c r="P213" s="526"/>
      <c r="Q213" s="526"/>
      <c r="R213" s="526"/>
      <c r="S213" s="526"/>
      <c r="T213" s="526"/>
      <c r="U213" s="526"/>
      <c r="V213" s="526"/>
      <c r="W213" s="526"/>
      <c r="X213" s="526"/>
      <c r="Y213" s="526"/>
      <c r="Z213" s="526"/>
    </row>
    <row r="214" spans="1:26" ht="18.600000000000001" x14ac:dyDescent="0.3">
      <c r="A214" s="526"/>
      <c r="B214" s="526"/>
      <c r="C214" s="526"/>
      <c r="D214" s="526"/>
      <c r="E214" s="526"/>
      <c r="F214" s="526"/>
      <c r="G214" s="526"/>
      <c r="H214" s="526"/>
      <c r="I214" s="526"/>
      <c r="J214" s="526"/>
      <c r="K214" s="526"/>
      <c r="L214" s="526"/>
      <c r="M214" s="526"/>
      <c r="N214" s="526"/>
      <c r="O214" s="526"/>
      <c r="P214" s="526"/>
      <c r="Q214" s="526"/>
      <c r="R214" s="526"/>
      <c r="S214" s="526"/>
      <c r="T214" s="526"/>
      <c r="U214" s="526"/>
      <c r="V214" s="526"/>
      <c r="W214" s="526"/>
      <c r="X214" s="526"/>
      <c r="Y214" s="526"/>
      <c r="Z214" s="526"/>
    </row>
    <row r="215" spans="1:26" ht="18.600000000000001" x14ac:dyDescent="0.3">
      <c r="A215" s="526"/>
      <c r="B215" s="526"/>
      <c r="C215" s="526"/>
      <c r="D215" s="526"/>
      <c r="E215" s="526"/>
      <c r="F215" s="526"/>
      <c r="G215" s="526"/>
      <c r="H215" s="526"/>
      <c r="I215" s="526"/>
      <c r="J215" s="526"/>
      <c r="K215" s="526"/>
      <c r="L215" s="526"/>
      <c r="M215" s="526"/>
      <c r="N215" s="526"/>
      <c r="O215" s="526"/>
      <c r="P215" s="526"/>
      <c r="Q215" s="526"/>
      <c r="R215" s="526"/>
      <c r="S215" s="526"/>
      <c r="T215" s="526"/>
      <c r="U215" s="526"/>
      <c r="V215" s="526"/>
      <c r="W215" s="526"/>
      <c r="X215" s="526"/>
      <c r="Y215" s="526"/>
      <c r="Z215" s="526"/>
    </row>
    <row r="216" spans="1:26" ht="18.600000000000001" x14ac:dyDescent="0.3">
      <c r="A216" s="526"/>
      <c r="B216" s="526"/>
      <c r="C216" s="526"/>
      <c r="D216" s="526"/>
      <c r="E216" s="526"/>
      <c r="F216" s="526"/>
      <c r="G216" s="526"/>
      <c r="H216" s="526"/>
      <c r="I216" s="526"/>
      <c r="J216" s="526"/>
      <c r="K216" s="526"/>
      <c r="L216" s="526"/>
      <c r="M216" s="526"/>
      <c r="N216" s="526"/>
      <c r="O216" s="526"/>
      <c r="P216" s="526"/>
      <c r="Q216" s="526"/>
      <c r="R216" s="526"/>
      <c r="S216" s="526"/>
      <c r="T216" s="526"/>
      <c r="U216" s="526"/>
      <c r="V216" s="526"/>
      <c r="W216" s="526"/>
      <c r="X216" s="526"/>
      <c r="Y216" s="526"/>
      <c r="Z216" s="526"/>
    </row>
    <row r="217" spans="1:26" ht="18.600000000000001" x14ac:dyDescent="0.3">
      <c r="A217" s="526"/>
      <c r="B217" s="526"/>
      <c r="C217" s="526"/>
      <c r="D217" s="526"/>
      <c r="E217" s="526"/>
      <c r="F217" s="526"/>
      <c r="G217" s="526"/>
      <c r="H217" s="526"/>
      <c r="I217" s="526"/>
      <c r="J217" s="526"/>
      <c r="K217" s="526"/>
      <c r="L217" s="526"/>
      <c r="M217" s="526"/>
      <c r="N217" s="526"/>
      <c r="O217" s="526"/>
      <c r="P217" s="526"/>
      <c r="Q217" s="526"/>
      <c r="R217" s="526"/>
      <c r="S217" s="526"/>
      <c r="T217" s="526"/>
      <c r="U217" s="526"/>
      <c r="V217" s="526"/>
      <c r="W217" s="526"/>
      <c r="X217" s="526"/>
      <c r="Y217" s="526"/>
      <c r="Z217" s="526"/>
    </row>
    <row r="218" spans="1:26" ht="18.600000000000001" x14ac:dyDescent="0.3">
      <c r="A218" s="526"/>
      <c r="B218" s="526"/>
      <c r="C218" s="526"/>
      <c r="D218" s="526"/>
      <c r="E218" s="526"/>
      <c r="F218" s="526"/>
      <c r="G218" s="526"/>
      <c r="H218" s="526"/>
      <c r="I218" s="526"/>
      <c r="J218" s="526"/>
      <c r="K218" s="526"/>
      <c r="L218" s="526"/>
      <c r="M218" s="526"/>
      <c r="N218" s="526"/>
      <c r="O218" s="526"/>
      <c r="P218" s="526"/>
      <c r="Q218" s="526"/>
      <c r="R218" s="526"/>
      <c r="S218" s="526"/>
      <c r="T218" s="526"/>
      <c r="U218" s="526"/>
      <c r="V218" s="526"/>
      <c r="W218" s="526"/>
      <c r="X218" s="526"/>
      <c r="Y218" s="526"/>
      <c r="Z218" s="526"/>
    </row>
    <row r="219" spans="1:26" ht="18.600000000000001" x14ac:dyDescent="0.3">
      <c r="A219" s="526"/>
      <c r="B219" s="526"/>
      <c r="C219" s="526"/>
      <c r="D219" s="526"/>
      <c r="E219" s="526"/>
      <c r="F219" s="526"/>
      <c r="G219" s="526"/>
      <c r="H219" s="526"/>
      <c r="I219" s="526"/>
      <c r="J219" s="526"/>
      <c r="K219" s="526"/>
      <c r="L219" s="526"/>
      <c r="M219" s="526"/>
      <c r="N219" s="526"/>
      <c r="O219" s="526"/>
      <c r="P219" s="526"/>
      <c r="Q219" s="526"/>
      <c r="R219" s="526"/>
      <c r="S219" s="526"/>
      <c r="T219" s="526"/>
      <c r="U219" s="526"/>
      <c r="V219" s="526"/>
      <c r="W219" s="526"/>
      <c r="X219" s="526"/>
      <c r="Y219" s="526"/>
      <c r="Z219" s="526"/>
    </row>
    <row r="220" spans="1:26" ht="18.600000000000001" x14ac:dyDescent="0.3">
      <c r="A220" s="526"/>
      <c r="B220" s="526"/>
      <c r="C220" s="526"/>
      <c r="D220" s="526"/>
      <c r="E220" s="526"/>
      <c r="F220" s="526"/>
      <c r="G220" s="526"/>
      <c r="H220" s="526"/>
      <c r="I220" s="526"/>
      <c r="J220" s="526"/>
      <c r="K220" s="526"/>
      <c r="L220" s="526"/>
      <c r="M220" s="526"/>
      <c r="N220" s="526"/>
      <c r="O220" s="526"/>
      <c r="P220" s="526"/>
      <c r="Q220" s="526"/>
      <c r="R220" s="526"/>
      <c r="S220" s="526"/>
      <c r="T220" s="526"/>
      <c r="U220" s="526"/>
      <c r="V220" s="526"/>
      <c r="W220" s="526"/>
      <c r="X220" s="526"/>
      <c r="Y220" s="526"/>
      <c r="Z220" s="526"/>
    </row>
    <row r="221" spans="1:26" ht="18.600000000000001" x14ac:dyDescent="0.3">
      <c r="A221" s="526"/>
      <c r="B221" s="526"/>
      <c r="C221" s="526"/>
      <c r="D221" s="526"/>
      <c r="E221" s="526"/>
      <c r="F221" s="526"/>
      <c r="G221" s="526"/>
      <c r="H221" s="526"/>
      <c r="I221" s="526"/>
      <c r="J221" s="526"/>
      <c r="K221" s="526"/>
      <c r="L221" s="526"/>
      <c r="M221" s="526"/>
      <c r="N221" s="526"/>
      <c r="O221" s="526"/>
      <c r="P221" s="526"/>
      <c r="Q221" s="526"/>
      <c r="R221" s="526"/>
      <c r="S221" s="526"/>
      <c r="T221" s="526"/>
      <c r="U221" s="526"/>
      <c r="V221" s="526"/>
      <c r="W221" s="526"/>
      <c r="X221" s="526"/>
      <c r="Y221" s="526"/>
      <c r="Z221" s="526"/>
    </row>
    <row r="222" spans="1:26" ht="18.600000000000001" x14ac:dyDescent="0.3">
      <c r="A222" s="526"/>
      <c r="B222" s="526"/>
      <c r="C222" s="526"/>
      <c r="D222" s="526"/>
      <c r="E222" s="526"/>
      <c r="F222" s="526"/>
      <c r="G222" s="526"/>
      <c r="H222" s="526"/>
      <c r="I222" s="526"/>
      <c r="J222" s="526"/>
      <c r="K222" s="526"/>
      <c r="L222" s="526"/>
      <c r="M222" s="526"/>
      <c r="N222" s="526"/>
      <c r="O222" s="526"/>
      <c r="P222" s="526"/>
      <c r="Q222" s="526"/>
      <c r="R222" s="526"/>
      <c r="S222" s="526"/>
      <c r="T222" s="526"/>
      <c r="U222" s="526"/>
      <c r="V222" s="526"/>
      <c r="W222" s="526"/>
      <c r="X222" s="526"/>
      <c r="Y222" s="526"/>
      <c r="Z222" s="526"/>
    </row>
    <row r="223" spans="1:26" ht="18.600000000000001" x14ac:dyDescent="0.3">
      <c r="A223" s="526"/>
      <c r="B223" s="526"/>
      <c r="C223" s="526"/>
      <c r="D223" s="526"/>
      <c r="E223" s="526"/>
      <c r="F223" s="526"/>
      <c r="G223" s="526"/>
      <c r="H223" s="526"/>
      <c r="I223" s="526"/>
      <c r="J223" s="526"/>
      <c r="K223" s="526"/>
      <c r="L223" s="526"/>
      <c r="M223" s="526"/>
      <c r="N223" s="526"/>
      <c r="O223" s="526"/>
      <c r="P223" s="526"/>
      <c r="Q223" s="526"/>
      <c r="R223" s="526"/>
      <c r="S223" s="526"/>
      <c r="T223" s="526"/>
      <c r="U223" s="526"/>
      <c r="V223" s="526"/>
      <c r="W223" s="526"/>
      <c r="X223" s="526"/>
      <c r="Y223" s="526"/>
      <c r="Z223" s="526"/>
    </row>
    <row r="224" spans="1:26" ht="18.600000000000001" x14ac:dyDescent="0.3">
      <c r="A224" s="526"/>
      <c r="B224" s="526"/>
      <c r="C224" s="526"/>
      <c r="D224" s="526"/>
      <c r="E224" s="526"/>
      <c r="F224" s="526"/>
      <c r="G224" s="526"/>
      <c r="H224" s="526"/>
      <c r="I224" s="526"/>
      <c r="J224" s="526"/>
      <c r="K224" s="526"/>
      <c r="L224" s="526"/>
      <c r="M224" s="526"/>
      <c r="N224" s="526"/>
      <c r="O224" s="526"/>
      <c r="P224" s="526"/>
      <c r="Q224" s="526"/>
      <c r="R224" s="526"/>
      <c r="S224" s="526"/>
      <c r="T224" s="526"/>
      <c r="U224" s="526"/>
      <c r="V224" s="526"/>
      <c r="W224" s="526"/>
      <c r="X224" s="526"/>
      <c r="Y224" s="526"/>
      <c r="Z224" s="526"/>
    </row>
    <row r="225" spans="1:26" ht="18.600000000000001" x14ac:dyDescent="0.3">
      <c r="A225" s="526"/>
      <c r="B225" s="526"/>
      <c r="C225" s="526"/>
      <c r="D225" s="526"/>
      <c r="E225" s="526"/>
      <c r="F225" s="526"/>
      <c r="G225" s="526"/>
      <c r="H225" s="526"/>
      <c r="I225" s="526"/>
      <c r="J225" s="526"/>
      <c r="K225" s="526"/>
      <c r="L225" s="526"/>
      <c r="M225" s="526"/>
      <c r="N225" s="526"/>
      <c r="O225" s="526"/>
      <c r="P225" s="526"/>
      <c r="Q225" s="526"/>
      <c r="R225" s="526"/>
      <c r="S225" s="526"/>
      <c r="T225" s="526"/>
      <c r="U225" s="526"/>
      <c r="V225" s="526"/>
      <c r="W225" s="526"/>
      <c r="X225" s="526"/>
      <c r="Y225" s="526"/>
      <c r="Z225" s="526"/>
    </row>
    <row r="226" spans="1:26" ht="18.600000000000001" x14ac:dyDescent="0.3">
      <c r="A226" s="526"/>
      <c r="B226" s="526"/>
      <c r="C226" s="526"/>
      <c r="D226" s="526"/>
      <c r="E226" s="526"/>
      <c r="F226" s="526"/>
      <c r="G226" s="526"/>
      <c r="H226" s="526"/>
      <c r="I226" s="526"/>
      <c r="J226" s="526"/>
      <c r="K226" s="526"/>
      <c r="L226" s="526"/>
      <c r="M226" s="526"/>
      <c r="N226" s="526"/>
      <c r="O226" s="526"/>
      <c r="P226" s="526"/>
      <c r="Q226" s="526"/>
      <c r="R226" s="526"/>
      <c r="S226" s="526"/>
      <c r="T226" s="526"/>
      <c r="U226" s="526"/>
      <c r="V226" s="526"/>
      <c r="W226" s="526"/>
      <c r="X226" s="526"/>
      <c r="Y226" s="526"/>
      <c r="Z226" s="526"/>
    </row>
    <row r="227" spans="1:26" ht="18.600000000000001" x14ac:dyDescent="0.3">
      <c r="A227" s="526"/>
      <c r="B227" s="526"/>
      <c r="C227" s="526"/>
      <c r="D227" s="526"/>
      <c r="E227" s="526"/>
      <c r="F227" s="526"/>
      <c r="G227" s="526"/>
      <c r="H227" s="526"/>
      <c r="I227" s="526"/>
      <c r="J227" s="526"/>
      <c r="K227" s="526"/>
      <c r="L227" s="526"/>
      <c r="M227" s="526"/>
      <c r="N227" s="526"/>
      <c r="O227" s="526"/>
      <c r="P227" s="526"/>
      <c r="Q227" s="526"/>
      <c r="R227" s="526"/>
      <c r="S227" s="526"/>
      <c r="T227" s="526"/>
      <c r="U227" s="526"/>
      <c r="V227" s="526"/>
      <c r="W227" s="526"/>
      <c r="X227" s="526"/>
      <c r="Y227" s="526"/>
      <c r="Z227" s="526"/>
    </row>
    <row r="228" spans="1:26" ht="18.600000000000001" x14ac:dyDescent="0.3">
      <c r="A228" s="526"/>
      <c r="B228" s="526"/>
      <c r="C228" s="526"/>
      <c r="D228" s="526"/>
      <c r="E228" s="526"/>
      <c r="F228" s="526"/>
      <c r="G228" s="526"/>
      <c r="H228" s="526"/>
      <c r="I228" s="526"/>
      <c r="J228" s="526"/>
      <c r="K228" s="526"/>
      <c r="L228" s="526"/>
      <c r="M228" s="526"/>
      <c r="N228" s="526"/>
      <c r="O228" s="526"/>
      <c r="P228" s="526"/>
      <c r="Q228" s="526"/>
      <c r="R228" s="526"/>
      <c r="S228" s="526"/>
      <c r="T228" s="526"/>
      <c r="U228" s="526"/>
      <c r="V228" s="526"/>
      <c r="W228" s="526"/>
      <c r="X228" s="526"/>
      <c r="Y228" s="526"/>
      <c r="Z228" s="526"/>
    </row>
    <row r="229" spans="1:26" ht="18.600000000000001" x14ac:dyDescent="0.3">
      <c r="A229" s="526"/>
      <c r="B229" s="526"/>
      <c r="C229" s="526"/>
      <c r="D229" s="526"/>
      <c r="E229" s="526"/>
      <c r="F229" s="526"/>
      <c r="G229" s="526"/>
      <c r="H229" s="526"/>
      <c r="I229" s="526"/>
      <c r="J229" s="526"/>
      <c r="K229" s="526"/>
      <c r="L229" s="526"/>
      <c r="M229" s="526"/>
      <c r="N229" s="526"/>
      <c r="O229" s="526"/>
      <c r="P229" s="526"/>
      <c r="Q229" s="526"/>
      <c r="R229" s="526"/>
      <c r="S229" s="526"/>
      <c r="T229" s="526"/>
      <c r="U229" s="526"/>
      <c r="V229" s="526"/>
      <c r="W229" s="526"/>
      <c r="X229" s="526"/>
      <c r="Y229" s="526"/>
      <c r="Z229" s="526"/>
    </row>
    <row r="230" spans="1:26" ht="18.600000000000001" x14ac:dyDescent="0.3">
      <c r="A230" s="526"/>
      <c r="B230" s="526"/>
      <c r="C230" s="526"/>
      <c r="D230" s="526"/>
      <c r="E230" s="526"/>
      <c r="F230" s="526"/>
      <c r="G230" s="526"/>
      <c r="H230" s="526"/>
      <c r="I230" s="526"/>
      <c r="J230" s="526"/>
      <c r="K230" s="526"/>
      <c r="L230" s="526"/>
      <c r="M230" s="526"/>
      <c r="N230" s="526"/>
      <c r="O230" s="526"/>
      <c r="P230" s="526"/>
      <c r="Q230" s="526"/>
      <c r="R230" s="526"/>
      <c r="S230" s="526"/>
      <c r="T230" s="526"/>
      <c r="U230" s="526"/>
      <c r="V230" s="526"/>
      <c r="W230" s="526"/>
      <c r="X230" s="526"/>
      <c r="Y230" s="526"/>
      <c r="Z230" s="526"/>
    </row>
    <row r="231" spans="1:26" ht="18.600000000000001" x14ac:dyDescent="0.3">
      <c r="A231" s="526"/>
      <c r="B231" s="526"/>
      <c r="C231" s="526"/>
      <c r="D231" s="526"/>
      <c r="E231" s="526"/>
      <c r="F231" s="526"/>
      <c r="G231" s="526"/>
      <c r="H231" s="526"/>
      <c r="I231" s="526"/>
      <c r="J231" s="526"/>
      <c r="K231" s="526"/>
      <c r="L231" s="526"/>
      <c r="M231" s="526"/>
      <c r="N231" s="526"/>
      <c r="O231" s="526"/>
      <c r="P231" s="526"/>
      <c r="Q231" s="526"/>
      <c r="R231" s="526"/>
      <c r="S231" s="526"/>
      <c r="T231" s="526"/>
      <c r="U231" s="526"/>
      <c r="V231" s="526"/>
      <c r="W231" s="526"/>
      <c r="X231" s="526"/>
      <c r="Y231" s="526"/>
      <c r="Z231" s="526"/>
    </row>
    <row r="232" spans="1:26" ht="18.600000000000001" x14ac:dyDescent="0.3">
      <c r="A232" s="526"/>
      <c r="B232" s="526"/>
      <c r="C232" s="526"/>
      <c r="D232" s="526"/>
      <c r="E232" s="526"/>
      <c r="F232" s="526"/>
      <c r="G232" s="526"/>
      <c r="H232" s="526"/>
      <c r="I232" s="526"/>
      <c r="J232" s="526"/>
      <c r="K232" s="526"/>
      <c r="L232" s="526"/>
      <c r="M232" s="526"/>
      <c r="N232" s="526"/>
      <c r="O232" s="526"/>
      <c r="P232" s="526"/>
      <c r="Q232" s="526"/>
      <c r="R232" s="526"/>
      <c r="S232" s="526"/>
      <c r="T232" s="526"/>
      <c r="U232" s="526"/>
      <c r="V232" s="526"/>
      <c r="W232" s="526"/>
      <c r="X232" s="526"/>
      <c r="Y232" s="526"/>
      <c r="Z232" s="526"/>
    </row>
    <row r="233" spans="1:26" ht="18.600000000000001" x14ac:dyDescent="0.3">
      <c r="A233" s="526"/>
      <c r="B233" s="526"/>
      <c r="C233" s="526"/>
      <c r="D233" s="526"/>
      <c r="E233" s="526"/>
      <c r="F233" s="526"/>
      <c r="G233" s="526"/>
      <c r="H233" s="526"/>
      <c r="I233" s="526"/>
      <c r="J233" s="526"/>
      <c r="K233" s="526"/>
      <c r="L233" s="526"/>
      <c r="M233" s="526"/>
      <c r="N233" s="526"/>
      <c r="O233" s="526"/>
      <c r="P233" s="526"/>
      <c r="Q233" s="526"/>
      <c r="R233" s="526"/>
      <c r="S233" s="526"/>
      <c r="T233" s="526"/>
      <c r="U233" s="526"/>
      <c r="V233" s="526"/>
      <c r="W233" s="526"/>
      <c r="X233" s="526"/>
      <c r="Y233" s="526"/>
      <c r="Z233" s="526"/>
    </row>
    <row r="234" spans="1:26" ht="18.600000000000001" x14ac:dyDescent="0.3">
      <c r="A234" s="526"/>
      <c r="B234" s="526"/>
      <c r="C234" s="526"/>
      <c r="D234" s="526"/>
      <c r="E234" s="526"/>
      <c r="F234" s="526"/>
      <c r="G234" s="526"/>
      <c r="H234" s="526"/>
      <c r="I234" s="526"/>
      <c r="J234" s="526"/>
      <c r="K234" s="526"/>
      <c r="L234" s="526"/>
      <c r="M234" s="526"/>
      <c r="N234" s="526"/>
      <c r="O234" s="526"/>
      <c r="P234" s="526"/>
      <c r="Q234" s="526"/>
      <c r="R234" s="526"/>
      <c r="S234" s="526"/>
      <c r="T234" s="526"/>
      <c r="U234" s="526"/>
      <c r="V234" s="526"/>
      <c r="W234" s="526"/>
      <c r="X234" s="526"/>
      <c r="Y234" s="526"/>
      <c r="Z234" s="526"/>
    </row>
    <row r="235" spans="1:26" ht="18.600000000000001" x14ac:dyDescent="0.3">
      <c r="A235" s="526"/>
      <c r="B235" s="526"/>
      <c r="C235" s="526"/>
      <c r="D235" s="526"/>
      <c r="E235" s="526"/>
      <c r="F235" s="526"/>
      <c r="G235" s="526"/>
      <c r="H235" s="526"/>
      <c r="I235" s="526"/>
      <c r="J235" s="526"/>
      <c r="K235" s="526"/>
      <c r="L235" s="526"/>
      <c r="M235" s="526"/>
      <c r="N235" s="526"/>
      <c r="O235" s="526"/>
      <c r="P235" s="526"/>
      <c r="Q235" s="526"/>
      <c r="R235" s="526"/>
      <c r="S235" s="526"/>
      <c r="T235" s="526"/>
      <c r="U235" s="526"/>
      <c r="V235" s="526"/>
      <c r="W235" s="526"/>
      <c r="X235" s="526"/>
      <c r="Y235" s="526"/>
      <c r="Z235" s="526"/>
    </row>
    <row r="236" spans="1:26" ht="18.600000000000001" x14ac:dyDescent="0.3">
      <c r="A236" s="526"/>
      <c r="B236" s="526"/>
      <c r="C236" s="526"/>
      <c r="D236" s="526"/>
      <c r="E236" s="526"/>
      <c r="F236" s="526"/>
      <c r="G236" s="526"/>
      <c r="H236" s="526"/>
      <c r="I236" s="526"/>
      <c r="J236" s="526"/>
      <c r="K236" s="526"/>
      <c r="L236" s="526"/>
      <c r="M236" s="526"/>
      <c r="N236" s="526"/>
      <c r="O236" s="526"/>
      <c r="P236" s="526"/>
      <c r="Q236" s="526"/>
      <c r="R236" s="526"/>
      <c r="S236" s="526"/>
      <c r="T236" s="526"/>
      <c r="U236" s="526"/>
      <c r="V236" s="526"/>
      <c r="W236" s="526"/>
      <c r="X236" s="526"/>
      <c r="Y236" s="526"/>
      <c r="Z236" s="526"/>
    </row>
    <row r="237" spans="1:26" ht="18.600000000000001" x14ac:dyDescent="0.3">
      <c r="A237" s="526"/>
      <c r="B237" s="526"/>
      <c r="C237" s="526"/>
      <c r="D237" s="526"/>
      <c r="E237" s="526"/>
      <c r="F237" s="526"/>
      <c r="G237" s="526"/>
      <c r="H237" s="526"/>
      <c r="I237" s="526"/>
      <c r="J237" s="526"/>
      <c r="K237" s="526"/>
      <c r="L237" s="526"/>
      <c r="M237" s="526"/>
      <c r="N237" s="526"/>
      <c r="O237" s="526"/>
      <c r="P237" s="526"/>
      <c r="Q237" s="526"/>
      <c r="R237" s="526"/>
      <c r="S237" s="526"/>
      <c r="T237" s="526"/>
      <c r="U237" s="526"/>
      <c r="V237" s="526"/>
      <c r="W237" s="526"/>
      <c r="X237" s="526"/>
      <c r="Y237" s="526"/>
      <c r="Z237" s="526"/>
    </row>
    <row r="238" spans="1:26" ht="18.600000000000001" x14ac:dyDescent="0.3">
      <c r="A238" s="526"/>
      <c r="B238" s="526"/>
      <c r="C238" s="526"/>
      <c r="D238" s="526"/>
      <c r="E238" s="526"/>
      <c r="F238" s="526"/>
      <c r="G238" s="526"/>
      <c r="H238" s="526"/>
      <c r="I238" s="526"/>
      <c r="J238" s="526"/>
      <c r="K238" s="526"/>
      <c r="L238" s="526"/>
      <c r="M238" s="526"/>
      <c r="N238" s="526"/>
      <c r="O238" s="526"/>
      <c r="P238" s="526"/>
      <c r="Q238" s="526"/>
      <c r="R238" s="526"/>
      <c r="S238" s="526"/>
      <c r="T238" s="526"/>
      <c r="U238" s="526"/>
      <c r="V238" s="526"/>
      <c r="W238" s="526"/>
      <c r="X238" s="526"/>
      <c r="Y238" s="526"/>
      <c r="Z238" s="526"/>
    </row>
    <row r="239" spans="1:26" ht="18.600000000000001" x14ac:dyDescent="0.3">
      <c r="A239" s="526"/>
      <c r="B239" s="526"/>
      <c r="C239" s="526"/>
      <c r="D239" s="526"/>
      <c r="E239" s="526"/>
      <c r="F239" s="526"/>
      <c r="G239" s="526"/>
      <c r="H239" s="526"/>
      <c r="I239" s="526"/>
      <c r="J239" s="526"/>
      <c r="K239" s="526"/>
      <c r="L239" s="526"/>
      <c r="M239" s="526"/>
      <c r="N239" s="526"/>
      <c r="O239" s="526"/>
      <c r="P239" s="526"/>
      <c r="Q239" s="526"/>
      <c r="R239" s="526"/>
      <c r="S239" s="526"/>
      <c r="T239" s="526"/>
      <c r="U239" s="526"/>
      <c r="V239" s="526"/>
      <c r="W239" s="526"/>
      <c r="X239" s="526"/>
      <c r="Y239" s="526"/>
      <c r="Z239" s="526"/>
    </row>
    <row r="240" spans="1:26" ht="18.600000000000001" x14ac:dyDescent="0.3">
      <c r="A240" s="526"/>
      <c r="B240" s="526"/>
      <c r="C240" s="526"/>
      <c r="D240" s="526"/>
      <c r="E240" s="526"/>
      <c r="F240" s="526"/>
      <c r="G240" s="526"/>
      <c r="H240" s="526"/>
      <c r="I240" s="526"/>
      <c r="J240" s="526"/>
      <c r="K240" s="526"/>
      <c r="L240" s="526"/>
      <c r="M240" s="526"/>
      <c r="N240" s="526"/>
      <c r="O240" s="526"/>
      <c r="P240" s="526"/>
      <c r="Q240" s="526"/>
      <c r="R240" s="526"/>
      <c r="S240" s="526"/>
      <c r="T240" s="526"/>
      <c r="U240" s="526"/>
      <c r="V240" s="526"/>
      <c r="W240" s="526"/>
      <c r="X240" s="526"/>
      <c r="Y240" s="526"/>
      <c r="Z240" s="526"/>
    </row>
    <row r="241" spans="1:26" ht="18.600000000000001" x14ac:dyDescent="0.3">
      <c r="A241" s="526"/>
      <c r="B241" s="526"/>
      <c r="C241" s="526"/>
      <c r="D241" s="526"/>
      <c r="E241" s="526"/>
      <c r="F241" s="526"/>
      <c r="G241" s="526"/>
      <c r="H241" s="526"/>
      <c r="I241" s="526"/>
      <c r="J241" s="526"/>
      <c r="K241" s="526"/>
      <c r="L241" s="526"/>
      <c r="M241" s="526"/>
      <c r="N241" s="526"/>
      <c r="O241" s="526"/>
      <c r="P241" s="526"/>
      <c r="Q241" s="526"/>
      <c r="R241" s="526"/>
      <c r="S241" s="526"/>
      <c r="T241" s="526"/>
      <c r="U241" s="526"/>
      <c r="V241" s="526"/>
      <c r="W241" s="526"/>
      <c r="X241" s="526"/>
      <c r="Y241" s="526"/>
      <c r="Z241" s="526"/>
    </row>
    <row r="242" spans="1:26" ht="18.600000000000001" x14ac:dyDescent="0.3">
      <c r="A242" s="526"/>
      <c r="B242" s="526"/>
      <c r="C242" s="526"/>
      <c r="D242" s="526"/>
      <c r="E242" s="526"/>
      <c r="F242" s="526"/>
      <c r="G242" s="526"/>
      <c r="H242" s="526"/>
      <c r="I242" s="526"/>
      <c r="J242" s="526"/>
      <c r="K242" s="526"/>
      <c r="L242" s="526"/>
      <c r="M242" s="526"/>
      <c r="N242" s="526"/>
      <c r="O242" s="526"/>
      <c r="P242" s="526"/>
      <c r="Q242" s="526"/>
      <c r="R242" s="526"/>
      <c r="S242" s="526"/>
      <c r="T242" s="526"/>
      <c r="U242" s="526"/>
      <c r="V242" s="526"/>
      <c r="W242" s="526"/>
      <c r="X242" s="526"/>
      <c r="Y242" s="526"/>
      <c r="Z242" s="526"/>
    </row>
    <row r="243" spans="1:26" ht="18.600000000000001" x14ac:dyDescent="0.3">
      <c r="A243" s="526"/>
      <c r="B243" s="526"/>
      <c r="C243" s="526"/>
      <c r="D243" s="526"/>
      <c r="E243" s="526"/>
      <c r="F243" s="526"/>
      <c r="G243" s="526"/>
      <c r="H243" s="526"/>
      <c r="I243" s="526"/>
      <c r="J243" s="526"/>
      <c r="K243" s="526"/>
      <c r="L243" s="526"/>
      <c r="M243" s="526"/>
      <c r="N243" s="526"/>
      <c r="O243" s="526"/>
      <c r="P243" s="526"/>
      <c r="Q243" s="526"/>
      <c r="R243" s="526"/>
      <c r="S243" s="526"/>
      <c r="T243" s="526"/>
      <c r="U243" s="526"/>
      <c r="V243" s="526"/>
      <c r="W243" s="526"/>
      <c r="X243" s="526"/>
      <c r="Y243" s="526"/>
      <c r="Z243" s="526"/>
    </row>
    <row r="244" spans="1:26" ht="18.600000000000001" x14ac:dyDescent="0.3">
      <c r="A244" s="526"/>
      <c r="B244" s="526"/>
      <c r="C244" s="526"/>
      <c r="D244" s="526"/>
      <c r="E244" s="526"/>
      <c r="F244" s="526"/>
      <c r="G244" s="526"/>
      <c r="H244" s="526"/>
      <c r="I244" s="526"/>
      <c r="J244" s="526"/>
      <c r="K244" s="526"/>
      <c r="L244" s="526"/>
      <c r="M244" s="526"/>
      <c r="N244" s="526"/>
      <c r="O244" s="526"/>
      <c r="P244" s="526"/>
      <c r="Q244" s="526"/>
      <c r="R244" s="526"/>
      <c r="S244" s="526"/>
      <c r="T244" s="526"/>
      <c r="U244" s="526"/>
      <c r="V244" s="526"/>
      <c r="W244" s="526"/>
      <c r="X244" s="526"/>
      <c r="Y244" s="526"/>
      <c r="Z244" s="526"/>
    </row>
    <row r="245" spans="1:26" ht="18.600000000000001" x14ac:dyDescent="0.3">
      <c r="A245" s="526"/>
      <c r="B245" s="526"/>
      <c r="C245" s="526"/>
      <c r="D245" s="526"/>
      <c r="E245" s="526"/>
      <c r="F245" s="526"/>
      <c r="G245" s="526"/>
      <c r="H245" s="526"/>
      <c r="I245" s="526"/>
      <c r="J245" s="526"/>
      <c r="K245" s="526"/>
      <c r="L245" s="526"/>
      <c r="M245" s="526"/>
      <c r="N245" s="526"/>
      <c r="O245" s="526"/>
      <c r="P245" s="526"/>
      <c r="Q245" s="526"/>
      <c r="R245" s="526"/>
      <c r="S245" s="526"/>
      <c r="T245" s="526"/>
      <c r="U245" s="526"/>
      <c r="V245" s="526"/>
      <c r="W245" s="526"/>
      <c r="X245" s="526"/>
      <c r="Y245" s="526"/>
      <c r="Z245" s="526"/>
    </row>
    <row r="246" spans="1:26" ht="18.600000000000001" x14ac:dyDescent="0.3">
      <c r="A246" s="526"/>
      <c r="B246" s="526"/>
      <c r="C246" s="526"/>
      <c r="D246" s="526"/>
      <c r="E246" s="526"/>
      <c r="F246" s="526"/>
      <c r="G246" s="526"/>
      <c r="H246" s="526"/>
      <c r="I246" s="526"/>
      <c r="J246" s="526"/>
      <c r="K246" s="526"/>
      <c r="L246" s="526"/>
      <c r="M246" s="526"/>
      <c r="N246" s="526"/>
      <c r="O246" s="526"/>
      <c r="P246" s="526"/>
      <c r="Q246" s="526"/>
      <c r="R246" s="526"/>
      <c r="S246" s="526"/>
      <c r="T246" s="526"/>
      <c r="U246" s="526"/>
      <c r="V246" s="526"/>
      <c r="W246" s="526"/>
      <c r="X246" s="526"/>
      <c r="Y246" s="526"/>
      <c r="Z246" s="526"/>
    </row>
    <row r="247" spans="1:26" ht="18.600000000000001" x14ac:dyDescent="0.3">
      <c r="A247" s="526"/>
      <c r="B247" s="526"/>
      <c r="C247" s="526"/>
      <c r="D247" s="526"/>
      <c r="E247" s="526"/>
      <c r="F247" s="526"/>
      <c r="G247" s="526"/>
      <c r="H247" s="526"/>
      <c r="I247" s="526"/>
      <c r="J247" s="526"/>
      <c r="K247" s="526"/>
      <c r="L247" s="526"/>
      <c r="M247" s="526"/>
      <c r="N247" s="526"/>
      <c r="O247" s="526"/>
      <c r="P247" s="526"/>
      <c r="Q247" s="526"/>
      <c r="R247" s="526"/>
      <c r="S247" s="526"/>
      <c r="T247" s="526"/>
      <c r="U247" s="526"/>
      <c r="V247" s="526"/>
      <c r="W247" s="526"/>
      <c r="X247" s="526"/>
      <c r="Y247" s="526"/>
      <c r="Z247" s="526"/>
    </row>
    <row r="248" spans="1:26" ht="18.600000000000001" x14ac:dyDescent="0.3">
      <c r="A248" s="526"/>
      <c r="B248" s="526"/>
      <c r="C248" s="526"/>
      <c r="D248" s="526"/>
      <c r="E248" s="526"/>
      <c r="F248" s="526"/>
      <c r="G248" s="526"/>
      <c r="H248" s="526"/>
      <c r="I248" s="526"/>
      <c r="J248" s="526"/>
      <c r="K248" s="526"/>
      <c r="L248" s="526"/>
      <c r="M248" s="526"/>
      <c r="N248" s="526"/>
      <c r="O248" s="526"/>
      <c r="P248" s="526"/>
      <c r="Q248" s="526"/>
      <c r="R248" s="526"/>
      <c r="S248" s="526"/>
      <c r="T248" s="526"/>
      <c r="U248" s="526"/>
      <c r="V248" s="526"/>
      <c r="W248" s="526"/>
      <c r="X248" s="526"/>
      <c r="Y248" s="526"/>
      <c r="Z248" s="526"/>
    </row>
    <row r="249" spans="1:26" ht="18.600000000000001" x14ac:dyDescent="0.3">
      <c r="A249" s="526"/>
      <c r="B249" s="526"/>
      <c r="C249" s="526"/>
      <c r="D249" s="526"/>
      <c r="E249" s="526"/>
      <c r="F249" s="526"/>
      <c r="G249" s="526"/>
      <c r="H249" s="526"/>
      <c r="I249" s="526"/>
      <c r="J249" s="526"/>
      <c r="K249" s="526"/>
      <c r="L249" s="526"/>
      <c r="M249" s="526"/>
      <c r="N249" s="526"/>
      <c r="O249" s="526"/>
      <c r="P249" s="526"/>
      <c r="Q249" s="526"/>
      <c r="R249" s="526"/>
      <c r="S249" s="526"/>
      <c r="T249" s="526"/>
      <c r="U249" s="526"/>
      <c r="V249" s="526"/>
      <c r="W249" s="526"/>
      <c r="X249" s="526"/>
      <c r="Y249" s="526"/>
      <c r="Z249" s="526"/>
    </row>
    <row r="250" spans="1:26" ht="18.600000000000001" x14ac:dyDescent="0.3">
      <c r="A250" s="526"/>
      <c r="B250" s="526"/>
      <c r="C250" s="526"/>
      <c r="D250" s="526"/>
      <c r="E250" s="526"/>
      <c r="F250" s="526"/>
      <c r="G250" s="526"/>
      <c r="H250" s="526"/>
      <c r="I250" s="526"/>
      <c r="J250" s="526"/>
      <c r="K250" s="526"/>
      <c r="L250" s="526"/>
      <c r="M250" s="526"/>
      <c r="N250" s="526"/>
      <c r="O250" s="526"/>
      <c r="P250" s="526"/>
      <c r="Q250" s="526"/>
      <c r="R250" s="526"/>
      <c r="S250" s="526"/>
      <c r="T250" s="526"/>
      <c r="U250" s="526"/>
      <c r="V250" s="526"/>
      <c r="W250" s="526"/>
      <c r="X250" s="526"/>
      <c r="Y250" s="526"/>
      <c r="Z250" s="526"/>
    </row>
    <row r="251" spans="1:26" ht="18.600000000000001" x14ac:dyDescent="0.3">
      <c r="A251" s="526"/>
      <c r="B251" s="526"/>
      <c r="C251" s="526"/>
      <c r="D251" s="526"/>
      <c r="E251" s="526"/>
      <c r="F251" s="526"/>
      <c r="G251" s="526"/>
      <c r="H251" s="526"/>
      <c r="I251" s="526"/>
      <c r="J251" s="526"/>
      <c r="K251" s="526"/>
      <c r="L251" s="526"/>
      <c r="M251" s="526"/>
      <c r="N251" s="526"/>
      <c r="O251" s="526"/>
      <c r="P251" s="526"/>
      <c r="Q251" s="526"/>
      <c r="R251" s="526"/>
      <c r="S251" s="526"/>
      <c r="T251" s="526"/>
      <c r="U251" s="526"/>
      <c r="V251" s="526"/>
      <c r="W251" s="526"/>
      <c r="X251" s="526"/>
      <c r="Y251" s="526"/>
      <c r="Z251" s="526"/>
    </row>
    <row r="252" spans="1:26" ht="18.600000000000001" x14ac:dyDescent="0.3">
      <c r="A252" s="526"/>
      <c r="B252" s="526"/>
      <c r="C252" s="526"/>
      <c r="D252" s="526"/>
      <c r="E252" s="526"/>
      <c r="F252" s="526"/>
      <c r="G252" s="526"/>
      <c r="H252" s="526"/>
      <c r="I252" s="526"/>
      <c r="J252" s="526"/>
      <c r="K252" s="526"/>
      <c r="L252" s="526"/>
      <c r="M252" s="526"/>
      <c r="N252" s="526"/>
      <c r="O252" s="526"/>
      <c r="P252" s="526"/>
      <c r="Q252" s="526"/>
      <c r="R252" s="526"/>
      <c r="S252" s="526"/>
      <c r="T252" s="526"/>
      <c r="U252" s="526"/>
      <c r="V252" s="526"/>
      <c r="W252" s="526"/>
      <c r="X252" s="526"/>
      <c r="Y252" s="526"/>
      <c r="Z252" s="526"/>
    </row>
    <row r="253" spans="1:26" ht="18.600000000000001" x14ac:dyDescent="0.3">
      <c r="A253" s="526"/>
      <c r="B253" s="526"/>
      <c r="C253" s="526"/>
      <c r="D253" s="526"/>
      <c r="E253" s="526"/>
      <c r="F253" s="526"/>
      <c r="G253" s="526"/>
      <c r="H253" s="526"/>
      <c r="I253" s="526"/>
      <c r="J253" s="526"/>
      <c r="K253" s="526"/>
      <c r="L253" s="526"/>
      <c r="M253" s="526"/>
      <c r="N253" s="526"/>
      <c r="O253" s="526"/>
      <c r="P253" s="526"/>
      <c r="Q253" s="526"/>
      <c r="R253" s="526"/>
      <c r="S253" s="526"/>
      <c r="T253" s="526"/>
      <c r="U253" s="526"/>
      <c r="V253" s="526"/>
      <c r="W253" s="526"/>
      <c r="X253" s="526"/>
      <c r="Y253" s="526"/>
      <c r="Z253" s="526"/>
    </row>
    <row r="254" spans="1:26" ht="18.600000000000001" x14ac:dyDescent="0.3">
      <c r="A254" s="526"/>
      <c r="B254" s="526"/>
      <c r="C254" s="526"/>
      <c r="D254" s="526"/>
      <c r="E254" s="526"/>
      <c r="F254" s="526"/>
      <c r="G254" s="526"/>
      <c r="H254" s="526"/>
      <c r="I254" s="526"/>
      <c r="J254" s="526"/>
      <c r="K254" s="526"/>
      <c r="L254" s="526"/>
      <c r="M254" s="526"/>
      <c r="N254" s="526"/>
      <c r="O254" s="526"/>
      <c r="P254" s="526"/>
      <c r="Q254" s="526"/>
      <c r="R254" s="526"/>
      <c r="S254" s="526"/>
      <c r="T254" s="526"/>
      <c r="U254" s="526"/>
      <c r="V254" s="526"/>
      <c r="W254" s="526"/>
      <c r="X254" s="526"/>
      <c r="Y254" s="526"/>
      <c r="Z254" s="526"/>
    </row>
    <row r="255" spans="1:26" ht="18.600000000000001" x14ac:dyDescent="0.3">
      <c r="A255" s="526"/>
      <c r="B255" s="526"/>
      <c r="C255" s="526"/>
      <c r="D255" s="526"/>
      <c r="E255" s="526"/>
      <c r="F255" s="526"/>
      <c r="G255" s="526"/>
      <c r="H255" s="526"/>
      <c r="I255" s="526"/>
      <c r="J255" s="526"/>
      <c r="K255" s="526"/>
      <c r="L255" s="526"/>
      <c r="M255" s="526"/>
      <c r="N255" s="526"/>
      <c r="O255" s="526"/>
      <c r="P255" s="526"/>
      <c r="Q255" s="526"/>
      <c r="R255" s="526"/>
      <c r="S255" s="526"/>
      <c r="T255" s="526"/>
      <c r="U255" s="526"/>
      <c r="V255" s="526"/>
      <c r="W255" s="526"/>
      <c r="X255" s="526"/>
      <c r="Y255" s="526"/>
      <c r="Z255" s="526"/>
    </row>
    <row r="256" spans="1:26" ht="18.600000000000001" x14ac:dyDescent="0.3">
      <c r="A256" s="526"/>
      <c r="B256" s="526"/>
      <c r="C256" s="526"/>
      <c r="D256" s="526"/>
      <c r="E256" s="526"/>
      <c r="F256" s="526"/>
      <c r="G256" s="526"/>
      <c r="H256" s="526"/>
      <c r="I256" s="526"/>
      <c r="J256" s="526"/>
      <c r="K256" s="526"/>
      <c r="L256" s="526"/>
      <c r="M256" s="526"/>
      <c r="N256" s="526"/>
      <c r="O256" s="526"/>
      <c r="P256" s="526"/>
      <c r="Q256" s="526"/>
      <c r="R256" s="526"/>
      <c r="S256" s="526"/>
      <c r="T256" s="526"/>
      <c r="U256" s="526"/>
      <c r="V256" s="526"/>
      <c r="W256" s="526"/>
      <c r="X256" s="526"/>
      <c r="Y256" s="526"/>
      <c r="Z256" s="526"/>
    </row>
    <row r="257" spans="1:26" ht="18.600000000000001" x14ac:dyDescent="0.3">
      <c r="A257" s="526"/>
      <c r="B257" s="526"/>
      <c r="C257" s="526"/>
      <c r="D257" s="526"/>
      <c r="E257" s="526"/>
      <c r="F257" s="526"/>
      <c r="G257" s="526"/>
      <c r="H257" s="526"/>
      <c r="I257" s="526"/>
      <c r="J257" s="526"/>
      <c r="K257" s="526"/>
      <c r="L257" s="526"/>
      <c r="M257" s="526"/>
      <c r="N257" s="526"/>
      <c r="O257" s="526"/>
      <c r="P257" s="526"/>
      <c r="Q257" s="526"/>
      <c r="R257" s="526"/>
      <c r="S257" s="526"/>
      <c r="T257" s="526"/>
      <c r="U257" s="526"/>
      <c r="V257" s="526"/>
      <c r="W257" s="526"/>
      <c r="X257" s="526"/>
      <c r="Y257" s="526"/>
      <c r="Z257" s="526"/>
    </row>
    <row r="258" spans="1:26" ht="18.600000000000001" x14ac:dyDescent="0.3">
      <c r="A258" s="526"/>
      <c r="B258" s="526"/>
      <c r="C258" s="526"/>
      <c r="D258" s="526"/>
      <c r="E258" s="526"/>
      <c r="F258" s="526"/>
      <c r="G258" s="526"/>
      <c r="H258" s="526"/>
      <c r="I258" s="526"/>
      <c r="J258" s="526"/>
      <c r="K258" s="526"/>
      <c r="L258" s="526"/>
      <c r="M258" s="526"/>
      <c r="N258" s="526"/>
      <c r="O258" s="526"/>
      <c r="P258" s="526"/>
      <c r="Q258" s="526"/>
      <c r="R258" s="526"/>
      <c r="S258" s="526"/>
      <c r="T258" s="526"/>
      <c r="U258" s="526"/>
      <c r="V258" s="526"/>
      <c r="W258" s="526"/>
      <c r="X258" s="526"/>
      <c r="Y258" s="526"/>
      <c r="Z258" s="526"/>
    </row>
    <row r="259" spans="1:26" ht="18.600000000000001" x14ac:dyDescent="0.3">
      <c r="A259" s="526"/>
      <c r="B259" s="526"/>
      <c r="C259" s="526"/>
      <c r="D259" s="526"/>
      <c r="E259" s="526"/>
      <c r="F259" s="526"/>
      <c r="G259" s="526"/>
      <c r="H259" s="526"/>
      <c r="I259" s="526"/>
      <c r="J259" s="526"/>
      <c r="K259" s="526"/>
      <c r="L259" s="526"/>
      <c r="M259" s="526"/>
      <c r="N259" s="526"/>
      <c r="O259" s="526"/>
      <c r="P259" s="526"/>
      <c r="Q259" s="526"/>
      <c r="R259" s="526"/>
      <c r="S259" s="526"/>
      <c r="T259" s="526"/>
      <c r="U259" s="526"/>
      <c r="V259" s="526"/>
      <c r="W259" s="526"/>
      <c r="X259" s="526"/>
      <c r="Y259" s="526"/>
      <c r="Z259" s="526"/>
    </row>
    <row r="260" spans="1:26" ht="18.600000000000001" x14ac:dyDescent="0.3">
      <c r="A260" s="526"/>
      <c r="B260" s="526"/>
      <c r="C260" s="526"/>
      <c r="D260" s="526"/>
      <c r="E260" s="526"/>
      <c r="F260" s="526"/>
      <c r="G260" s="526"/>
      <c r="H260" s="526"/>
      <c r="I260" s="526"/>
      <c r="J260" s="526"/>
      <c r="K260" s="526"/>
      <c r="L260" s="526"/>
      <c r="M260" s="526"/>
      <c r="N260" s="526"/>
      <c r="O260" s="526"/>
      <c r="P260" s="526"/>
      <c r="Q260" s="526"/>
      <c r="R260" s="526"/>
      <c r="S260" s="526"/>
      <c r="T260" s="526"/>
      <c r="U260" s="526"/>
      <c r="V260" s="526"/>
      <c r="W260" s="526"/>
      <c r="X260" s="526"/>
      <c r="Y260" s="526"/>
      <c r="Z260" s="526"/>
    </row>
    <row r="261" spans="1:26" ht="18.600000000000001" x14ac:dyDescent="0.3">
      <c r="A261" s="526"/>
      <c r="B261" s="526"/>
      <c r="C261" s="526"/>
      <c r="D261" s="526"/>
      <c r="E261" s="526"/>
      <c r="F261" s="526"/>
      <c r="G261" s="526"/>
      <c r="H261" s="526"/>
      <c r="I261" s="526"/>
      <c r="J261" s="526"/>
      <c r="K261" s="526"/>
      <c r="L261" s="526"/>
      <c r="M261" s="526"/>
      <c r="N261" s="526"/>
      <c r="O261" s="526"/>
      <c r="P261" s="526"/>
      <c r="Q261" s="526"/>
      <c r="R261" s="526"/>
      <c r="S261" s="526"/>
      <c r="T261" s="526"/>
      <c r="U261" s="526"/>
      <c r="V261" s="526"/>
      <c r="W261" s="526"/>
      <c r="X261" s="526"/>
      <c r="Y261" s="526"/>
      <c r="Z261" s="526"/>
    </row>
    <row r="262" spans="1:26" ht="18.600000000000001" x14ac:dyDescent="0.3">
      <c r="A262" s="526"/>
      <c r="B262" s="526"/>
      <c r="C262" s="526"/>
      <c r="D262" s="526"/>
      <c r="E262" s="526"/>
      <c r="F262" s="526"/>
      <c r="G262" s="526"/>
      <c r="H262" s="526"/>
      <c r="I262" s="526"/>
      <c r="J262" s="526"/>
      <c r="K262" s="526"/>
      <c r="L262" s="526"/>
      <c r="M262" s="526"/>
      <c r="N262" s="526"/>
      <c r="O262" s="526"/>
      <c r="P262" s="526"/>
      <c r="Q262" s="526"/>
      <c r="R262" s="526"/>
      <c r="S262" s="526"/>
      <c r="T262" s="526"/>
      <c r="U262" s="526"/>
      <c r="V262" s="526"/>
      <c r="W262" s="526"/>
      <c r="X262" s="526"/>
      <c r="Y262" s="526"/>
      <c r="Z262" s="526"/>
    </row>
    <row r="263" spans="1:26" ht="18.600000000000001" x14ac:dyDescent="0.3">
      <c r="A263" s="526"/>
      <c r="B263" s="526"/>
      <c r="C263" s="526"/>
      <c r="D263" s="526"/>
      <c r="E263" s="526"/>
      <c r="F263" s="526"/>
      <c r="G263" s="526"/>
      <c r="H263" s="526"/>
      <c r="I263" s="526"/>
      <c r="J263" s="526"/>
      <c r="K263" s="526"/>
      <c r="L263" s="526"/>
      <c r="M263" s="526"/>
      <c r="N263" s="526"/>
      <c r="O263" s="526"/>
      <c r="P263" s="526"/>
      <c r="Q263" s="526"/>
      <c r="R263" s="526"/>
      <c r="S263" s="526"/>
      <c r="T263" s="526"/>
      <c r="U263" s="526"/>
      <c r="V263" s="526"/>
      <c r="W263" s="526"/>
      <c r="X263" s="526"/>
      <c r="Y263" s="526"/>
      <c r="Z263" s="526"/>
    </row>
    <row r="264" spans="1:26" ht="18.600000000000001" x14ac:dyDescent="0.3">
      <c r="A264" s="526"/>
      <c r="B264" s="526"/>
      <c r="C264" s="526"/>
      <c r="D264" s="526"/>
      <c r="E264" s="526"/>
      <c r="F264" s="526"/>
      <c r="G264" s="526"/>
      <c r="H264" s="526"/>
      <c r="I264" s="526"/>
      <c r="J264" s="526"/>
      <c r="K264" s="526"/>
      <c r="L264" s="526"/>
      <c r="M264" s="526"/>
      <c r="N264" s="526"/>
      <c r="O264" s="526"/>
      <c r="P264" s="526"/>
      <c r="Q264" s="526"/>
      <c r="R264" s="526"/>
      <c r="S264" s="526"/>
      <c r="T264" s="526"/>
      <c r="U264" s="526"/>
      <c r="V264" s="526"/>
      <c r="W264" s="526"/>
      <c r="X264" s="526"/>
      <c r="Y264" s="526"/>
      <c r="Z264" s="526"/>
    </row>
    <row r="265" spans="1:26" ht="18.600000000000001" x14ac:dyDescent="0.3">
      <c r="A265" s="526"/>
      <c r="B265" s="526"/>
      <c r="C265" s="526"/>
      <c r="D265" s="526"/>
      <c r="E265" s="526"/>
      <c r="F265" s="526"/>
      <c r="G265" s="526"/>
      <c r="H265" s="526"/>
      <c r="I265" s="526"/>
      <c r="J265" s="526"/>
      <c r="K265" s="526"/>
      <c r="L265" s="526"/>
      <c r="M265" s="526"/>
      <c r="N265" s="526"/>
      <c r="O265" s="526"/>
      <c r="P265" s="526"/>
      <c r="Q265" s="526"/>
      <c r="R265" s="526"/>
      <c r="S265" s="526"/>
      <c r="T265" s="526"/>
      <c r="U265" s="526"/>
      <c r="V265" s="526"/>
      <c r="W265" s="526"/>
      <c r="X265" s="526"/>
      <c r="Y265" s="526"/>
      <c r="Z265" s="526"/>
    </row>
    <row r="266" spans="1:26" ht="18.600000000000001" x14ac:dyDescent="0.3">
      <c r="A266" s="526"/>
      <c r="B266" s="526"/>
      <c r="C266" s="526"/>
      <c r="D266" s="526"/>
      <c r="E266" s="526"/>
      <c r="F266" s="526"/>
      <c r="G266" s="526"/>
      <c r="H266" s="526"/>
      <c r="I266" s="526"/>
      <c r="J266" s="526"/>
      <c r="K266" s="526"/>
      <c r="L266" s="526"/>
      <c r="M266" s="526"/>
      <c r="N266" s="526"/>
      <c r="O266" s="526"/>
      <c r="P266" s="526"/>
      <c r="Q266" s="526"/>
      <c r="R266" s="526"/>
      <c r="S266" s="526"/>
      <c r="T266" s="526"/>
      <c r="U266" s="526"/>
      <c r="V266" s="526"/>
      <c r="W266" s="526"/>
      <c r="X266" s="526"/>
      <c r="Y266" s="526"/>
      <c r="Z266" s="526"/>
    </row>
    <row r="267" spans="1:26" ht="18.600000000000001" x14ac:dyDescent="0.3">
      <c r="A267" s="526"/>
      <c r="B267" s="526"/>
      <c r="C267" s="526"/>
      <c r="D267" s="526"/>
      <c r="E267" s="526"/>
      <c r="F267" s="526"/>
      <c r="G267" s="526"/>
      <c r="H267" s="526"/>
      <c r="I267" s="526"/>
      <c r="J267" s="526"/>
      <c r="K267" s="526"/>
      <c r="L267" s="526"/>
      <c r="M267" s="526"/>
      <c r="N267" s="526"/>
      <c r="O267" s="526"/>
      <c r="P267" s="526"/>
      <c r="Q267" s="526"/>
      <c r="R267" s="526"/>
      <c r="S267" s="526"/>
      <c r="T267" s="526"/>
      <c r="U267" s="526"/>
      <c r="V267" s="526"/>
      <c r="W267" s="526"/>
      <c r="X267" s="526"/>
      <c r="Y267" s="526"/>
      <c r="Z267" s="526"/>
    </row>
    <row r="268" spans="1:26" ht="18.600000000000001" x14ac:dyDescent="0.3">
      <c r="A268" s="526"/>
      <c r="B268" s="526"/>
      <c r="C268" s="526"/>
      <c r="D268" s="526"/>
      <c r="E268" s="526"/>
      <c r="F268" s="526"/>
      <c r="G268" s="526"/>
      <c r="H268" s="526"/>
      <c r="I268" s="526"/>
      <c r="J268" s="526"/>
      <c r="K268" s="526"/>
      <c r="L268" s="526"/>
      <c r="M268" s="526"/>
      <c r="N268" s="526"/>
      <c r="O268" s="526"/>
      <c r="P268" s="526"/>
      <c r="Q268" s="526"/>
      <c r="R268" s="526"/>
      <c r="S268" s="526"/>
      <c r="T268" s="526"/>
      <c r="U268" s="526"/>
      <c r="V268" s="526"/>
      <c r="W268" s="526"/>
      <c r="X268" s="526"/>
      <c r="Y268" s="526"/>
      <c r="Z268" s="526"/>
    </row>
    <row r="269" spans="1:26" ht="18.600000000000001" x14ac:dyDescent="0.3">
      <c r="A269" s="526"/>
      <c r="B269" s="526"/>
      <c r="C269" s="526"/>
      <c r="D269" s="526"/>
      <c r="E269" s="526"/>
      <c r="F269" s="526"/>
      <c r="G269" s="526"/>
      <c r="H269" s="526"/>
      <c r="I269" s="526"/>
      <c r="J269" s="526"/>
      <c r="K269" s="526"/>
      <c r="L269" s="526"/>
      <c r="M269" s="526"/>
      <c r="N269" s="526"/>
      <c r="O269" s="526"/>
      <c r="P269" s="526"/>
      <c r="Q269" s="526"/>
      <c r="R269" s="526"/>
      <c r="S269" s="526"/>
      <c r="T269" s="526"/>
      <c r="U269" s="526"/>
      <c r="V269" s="526"/>
      <c r="W269" s="526"/>
      <c r="X269" s="526"/>
      <c r="Y269" s="526"/>
      <c r="Z269" s="526"/>
    </row>
    <row r="270" spans="1:26" ht="18.600000000000001" x14ac:dyDescent="0.3">
      <c r="A270" s="526"/>
      <c r="B270" s="526"/>
      <c r="C270" s="526"/>
      <c r="D270" s="526"/>
      <c r="E270" s="526"/>
      <c r="F270" s="526"/>
      <c r="G270" s="526"/>
      <c r="H270" s="526"/>
      <c r="I270" s="526"/>
      <c r="J270" s="526"/>
      <c r="K270" s="526"/>
      <c r="L270" s="526"/>
      <c r="M270" s="526"/>
      <c r="N270" s="526"/>
      <c r="O270" s="526"/>
      <c r="P270" s="526"/>
      <c r="Q270" s="526"/>
      <c r="R270" s="526"/>
      <c r="S270" s="526"/>
      <c r="T270" s="526"/>
      <c r="U270" s="526"/>
      <c r="V270" s="526"/>
      <c r="W270" s="526"/>
      <c r="X270" s="526"/>
      <c r="Y270" s="526"/>
      <c r="Z270" s="526"/>
    </row>
    <row r="271" spans="1:26" ht="18.600000000000001" x14ac:dyDescent="0.3">
      <c r="A271" s="526"/>
      <c r="B271" s="526"/>
      <c r="C271" s="526"/>
      <c r="D271" s="526"/>
      <c r="E271" s="526"/>
      <c r="F271" s="526"/>
      <c r="G271" s="526"/>
      <c r="H271" s="526"/>
      <c r="I271" s="526"/>
      <c r="J271" s="526"/>
      <c r="K271" s="526"/>
      <c r="L271" s="526"/>
      <c r="M271" s="526"/>
      <c r="N271" s="526"/>
      <c r="O271" s="526"/>
      <c r="P271" s="526"/>
      <c r="Q271" s="526"/>
      <c r="R271" s="526"/>
      <c r="S271" s="526"/>
      <c r="T271" s="526"/>
      <c r="U271" s="526"/>
      <c r="V271" s="526"/>
      <c r="W271" s="526"/>
      <c r="X271" s="526"/>
      <c r="Y271" s="526"/>
      <c r="Z271" s="526"/>
    </row>
    <row r="272" spans="1:26" ht="18.600000000000001" x14ac:dyDescent="0.3">
      <c r="A272" s="526"/>
      <c r="B272" s="526"/>
      <c r="C272" s="526"/>
      <c r="D272" s="526"/>
      <c r="E272" s="526"/>
      <c r="F272" s="526"/>
      <c r="G272" s="526"/>
      <c r="H272" s="526"/>
      <c r="I272" s="526"/>
      <c r="J272" s="526"/>
      <c r="K272" s="526"/>
      <c r="L272" s="526"/>
      <c r="M272" s="526"/>
      <c r="N272" s="526"/>
      <c r="O272" s="526"/>
      <c r="P272" s="526"/>
      <c r="Q272" s="526"/>
      <c r="R272" s="526"/>
      <c r="S272" s="526"/>
      <c r="T272" s="526"/>
      <c r="U272" s="526"/>
      <c r="V272" s="526"/>
      <c r="W272" s="526"/>
      <c r="X272" s="526"/>
      <c r="Y272" s="526"/>
      <c r="Z272" s="526"/>
    </row>
    <row r="273" spans="1:26" ht="18.600000000000001" x14ac:dyDescent="0.3">
      <c r="A273" s="526"/>
      <c r="B273" s="526"/>
      <c r="C273" s="526"/>
      <c r="D273" s="526"/>
      <c r="E273" s="526"/>
      <c r="F273" s="526"/>
      <c r="G273" s="526"/>
      <c r="H273" s="526"/>
      <c r="I273" s="526"/>
      <c r="J273" s="526"/>
      <c r="K273" s="526"/>
      <c r="L273" s="526"/>
      <c r="M273" s="526"/>
      <c r="N273" s="526"/>
      <c r="O273" s="526"/>
      <c r="P273" s="526"/>
      <c r="Q273" s="526"/>
      <c r="R273" s="526"/>
      <c r="S273" s="526"/>
      <c r="T273" s="526"/>
      <c r="U273" s="526"/>
      <c r="V273" s="526"/>
      <c r="W273" s="526"/>
      <c r="X273" s="526"/>
      <c r="Y273" s="526"/>
      <c r="Z273" s="526"/>
    </row>
    <row r="274" spans="1:26" ht="18.600000000000001" x14ac:dyDescent="0.3">
      <c r="A274" s="526"/>
      <c r="B274" s="526"/>
      <c r="C274" s="526"/>
      <c r="D274" s="526"/>
      <c r="E274" s="526"/>
      <c r="F274" s="526"/>
      <c r="G274" s="526"/>
      <c r="H274" s="526"/>
      <c r="I274" s="526"/>
      <c r="J274" s="526"/>
      <c r="K274" s="526"/>
      <c r="L274" s="526"/>
      <c r="M274" s="526"/>
      <c r="N274" s="526"/>
      <c r="O274" s="526"/>
      <c r="P274" s="526"/>
      <c r="Q274" s="526"/>
      <c r="R274" s="526"/>
      <c r="S274" s="526"/>
      <c r="T274" s="526"/>
      <c r="U274" s="526"/>
      <c r="V274" s="526"/>
      <c r="W274" s="526"/>
      <c r="X274" s="526"/>
      <c r="Y274" s="526"/>
      <c r="Z274" s="526"/>
    </row>
    <row r="275" spans="1:26" ht="18.600000000000001" x14ac:dyDescent="0.3">
      <c r="A275" s="526"/>
      <c r="B275" s="526"/>
      <c r="C275" s="526"/>
      <c r="D275" s="526"/>
      <c r="E275" s="526"/>
      <c r="F275" s="526"/>
      <c r="G275" s="526"/>
      <c r="H275" s="526"/>
      <c r="I275" s="526"/>
      <c r="J275" s="526"/>
      <c r="K275" s="526"/>
      <c r="L275" s="526"/>
      <c r="M275" s="526"/>
      <c r="N275" s="526"/>
      <c r="O275" s="526"/>
      <c r="P275" s="526"/>
      <c r="Q275" s="526"/>
      <c r="R275" s="526"/>
      <c r="S275" s="526"/>
      <c r="T275" s="526"/>
      <c r="U275" s="526"/>
      <c r="V275" s="526"/>
      <c r="W275" s="526"/>
      <c r="X275" s="526"/>
      <c r="Y275" s="526"/>
      <c r="Z275" s="526"/>
    </row>
    <row r="276" spans="1:26" ht="18.600000000000001" x14ac:dyDescent="0.3">
      <c r="A276" s="526"/>
      <c r="B276" s="526"/>
      <c r="C276" s="526"/>
      <c r="D276" s="526"/>
      <c r="E276" s="526"/>
      <c r="F276" s="526"/>
      <c r="G276" s="526"/>
      <c r="H276" s="526"/>
      <c r="I276" s="526"/>
      <c r="J276" s="526"/>
      <c r="K276" s="526"/>
      <c r="L276" s="526"/>
      <c r="M276" s="526"/>
      <c r="N276" s="526"/>
      <c r="O276" s="526"/>
      <c r="P276" s="526"/>
      <c r="Q276" s="526"/>
      <c r="R276" s="526"/>
      <c r="S276" s="526"/>
      <c r="T276" s="526"/>
      <c r="U276" s="526"/>
      <c r="V276" s="526"/>
      <c r="W276" s="526"/>
      <c r="X276" s="526"/>
      <c r="Y276" s="526"/>
      <c r="Z276" s="526"/>
    </row>
    <row r="277" spans="1:26" ht="18.600000000000001" x14ac:dyDescent="0.3">
      <c r="A277" s="526"/>
      <c r="B277" s="526"/>
      <c r="C277" s="526"/>
      <c r="D277" s="526"/>
      <c r="E277" s="526"/>
      <c r="F277" s="526"/>
      <c r="G277" s="526"/>
      <c r="H277" s="526"/>
      <c r="I277" s="526"/>
      <c r="J277" s="526"/>
      <c r="K277" s="526"/>
      <c r="L277" s="526"/>
      <c r="M277" s="526"/>
      <c r="N277" s="526"/>
      <c r="O277" s="526"/>
      <c r="P277" s="526"/>
      <c r="Q277" s="526"/>
      <c r="R277" s="526"/>
      <c r="S277" s="526"/>
      <c r="T277" s="526"/>
      <c r="U277" s="526"/>
      <c r="V277" s="526"/>
      <c r="W277" s="526"/>
      <c r="X277" s="526"/>
      <c r="Y277" s="526"/>
      <c r="Z277" s="526"/>
    </row>
    <row r="278" spans="1:26" ht="18.600000000000001" x14ac:dyDescent="0.3">
      <c r="A278" s="526"/>
      <c r="B278" s="526"/>
      <c r="C278" s="526"/>
      <c r="D278" s="526"/>
      <c r="E278" s="526"/>
      <c r="F278" s="526"/>
      <c r="G278" s="526"/>
      <c r="H278" s="526"/>
      <c r="I278" s="526"/>
      <c r="J278" s="526"/>
      <c r="K278" s="526"/>
      <c r="L278" s="526"/>
      <c r="M278" s="526"/>
      <c r="N278" s="526"/>
      <c r="O278" s="526"/>
      <c r="P278" s="526"/>
      <c r="Q278" s="526"/>
      <c r="R278" s="526"/>
      <c r="S278" s="526"/>
      <c r="T278" s="526"/>
      <c r="U278" s="526"/>
      <c r="V278" s="526"/>
      <c r="W278" s="526"/>
      <c r="X278" s="526"/>
      <c r="Y278" s="526"/>
      <c r="Z278" s="526"/>
    </row>
    <row r="279" spans="1:26" ht="18.600000000000001" x14ac:dyDescent="0.3">
      <c r="A279" s="526"/>
      <c r="B279" s="526"/>
      <c r="C279" s="526"/>
      <c r="D279" s="526"/>
      <c r="E279" s="526"/>
      <c r="F279" s="526"/>
      <c r="G279" s="526"/>
      <c r="H279" s="526"/>
      <c r="I279" s="526"/>
      <c r="J279" s="526"/>
      <c r="K279" s="526"/>
      <c r="L279" s="526"/>
      <c r="M279" s="526"/>
      <c r="N279" s="526"/>
      <c r="O279" s="526"/>
      <c r="P279" s="526"/>
      <c r="Q279" s="526"/>
      <c r="R279" s="526"/>
      <c r="S279" s="526"/>
      <c r="T279" s="526"/>
      <c r="U279" s="526"/>
      <c r="V279" s="526"/>
      <c r="W279" s="526"/>
      <c r="X279" s="526"/>
      <c r="Y279" s="526"/>
      <c r="Z279" s="526"/>
    </row>
    <row r="280" spans="1:26" ht="18.600000000000001" x14ac:dyDescent="0.3">
      <c r="A280" s="526"/>
      <c r="B280" s="526"/>
      <c r="C280" s="526"/>
      <c r="D280" s="526"/>
      <c r="E280" s="526"/>
      <c r="F280" s="526"/>
      <c r="G280" s="526"/>
      <c r="H280" s="526"/>
      <c r="I280" s="526"/>
      <c r="J280" s="526"/>
      <c r="K280" s="526"/>
      <c r="L280" s="526"/>
      <c r="M280" s="526"/>
      <c r="N280" s="526"/>
      <c r="O280" s="526"/>
      <c r="P280" s="526"/>
      <c r="Q280" s="526"/>
      <c r="R280" s="526"/>
      <c r="S280" s="526"/>
      <c r="T280" s="526"/>
      <c r="U280" s="526"/>
      <c r="V280" s="526"/>
      <c r="W280" s="526"/>
      <c r="X280" s="526"/>
      <c r="Y280" s="526"/>
      <c r="Z280" s="526"/>
    </row>
    <row r="281" spans="1:26" ht="18.600000000000001" x14ac:dyDescent="0.3">
      <c r="A281" s="526"/>
      <c r="B281" s="526"/>
      <c r="C281" s="526"/>
      <c r="D281" s="526"/>
      <c r="E281" s="526"/>
      <c r="F281" s="526"/>
      <c r="G281" s="526"/>
      <c r="H281" s="526"/>
      <c r="I281" s="526"/>
      <c r="J281" s="526"/>
      <c r="K281" s="526"/>
      <c r="L281" s="526"/>
      <c r="M281" s="526"/>
      <c r="N281" s="526"/>
      <c r="O281" s="526"/>
      <c r="P281" s="526"/>
      <c r="Q281" s="526"/>
      <c r="R281" s="526"/>
      <c r="S281" s="526"/>
      <c r="T281" s="526"/>
      <c r="U281" s="526"/>
      <c r="V281" s="526"/>
      <c r="W281" s="526"/>
      <c r="X281" s="526"/>
      <c r="Y281" s="526"/>
      <c r="Z281" s="526"/>
    </row>
    <row r="282" spans="1:26" ht="18.600000000000001" x14ac:dyDescent="0.3">
      <c r="A282" s="526"/>
      <c r="B282" s="526"/>
      <c r="C282" s="526"/>
      <c r="D282" s="526"/>
      <c r="E282" s="526"/>
      <c r="F282" s="526"/>
      <c r="G282" s="526"/>
      <c r="H282" s="526"/>
      <c r="I282" s="526"/>
      <c r="J282" s="526"/>
      <c r="K282" s="526"/>
      <c r="L282" s="526"/>
      <c r="M282" s="526"/>
      <c r="N282" s="526"/>
      <c r="O282" s="526"/>
      <c r="P282" s="526"/>
      <c r="Q282" s="526"/>
      <c r="R282" s="526"/>
      <c r="S282" s="526"/>
      <c r="T282" s="526"/>
      <c r="U282" s="526"/>
      <c r="V282" s="526"/>
      <c r="W282" s="526"/>
      <c r="X282" s="526"/>
      <c r="Y282" s="526"/>
      <c r="Z282" s="526"/>
    </row>
    <row r="283" spans="1:26" ht="18.600000000000001" x14ac:dyDescent="0.3">
      <c r="A283" s="526"/>
      <c r="B283" s="526"/>
      <c r="C283" s="526"/>
      <c r="D283" s="526"/>
      <c r="E283" s="526"/>
      <c r="F283" s="526"/>
      <c r="G283" s="526"/>
      <c r="H283" s="526"/>
      <c r="I283" s="526"/>
      <c r="J283" s="526"/>
      <c r="K283" s="526"/>
      <c r="L283" s="526"/>
      <c r="M283" s="526"/>
      <c r="N283" s="526"/>
      <c r="O283" s="526"/>
      <c r="P283" s="526"/>
      <c r="Q283" s="526"/>
      <c r="R283" s="526"/>
      <c r="S283" s="526"/>
      <c r="T283" s="526"/>
      <c r="U283" s="526"/>
      <c r="V283" s="526"/>
      <c r="W283" s="526"/>
      <c r="X283" s="526"/>
      <c r="Y283" s="526"/>
      <c r="Z283" s="526"/>
    </row>
    <row r="284" spans="1:26" ht="18.600000000000001" x14ac:dyDescent="0.3">
      <c r="A284" s="526"/>
      <c r="B284" s="526"/>
      <c r="C284" s="526"/>
      <c r="D284" s="526"/>
      <c r="E284" s="526"/>
      <c r="F284" s="526"/>
      <c r="G284" s="526"/>
      <c r="H284" s="526"/>
      <c r="I284" s="526"/>
      <c r="J284" s="526"/>
      <c r="K284" s="526"/>
      <c r="L284" s="526"/>
      <c r="M284" s="526"/>
      <c r="N284" s="526"/>
      <c r="O284" s="526"/>
      <c r="P284" s="526"/>
      <c r="Q284" s="526"/>
      <c r="R284" s="526"/>
      <c r="S284" s="526"/>
      <c r="T284" s="526"/>
      <c r="U284" s="526"/>
      <c r="V284" s="526"/>
      <c r="W284" s="526"/>
      <c r="X284" s="526"/>
      <c r="Y284" s="526"/>
      <c r="Z284" s="526"/>
    </row>
    <row r="285" spans="1:26" ht="18.600000000000001" x14ac:dyDescent="0.3">
      <c r="A285" s="526"/>
      <c r="B285" s="526"/>
      <c r="C285" s="526"/>
      <c r="D285" s="526"/>
      <c r="E285" s="526"/>
      <c r="F285" s="526"/>
      <c r="G285" s="526"/>
      <c r="H285" s="526"/>
      <c r="I285" s="526"/>
      <c r="J285" s="526"/>
      <c r="K285" s="526"/>
      <c r="L285" s="526"/>
      <c r="M285" s="526"/>
      <c r="N285" s="526"/>
      <c r="O285" s="526"/>
      <c r="P285" s="526"/>
      <c r="Q285" s="526"/>
      <c r="R285" s="526"/>
      <c r="S285" s="526"/>
      <c r="T285" s="526"/>
      <c r="U285" s="526"/>
      <c r="V285" s="526"/>
      <c r="W285" s="526"/>
      <c r="X285" s="526"/>
      <c r="Y285" s="526"/>
      <c r="Z285" s="526"/>
    </row>
    <row r="286" spans="1:26" ht="18.600000000000001" x14ac:dyDescent="0.3">
      <c r="A286" s="526"/>
      <c r="B286" s="526"/>
      <c r="C286" s="526"/>
      <c r="D286" s="526"/>
      <c r="E286" s="526"/>
      <c r="F286" s="526"/>
      <c r="G286" s="526"/>
      <c r="H286" s="526"/>
      <c r="I286" s="526"/>
      <c r="J286" s="526"/>
      <c r="K286" s="526"/>
      <c r="L286" s="526"/>
      <c r="M286" s="526"/>
      <c r="N286" s="526"/>
      <c r="O286" s="526"/>
      <c r="P286" s="526"/>
      <c r="Q286" s="526"/>
      <c r="R286" s="526"/>
      <c r="S286" s="526"/>
      <c r="T286" s="526"/>
      <c r="U286" s="526"/>
      <c r="V286" s="526"/>
      <c r="W286" s="526"/>
      <c r="X286" s="526"/>
      <c r="Y286" s="526"/>
      <c r="Z286" s="526"/>
    </row>
    <row r="287" spans="1:26" ht="18.600000000000001" x14ac:dyDescent="0.3">
      <c r="A287" s="526"/>
      <c r="B287" s="526"/>
      <c r="C287" s="526"/>
      <c r="D287" s="526"/>
      <c r="E287" s="526"/>
      <c r="F287" s="526"/>
      <c r="G287" s="526"/>
      <c r="H287" s="526"/>
      <c r="I287" s="526"/>
      <c r="J287" s="526"/>
      <c r="K287" s="526"/>
      <c r="L287" s="526"/>
      <c r="M287" s="526"/>
      <c r="N287" s="526"/>
      <c r="O287" s="526"/>
      <c r="P287" s="526"/>
      <c r="Q287" s="526"/>
      <c r="R287" s="526"/>
      <c r="S287" s="526"/>
      <c r="T287" s="526"/>
      <c r="U287" s="526"/>
      <c r="V287" s="526"/>
      <c r="W287" s="526"/>
      <c r="X287" s="526"/>
      <c r="Y287" s="526"/>
      <c r="Z287" s="526"/>
    </row>
    <row r="288" spans="1:26" ht="18.600000000000001" x14ac:dyDescent="0.3">
      <c r="A288" s="526"/>
      <c r="B288" s="526"/>
      <c r="C288" s="526"/>
      <c r="D288" s="526"/>
      <c r="E288" s="526"/>
      <c r="F288" s="526"/>
      <c r="G288" s="526"/>
      <c r="H288" s="526"/>
      <c r="I288" s="526"/>
      <c r="J288" s="526"/>
      <c r="K288" s="526"/>
      <c r="L288" s="526"/>
      <c r="M288" s="526"/>
      <c r="N288" s="526"/>
      <c r="O288" s="526"/>
      <c r="P288" s="526"/>
      <c r="Q288" s="526"/>
      <c r="R288" s="526"/>
      <c r="S288" s="526"/>
      <c r="T288" s="526"/>
      <c r="U288" s="526"/>
      <c r="V288" s="526"/>
      <c r="W288" s="526"/>
      <c r="X288" s="526"/>
      <c r="Y288" s="526"/>
      <c r="Z288" s="526"/>
    </row>
    <row r="289" spans="1:26" ht="18.600000000000001" x14ac:dyDescent="0.3">
      <c r="A289" s="526"/>
      <c r="B289" s="526"/>
      <c r="C289" s="526"/>
      <c r="D289" s="526"/>
      <c r="E289" s="526"/>
      <c r="F289" s="526"/>
      <c r="G289" s="526"/>
      <c r="H289" s="526"/>
      <c r="I289" s="526"/>
      <c r="J289" s="526"/>
      <c r="K289" s="526"/>
      <c r="L289" s="526"/>
      <c r="M289" s="526"/>
      <c r="N289" s="526"/>
      <c r="O289" s="526"/>
      <c r="P289" s="526"/>
      <c r="Q289" s="526"/>
      <c r="R289" s="526"/>
      <c r="S289" s="526"/>
      <c r="T289" s="526"/>
      <c r="U289" s="526"/>
      <c r="V289" s="526"/>
      <c r="W289" s="526"/>
      <c r="X289" s="526"/>
      <c r="Y289" s="526"/>
      <c r="Z289" s="526"/>
    </row>
    <row r="290" spans="1:26" ht="18.600000000000001" x14ac:dyDescent="0.3">
      <c r="A290" s="526"/>
      <c r="B290" s="526"/>
      <c r="C290" s="526"/>
      <c r="D290" s="526"/>
      <c r="E290" s="526"/>
      <c r="F290" s="526"/>
      <c r="G290" s="526"/>
      <c r="H290" s="526"/>
      <c r="I290" s="526"/>
      <c r="J290" s="526"/>
      <c r="K290" s="526"/>
      <c r="L290" s="526"/>
      <c r="M290" s="526"/>
      <c r="N290" s="526"/>
      <c r="O290" s="526"/>
      <c r="P290" s="526"/>
      <c r="Q290" s="526"/>
      <c r="R290" s="526"/>
      <c r="S290" s="526"/>
      <c r="T290" s="526"/>
      <c r="U290" s="526"/>
      <c r="V290" s="526"/>
      <c r="W290" s="526"/>
      <c r="X290" s="526"/>
      <c r="Y290" s="526"/>
      <c r="Z290" s="526"/>
    </row>
    <row r="291" spans="1:26" ht="18.600000000000001" x14ac:dyDescent="0.3">
      <c r="A291" s="526"/>
      <c r="B291" s="526"/>
      <c r="C291" s="526"/>
      <c r="D291" s="526"/>
      <c r="E291" s="526"/>
      <c r="F291" s="526"/>
      <c r="G291" s="526"/>
      <c r="H291" s="526"/>
      <c r="I291" s="526"/>
      <c r="J291" s="526"/>
      <c r="K291" s="526"/>
      <c r="L291" s="526"/>
      <c r="M291" s="526"/>
      <c r="N291" s="526"/>
      <c r="O291" s="526"/>
      <c r="P291" s="526"/>
      <c r="Q291" s="526"/>
      <c r="R291" s="526"/>
      <c r="S291" s="526"/>
      <c r="T291" s="526"/>
      <c r="U291" s="526"/>
      <c r="V291" s="526"/>
      <c r="W291" s="526"/>
      <c r="X291" s="526"/>
      <c r="Y291" s="526"/>
      <c r="Z291" s="526"/>
    </row>
    <row r="292" spans="1:26" ht="18.600000000000001" x14ac:dyDescent="0.3">
      <c r="A292" s="526"/>
      <c r="B292" s="526"/>
      <c r="C292" s="526"/>
      <c r="D292" s="526"/>
      <c r="E292" s="526"/>
      <c r="F292" s="526"/>
      <c r="G292" s="526"/>
      <c r="H292" s="526"/>
      <c r="I292" s="526"/>
      <c r="J292" s="526"/>
      <c r="K292" s="526"/>
      <c r="L292" s="526"/>
      <c r="M292" s="526"/>
      <c r="N292" s="526"/>
      <c r="O292" s="526"/>
      <c r="P292" s="526"/>
      <c r="Q292" s="526"/>
      <c r="R292" s="526"/>
      <c r="S292" s="526"/>
      <c r="T292" s="526"/>
      <c r="U292" s="526"/>
      <c r="V292" s="526"/>
      <c r="W292" s="526"/>
      <c r="X292" s="526"/>
      <c r="Y292" s="526"/>
      <c r="Z292" s="526"/>
    </row>
    <row r="293" spans="1:26" ht="18.600000000000001" x14ac:dyDescent="0.3">
      <c r="A293" s="526"/>
      <c r="B293" s="526"/>
      <c r="C293" s="526"/>
      <c r="D293" s="526"/>
      <c r="E293" s="526"/>
      <c r="F293" s="526"/>
      <c r="G293" s="526"/>
      <c r="H293" s="526"/>
      <c r="I293" s="526"/>
      <c r="J293" s="526"/>
      <c r="K293" s="526"/>
      <c r="L293" s="526"/>
      <c r="M293" s="526"/>
      <c r="N293" s="526"/>
      <c r="O293" s="526"/>
      <c r="P293" s="526"/>
      <c r="Q293" s="526"/>
      <c r="R293" s="526"/>
      <c r="S293" s="526"/>
      <c r="T293" s="526"/>
      <c r="U293" s="526"/>
      <c r="V293" s="526"/>
      <c r="W293" s="526"/>
      <c r="X293" s="526"/>
      <c r="Y293" s="526"/>
      <c r="Z293" s="526"/>
    </row>
    <row r="294" spans="1:26" ht="18.600000000000001" x14ac:dyDescent="0.3">
      <c r="A294" s="526"/>
      <c r="B294" s="526"/>
      <c r="C294" s="526"/>
      <c r="D294" s="526"/>
      <c r="E294" s="526"/>
      <c r="F294" s="526"/>
      <c r="G294" s="526"/>
      <c r="H294" s="526"/>
      <c r="I294" s="526"/>
      <c r="J294" s="526"/>
      <c r="K294" s="526"/>
      <c r="L294" s="526"/>
      <c r="M294" s="526"/>
      <c r="N294" s="526"/>
      <c r="O294" s="526"/>
      <c r="P294" s="526"/>
      <c r="Q294" s="526"/>
      <c r="R294" s="526"/>
      <c r="S294" s="526"/>
      <c r="T294" s="526"/>
      <c r="U294" s="526"/>
      <c r="V294" s="526"/>
      <c r="W294" s="526"/>
      <c r="X294" s="526"/>
      <c r="Y294" s="526"/>
      <c r="Z294" s="526"/>
    </row>
    <row r="295" spans="1:26" ht="18.600000000000001" x14ac:dyDescent="0.3">
      <c r="A295" s="526"/>
      <c r="B295" s="526"/>
      <c r="C295" s="526"/>
      <c r="D295" s="526"/>
      <c r="E295" s="526"/>
      <c r="F295" s="526"/>
      <c r="G295" s="526"/>
      <c r="H295" s="526"/>
      <c r="I295" s="526"/>
      <c r="J295" s="526"/>
      <c r="K295" s="526"/>
      <c r="L295" s="526"/>
      <c r="M295" s="526"/>
      <c r="N295" s="526"/>
      <c r="O295" s="526"/>
      <c r="P295" s="526"/>
      <c r="Q295" s="526"/>
      <c r="R295" s="526"/>
      <c r="S295" s="526"/>
      <c r="T295" s="526"/>
      <c r="U295" s="526"/>
      <c r="V295" s="526"/>
      <c r="W295" s="526"/>
      <c r="X295" s="526"/>
      <c r="Y295" s="526"/>
      <c r="Z295" s="526"/>
    </row>
    <row r="296" spans="1:26" ht="18.600000000000001" x14ac:dyDescent="0.3">
      <c r="A296" s="526"/>
      <c r="B296" s="526"/>
      <c r="C296" s="526"/>
      <c r="D296" s="526"/>
      <c r="E296" s="526"/>
      <c r="F296" s="526"/>
      <c r="G296" s="526"/>
      <c r="H296" s="526"/>
      <c r="I296" s="526"/>
      <c r="J296" s="526"/>
      <c r="K296" s="526"/>
      <c r="L296" s="526"/>
      <c r="M296" s="526"/>
      <c r="N296" s="526"/>
      <c r="O296" s="526"/>
      <c r="P296" s="526"/>
      <c r="Q296" s="526"/>
      <c r="R296" s="526"/>
      <c r="S296" s="526"/>
      <c r="T296" s="526"/>
      <c r="U296" s="526"/>
      <c r="V296" s="526"/>
      <c r="W296" s="526"/>
      <c r="X296" s="526"/>
      <c r="Y296" s="526"/>
      <c r="Z296" s="526"/>
    </row>
    <row r="297" spans="1:26" ht="18.600000000000001" x14ac:dyDescent="0.3">
      <c r="A297" s="526"/>
      <c r="B297" s="526"/>
      <c r="C297" s="526"/>
      <c r="D297" s="526"/>
      <c r="E297" s="526"/>
      <c r="F297" s="526"/>
      <c r="G297" s="526"/>
      <c r="H297" s="526"/>
      <c r="I297" s="526"/>
      <c r="J297" s="526"/>
      <c r="K297" s="526"/>
      <c r="L297" s="526"/>
      <c r="M297" s="526"/>
      <c r="N297" s="526"/>
      <c r="O297" s="526"/>
      <c r="P297" s="526"/>
      <c r="Q297" s="526"/>
      <c r="R297" s="526"/>
      <c r="S297" s="526"/>
      <c r="T297" s="526"/>
      <c r="U297" s="526"/>
      <c r="V297" s="526"/>
      <c r="W297" s="526"/>
      <c r="X297" s="526"/>
      <c r="Y297" s="526"/>
      <c r="Z297" s="526"/>
    </row>
    <row r="298" spans="1:26" ht="18.600000000000001" x14ac:dyDescent="0.3">
      <c r="A298" s="526"/>
      <c r="B298" s="526"/>
      <c r="C298" s="526"/>
      <c r="D298" s="526"/>
      <c r="E298" s="526"/>
      <c r="F298" s="526"/>
      <c r="G298" s="526"/>
      <c r="H298" s="526"/>
      <c r="I298" s="526"/>
      <c r="J298" s="526"/>
      <c r="K298" s="526"/>
      <c r="L298" s="526"/>
      <c r="M298" s="526"/>
      <c r="N298" s="526"/>
      <c r="O298" s="526"/>
      <c r="P298" s="526"/>
      <c r="Q298" s="526"/>
      <c r="R298" s="526"/>
      <c r="S298" s="526"/>
      <c r="T298" s="526"/>
      <c r="U298" s="526"/>
      <c r="V298" s="526"/>
      <c r="W298" s="526"/>
      <c r="X298" s="526"/>
      <c r="Y298" s="526"/>
      <c r="Z298" s="526"/>
    </row>
    <row r="299" spans="1:26" ht="18.600000000000001" x14ac:dyDescent="0.3">
      <c r="A299" s="526"/>
      <c r="B299" s="526"/>
      <c r="C299" s="526"/>
      <c r="D299" s="526"/>
      <c r="E299" s="526"/>
      <c r="F299" s="526"/>
      <c r="G299" s="526"/>
      <c r="H299" s="526"/>
      <c r="I299" s="526"/>
      <c r="J299" s="526"/>
      <c r="K299" s="526"/>
      <c r="L299" s="526"/>
      <c r="M299" s="526"/>
      <c r="N299" s="526"/>
      <c r="O299" s="526"/>
      <c r="P299" s="526"/>
      <c r="Q299" s="526"/>
      <c r="R299" s="526"/>
      <c r="S299" s="526"/>
      <c r="T299" s="526"/>
      <c r="U299" s="526"/>
      <c r="V299" s="526"/>
      <c r="W299" s="526"/>
      <c r="X299" s="526"/>
      <c r="Y299" s="526"/>
      <c r="Z299" s="526"/>
    </row>
    <row r="300" spans="1:26" ht="18.600000000000001" x14ac:dyDescent="0.3">
      <c r="A300" s="526"/>
      <c r="B300" s="526"/>
      <c r="C300" s="526"/>
      <c r="D300" s="526"/>
      <c r="E300" s="526"/>
      <c r="F300" s="526"/>
      <c r="G300" s="526"/>
      <c r="H300" s="526"/>
      <c r="I300" s="526"/>
      <c r="J300" s="526"/>
      <c r="K300" s="526"/>
      <c r="L300" s="526"/>
      <c r="M300" s="526"/>
      <c r="N300" s="526"/>
      <c r="O300" s="526"/>
      <c r="P300" s="526"/>
      <c r="Q300" s="526"/>
      <c r="R300" s="526"/>
      <c r="S300" s="526"/>
      <c r="T300" s="526"/>
      <c r="U300" s="526"/>
      <c r="V300" s="526"/>
      <c r="W300" s="526"/>
      <c r="X300" s="526"/>
      <c r="Y300" s="526"/>
      <c r="Z300" s="526"/>
    </row>
    <row r="301" spans="1:26" ht="18.600000000000001" x14ac:dyDescent="0.3">
      <c r="A301" s="526"/>
      <c r="B301" s="526"/>
      <c r="C301" s="526"/>
      <c r="D301" s="526"/>
      <c r="E301" s="526"/>
      <c r="F301" s="526"/>
      <c r="G301" s="526"/>
      <c r="H301" s="526"/>
      <c r="I301" s="526"/>
      <c r="J301" s="526"/>
      <c r="K301" s="526"/>
      <c r="L301" s="526"/>
      <c r="M301" s="526"/>
      <c r="N301" s="526"/>
      <c r="O301" s="526"/>
      <c r="P301" s="526"/>
      <c r="Q301" s="526"/>
      <c r="R301" s="526"/>
      <c r="S301" s="526"/>
      <c r="T301" s="526"/>
      <c r="U301" s="526"/>
      <c r="V301" s="526"/>
      <c r="W301" s="526"/>
      <c r="X301" s="526"/>
      <c r="Y301" s="526"/>
      <c r="Z301" s="526"/>
    </row>
    <row r="302" spans="1:26" ht="18.600000000000001" x14ac:dyDescent="0.3">
      <c r="A302" s="526"/>
      <c r="B302" s="526"/>
      <c r="C302" s="526"/>
      <c r="D302" s="526"/>
      <c r="E302" s="526"/>
      <c r="F302" s="526"/>
      <c r="G302" s="526"/>
      <c r="H302" s="526"/>
      <c r="I302" s="526"/>
      <c r="J302" s="526"/>
      <c r="K302" s="526"/>
      <c r="L302" s="526"/>
      <c r="M302" s="526"/>
      <c r="N302" s="526"/>
      <c r="O302" s="526"/>
      <c r="P302" s="526"/>
      <c r="Q302" s="526"/>
      <c r="R302" s="526"/>
      <c r="S302" s="526"/>
      <c r="T302" s="526"/>
      <c r="U302" s="526"/>
      <c r="V302" s="526"/>
      <c r="W302" s="526"/>
      <c r="X302" s="526"/>
      <c r="Y302" s="526"/>
      <c r="Z302" s="526"/>
    </row>
    <row r="303" spans="1:26" ht="18.600000000000001" x14ac:dyDescent="0.3">
      <c r="A303" s="526"/>
      <c r="B303" s="526"/>
      <c r="C303" s="526"/>
      <c r="D303" s="526"/>
      <c r="E303" s="526"/>
      <c r="F303" s="526"/>
      <c r="G303" s="526"/>
      <c r="H303" s="526"/>
      <c r="I303" s="526"/>
      <c r="J303" s="526"/>
      <c r="K303" s="526"/>
      <c r="L303" s="526"/>
      <c r="M303" s="526"/>
      <c r="N303" s="526"/>
      <c r="O303" s="526"/>
      <c r="P303" s="526"/>
      <c r="Q303" s="526"/>
      <c r="R303" s="526"/>
      <c r="S303" s="526"/>
      <c r="T303" s="526"/>
      <c r="U303" s="526"/>
      <c r="V303" s="526"/>
      <c r="W303" s="526"/>
      <c r="X303" s="526"/>
      <c r="Y303" s="526"/>
      <c r="Z303" s="526"/>
    </row>
    <row r="304" spans="1:26" ht="18.600000000000001" x14ac:dyDescent="0.3">
      <c r="A304" s="526"/>
      <c r="B304" s="526"/>
      <c r="C304" s="526"/>
      <c r="D304" s="526"/>
      <c r="E304" s="526"/>
      <c r="F304" s="526"/>
      <c r="G304" s="526"/>
      <c r="H304" s="526"/>
      <c r="I304" s="526"/>
      <c r="J304" s="526"/>
      <c r="K304" s="526"/>
      <c r="L304" s="526"/>
      <c r="M304" s="526"/>
      <c r="N304" s="526"/>
      <c r="O304" s="526"/>
      <c r="P304" s="526"/>
      <c r="Q304" s="526"/>
      <c r="R304" s="526"/>
      <c r="S304" s="526"/>
      <c r="T304" s="526"/>
      <c r="U304" s="526"/>
      <c r="V304" s="526"/>
      <c r="W304" s="526"/>
      <c r="X304" s="526"/>
      <c r="Y304" s="526"/>
      <c r="Z304" s="526"/>
    </row>
    <row r="305" spans="1:26" ht="18.600000000000001" x14ac:dyDescent="0.3">
      <c r="A305" s="526"/>
      <c r="B305" s="526"/>
      <c r="C305" s="526"/>
      <c r="D305" s="526"/>
      <c r="E305" s="526"/>
      <c r="F305" s="526"/>
      <c r="G305" s="526"/>
      <c r="H305" s="526"/>
      <c r="I305" s="526"/>
      <c r="J305" s="526"/>
      <c r="K305" s="526"/>
      <c r="L305" s="526"/>
      <c r="M305" s="526"/>
      <c r="N305" s="526"/>
      <c r="O305" s="526"/>
      <c r="P305" s="526"/>
      <c r="Q305" s="526"/>
      <c r="R305" s="526"/>
      <c r="S305" s="526"/>
      <c r="T305" s="526"/>
      <c r="U305" s="526"/>
      <c r="V305" s="526"/>
      <c r="W305" s="526"/>
      <c r="X305" s="526"/>
      <c r="Y305" s="526"/>
      <c r="Z305" s="526"/>
    </row>
    <row r="306" spans="1:26" ht="18.600000000000001" x14ac:dyDescent="0.3">
      <c r="A306" s="526"/>
      <c r="B306" s="526"/>
      <c r="C306" s="526"/>
      <c r="D306" s="526"/>
      <c r="E306" s="526"/>
      <c r="F306" s="526"/>
      <c r="G306" s="526"/>
      <c r="H306" s="526"/>
      <c r="I306" s="526"/>
      <c r="J306" s="526"/>
      <c r="K306" s="526"/>
      <c r="L306" s="526"/>
      <c r="M306" s="526"/>
      <c r="N306" s="526"/>
      <c r="O306" s="526"/>
      <c r="P306" s="526"/>
      <c r="Q306" s="526"/>
      <c r="R306" s="526"/>
      <c r="S306" s="526"/>
      <c r="T306" s="526"/>
      <c r="U306" s="526"/>
      <c r="V306" s="526"/>
      <c r="W306" s="526"/>
      <c r="X306" s="526"/>
      <c r="Y306" s="526"/>
      <c r="Z306" s="526"/>
    </row>
    <row r="307" spans="1:26" ht="18.600000000000001" x14ac:dyDescent="0.3">
      <c r="A307" s="526"/>
      <c r="B307" s="526"/>
      <c r="C307" s="526"/>
      <c r="D307" s="526"/>
      <c r="E307" s="526"/>
      <c r="F307" s="526"/>
      <c r="G307" s="526"/>
      <c r="H307" s="526"/>
      <c r="I307" s="526"/>
      <c r="J307" s="526"/>
      <c r="K307" s="526"/>
      <c r="L307" s="526"/>
      <c r="M307" s="526"/>
      <c r="N307" s="526"/>
      <c r="O307" s="526"/>
      <c r="P307" s="526"/>
      <c r="Q307" s="526"/>
      <c r="R307" s="526"/>
      <c r="S307" s="526"/>
      <c r="T307" s="526"/>
      <c r="U307" s="526"/>
      <c r="V307" s="526"/>
      <c r="W307" s="526"/>
      <c r="X307" s="526"/>
      <c r="Y307" s="526"/>
      <c r="Z307" s="526"/>
    </row>
    <row r="308" spans="1:26" ht="18.600000000000001" x14ac:dyDescent="0.3">
      <c r="A308" s="526"/>
      <c r="B308" s="526"/>
      <c r="C308" s="526"/>
      <c r="D308" s="526"/>
      <c r="E308" s="526"/>
      <c r="F308" s="526"/>
      <c r="G308" s="526"/>
      <c r="H308" s="526"/>
      <c r="I308" s="526"/>
      <c r="J308" s="526"/>
      <c r="K308" s="526"/>
      <c r="L308" s="526"/>
      <c r="M308" s="526"/>
      <c r="N308" s="526"/>
      <c r="O308" s="526"/>
      <c r="P308" s="526"/>
      <c r="Q308" s="526"/>
      <c r="R308" s="526"/>
      <c r="S308" s="526"/>
      <c r="T308" s="526"/>
      <c r="U308" s="526"/>
      <c r="V308" s="526"/>
      <c r="W308" s="526"/>
      <c r="X308" s="526"/>
      <c r="Y308" s="526"/>
      <c r="Z308" s="526"/>
    </row>
    <row r="309" spans="1:26" ht="18.600000000000001" x14ac:dyDescent="0.3">
      <c r="A309" s="526"/>
      <c r="B309" s="526"/>
      <c r="C309" s="526"/>
      <c r="D309" s="526"/>
      <c r="E309" s="526"/>
      <c r="F309" s="526"/>
      <c r="G309" s="526"/>
      <c r="H309" s="526"/>
      <c r="I309" s="526"/>
      <c r="J309" s="526"/>
      <c r="K309" s="526"/>
      <c r="L309" s="526"/>
      <c r="M309" s="526"/>
      <c r="N309" s="526"/>
      <c r="O309" s="526"/>
      <c r="P309" s="526"/>
      <c r="Q309" s="526"/>
      <c r="R309" s="526"/>
      <c r="S309" s="526"/>
      <c r="T309" s="526"/>
      <c r="U309" s="526"/>
      <c r="V309" s="526"/>
      <c r="W309" s="526"/>
      <c r="X309" s="526"/>
      <c r="Y309" s="526"/>
      <c r="Z309" s="526"/>
    </row>
    <row r="310" spans="1:26" ht="18.600000000000001" x14ac:dyDescent="0.3">
      <c r="A310" s="526"/>
      <c r="B310" s="526"/>
      <c r="C310" s="526"/>
      <c r="D310" s="526"/>
      <c r="E310" s="526"/>
      <c r="F310" s="526"/>
      <c r="G310" s="526"/>
      <c r="H310" s="526"/>
      <c r="I310" s="526"/>
      <c r="J310" s="526"/>
      <c r="K310" s="526"/>
      <c r="L310" s="526"/>
      <c r="M310" s="526"/>
      <c r="N310" s="526"/>
      <c r="O310" s="526"/>
      <c r="P310" s="526"/>
      <c r="Q310" s="526"/>
      <c r="R310" s="526"/>
      <c r="S310" s="526"/>
      <c r="T310" s="526"/>
      <c r="U310" s="526"/>
      <c r="V310" s="526"/>
      <c r="W310" s="526"/>
      <c r="X310" s="526"/>
      <c r="Y310" s="526"/>
      <c r="Z310" s="526"/>
    </row>
    <row r="311" spans="1:26" ht="18.600000000000001" x14ac:dyDescent="0.3">
      <c r="A311" s="526"/>
      <c r="B311" s="526"/>
      <c r="C311" s="526"/>
      <c r="D311" s="526"/>
      <c r="E311" s="526"/>
      <c r="F311" s="526"/>
      <c r="G311" s="526"/>
      <c r="H311" s="526"/>
      <c r="I311" s="526"/>
      <c r="J311" s="526"/>
      <c r="K311" s="526"/>
      <c r="L311" s="526"/>
      <c r="M311" s="526"/>
      <c r="N311" s="526"/>
      <c r="O311" s="526"/>
      <c r="P311" s="526"/>
      <c r="Q311" s="526"/>
      <c r="R311" s="526"/>
      <c r="S311" s="526"/>
      <c r="T311" s="526"/>
      <c r="U311" s="526"/>
      <c r="V311" s="526"/>
      <c r="W311" s="526"/>
      <c r="X311" s="526"/>
      <c r="Y311" s="526"/>
      <c r="Z311" s="526"/>
    </row>
    <row r="312" spans="1:26" ht="18.600000000000001" x14ac:dyDescent="0.3">
      <c r="A312" s="526"/>
      <c r="B312" s="526"/>
      <c r="C312" s="526"/>
      <c r="D312" s="526"/>
      <c r="E312" s="526"/>
      <c r="F312" s="526"/>
      <c r="G312" s="526"/>
      <c r="H312" s="526"/>
      <c r="I312" s="526"/>
      <c r="J312" s="526"/>
      <c r="K312" s="526"/>
      <c r="L312" s="526"/>
      <c r="M312" s="526"/>
      <c r="N312" s="526"/>
      <c r="O312" s="526"/>
      <c r="P312" s="526"/>
      <c r="Q312" s="526"/>
      <c r="R312" s="526"/>
      <c r="S312" s="526"/>
      <c r="T312" s="526"/>
      <c r="U312" s="526"/>
      <c r="V312" s="526"/>
      <c r="W312" s="526"/>
      <c r="X312" s="526"/>
      <c r="Y312" s="526"/>
      <c r="Z312" s="526"/>
    </row>
    <row r="313" spans="1:26" ht="18.600000000000001" x14ac:dyDescent="0.3">
      <c r="A313" s="526"/>
      <c r="B313" s="526"/>
      <c r="C313" s="526"/>
      <c r="D313" s="526"/>
      <c r="E313" s="526"/>
      <c r="F313" s="526"/>
      <c r="G313" s="526"/>
      <c r="H313" s="526"/>
      <c r="I313" s="526"/>
      <c r="J313" s="526"/>
      <c r="K313" s="526"/>
      <c r="L313" s="526"/>
      <c r="M313" s="526"/>
      <c r="N313" s="526"/>
      <c r="O313" s="526"/>
      <c r="P313" s="526"/>
      <c r="Q313" s="526"/>
      <c r="R313" s="526"/>
      <c r="S313" s="526"/>
      <c r="T313" s="526"/>
      <c r="U313" s="526"/>
      <c r="V313" s="526"/>
      <c r="W313" s="526"/>
      <c r="X313" s="526"/>
      <c r="Y313" s="526"/>
      <c r="Z313" s="526"/>
    </row>
    <row r="314" spans="1:26" ht="18.600000000000001" x14ac:dyDescent="0.3">
      <c r="A314" s="526"/>
      <c r="B314" s="526"/>
      <c r="C314" s="526"/>
      <c r="D314" s="526"/>
      <c r="E314" s="526"/>
      <c r="F314" s="526"/>
      <c r="G314" s="526"/>
      <c r="H314" s="526"/>
      <c r="I314" s="526"/>
      <c r="J314" s="526"/>
      <c r="K314" s="526"/>
      <c r="L314" s="526"/>
      <c r="M314" s="526"/>
      <c r="N314" s="526"/>
      <c r="O314" s="526"/>
      <c r="P314" s="526"/>
      <c r="Q314" s="526"/>
      <c r="R314" s="526"/>
      <c r="S314" s="526"/>
      <c r="T314" s="526"/>
      <c r="U314" s="526"/>
      <c r="V314" s="526"/>
      <c r="W314" s="526"/>
      <c r="X314" s="526"/>
      <c r="Y314" s="526"/>
      <c r="Z314" s="526"/>
    </row>
    <row r="315" spans="1:26" ht="18.600000000000001" x14ac:dyDescent="0.3">
      <c r="A315" s="526"/>
      <c r="B315" s="526"/>
      <c r="C315" s="526"/>
      <c r="D315" s="526"/>
      <c r="E315" s="526"/>
      <c r="F315" s="526"/>
      <c r="G315" s="526"/>
      <c r="H315" s="526"/>
      <c r="I315" s="526"/>
      <c r="J315" s="526"/>
      <c r="K315" s="526"/>
      <c r="L315" s="526"/>
      <c r="M315" s="526"/>
      <c r="N315" s="526"/>
      <c r="O315" s="526"/>
      <c r="P315" s="526"/>
      <c r="Q315" s="526"/>
      <c r="R315" s="526"/>
      <c r="S315" s="526"/>
      <c r="T315" s="526"/>
      <c r="U315" s="526"/>
      <c r="V315" s="526"/>
      <c r="W315" s="526"/>
      <c r="X315" s="526"/>
      <c r="Y315" s="526"/>
      <c r="Z315" s="526"/>
    </row>
    <row r="316" spans="1:26" ht="18.600000000000001" x14ac:dyDescent="0.3">
      <c r="A316" s="526"/>
      <c r="B316" s="526"/>
      <c r="C316" s="526"/>
      <c r="D316" s="526"/>
      <c r="E316" s="526"/>
      <c r="F316" s="526"/>
      <c r="G316" s="526"/>
      <c r="H316" s="526"/>
      <c r="I316" s="526"/>
      <c r="J316" s="526"/>
      <c r="K316" s="526"/>
      <c r="L316" s="526"/>
      <c r="M316" s="526"/>
      <c r="N316" s="526"/>
      <c r="O316" s="526"/>
      <c r="P316" s="526"/>
      <c r="Q316" s="526"/>
      <c r="R316" s="526"/>
      <c r="S316" s="526"/>
      <c r="T316" s="526"/>
      <c r="U316" s="526"/>
      <c r="V316" s="526"/>
      <c r="W316" s="526"/>
      <c r="X316" s="526"/>
      <c r="Y316" s="526"/>
      <c r="Z316" s="526"/>
    </row>
    <row r="317" spans="1:26" ht="18.600000000000001" x14ac:dyDescent="0.3">
      <c r="A317" s="526"/>
      <c r="B317" s="526"/>
      <c r="C317" s="526"/>
      <c r="D317" s="526"/>
      <c r="E317" s="526"/>
      <c r="F317" s="526"/>
      <c r="G317" s="526"/>
      <c r="H317" s="526"/>
      <c r="I317" s="526"/>
      <c r="J317" s="526"/>
      <c r="K317" s="526"/>
      <c r="L317" s="526"/>
      <c r="M317" s="526"/>
      <c r="N317" s="526"/>
      <c r="O317" s="526"/>
      <c r="P317" s="526"/>
      <c r="Q317" s="526"/>
      <c r="R317" s="526"/>
      <c r="S317" s="526"/>
      <c r="T317" s="526"/>
      <c r="U317" s="526"/>
      <c r="V317" s="526"/>
      <c r="W317" s="526"/>
      <c r="X317" s="526"/>
      <c r="Y317" s="526"/>
      <c r="Z317" s="526"/>
    </row>
    <row r="318" spans="1:26" ht="18.600000000000001" x14ac:dyDescent="0.3">
      <c r="A318" s="526"/>
      <c r="B318" s="526"/>
      <c r="C318" s="526"/>
      <c r="D318" s="526"/>
      <c r="E318" s="526"/>
      <c r="F318" s="526"/>
      <c r="G318" s="526"/>
      <c r="H318" s="526"/>
      <c r="I318" s="526"/>
      <c r="J318" s="526"/>
      <c r="K318" s="526"/>
      <c r="L318" s="526"/>
      <c r="M318" s="526"/>
      <c r="N318" s="526"/>
      <c r="O318" s="526"/>
      <c r="P318" s="526"/>
      <c r="Q318" s="526"/>
      <c r="R318" s="526"/>
      <c r="S318" s="526"/>
      <c r="T318" s="526"/>
      <c r="U318" s="526"/>
      <c r="V318" s="526"/>
      <c r="W318" s="526"/>
      <c r="X318" s="526"/>
      <c r="Y318" s="526"/>
      <c r="Z318" s="526"/>
    </row>
    <row r="319" spans="1:26" ht="18.600000000000001" x14ac:dyDescent="0.3">
      <c r="A319" s="526"/>
      <c r="B319" s="526"/>
      <c r="C319" s="526"/>
      <c r="D319" s="526"/>
      <c r="E319" s="526"/>
      <c r="F319" s="526"/>
      <c r="G319" s="526"/>
      <c r="H319" s="526"/>
      <c r="I319" s="526"/>
      <c r="J319" s="526"/>
      <c r="K319" s="526"/>
      <c r="L319" s="526"/>
      <c r="M319" s="526"/>
      <c r="N319" s="526"/>
      <c r="O319" s="526"/>
      <c r="P319" s="526"/>
      <c r="Q319" s="526"/>
      <c r="R319" s="526"/>
      <c r="S319" s="526"/>
      <c r="T319" s="526"/>
      <c r="U319" s="526"/>
      <c r="V319" s="526"/>
      <c r="W319" s="526"/>
      <c r="X319" s="526"/>
      <c r="Y319" s="526"/>
      <c r="Z319" s="526"/>
    </row>
    <row r="320" spans="1:26" ht="18.600000000000001" x14ac:dyDescent="0.3">
      <c r="A320" s="526"/>
      <c r="B320" s="526"/>
      <c r="C320" s="526"/>
      <c r="D320" s="526"/>
      <c r="E320" s="526"/>
      <c r="F320" s="526"/>
      <c r="G320" s="526"/>
      <c r="H320" s="526"/>
      <c r="I320" s="526"/>
      <c r="J320" s="526"/>
      <c r="K320" s="526"/>
      <c r="L320" s="526"/>
      <c r="M320" s="526"/>
      <c r="N320" s="526"/>
      <c r="O320" s="526"/>
      <c r="P320" s="526"/>
      <c r="Q320" s="526"/>
      <c r="R320" s="526"/>
      <c r="S320" s="526"/>
      <c r="T320" s="526"/>
      <c r="U320" s="526"/>
      <c r="V320" s="526"/>
      <c r="W320" s="526"/>
      <c r="X320" s="526"/>
      <c r="Y320" s="526"/>
      <c r="Z320" s="526"/>
    </row>
    <row r="321" spans="1:26" ht="18.600000000000001" x14ac:dyDescent="0.3">
      <c r="A321" s="526"/>
      <c r="B321" s="526"/>
      <c r="C321" s="526"/>
      <c r="D321" s="526"/>
      <c r="E321" s="526"/>
      <c r="F321" s="526"/>
      <c r="G321" s="526"/>
      <c r="H321" s="526"/>
      <c r="I321" s="526"/>
      <c r="J321" s="526"/>
      <c r="K321" s="526"/>
      <c r="L321" s="526"/>
      <c r="M321" s="526"/>
      <c r="N321" s="526"/>
      <c r="O321" s="526"/>
      <c r="P321" s="526"/>
      <c r="Q321" s="526"/>
      <c r="R321" s="526"/>
      <c r="S321" s="526"/>
      <c r="T321" s="526"/>
      <c r="U321" s="526"/>
      <c r="V321" s="526"/>
      <c r="W321" s="526"/>
      <c r="X321" s="526"/>
      <c r="Y321" s="526"/>
      <c r="Z321" s="526"/>
    </row>
    <row r="322" spans="1:26" ht="18.600000000000001" x14ac:dyDescent="0.3">
      <c r="A322" s="526"/>
      <c r="B322" s="526"/>
      <c r="C322" s="526"/>
      <c r="D322" s="526"/>
      <c r="E322" s="526"/>
      <c r="F322" s="526"/>
      <c r="G322" s="526"/>
      <c r="H322" s="526"/>
      <c r="I322" s="526"/>
      <c r="J322" s="526"/>
      <c r="K322" s="526"/>
      <c r="L322" s="526"/>
      <c r="M322" s="526"/>
      <c r="N322" s="526"/>
      <c r="O322" s="526"/>
      <c r="P322" s="526"/>
      <c r="Q322" s="526"/>
      <c r="R322" s="526"/>
      <c r="S322" s="526"/>
      <c r="T322" s="526"/>
      <c r="U322" s="526"/>
      <c r="V322" s="526"/>
      <c r="W322" s="526"/>
      <c r="X322" s="526"/>
      <c r="Y322" s="526"/>
      <c r="Z322" s="526"/>
    </row>
    <row r="323" spans="1:26" ht="18.600000000000001" x14ac:dyDescent="0.3">
      <c r="A323" s="526"/>
      <c r="B323" s="526"/>
      <c r="C323" s="526"/>
      <c r="D323" s="526"/>
      <c r="E323" s="526"/>
      <c r="F323" s="526"/>
      <c r="G323" s="526"/>
      <c r="H323" s="526"/>
      <c r="I323" s="526"/>
      <c r="J323" s="526"/>
      <c r="K323" s="526"/>
      <c r="L323" s="526"/>
      <c r="M323" s="526"/>
      <c r="N323" s="526"/>
      <c r="O323" s="526"/>
      <c r="P323" s="526"/>
      <c r="Q323" s="526"/>
      <c r="R323" s="526"/>
      <c r="S323" s="526"/>
      <c r="T323" s="526"/>
      <c r="U323" s="526"/>
      <c r="V323" s="526"/>
      <c r="W323" s="526"/>
      <c r="X323" s="526"/>
      <c r="Y323" s="526"/>
      <c r="Z323" s="526"/>
    </row>
    <row r="324" spans="1:26" ht="18.600000000000001" x14ac:dyDescent="0.3">
      <c r="A324" s="526"/>
      <c r="B324" s="526"/>
      <c r="C324" s="526"/>
      <c r="D324" s="526"/>
      <c r="E324" s="526"/>
      <c r="F324" s="526"/>
      <c r="G324" s="526"/>
      <c r="H324" s="526"/>
      <c r="I324" s="526"/>
      <c r="J324" s="526"/>
      <c r="K324" s="526"/>
      <c r="L324" s="526"/>
      <c r="M324" s="526"/>
      <c r="N324" s="526"/>
      <c r="O324" s="526"/>
      <c r="P324" s="526"/>
      <c r="Q324" s="526"/>
      <c r="R324" s="526"/>
      <c r="S324" s="526"/>
      <c r="T324" s="526"/>
      <c r="U324" s="526"/>
      <c r="V324" s="526"/>
      <c r="W324" s="526"/>
      <c r="X324" s="526"/>
      <c r="Y324" s="526"/>
      <c r="Z324" s="526"/>
    </row>
    <row r="325" spans="1:26" ht="18.600000000000001" x14ac:dyDescent="0.3">
      <c r="A325" s="526"/>
      <c r="B325" s="526"/>
      <c r="C325" s="526"/>
      <c r="D325" s="526"/>
      <c r="E325" s="526"/>
      <c r="F325" s="526"/>
      <c r="G325" s="526"/>
      <c r="H325" s="526"/>
      <c r="I325" s="526"/>
      <c r="J325" s="526"/>
      <c r="K325" s="526"/>
      <c r="L325" s="526"/>
      <c r="M325" s="526"/>
      <c r="N325" s="526"/>
      <c r="O325" s="526"/>
      <c r="P325" s="526"/>
      <c r="Q325" s="526"/>
      <c r="R325" s="526"/>
      <c r="S325" s="526"/>
      <c r="T325" s="526"/>
      <c r="U325" s="526"/>
      <c r="V325" s="526"/>
      <c r="W325" s="526"/>
      <c r="X325" s="526"/>
      <c r="Y325" s="526"/>
      <c r="Z325" s="526"/>
    </row>
    <row r="326" spans="1:26" ht="18.600000000000001" x14ac:dyDescent="0.3">
      <c r="A326" s="526"/>
      <c r="B326" s="526"/>
      <c r="C326" s="526"/>
      <c r="D326" s="526"/>
      <c r="E326" s="526"/>
      <c r="F326" s="526"/>
      <c r="G326" s="526"/>
      <c r="H326" s="526"/>
      <c r="I326" s="526"/>
      <c r="J326" s="526"/>
      <c r="K326" s="526"/>
      <c r="L326" s="526"/>
      <c r="M326" s="526"/>
      <c r="N326" s="526"/>
      <c r="O326" s="526"/>
      <c r="P326" s="526"/>
      <c r="Q326" s="526"/>
      <c r="R326" s="526"/>
      <c r="S326" s="526"/>
      <c r="T326" s="526"/>
      <c r="U326" s="526"/>
      <c r="V326" s="526"/>
      <c r="W326" s="526"/>
      <c r="X326" s="526"/>
      <c r="Y326" s="526"/>
      <c r="Z326" s="526"/>
    </row>
    <row r="327" spans="1:26" ht="18.600000000000001" x14ac:dyDescent="0.3">
      <c r="A327" s="526"/>
      <c r="B327" s="526"/>
      <c r="C327" s="526"/>
      <c r="D327" s="526"/>
      <c r="E327" s="526"/>
      <c r="F327" s="526"/>
      <c r="G327" s="526"/>
      <c r="H327" s="526"/>
      <c r="I327" s="526"/>
      <c r="J327" s="526"/>
      <c r="K327" s="526"/>
      <c r="L327" s="526"/>
      <c r="M327" s="526"/>
      <c r="N327" s="526"/>
      <c r="O327" s="526"/>
      <c r="P327" s="526"/>
      <c r="Q327" s="526"/>
      <c r="R327" s="526"/>
      <c r="S327" s="526"/>
      <c r="T327" s="526"/>
      <c r="U327" s="526"/>
      <c r="V327" s="526"/>
      <c r="W327" s="526"/>
      <c r="X327" s="526"/>
      <c r="Y327" s="526"/>
      <c r="Z327" s="526"/>
    </row>
    <row r="328" spans="1:26" ht="18.600000000000001" x14ac:dyDescent="0.3">
      <c r="A328" s="526"/>
      <c r="B328" s="526"/>
      <c r="C328" s="526"/>
      <c r="D328" s="526"/>
      <c r="E328" s="526"/>
      <c r="F328" s="526"/>
      <c r="G328" s="526"/>
      <c r="H328" s="526"/>
      <c r="I328" s="526"/>
      <c r="J328" s="526"/>
      <c r="K328" s="526"/>
      <c r="L328" s="526"/>
      <c r="M328" s="526"/>
      <c r="N328" s="526"/>
      <c r="O328" s="526"/>
      <c r="P328" s="526"/>
      <c r="Q328" s="526"/>
      <c r="R328" s="526"/>
      <c r="S328" s="526"/>
      <c r="T328" s="526"/>
      <c r="U328" s="526"/>
      <c r="V328" s="526"/>
      <c r="W328" s="526"/>
      <c r="X328" s="526"/>
      <c r="Y328" s="526"/>
      <c r="Z328" s="526"/>
    </row>
    <row r="329" spans="1:26" ht="18.600000000000001" x14ac:dyDescent="0.3">
      <c r="A329" s="526"/>
      <c r="B329" s="526"/>
      <c r="C329" s="526"/>
      <c r="D329" s="526"/>
      <c r="E329" s="526"/>
      <c r="F329" s="526"/>
      <c r="G329" s="526"/>
      <c r="H329" s="526"/>
      <c r="I329" s="526"/>
      <c r="J329" s="526"/>
      <c r="K329" s="526"/>
      <c r="L329" s="526"/>
      <c r="M329" s="526"/>
      <c r="N329" s="526"/>
      <c r="O329" s="526"/>
      <c r="P329" s="526"/>
      <c r="Q329" s="526"/>
      <c r="R329" s="526"/>
      <c r="S329" s="526"/>
      <c r="T329" s="526"/>
      <c r="U329" s="526"/>
      <c r="V329" s="526"/>
      <c r="W329" s="526"/>
      <c r="X329" s="526"/>
      <c r="Y329" s="526"/>
      <c r="Z329" s="526"/>
    </row>
    <row r="330" spans="1:26" ht="18.600000000000001" x14ac:dyDescent="0.3">
      <c r="A330" s="526"/>
      <c r="B330" s="526"/>
      <c r="C330" s="526"/>
      <c r="D330" s="526"/>
      <c r="E330" s="526"/>
      <c r="F330" s="526"/>
      <c r="G330" s="526"/>
      <c r="H330" s="526"/>
      <c r="I330" s="526"/>
      <c r="J330" s="526"/>
      <c r="K330" s="526"/>
      <c r="L330" s="526"/>
      <c r="M330" s="526"/>
      <c r="N330" s="526"/>
      <c r="O330" s="526"/>
      <c r="P330" s="526"/>
      <c r="Q330" s="526"/>
      <c r="R330" s="526"/>
      <c r="S330" s="526"/>
      <c r="T330" s="526"/>
      <c r="U330" s="526"/>
      <c r="V330" s="526"/>
      <c r="W330" s="526"/>
      <c r="X330" s="526"/>
      <c r="Y330" s="526"/>
      <c r="Z330" s="526"/>
    </row>
    <row r="331" spans="1:26" ht="18.600000000000001" x14ac:dyDescent="0.3">
      <c r="A331" s="526"/>
      <c r="B331" s="526"/>
      <c r="C331" s="526"/>
      <c r="D331" s="526"/>
      <c r="E331" s="526"/>
      <c r="F331" s="526"/>
      <c r="G331" s="526"/>
      <c r="H331" s="526"/>
      <c r="I331" s="526"/>
      <c r="J331" s="526"/>
      <c r="K331" s="526"/>
      <c r="L331" s="526"/>
      <c r="M331" s="526"/>
      <c r="N331" s="526"/>
      <c r="O331" s="526"/>
      <c r="P331" s="526"/>
      <c r="Q331" s="526"/>
      <c r="R331" s="526"/>
      <c r="S331" s="526"/>
      <c r="T331" s="526"/>
      <c r="U331" s="526"/>
      <c r="V331" s="526"/>
      <c r="W331" s="526"/>
      <c r="X331" s="526"/>
      <c r="Y331" s="526"/>
      <c r="Z331" s="526"/>
    </row>
    <row r="332" spans="1:26" ht="18.600000000000001" x14ac:dyDescent="0.3">
      <c r="A332" s="526"/>
      <c r="B332" s="526"/>
      <c r="C332" s="526"/>
      <c r="D332" s="526"/>
      <c r="E332" s="526"/>
      <c r="F332" s="526"/>
      <c r="G332" s="526"/>
      <c r="H332" s="526"/>
      <c r="I332" s="526"/>
      <c r="J332" s="526"/>
      <c r="K332" s="526"/>
      <c r="L332" s="526"/>
      <c r="M332" s="526"/>
      <c r="N332" s="526"/>
      <c r="O332" s="526"/>
      <c r="P332" s="526"/>
      <c r="Q332" s="526"/>
      <c r="R332" s="526"/>
      <c r="S332" s="526"/>
      <c r="T332" s="526"/>
      <c r="U332" s="526"/>
      <c r="V332" s="526"/>
      <c r="W332" s="526"/>
      <c r="X332" s="526"/>
      <c r="Y332" s="526"/>
      <c r="Z332" s="526"/>
    </row>
    <row r="333" spans="1:26" ht="18.600000000000001" x14ac:dyDescent="0.3">
      <c r="A333" s="526"/>
      <c r="B333" s="526"/>
      <c r="C333" s="526"/>
      <c r="D333" s="526"/>
      <c r="E333" s="526"/>
      <c r="F333" s="526"/>
      <c r="G333" s="526"/>
      <c r="H333" s="526"/>
      <c r="I333" s="526"/>
      <c r="J333" s="526"/>
      <c r="K333" s="526"/>
      <c r="L333" s="526"/>
      <c r="M333" s="526"/>
      <c r="N333" s="526"/>
      <c r="O333" s="526"/>
      <c r="P333" s="526"/>
      <c r="Q333" s="526"/>
      <c r="R333" s="526"/>
      <c r="S333" s="526"/>
      <c r="T333" s="526"/>
      <c r="U333" s="526"/>
      <c r="V333" s="526"/>
      <c r="W333" s="526"/>
      <c r="X333" s="526"/>
      <c r="Y333" s="526"/>
      <c r="Z333" s="526"/>
    </row>
    <row r="334" spans="1:26" ht="18.600000000000001" x14ac:dyDescent="0.3">
      <c r="A334" s="526"/>
      <c r="B334" s="526"/>
      <c r="C334" s="526"/>
      <c r="D334" s="526"/>
      <c r="E334" s="526"/>
      <c r="F334" s="526"/>
      <c r="G334" s="526"/>
      <c r="H334" s="526"/>
      <c r="I334" s="526"/>
      <c r="J334" s="526"/>
      <c r="K334" s="526"/>
      <c r="L334" s="526"/>
      <c r="M334" s="526"/>
      <c r="N334" s="526"/>
      <c r="O334" s="526"/>
      <c r="P334" s="526"/>
      <c r="Q334" s="526"/>
      <c r="R334" s="526"/>
      <c r="S334" s="526"/>
      <c r="T334" s="526"/>
      <c r="U334" s="526"/>
      <c r="V334" s="526"/>
      <c r="W334" s="526"/>
      <c r="X334" s="526"/>
      <c r="Y334" s="526"/>
      <c r="Z334" s="526"/>
    </row>
    <row r="335" spans="1:26" ht="18.600000000000001" x14ac:dyDescent="0.3">
      <c r="A335" s="526"/>
      <c r="B335" s="526"/>
      <c r="C335" s="526"/>
      <c r="D335" s="526"/>
      <c r="E335" s="526"/>
      <c r="F335" s="526"/>
      <c r="G335" s="526"/>
      <c r="H335" s="526"/>
      <c r="I335" s="526"/>
      <c r="J335" s="526"/>
      <c r="K335" s="526"/>
      <c r="L335" s="526"/>
      <c r="M335" s="526"/>
      <c r="N335" s="526"/>
      <c r="O335" s="526"/>
      <c r="P335" s="526"/>
      <c r="Q335" s="526"/>
      <c r="R335" s="526"/>
      <c r="S335" s="526"/>
      <c r="T335" s="526"/>
      <c r="U335" s="526"/>
      <c r="V335" s="526"/>
      <c r="W335" s="526"/>
      <c r="X335" s="526"/>
      <c r="Y335" s="526"/>
      <c r="Z335" s="526"/>
    </row>
    <row r="336" spans="1:26" ht="18.600000000000001" x14ac:dyDescent="0.3">
      <c r="A336" s="526"/>
      <c r="B336" s="526"/>
      <c r="C336" s="526"/>
      <c r="D336" s="526"/>
      <c r="E336" s="526"/>
      <c r="F336" s="526"/>
      <c r="G336" s="526"/>
      <c r="H336" s="526"/>
      <c r="I336" s="526"/>
      <c r="J336" s="526"/>
      <c r="K336" s="526"/>
      <c r="L336" s="526"/>
      <c r="M336" s="526"/>
      <c r="N336" s="526"/>
      <c r="O336" s="526"/>
      <c r="P336" s="526"/>
      <c r="Q336" s="526"/>
      <c r="R336" s="526"/>
      <c r="S336" s="526"/>
      <c r="T336" s="526"/>
      <c r="U336" s="526"/>
      <c r="V336" s="526"/>
      <c r="W336" s="526"/>
      <c r="X336" s="526"/>
      <c r="Y336" s="526"/>
      <c r="Z336" s="526"/>
    </row>
    <row r="337" spans="1:26" ht="18.600000000000001" x14ac:dyDescent="0.3">
      <c r="A337" s="526"/>
      <c r="B337" s="526"/>
      <c r="C337" s="526"/>
      <c r="D337" s="526"/>
      <c r="E337" s="526"/>
      <c r="F337" s="526"/>
      <c r="G337" s="526"/>
      <c r="H337" s="526"/>
      <c r="I337" s="526"/>
      <c r="J337" s="526"/>
      <c r="K337" s="526"/>
      <c r="L337" s="526"/>
      <c r="M337" s="526"/>
      <c r="N337" s="526"/>
      <c r="O337" s="526"/>
      <c r="P337" s="526"/>
      <c r="Q337" s="526"/>
      <c r="R337" s="526"/>
      <c r="S337" s="526"/>
      <c r="T337" s="526"/>
      <c r="U337" s="526"/>
      <c r="V337" s="526"/>
      <c r="W337" s="526"/>
      <c r="X337" s="526"/>
      <c r="Y337" s="526"/>
      <c r="Z337" s="526"/>
    </row>
    <row r="338" spans="1:26" ht="18.600000000000001" x14ac:dyDescent="0.3">
      <c r="A338" s="526"/>
      <c r="B338" s="526"/>
      <c r="C338" s="526"/>
      <c r="D338" s="526"/>
      <c r="E338" s="526"/>
      <c r="F338" s="526"/>
      <c r="G338" s="526"/>
      <c r="H338" s="526"/>
      <c r="I338" s="526"/>
      <c r="J338" s="526"/>
      <c r="K338" s="526"/>
      <c r="L338" s="526"/>
      <c r="M338" s="526"/>
      <c r="N338" s="526"/>
      <c r="O338" s="526"/>
      <c r="P338" s="526"/>
      <c r="Q338" s="526"/>
      <c r="R338" s="526"/>
      <c r="S338" s="526"/>
      <c r="T338" s="526"/>
      <c r="U338" s="526"/>
      <c r="V338" s="526"/>
      <c r="W338" s="526"/>
      <c r="X338" s="526"/>
      <c r="Y338" s="526"/>
      <c r="Z338" s="526"/>
    </row>
    <row r="339" spans="1:26" ht="18.600000000000001" x14ac:dyDescent="0.3">
      <c r="A339" s="526"/>
      <c r="B339" s="526"/>
      <c r="C339" s="526"/>
      <c r="D339" s="526"/>
      <c r="E339" s="526"/>
      <c r="F339" s="526"/>
      <c r="G339" s="526"/>
      <c r="H339" s="526"/>
      <c r="I339" s="526"/>
      <c r="J339" s="526"/>
      <c r="K339" s="526"/>
      <c r="L339" s="526"/>
      <c r="M339" s="526"/>
      <c r="N339" s="526"/>
      <c r="O339" s="526"/>
      <c r="P339" s="526"/>
      <c r="Q339" s="526"/>
      <c r="R339" s="526"/>
      <c r="S339" s="526"/>
      <c r="T339" s="526"/>
      <c r="U339" s="526"/>
      <c r="V339" s="526"/>
      <c r="W339" s="526"/>
      <c r="X339" s="526"/>
      <c r="Y339" s="526"/>
      <c r="Z339" s="526"/>
    </row>
    <row r="340" spans="1:26" ht="18.600000000000001" x14ac:dyDescent="0.3">
      <c r="A340" s="526"/>
      <c r="B340" s="526"/>
      <c r="C340" s="526"/>
      <c r="D340" s="526"/>
      <c r="E340" s="526"/>
      <c r="F340" s="526"/>
      <c r="G340" s="526"/>
      <c r="H340" s="526"/>
      <c r="I340" s="526"/>
      <c r="J340" s="526"/>
      <c r="K340" s="526"/>
      <c r="L340" s="526"/>
      <c r="M340" s="526"/>
      <c r="N340" s="526"/>
      <c r="O340" s="526"/>
      <c r="P340" s="526"/>
      <c r="Q340" s="526"/>
      <c r="R340" s="526"/>
      <c r="S340" s="526"/>
      <c r="T340" s="526"/>
      <c r="U340" s="526"/>
      <c r="V340" s="526"/>
      <c r="W340" s="526"/>
      <c r="X340" s="526"/>
      <c r="Y340" s="526"/>
      <c r="Z340" s="526"/>
    </row>
    <row r="341" spans="1:26" ht="18.600000000000001" x14ac:dyDescent="0.3">
      <c r="A341" s="526"/>
      <c r="B341" s="526"/>
      <c r="C341" s="526"/>
      <c r="D341" s="526"/>
      <c r="E341" s="526"/>
      <c r="F341" s="526"/>
      <c r="G341" s="526"/>
      <c r="H341" s="526"/>
      <c r="I341" s="526"/>
      <c r="J341" s="526"/>
      <c r="K341" s="526"/>
      <c r="L341" s="526"/>
      <c r="M341" s="526"/>
      <c r="N341" s="526"/>
      <c r="O341" s="526"/>
      <c r="P341" s="526"/>
      <c r="Q341" s="526"/>
      <c r="R341" s="526"/>
      <c r="S341" s="526"/>
      <c r="T341" s="526"/>
      <c r="U341" s="526"/>
      <c r="V341" s="526"/>
      <c r="W341" s="526"/>
      <c r="X341" s="526"/>
      <c r="Y341" s="526"/>
      <c r="Z341" s="526"/>
    </row>
    <row r="342" spans="1:26" ht="18.600000000000001" x14ac:dyDescent="0.3">
      <c r="A342" s="526"/>
      <c r="B342" s="526"/>
      <c r="C342" s="526"/>
      <c r="D342" s="526"/>
      <c r="E342" s="526"/>
      <c r="F342" s="526"/>
      <c r="G342" s="526"/>
      <c r="H342" s="526"/>
      <c r="I342" s="526"/>
      <c r="J342" s="526"/>
      <c r="K342" s="526"/>
      <c r="L342" s="526"/>
      <c r="M342" s="526"/>
      <c r="N342" s="526"/>
      <c r="O342" s="526"/>
      <c r="P342" s="526"/>
      <c r="Q342" s="526"/>
      <c r="R342" s="526"/>
      <c r="S342" s="526"/>
      <c r="T342" s="526"/>
      <c r="U342" s="526"/>
      <c r="V342" s="526"/>
      <c r="W342" s="526"/>
      <c r="X342" s="526"/>
      <c r="Y342" s="526"/>
      <c r="Z342" s="526"/>
    </row>
    <row r="343" spans="1:26" ht="18.600000000000001" x14ac:dyDescent="0.3">
      <c r="A343" s="526"/>
      <c r="B343" s="526"/>
      <c r="C343" s="526"/>
      <c r="D343" s="526"/>
      <c r="E343" s="526"/>
      <c r="F343" s="526"/>
      <c r="G343" s="526"/>
      <c r="H343" s="526"/>
      <c r="I343" s="526"/>
      <c r="J343" s="526"/>
      <c r="K343" s="526"/>
      <c r="L343" s="526"/>
      <c r="M343" s="526"/>
      <c r="N343" s="526"/>
      <c r="O343" s="526"/>
      <c r="P343" s="526"/>
      <c r="Q343" s="526"/>
      <c r="R343" s="526"/>
      <c r="S343" s="526"/>
      <c r="T343" s="526"/>
      <c r="U343" s="526"/>
      <c r="V343" s="526"/>
      <c r="W343" s="526"/>
      <c r="X343" s="526"/>
      <c r="Y343" s="526"/>
      <c r="Z343" s="526"/>
    </row>
    <row r="344" spans="1:26" ht="18.600000000000001" x14ac:dyDescent="0.3">
      <c r="A344" s="526"/>
      <c r="B344" s="526"/>
      <c r="C344" s="526"/>
      <c r="D344" s="526"/>
      <c r="E344" s="526"/>
      <c r="F344" s="526"/>
      <c r="G344" s="526"/>
      <c r="H344" s="526"/>
      <c r="I344" s="526"/>
      <c r="J344" s="526"/>
      <c r="K344" s="526"/>
      <c r="L344" s="526"/>
      <c r="M344" s="526"/>
      <c r="N344" s="526"/>
      <c r="O344" s="526"/>
      <c r="P344" s="526"/>
      <c r="Q344" s="526"/>
      <c r="R344" s="526"/>
      <c r="S344" s="526"/>
      <c r="T344" s="526"/>
      <c r="U344" s="526"/>
      <c r="V344" s="526"/>
      <c r="W344" s="526"/>
      <c r="X344" s="526"/>
      <c r="Y344" s="526"/>
      <c r="Z344" s="526"/>
    </row>
    <row r="345" spans="1:26" ht="18.600000000000001" x14ac:dyDescent="0.3">
      <c r="A345" s="526"/>
      <c r="B345" s="526"/>
      <c r="C345" s="526"/>
      <c r="D345" s="526"/>
      <c r="E345" s="526"/>
      <c r="F345" s="526"/>
      <c r="G345" s="526"/>
      <c r="H345" s="526"/>
      <c r="I345" s="526"/>
      <c r="J345" s="526"/>
      <c r="K345" s="526"/>
      <c r="L345" s="526"/>
      <c r="M345" s="526"/>
      <c r="N345" s="526"/>
      <c r="O345" s="526"/>
      <c r="P345" s="526"/>
      <c r="Q345" s="526"/>
      <c r="R345" s="526"/>
      <c r="S345" s="526"/>
      <c r="T345" s="526"/>
      <c r="U345" s="526"/>
      <c r="V345" s="526"/>
      <c r="W345" s="526"/>
      <c r="X345" s="526"/>
      <c r="Y345" s="526"/>
      <c r="Z345" s="526"/>
    </row>
    <row r="346" spans="1:26" ht="18.600000000000001" x14ac:dyDescent="0.3">
      <c r="A346" s="526"/>
      <c r="B346" s="526"/>
      <c r="C346" s="526"/>
      <c r="D346" s="526"/>
      <c r="E346" s="526"/>
      <c r="F346" s="526"/>
      <c r="G346" s="526"/>
      <c r="H346" s="526"/>
      <c r="I346" s="526"/>
      <c r="J346" s="526"/>
      <c r="K346" s="526"/>
      <c r="L346" s="526"/>
      <c r="M346" s="526"/>
      <c r="N346" s="526"/>
      <c r="O346" s="526"/>
      <c r="P346" s="526"/>
      <c r="Q346" s="526"/>
      <c r="R346" s="526"/>
      <c r="S346" s="526"/>
      <c r="T346" s="526"/>
      <c r="U346" s="526"/>
      <c r="V346" s="526"/>
      <c r="W346" s="526"/>
      <c r="X346" s="526"/>
      <c r="Y346" s="526"/>
      <c r="Z346" s="526"/>
    </row>
    <row r="347" spans="1:26" ht="18.600000000000001" x14ac:dyDescent="0.3">
      <c r="A347" s="526"/>
      <c r="B347" s="526"/>
      <c r="C347" s="526"/>
      <c r="D347" s="526"/>
      <c r="E347" s="526"/>
      <c r="F347" s="526"/>
      <c r="G347" s="526"/>
      <c r="H347" s="526"/>
      <c r="I347" s="526"/>
      <c r="J347" s="526"/>
      <c r="K347" s="526"/>
      <c r="L347" s="526"/>
      <c r="M347" s="526"/>
      <c r="N347" s="526"/>
      <c r="O347" s="526"/>
      <c r="P347" s="526"/>
      <c r="Q347" s="526"/>
      <c r="R347" s="526"/>
      <c r="S347" s="526"/>
      <c r="T347" s="526"/>
      <c r="U347" s="526"/>
      <c r="V347" s="526"/>
      <c r="W347" s="526"/>
      <c r="X347" s="526"/>
      <c r="Y347" s="526"/>
      <c r="Z347" s="526"/>
    </row>
    <row r="348" spans="1:26" ht="18.600000000000001" x14ac:dyDescent="0.3">
      <c r="A348" s="526"/>
      <c r="B348" s="526"/>
      <c r="C348" s="526"/>
      <c r="D348" s="526"/>
      <c r="E348" s="526"/>
      <c r="F348" s="526"/>
      <c r="G348" s="526"/>
      <c r="H348" s="526"/>
      <c r="I348" s="526"/>
      <c r="J348" s="526"/>
      <c r="K348" s="526"/>
      <c r="L348" s="526"/>
      <c r="M348" s="526"/>
      <c r="N348" s="526"/>
      <c r="O348" s="526"/>
      <c r="P348" s="526"/>
      <c r="Q348" s="526"/>
      <c r="R348" s="526"/>
      <c r="S348" s="526"/>
      <c r="T348" s="526"/>
      <c r="U348" s="526"/>
      <c r="V348" s="526"/>
      <c r="W348" s="526"/>
      <c r="X348" s="526"/>
      <c r="Y348" s="526"/>
      <c r="Z348" s="526"/>
    </row>
    <row r="349" spans="1:26" ht="18.600000000000001" x14ac:dyDescent="0.3">
      <c r="A349" s="526"/>
      <c r="B349" s="526"/>
      <c r="C349" s="526"/>
      <c r="D349" s="526"/>
      <c r="E349" s="526"/>
      <c r="F349" s="526"/>
      <c r="G349" s="526"/>
      <c r="H349" s="526"/>
      <c r="I349" s="526"/>
      <c r="J349" s="526"/>
      <c r="K349" s="526"/>
      <c r="L349" s="526"/>
      <c r="M349" s="526"/>
      <c r="N349" s="526"/>
      <c r="O349" s="526"/>
      <c r="P349" s="526"/>
      <c r="Q349" s="526"/>
      <c r="R349" s="526"/>
      <c r="S349" s="526"/>
      <c r="T349" s="526"/>
      <c r="U349" s="526"/>
      <c r="V349" s="526"/>
      <c r="W349" s="526"/>
      <c r="X349" s="526"/>
      <c r="Y349" s="526"/>
      <c r="Z349" s="526"/>
    </row>
    <row r="350" spans="1:26" ht="18.600000000000001" x14ac:dyDescent="0.3">
      <c r="A350" s="526"/>
      <c r="B350" s="526"/>
      <c r="C350" s="526"/>
      <c r="D350" s="526"/>
      <c r="E350" s="526"/>
      <c r="F350" s="526"/>
      <c r="G350" s="526"/>
      <c r="H350" s="526"/>
      <c r="I350" s="526"/>
      <c r="J350" s="526"/>
      <c r="K350" s="526"/>
      <c r="L350" s="526"/>
      <c r="M350" s="526"/>
      <c r="N350" s="526"/>
      <c r="O350" s="526"/>
      <c r="P350" s="526"/>
      <c r="Q350" s="526"/>
      <c r="R350" s="526"/>
      <c r="S350" s="526"/>
      <c r="T350" s="526"/>
      <c r="U350" s="526"/>
      <c r="V350" s="526"/>
      <c r="W350" s="526"/>
      <c r="X350" s="526"/>
      <c r="Y350" s="526"/>
      <c r="Z350" s="526"/>
    </row>
    <row r="351" spans="1:26" ht="18.600000000000001" x14ac:dyDescent="0.3">
      <c r="A351" s="526"/>
      <c r="B351" s="526"/>
      <c r="C351" s="526"/>
      <c r="D351" s="526"/>
      <c r="E351" s="526"/>
      <c r="F351" s="526"/>
      <c r="G351" s="526"/>
      <c r="H351" s="526"/>
      <c r="I351" s="526"/>
      <c r="J351" s="526"/>
      <c r="K351" s="526"/>
      <c r="L351" s="526"/>
      <c r="M351" s="526"/>
      <c r="N351" s="526"/>
      <c r="O351" s="526"/>
      <c r="P351" s="526"/>
      <c r="Q351" s="526"/>
      <c r="R351" s="526"/>
      <c r="S351" s="526"/>
      <c r="T351" s="526"/>
      <c r="U351" s="526"/>
      <c r="V351" s="526"/>
      <c r="W351" s="526"/>
      <c r="X351" s="526"/>
      <c r="Y351" s="526"/>
      <c r="Z351" s="526"/>
    </row>
    <row r="352" spans="1:26" ht="18.600000000000001" x14ac:dyDescent="0.3">
      <c r="A352" s="526"/>
      <c r="B352" s="526"/>
      <c r="C352" s="526"/>
      <c r="D352" s="526"/>
      <c r="E352" s="526"/>
      <c r="F352" s="526"/>
      <c r="G352" s="526"/>
      <c r="H352" s="526"/>
      <c r="I352" s="526"/>
      <c r="J352" s="526"/>
      <c r="K352" s="526"/>
      <c r="L352" s="526"/>
      <c r="M352" s="526"/>
      <c r="N352" s="526"/>
      <c r="O352" s="526"/>
      <c r="P352" s="526"/>
      <c r="Q352" s="526"/>
      <c r="R352" s="526"/>
      <c r="S352" s="526"/>
      <c r="T352" s="526"/>
      <c r="U352" s="526"/>
      <c r="V352" s="526"/>
      <c r="W352" s="526"/>
      <c r="X352" s="526"/>
      <c r="Y352" s="526"/>
      <c r="Z352" s="526"/>
    </row>
    <row r="353" spans="1:26" ht="18.600000000000001" x14ac:dyDescent="0.3">
      <c r="A353" s="526"/>
      <c r="B353" s="526"/>
      <c r="C353" s="526"/>
      <c r="D353" s="526"/>
      <c r="E353" s="526"/>
      <c r="F353" s="526"/>
      <c r="G353" s="526"/>
      <c r="H353" s="526"/>
      <c r="I353" s="526"/>
      <c r="J353" s="526"/>
      <c r="K353" s="526"/>
      <c r="L353" s="526"/>
      <c r="M353" s="526"/>
      <c r="N353" s="526"/>
      <c r="O353" s="526"/>
      <c r="P353" s="526"/>
      <c r="Q353" s="526"/>
      <c r="R353" s="526"/>
      <c r="S353" s="526"/>
      <c r="T353" s="526"/>
      <c r="U353" s="526"/>
      <c r="V353" s="526"/>
      <c r="W353" s="526"/>
      <c r="X353" s="526"/>
      <c r="Y353" s="526"/>
      <c r="Z353" s="526"/>
    </row>
    <row r="354" spans="1:26" ht="18.600000000000001" x14ac:dyDescent="0.3">
      <c r="A354" s="526"/>
      <c r="B354" s="526"/>
      <c r="C354" s="526"/>
      <c r="D354" s="526"/>
      <c r="E354" s="526"/>
      <c r="F354" s="526"/>
      <c r="G354" s="526"/>
      <c r="H354" s="526"/>
      <c r="I354" s="526"/>
      <c r="J354" s="526"/>
      <c r="K354" s="526"/>
      <c r="L354" s="526"/>
      <c r="M354" s="526"/>
      <c r="N354" s="526"/>
      <c r="O354" s="526"/>
      <c r="P354" s="526"/>
      <c r="Q354" s="526"/>
      <c r="R354" s="526"/>
      <c r="S354" s="526"/>
      <c r="T354" s="526"/>
      <c r="U354" s="526"/>
      <c r="V354" s="526"/>
      <c r="W354" s="526"/>
      <c r="X354" s="526"/>
      <c r="Y354" s="526"/>
      <c r="Z354" s="526"/>
    </row>
    <row r="355" spans="1:26" ht="18.600000000000001" x14ac:dyDescent="0.3">
      <c r="A355" s="526"/>
      <c r="B355" s="526"/>
      <c r="C355" s="526"/>
      <c r="D355" s="526"/>
      <c r="E355" s="526"/>
      <c r="F355" s="526"/>
      <c r="G355" s="526"/>
      <c r="H355" s="526"/>
      <c r="I355" s="526"/>
      <c r="J355" s="526"/>
      <c r="K355" s="526"/>
      <c r="L355" s="526"/>
      <c r="M355" s="526"/>
      <c r="N355" s="526"/>
      <c r="O355" s="526"/>
      <c r="P355" s="526"/>
      <c r="Q355" s="526"/>
      <c r="R355" s="526"/>
      <c r="S355" s="526"/>
      <c r="T355" s="526"/>
      <c r="U355" s="526"/>
      <c r="V355" s="526"/>
      <c r="W355" s="526"/>
      <c r="X355" s="526"/>
      <c r="Y355" s="526"/>
      <c r="Z355" s="526"/>
    </row>
    <row r="356" spans="1:26" ht="18.600000000000001" x14ac:dyDescent="0.3">
      <c r="A356" s="526"/>
      <c r="B356" s="526"/>
      <c r="C356" s="526"/>
      <c r="D356" s="526"/>
      <c r="E356" s="526"/>
      <c r="F356" s="526"/>
      <c r="G356" s="526"/>
      <c r="H356" s="526"/>
      <c r="I356" s="526"/>
      <c r="J356" s="526"/>
      <c r="K356" s="526"/>
      <c r="L356" s="526"/>
      <c r="M356" s="526"/>
      <c r="N356" s="526"/>
      <c r="O356" s="526"/>
      <c r="P356" s="526"/>
      <c r="Q356" s="526"/>
      <c r="R356" s="526"/>
      <c r="S356" s="526"/>
      <c r="T356" s="526"/>
      <c r="U356" s="526"/>
      <c r="V356" s="526"/>
      <c r="W356" s="526"/>
      <c r="X356" s="526"/>
      <c r="Y356" s="526"/>
      <c r="Z356" s="526"/>
    </row>
    <row r="357" spans="1:26" ht="18.600000000000001" x14ac:dyDescent="0.3">
      <c r="A357" s="526"/>
      <c r="B357" s="526"/>
      <c r="C357" s="526"/>
      <c r="D357" s="526"/>
      <c r="E357" s="526"/>
      <c r="F357" s="526"/>
      <c r="G357" s="526"/>
      <c r="H357" s="526"/>
      <c r="I357" s="526"/>
      <c r="J357" s="526"/>
      <c r="K357" s="526"/>
      <c r="L357" s="526"/>
      <c r="M357" s="526"/>
      <c r="N357" s="526"/>
      <c r="O357" s="526"/>
      <c r="P357" s="526"/>
      <c r="Q357" s="526"/>
      <c r="R357" s="526"/>
      <c r="S357" s="526"/>
      <c r="T357" s="526"/>
      <c r="U357" s="526"/>
      <c r="V357" s="526"/>
      <c r="W357" s="526"/>
      <c r="X357" s="526"/>
      <c r="Y357" s="526"/>
      <c r="Z357" s="526"/>
    </row>
    <row r="358" spans="1:26" ht="18.600000000000001" x14ac:dyDescent="0.3">
      <c r="A358" s="526"/>
      <c r="B358" s="526"/>
      <c r="C358" s="526"/>
      <c r="D358" s="526"/>
      <c r="E358" s="526"/>
      <c r="F358" s="526"/>
      <c r="G358" s="526"/>
      <c r="H358" s="526"/>
      <c r="I358" s="526"/>
      <c r="J358" s="526"/>
      <c r="K358" s="526"/>
      <c r="L358" s="526"/>
      <c r="M358" s="526"/>
      <c r="N358" s="526"/>
      <c r="O358" s="526"/>
      <c r="P358" s="526"/>
      <c r="Q358" s="526"/>
      <c r="R358" s="526"/>
      <c r="S358" s="526"/>
      <c r="T358" s="526"/>
      <c r="U358" s="526"/>
      <c r="V358" s="526"/>
      <c r="W358" s="526"/>
      <c r="X358" s="526"/>
      <c r="Y358" s="526"/>
      <c r="Z358" s="526"/>
    </row>
    <row r="359" spans="1:26" ht="18.600000000000001" x14ac:dyDescent="0.3">
      <c r="A359" s="526"/>
      <c r="B359" s="526"/>
      <c r="C359" s="526"/>
      <c r="D359" s="526"/>
      <c r="E359" s="526"/>
      <c r="F359" s="526"/>
      <c r="G359" s="526"/>
      <c r="H359" s="526"/>
      <c r="I359" s="526"/>
      <c r="J359" s="526"/>
      <c r="K359" s="526"/>
      <c r="L359" s="526"/>
      <c r="M359" s="526"/>
      <c r="N359" s="526"/>
      <c r="O359" s="526"/>
      <c r="P359" s="526"/>
      <c r="Q359" s="526"/>
      <c r="R359" s="526"/>
      <c r="S359" s="526"/>
      <c r="T359" s="526"/>
      <c r="U359" s="526"/>
      <c r="V359" s="526"/>
      <c r="W359" s="526"/>
      <c r="X359" s="526"/>
      <c r="Y359" s="526"/>
      <c r="Z359" s="526"/>
    </row>
    <row r="360" spans="1:26" ht="18.600000000000001" x14ac:dyDescent="0.3">
      <c r="A360" s="526"/>
      <c r="B360" s="526"/>
      <c r="C360" s="526"/>
      <c r="D360" s="526"/>
      <c r="E360" s="526"/>
      <c r="F360" s="526"/>
      <c r="G360" s="526"/>
      <c r="H360" s="526"/>
      <c r="I360" s="526"/>
      <c r="J360" s="526"/>
      <c r="K360" s="526"/>
      <c r="L360" s="526"/>
      <c r="M360" s="526"/>
      <c r="N360" s="526"/>
      <c r="O360" s="526"/>
      <c r="P360" s="526"/>
      <c r="Q360" s="526"/>
      <c r="R360" s="526"/>
      <c r="S360" s="526"/>
      <c r="T360" s="526"/>
      <c r="U360" s="526"/>
      <c r="V360" s="526"/>
      <c r="W360" s="526"/>
      <c r="X360" s="526"/>
      <c r="Y360" s="526"/>
      <c r="Z360" s="526"/>
    </row>
    <row r="361" spans="1:26" ht="18.600000000000001" x14ac:dyDescent="0.3">
      <c r="A361" s="526"/>
      <c r="B361" s="526"/>
      <c r="C361" s="526"/>
      <c r="D361" s="526"/>
      <c r="E361" s="526"/>
      <c r="F361" s="526"/>
      <c r="G361" s="526"/>
      <c r="H361" s="526"/>
      <c r="I361" s="526"/>
      <c r="J361" s="526"/>
      <c r="K361" s="526"/>
      <c r="L361" s="526"/>
      <c r="M361" s="526"/>
      <c r="N361" s="526"/>
      <c r="O361" s="526"/>
      <c r="P361" s="526"/>
      <c r="Q361" s="526"/>
      <c r="R361" s="526"/>
      <c r="S361" s="526"/>
      <c r="T361" s="526"/>
      <c r="U361" s="526"/>
      <c r="V361" s="526"/>
      <c r="W361" s="526"/>
      <c r="X361" s="526"/>
      <c r="Y361" s="526"/>
      <c r="Z361" s="526"/>
    </row>
    <row r="362" spans="1:26" ht="18.600000000000001" x14ac:dyDescent="0.3">
      <c r="A362" s="526"/>
      <c r="B362" s="526"/>
      <c r="C362" s="526"/>
      <c r="D362" s="526"/>
      <c r="E362" s="526"/>
      <c r="F362" s="526"/>
      <c r="G362" s="526"/>
      <c r="H362" s="526"/>
      <c r="I362" s="526"/>
      <c r="J362" s="526"/>
      <c r="K362" s="526"/>
      <c r="L362" s="526"/>
      <c r="M362" s="526"/>
      <c r="N362" s="526"/>
      <c r="O362" s="526"/>
      <c r="P362" s="526"/>
      <c r="Q362" s="526"/>
      <c r="R362" s="526"/>
      <c r="S362" s="526"/>
      <c r="T362" s="526"/>
      <c r="U362" s="526"/>
      <c r="V362" s="526"/>
      <c r="W362" s="526"/>
      <c r="X362" s="526"/>
      <c r="Y362" s="526"/>
      <c r="Z362" s="526"/>
    </row>
    <row r="363" spans="1:26" ht="18.600000000000001" x14ac:dyDescent="0.3">
      <c r="A363" s="526"/>
      <c r="B363" s="526"/>
      <c r="C363" s="526"/>
      <c r="D363" s="526"/>
      <c r="E363" s="526"/>
      <c r="F363" s="526"/>
      <c r="G363" s="526"/>
      <c r="H363" s="526"/>
      <c r="I363" s="526"/>
      <c r="J363" s="526"/>
      <c r="K363" s="526"/>
      <c r="L363" s="526"/>
      <c r="M363" s="526"/>
      <c r="N363" s="526"/>
      <c r="O363" s="526"/>
      <c r="P363" s="526"/>
      <c r="Q363" s="526"/>
      <c r="R363" s="526"/>
      <c r="S363" s="526"/>
      <c r="T363" s="526"/>
      <c r="U363" s="526"/>
      <c r="V363" s="526"/>
      <c r="W363" s="526"/>
      <c r="X363" s="526"/>
      <c r="Y363" s="526"/>
      <c r="Z363" s="526"/>
    </row>
    <row r="364" spans="1:26" ht="18.600000000000001" x14ac:dyDescent="0.3">
      <c r="A364" s="526"/>
      <c r="B364" s="526"/>
      <c r="C364" s="526"/>
      <c r="D364" s="526"/>
      <c r="E364" s="526"/>
      <c r="F364" s="526"/>
      <c r="G364" s="526"/>
      <c r="H364" s="526"/>
      <c r="I364" s="526"/>
      <c r="J364" s="526"/>
      <c r="K364" s="526"/>
      <c r="L364" s="526"/>
      <c r="M364" s="526"/>
      <c r="N364" s="526"/>
      <c r="O364" s="526"/>
      <c r="P364" s="526"/>
      <c r="Q364" s="526"/>
      <c r="R364" s="526"/>
      <c r="S364" s="526"/>
      <c r="T364" s="526"/>
      <c r="U364" s="526"/>
      <c r="V364" s="526"/>
      <c r="W364" s="526"/>
      <c r="X364" s="526"/>
      <c r="Y364" s="526"/>
      <c r="Z364" s="526"/>
    </row>
    <row r="365" spans="1:26" ht="18.600000000000001" x14ac:dyDescent="0.3">
      <c r="A365" s="526"/>
      <c r="B365" s="526"/>
      <c r="C365" s="526"/>
      <c r="D365" s="526"/>
      <c r="E365" s="526"/>
      <c r="F365" s="526"/>
      <c r="G365" s="526"/>
      <c r="H365" s="526"/>
      <c r="I365" s="526"/>
      <c r="J365" s="526"/>
      <c r="K365" s="526"/>
      <c r="L365" s="526"/>
      <c r="M365" s="526"/>
      <c r="N365" s="526"/>
      <c r="O365" s="526"/>
      <c r="P365" s="526"/>
      <c r="Q365" s="526"/>
      <c r="R365" s="526"/>
      <c r="S365" s="526"/>
      <c r="T365" s="526"/>
      <c r="U365" s="526"/>
      <c r="V365" s="526"/>
      <c r="W365" s="526"/>
      <c r="X365" s="526"/>
      <c r="Y365" s="526"/>
      <c r="Z365" s="526"/>
    </row>
    <row r="366" spans="1:26" ht="18.600000000000001" x14ac:dyDescent="0.3">
      <c r="A366" s="526"/>
      <c r="B366" s="526"/>
      <c r="C366" s="526"/>
      <c r="D366" s="526"/>
      <c r="E366" s="526"/>
      <c r="F366" s="526"/>
      <c r="G366" s="526"/>
      <c r="H366" s="526"/>
      <c r="I366" s="526"/>
      <c r="J366" s="526"/>
      <c r="K366" s="526"/>
      <c r="L366" s="526"/>
      <c r="M366" s="526"/>
      <c r="N366" s="526"/>
      <c r="O366" s="526"/>
      <c r="P366" s="526"/>
      <c r="Q366" s="526"/>
      <c r="R366" s="526"/>
      <c r="S366" s="526"/>
      <c r="T366" s="526"/>
      <c r="U366" s="526"/>
      <c r="V366" s="526"/>
      <c r="W366" s="526"/>
      <c r="X366" s="526"/>
      <c r="Y366" s="526"/>
      <c r="Z366" s="526"/>
    </row>
    <row r="367" spans="1:26" ht="18.600000000000001" x14ac:dyDescent="0.3">
      <c r="A367" s="526"/>
      <c r="B367" s="526"/>
      <c r="C367" s="526"/>
      <c r="D367" s="526"/>
      <c r="E367" s="526"/>
      <c r="F367" s="526"/>
      <c r="G367" s="526"/>
      <c r="H367" s="526"/>
      <c r="I367" s="526"/>
      <c r="J367" s="526"/>
      <c r="K367" s="526"/>
      <c r="L367" s="526"/>
      <c r="M367" s="526"/>
      <c r="N367" s="526"/>
      <c r="O367" s="526"/>
      <c r="P367" s="526"/>
      <c r="Q367" s="526"/>
      <c r="R367" s="526"/>
      <c r="S367" s="526"/>
      <c r="T367" s="526"/>
      <c r="U367" s="526"/>
      <c r="V367" s="526"/>
      <c r="W367" s="526"/>
      <c r="X367" s="526"/>
      <c r="Y367" s="526"/>
      <c r="Z367" s="526"/>
    </row>
    <row r="368" spans="1:26" ht="18.600000000000001" x14ac:dyDescent="0.3">
      <c r="A368" s="526"/>
      <c r="B368" s="526"/>
      <c r="C368" s="526"/>
      <c r="D368" s="526"/>
      <c r="E368" s="526"/>
      <c r="F368" s="526"/>
      <c r="G368" s="526"/>
      <c r="H368" s="526"/>
      <c r="I368" s="526"/>
      <c r="J368" s="526"/>
      <c r="K368" s="526"/>
      <c r="L368" s="526"/>
      <c r="M368" s="526"/>
      <c r="N368" s="526"/>
      <c r="O368" s="526"/>
      <c r="P368" s="526"/>
      <c r="Q368" s="526"/>
      <c r="R368" s="526"/>
      <c r="S368" s="526"/>
      <c r="T368" s="526"/>
      <c r="U368" s="526"/>
      <c r="V368" s="526"/>
      <c r="W368" s="526"/>
      <c r="X368" s="526"/>
      <c r="Y368" s="526"/>
      <c r="Z368" s="526"/>
    </row>
    <row r="369" spans="1:26" ht="18.600000000000001" x14ac:dyDescent="0.3">
      <c r="A369" s="526"/>
      <c r="B369" s="526"/>
      <c r="C369" s="526"/>
      <c r="D369" s="526"/>
      <c r="E369" s="526"/>
      <c r="F369" s="526"/>
      <c r="G369" s="526"/>
      <c r="H369" s="526"/>
      <c r="I369" s="526"/>
      <c r="J369" s="526"/>
      <c r="K369" s="526"/>
      <c r="L369" s="526"/>
      <c r="M369" s="526"/>
      <c r="N369" s="526"/>
      <c r="O369" s="526"/>
      <c r="P369" s="526"/>
      <c r="Q369" s="526"/>
      <c r="R369" s="526"/>
      <c r="S369" s="526"/>
      <c r="T369" s="526"/>
      <c r="U369" s="526"/>
      <c r="V369" s="526"/>
      <c r="W369" s="526"/>
      <c r="X369" s="526"/>
      <c r="Y369" s="526"/>
      <c r="Z369" s="526"/>
    </row>
    <row r="370" spans="1:26" ht="18.600000000000001" x14ac:dyDescent="0.3">
      <c r="A370" s="526"/>
      <c r="B370" s="526"/>
      <c r="C370" s="526"/>
      <c r="D370" s="526"/>
      <c r="E370" s="526"/>
      <c r="F370" s="526"/>
      <c r="G370" s="526"/>
      <c r="H370" s="526"/>
      <c r="I370" s="526"/>
      <c r="J370" s="526"/>
      <c r="K370" s="526"/>
      <c r="L370" s="526"/>
      <c r="M370" s="526"/>
      <c r="N370" s="526"/>
      <c r="O370" s="526"/>
      <c r="P370" s="526"/>
      <c r="Q370" s="526"/>
      <c r="R370" s="526"/>
      <c r="S370" s="526"/>
      <c r="T370" s="526"/>
      <c r="U370" s="526"/>
      <c r="V370" s="526"/>
      <c r="W370" s="526"/>
      <c r="X370" s="526"/>
      <c r="Y370" s="526"/>
      <c r="Z370" s="526"/>
    </row>
    <row r="371" spans="1:26" ht="18.600000000000001" x14ac:dyDescent="0.3">
      <c r="A371" s="526"/>
      <c r="B371" s="526"/>
      <c r="C371" s="526"/>
      <c r="D371" s="526"/>
      <c r="E371" s="526"/>
      <c r="F371" s="526"/>
      <c r="G371" s="526"/>
      <c r="H371" s="526"/>
      <c r="I371" s="526"/>
      <c r="J371" s="526"/>
      <c r="K371" s="526"/>
      <c r="L371" s="526"/>
      <c r="M371" s="526"/>
      <c r="N371" s="526"/>
      <c r="O371" s="526"/>
      <c r="P371" s="526"/>
      <c r="Q371" s="526"/>
      <c r="R371" s="526"/>
      <c r="S371" s="526"/>
      <c r="T371" s="526"/>
      <c r="U371" s="526"/>
      <c r="V371" s="526"/>
      <c r="W371" s="526"/>
      <c r="X371" s="526"/>
      <c r="Y371" s="526"/>
      <c r="Z371" s="526"/>
    </row>
    <row r="372" spans="1:26" ht="18.600000000000001" x14ac:dyDescent="0.3">
      <c r="A372" s="526"/>
      <c r="B372" s="526"/>
      <c r="C372" s="526"/>
      <c r="D372" s="526"/>
      <c r="E372" s="526"/>
      <c r="F372" s="526"/>
      <c r="G372" s="526"/>
      <c r="H372" s="526"/>
      <c r="I372" s="526"/>
      <c r="J372" s="526"/>
      <c r="K372" s="526"/>
      <c r="L372" s="526"/>
      <c r="M372" s="526"/>
      <c r="N372" s="526"/>
      <c r="O372" s="526"/>
      <c r="P372" s="526"/>
      <c r="Q372" s="526"/>
      <c r="R372" s="526"/>
      <c r="S372" s="526"/>
      <c r="T372" s="526"/>
      <c r="U372" s="526"/>
      <c r="V372" s="526"/>
      <c r="W372" s="526"/>
      <c r="X372" s="526"/>
      <c r="Y372" s="526"/>
      <c r="Z372" s="526"/>
    </row>
    <row r="373" spans="1:26" ht="18.600000000000001" x14ac:dyDescent="0.3">
      <c r="A373" s="526"/>
      <c r="B373" s="526"/>
      <c r="C373" s="526"/>
      <c r="D373" s="526"/>
      <c r="E373" s="526"/>
      <c r="F373" s="526"/>
      <c r="G373" s="526"/>
      <c r="H373" s="526"/>
      <c r="I373" s="526"/>
      <c r="J373" s="526"/>
      <c r="K373" s="526"/>
      <c r="L373" s="526"/>
      <c r="M373" s="526"/>
      <c r="N373" s="526"/>
      <c r="O373" s="526"/>
      <c r="P373" s="526"/>
      <c r="Q373" s="526"/>
      <c r="R373" s="526"/>
      <c r="S373" s="526"/>
      <c r="T373" s="526"/>
      <c r="U373" s="526"/>
      <c r="V373" s="526"/>
      <c r="W373" s="526"/>
      <c r="X373" s="526"/>
      <c r="Y373" s="526"/>
      <c r="Z373" s="526"/>
    </row>
    <row r="374" spans="1:26" ht="18.600000000000001" x14ac:dyDescent="0.3">
      <c r="A374" s="526"/>
      <c r="B374" s="526"/>
      <c r="C374" s="526"/>
      <c r="D374" s="526"/>
      <c r="E374" s="526"/>
      <c r="F374" s="526"/>
      <c r="G374" s="526"/>
      <c r="H374" s="526"/>
      <c r="I374" s="526"/>
      <c r="J374" s="526"/>
      <c r="K374" s="526"/>
      <c r="L374" s="526"/>
      <c r="M374" s="526"/>
      <c r="N374" s="526"/>
      <c r="O374" s="526"/>
      <c r="P374" s="526"/>
      <c r="Q374" s="526"/>
      <c r="R374" s="526"/>
      <c r="S374" s="526"/>
      <c r="T374" s="526"/>
      <c r="U374" s="526"/>
      <c r="V374" s="526"/>
      <c r="W374" s="526"/>
      <c r="X374" s="526"/>
      <c r="Y374" s="526"/>
      <c r="Z374" s="526"/>
    </row>
    <row r="375" spans="1:26" ht="18.600000000000001" x14ac:dyDescent="0.3">
      <c r="A375" s="526"/>
      <c r="B375" s="526"/>
      <c r="C375" s="526"/>
      <c r="D375" s="526"/>
      <c r="E375" s="526"/>
      <c r="F375" s="526"/>
      <c r="G375" s="526"/>
      <c r="H375" s="526"/>
      <c r="I375" s="526"/>
      <c r="J375" s="526"/>
      <c r="K375" s="526"/>
      <c r="L375" s="526"/>
      <c r="M375" s="526"/>
      <c r="N375" s="526"/>
      <c r="O375" s="526"/>
      <c r="P375" s="526"/>
      <c r="Q375" s="526"/>
      <c r="R375" s="526"/>
      <c r="S375" s="526"/>
      <c r="T375" s="526"/>
      <c r="U375" s="526"/>
      <c r="V375" s="526"/>
      <c r="W375" s="526"/>
      <c r="X375" s="526"/>
      <c r="Y375" s="526"/>
      <c r="Z375" s="526"/>
    </row>
    <row r="376" spans="1:26" ht="18.600000000000001" x14ac:dyDescent="0.3">
      <c r="A376" s="526"/>
      <c r="B376" s="526"/>
      <c r="C376" s="526"/>
      <c r="D376" s="526"/>
      <c r="E376" s="526"/>
      <c r="F376" s="526"/>
      <c r="G376" s="526"/>
      <c r="H376" s="526"/>
      <c r="I376" s="526"/>
      <c r="J376" s="526"/>
      <c r="K376" s="526"/>
      <c r="L376" s="526"/>
      <c r="M376" s="526"/>
      <c r="N376" s="526"/>
      <c r="O376" s="526"/>
      <c r="P376" s="526"/>
      <c r="Q376" s="526"/>
      <c r="R376" s="526"/>
      <c r="S376" s="526"/>
      <c r="T376" s="526"/>
      <c r="U376" s="526"/>
      <c r="V376" s="526"/>
      <c r="W376" s="526"/>
      <c r="X376" s="526"/>
      <c r="Y376" s="526"/>
      <c r="Z376" s="526"/>
    </row>
    <row r="377" spans="1:26" ht="18.600000000000001" x14ac:dyDescent="0.3">
      <c r="A377" s="526"/>
      <c r="B377" s="526"/>
      <c r="C377" s="526"/>
      <c r="D377" s="526"/>
      <c r="E377" s="526"/>
      <c r="F377" s="526"/>
      <c r="G377" s="526"/>
      <c r="H377" s="526"/>
      <c r="I377" s="526"/>
      <c r="J377" s="526"/>
      <c r="K377" s="526"/>
      <c r="L377" s="526"/>
      <c r="M377" s="526"/>
      <c r="N377" s="526"/>
      <c r="O377" s="526"/>
      <c r="P377" s="526"/>
      <c r="Q377" s="526"/>
      <c r="R377" s="526"/>
      <c r="S377" s="526"/>
      <c r="T377" s="526"/>
      <c r="U377" s="526"/>
      <c r="V377" s="526"/>
      <c r="W377" s="526"/>
      <c r="X377" s="526"/>
      <c r="Y377" s="526"/>
      <c r="Z377" s="526"/>
    </row>
    <row r="378" spans="1:26" ht="18.600000000000001" x14ac:dyDescent="0.3">
      <c r="A378" s="526"/>
      <c r="B378" s="526"/>
      <c r="C378" s="526"/>
      <c r="D378" s="526"/>
      <c r="E378" s="526"/>
      <c r="F378" s="526"/>
      <c r="G378" s="526"/>
      <c r="H378" s="526"/>
      <c r="I378" s="526"/>
      <c r="J378" s="526"/>
      <c r="K378" s="526"/>
      <c r="L378" s="526"/>
      <c r="M378" s="526"/>
      <c r="N378" s="526"/>
      <c r="O378" s="526"/>
      <c r="P378" s="526"/>
      <c r="Q378" s="526"/>
      <c r="R378" s="526"/>
      <c r="S378" s="526"/>
      <c r="T378" s="526"/>
      <c r="U378" s="526"/>
      <c r="V378" s="526"/>
      <c r="W378" s="526"/>
      <c r="X378" s="526"/>
      <c r="Y378" s="526"/>
      <c r="Z378" s="526"/>
    </row>
    <row r="379" spans="1:26" ht="18.600000000000001" x14ac:dyDescent="0.3">
      <c r="A379" s="526"/>
      <c r="B379" s="526"/>
      <c r="C379" s="526"/>
      <c r="D379" s="526"/>
      <c r="E379" s="526"/>
      <c r="F379" s="526"/>
      <c r="G379" s="526"/>
      <c r="H379" s="526"/>
      <c r="I379" s="526"/>
      <c r="J379" s="526"/>
      <c r="K379" s="526"/>
      <c r="L379" s="526"/>
      <c r="M379" s="526"/>
      <c r="N379" s="526"/>
      <c r="O379" s="526"/>
      <c r="P379" s="526"/>
      <c r="Q379" s="526"/>
      <c r="R379" s="526"/>
      <c r="S379" s="526"/>
      <c r="T379" s="526"/>
      <c r="U379" s="526"/>
      <c r="V379" s="526"/>
      <c r="W379" s="526"/>
      <c r="X379" s="526"/>
      <c r="Y379" s="526"/>
      <c r="Z379" s="526"/>
    </row>
    <row r="380" spans="1:26" ht="18.600000000000001" x14ac:dyDescent="0.3">
      <c r="A380" s="526"/>
      <c r="B380" s="526"/>
      <c r="C380" s="526"/>
      <c r="D380" s="526"/>
      <c r="E380" s="526"/>
      <c r="F380" s="526"/>
      <c r="G380" s="526"/>
      <c r="H380" s="526"/>
      <c r="I380" s="526"/>
      <c r="J380" s="526"/>
      <c r="K380" s="526"/>
      <c r="L380" s="526"/>
      <c r="M380" s="526"/>
      <c r="N380" s="526"/>
      <c r="O380" s="526"/>
      <c r="P380" s="526"/>
      <c r="Q380" s="526"/>
      <c r="R380" s="526"/>
      <c r="S380" s="526"/>
      <c r="T380" s="526"/>
      <c r="U380" s="526"/>
      <c r="V380" s="526"/>
      <c r="W380" s="526"/>
      <c r="X380" s="526"/>
      <c r="Y380" s="526"/>
      <c r="Z380" s="526"/>
    </row>
    <row r="381" spans="1:26" ht="18.600000000000001" x14ac:dyDescent="0.3">
      <c r="A381" s="526"/>
      <c r="B381" s="526"/>
      <c r="C381" s="526"/>
      <c r="D381" s="526"/>
      <c r="E381" s="526"/>
      <c r="F381" s="526"/>
      <c r="G381" s="526"/>
      <c r="H381" s="526"/>
      <c r="I381" s="526"/>
      <c r="J381" s="526"/>
      <c r="K381" s="526"/>
      <c r="L381" s="526"/>
      <c r="M381" s="526"/>
      <c r="N381" s="526"/>
      <c r="O381" s="526"/>
      <c r="P381" s="526"/>
      <c r="Q381" s="526"/>
      <c r="R381" s="526"/>
      <c r="S381" s="526"/>
      <c r="T381" s="526"/>
      <c r="U381" s="526"/>
      <c r="V381" s="526"/>
      <c r="W381" s="526"/>
      <c r="X381" s="526"/>
      <c r="Y381" s="526"/>
      <c r="Z381" s="526"/>
    </row>
    <row r="382" spans="1:26" ht="18.600000000000001" x14ac:dyDescent="0.3">
      <c r="A382" s="526"/>
      <c r="B382" s="526"/>
      <c r="C382" s="526"/>
      <c r="D382" s="526"/>
      <c r="E382" s="526"/>
      <c r="F382" s="526"/>
      <c r="G382" s="526"/>
      <c r="H382" s="526"/>
      <c r="I382" s="526"/>
      <c r="J382" s="526"/>
      <c r="K382" s="526"/>
      <c r="L382" s="526"/>
      <c r="M382" s="526"/>
      <c r="N382" s="526"/>
      <c r="O382" s="526"/>
      <c r="P382" s="526"/>
      <c r="Q382" s="526"/>
      <c r="R382" s="526"/>
      <c r="S382" s="526"/>
      <c r="T382" s="526"/>
      <c r="U382" s="526"/>
      <c r="V382" s="526"/>
      <c r="W382" s="526"/>
      <c r="X382" s="526"/>
      <c r="Y382" s="526"/>
      <c r="Z382" s="526"/>
    </row>
    <row r="383" spans="1:26" ht="18.600000000000001" x14ac:dyDescent="0.3">
      <c r="A383" s="526"/>
      <c r="B383" s="526"/>
      <c r="C383" s="526"/>
      <c r="D383" s="526"/>
      <c r="E383" s="526"/>
      <c r="F383" s="526"/>
      <c r="G383" s="526"/>
      <c r="H383" s="526"/>
      <c r="I383" s="526"/>
      <c r="J383" s="526"/>
      <c r="K383" s="526"/>
      <c r="L383" s="526"/>
      <c r="M383" s="526"/>
      <c r="N383" s="526"/>
      <c r="O383" s="526"/>
      <c r="P383" s="526"/>
      <c r="Q383" s="526"/>
      <c r="R383" s="526"/>
      <c r="S383" s="526"/>
      <c r="T383" s="526"/>
      <c r="U383" s="526"/>
      <c r="V383" s="526"/>
      <c r="W383" s="526"/>
      <c r="X383" s="526"/>
      <c r="Y383" s="526"/>
      <c r="Z383" s="526"/>
    </row>
    <row r="384" spans="1:26" ht="18.600000000000001" x14ac:dyDescent="0.3">
      <c r="A384" s="526"/>
      <c r="B384" s="526"/>
      <c r="C384" s="526"/>
      <c r="D384" s="526"/>
      <c r="E384" s="526"/>
      <c r="F384" s="526"/>
      <c r="G384" s="526"/>
      <c r="H384" s="526"/>
      <c r="I384" s="526"/>
      <c r="J384" s="526"/>
      <c r="K384" s="526"/>
      <c r="L384" s="526"/>
      <c r="M384" s="526"/>
      <c r="N384" s="526"/>
      <c r="O384" s="526"/>
      <c r="P384" s="526"/>
      <c r="Q384" s="526"/>
      <c r="R384" s="526"/>
      <c r="S384" s="526"/>
      <c r="T384" s="526"/>
      <c r="U384" s="526"/>
      <c r="V384" s="526"/>
      <c r="W384" s="526"/>
      <c r="X384" s="526"/>
      <c r="Y384" s="526"/>
      <c r="Z384" s="526"/>
    </row>
    <row r="385" spans="1:26" ht="18.600000000000001" x14ac:dyDescent="0.3">
      <c r="A385" s="526"/>
      <c r="B385" s="526"/>
      <c r="C385" s="526"/>
      <c r="D385" s="526"/>
      <c r="E385" s="526"/>
      <c r="F385" s="526"/>
      <c r="G385" s="526"/>
      <c r="H385" s="526"/>
      <c r="I385" s="526"/>
      <c r="J385" s="526"/>
      <c r="K385" s="526"/>
      <c r="L385" s="526"/>
      <c r="M385" s="526"/>
      <c r="N385" s="526"/>
      <c r="O385" s="526"/>
      <c r="P385" s="526"/>
      <c r="Q385" s="526"/>
      <c r="R385" s="526"/>
      <c r="S385" s="526"/>
      <c r="T385" s="526"/>
      <c r="U385" s="526"/>
      <c r="V385" s="526"/>
      <c r="W385" s="526"/>
      <c r="X385" s="526"/>
      <c r="Y385" s="526"/>
      <c r="Z385" s="526"/>
    </row>
    <row r="386" spans="1:26" ht="18.600000000000001" x14ac:dyDescent="0.3">
      <c r="A386" s="526"/>
      <c r="B386" s="526"/>
      <c r="C386" s="526"/>
      <c r="D386" s="526"/>
      <c r="E386" s="526"/>
      <c r="F386" s="526"/>
      <c r="G386" s="526"/>
      <c r="H386" s="526"/>
      <c r="I386" s="526"/>
      <c r="J386" s="526"/>
      <c r="K386" s="526"/>
      <c r="L386" s="526"/>
      <c r="M386" s="526"/>
      <c r="N386" s="526"/>
      <c r="O386" s="526"/>
      <c r="P386" s="526"/>
      <c r="Q386" s="526"/>
      <c r="R386" s="526"/>
      <c r="S386" s="526"/>
      <c r="T386" s="526"/>
      <c r="U386" s="526"/>
      <c r="V386" s="526"/>
      <c r="W386" s="526"/>
      <c r="X386" s="526"/>
      <c r="Y386" s="526"/>
      <c r="Z386" s="526"/>
    </row>
    <row r="387" spans="1:26" ht="18.600000000000001" x14ac:dyDescent="0.3">
      <c r="A387" s="526"/>
      <c r="B387" s="526"/>
      <c r="C387" s="526"/>
      <c r="D387" s="526"/>
      <c r="E387" s="526"/>
      <c r="F387" s="526"/>
      <c r="G387" s="526"/>
      <c r="H387" s="526"/>
      <c r="I387" s="526"/>
      <c r="J387" s="526"/>
      <c r="K387" s="526"/>
      <c r="L387" s="526"/>
      <c r="M387" s="526"/>
      <c r="N387" s="526"/>
      <c r="O387" s="526"/>
      <c r="P387" s="526"/>
      <c r="Q387" s="526"/>
      <c r="R387" s="526"/>
      <c r="S387" s="526"/>
      <c r="T387" s="526"/>
      <c r="U387" s="526"/>
      <c r="V387" s="526"/>
      <c r="W387" s="526"/>
      <c r="X387" s="526"/>
      <c r="Y387" s="526"/>
      <c r="Z387" s="526"/>
    </row>
    <row r="388" spans="1:26" ht="18.600000000000001" x14ac:dyDescent="0.3">
      <c r="A388" s="526"/>
      <c r="B388" s="526"/>
      <c r="C388" s="526"/>
      <c r="D388" s="526"/>
      <c r="E388" s="526"/>
      <c r="F388" s="526"/>
      <c r="G388" s="526"/>
      <c r="H388" s="526"/>
      <c r="I388" s="526"/>
      <c r="J388" s="526"/>
      <c r="K388" s="526"/>
      <c r="L388" s="526"/>
      <c r="M388" s="526"/>
      <c r="N388" s="526"/>
      <c r="O388" s="526"/>
      <c r="P388" s="526"/>
      <c r="Q388" s="526"/>
      <c r="R388" s="526"/>
      <c r="S388" s="526"/>
      <c r="T388" s="526"/>
      <c r="U388" s="526"/>
      <c r="V388" s="526"/>
      <c r="W388" s="526"/>
      <c r="X388" s="526"/>
      <c r="Y388" s="526"/>
      <c r="Z388" s="526"/>
    </row>
    <row r="389" spans="1:26" ht="18.600000000000001" x14ac:dyDescent="0.3">
      <c r="A389" s="526"/>
      <c r="B389" s="526"/>
      <c r="C389" s="526"/>
      <c r="D389" s="526"/>
      <c r="E389" s="526"/>
      <c r="F389" s="526"/>
      <c r="G389" s="526"/>
      <c r="H389" s="526"/>
      <c r="I389" s="526"/>
      <c r="J389" s="526"/>
      <c r="K389" s="526"/>
      <c r="L389" s="526"/>
      <c r="M389" s="526"/>
      <c r="N389" s="526"/>
      <c r="O389" s="526"/>
      <c r="P389" s="526"/>
      <c r="Q389" s="526"/>
      <c r="R389" s="526"/>
      <c r="S389" s="526"/>
      <c r="T389" s="526"/>
      <c r="U389" s="526"/>
      <c r="V389" s="526"/>
      <c r="W389" s="526"/>
      <c r="X389" s="526"/>
      <c r="Y389" s="526"/>
      <c r="Z389" s="526"/>
    </row>
    <row r="390" spans="1:26" ht="18.600000000000001" x14ac:dyDescent="0.3">
      <c r="A390" s="526"/>
      <c r="B390" s="526"/>
      <c r="C390" s="526"/>
      <c r="D390" s="526"/>
      <c r="E390" s="526"/>
      <c r="F390" s="526"/>
      <c r="G390" s="526"/>
      <c r="H390" s="526"/>
      <c r="I390" s="526"/>
      <c r="J390" s="526"/>
      <c r="K390" s="526"/>
      <c r="L390" s="526"/>
      <c r="M390" s="526"/>
      <c r="N390" s="526"/>
      <c r="O390" s="526"/>
      <c r="P390" s="526"/>
      <c r="Q390" s="526"/>
      <c r="R390" s="526"/>
      <c r="S390" s="526"/>
      <c r="T390" s="526"/>
      <c r="U390" s="526"/>
      <c r="V390" s="526"/>
      <c r="W390" s="526"/>
      <c r="X390" s="526"/>
      <c r="Y390" s="526"/>
      <c r="Z390" s="526"/>
    </row>
    <row r="391" spans="1:26" ht="18.600000000000001" x14ac:dyDescent="0.3">
      <c r="A391" s="526"/>
      <c r="B391" s="526"/>
      <c r="C391" s="526"/>
      <c r="D391" s="526"/>
      <c r="E391" s="526"/>
      <c r="F391" s="526"/>
      <c r="G391" s="526"/>
      <c r="H391" s="526"/>
      <c r="I391" s="526"/>
      <c r="J391" s="526"/>
      <c r="K391" s="526"/>
      <c r="L391" s="526"/>
      <c r="M391" s="526"/>
      <c r="N391" s="526"/>
      <c r="O391" s="526"/>
      <c r="P391" s="526"/>
      <c r="Q391" s="526"/>
      <c r="R391" s="526"/>
      <c r="S391" s="526"/>
      <c r="T391" s="526"/>
      <c r="U391" s="526"/>
      <c r="V391" s="526"/>
      <c r="W391" s="526"/>
      <c r="X391" s="526"/>
      <c r="Y391" s="526"/>
      <c r="Z391" s="526"/>
    </row>
    <row r="392" spans="1:26" ht="18.600000000000001" x14ac:dyDescent="0.3">
      <c r="A392" s="526"/>
      <c r="B392" s="526"/>
      <c r="C392" s="526"/>
      <c r="D392" s="526"/>
      <c r="E392" s="526"/>
      <c r="F392" s="526"/>
      <c r="G392" s="526"/>
      <c r="H392" s="526"/>
      <c r="I392" s="526"/>
      <c r="J392" s="526"/>
      <c r="K392" s="526"/>
      <c r="L392" s="526"/>
      <c r="M392" s="526"/>
      <c r="N392" s="526"/>
      <c r="O392" s="526"/>
      <c r="P392" s="526"/>
      <c r="Q392" s="526"/>
      <c r="R392" s="526"/>
      <c r="S392" s="526"/>
      <c r="T392" s="526"/>
      <c r="U392" s="526"/>
      <c r="V392" s="526"/>
      <c r="W392" s="526"/>
      <c r="X392" s="526"/>
      <c r="Y392" s="526"/>
      <c r="Z392" s="526"/>
    </row>
    <row r="393" spans="1:26" ht="18.600000000000001" x14ac:dyDescent="0.3">
      <c r="A393" s="526"/>
      <c r="B393" s="526"/>
      <c r="C393" s="526"/>
      <c r="D393" s="526"/>
      <c r="E393" s="526"/>
      <c r="F393" s="526"/>
      <c r="G393" s="526"/>
      <c r="H393" s="526"/>
      <c r="I393" s="526"/>
      <c r="J393" s="526"/>
      <c r="K393" s="526"/>
      <c r="L393" s="526"/>
      <c r="M393" s="526"/>
      <c r="N393" s="526"/>
      <c r="O393" s="526"/>
      <c r="P393" s="526"/>
      <c r="Q393" s="526"/>
      <c r="R393" s="526"/>
      <c r="S393" s="526"/>
      <c r="T393" s="526"/>
      <c r="U393" s="526"/>
      <c r="V393" s="526"/>
      <c r="W393" s="526"/>
      <c r="X393" s="526"/>
      <c r="Y393" s="526"/>
      <c r="Z393" s="526"/>
    </row>
    <row r="394" spans="1:26" ht="18.600000000000001" x14ac:dyDescent="0.3">
      <c r="A394" s="526"/>
      <c r="B394" s="526"/>
      <c r="C394" s="526"/>
      <c r="D394" s="526"/>
      <c r="E394" s="526"/>
      <c r="F394" s="526"/>
      <c r="G394" s="526"/>
      <c r="H394" s="526"/>
      <c r="I394" s="526"/>
      <c r="J394" s="526"/>
      <c r="K394" s="526"/>
      <c r="L394" s="526"/>
      <c r="M394" s="526"/>
      <c r="N394" s="526"/>
      <c r="O394" s="526"/>
      <c r="P394" s="526"/>
      <c r="Q394" s="526"/>
      <c r="R394" s="526"/>
      <c r="S394" s="526"/>
      <c r="T394" s="526"/>
      <c r="U394" s="526"/>
      <c r="V394" s="526"/>
      <c r="W394" s="526"/>
      <c r="X394" s="526"/>
      <c r="Y394" s="526"/>
      <c r="Z394" s="526"/>
    </row>
    <row r="395" spans="1:26" ht="18.600000000000001" x14ac:dyDescent="0.3">
      <c r="A395" s="526"/>
      <c r="B395" s="526"/>
      <c r="C395" s="526"/>
      <c r="D395" s="526"/>
      <c r="E395" s="526"/>
      <c r="F395" s="526"/>
      <c r="G395" s="526"/>
      <c r="H395" s="526"/>
      <c r="I395" s="526"/>
      <c r="J395" s="526"/>
      <c r="K395" s="526"/>
      <c r="L395" s="526"/>
      <c r="M395" s="526"/>
      <c r="N395" s="526"/>
      <c r="O395" s="526"/>
      <c r="P395" s="526"/>
      <c r="Q395" s="526"/>
      <c r="R395" s="526"/>
      <c r="S395" s="526"/>
      <c r="T395" s="526"/>
      <c r="U395" s="526"/>
      <c r="V395" s="526"/>
      <c r="W395" s="526"/>
      <c r="X395" s="526"/>
      <c r="Y395" s="526"/>
      <c r="Z395" s="526"/>
    </row>
    <row r="396" spans="1:26" ht="18.600000000000001" x14ac:dyDescent="0.3">
      <c r="A396" s="526"/>
      <c r="B396" s="526"/>
      <c r="C396" s="526"/>
      <c r="D396" s="526"/>
      <c r="E396" s="526"/>
      <c r="F396" s="526"/>
      <c r="G396" s="526"/>
      <c r="H396" s="526"/>
      <c r="I396" s="526"/>
      <c r="J396" s="526"/>
      <c r="K396" s="526"/>
      <c r="L396" s="526"/>
      <c r="M396" s="526"/>
      <c r="N396" s="526"/>
      <c r="O396" s="526"/>
      <c r="P396" s="526"/>
      <c r="Q396" s="526"/>
      <c r="R396" s="526"/>
      <c r="S396" s="526"/>
      <c r="T396" s="526"/>
      <c r="U396" s="526"/>
      <c r="V396" s="526"/>
      <c r="W396" s="526"/>
      <c r="X396" s="526"/>
      <c r="Y396" s="526"/>
      <c r="Z396" s="526"/>
    </row>
    <row r="397" spans="1:26" ht="18.600000000000001" x14ac:dyDescent="0.3">
      <c r="A397" s="526"/>
      <c r="B397" s="526"/>
      <c r="C397" s="526"/>
      <c r="D397" s="526"/>
      <c r="E397" s="526"/>
      <c r="F397" s="526"/>
      <c r="G397" s="526"/>
      <c r="H397" s="526"/>
      <c r="I397" s="526"/>
      <c r="J397" s="526"/>
      <c r="K397" s="526"/>
      <c r="L397" s="526"/>
      <c r="M397" s="526"/>
      <c r="N397" s="526"/>
      <c r="O397" s="526"/>
      <c r="P397" s="526"/>
      <c r="Q397" s="526"/>
      <c r="R397" s="526"/>
      <c r="S397" s="526"/>
      <c r="T397" s="526"/>
      <c r="U397" s="526"/>
      <c r="V397" s="526"/>
      <c r="W397" s="526"/>
      <c r="X397" s="526"/>
      <c r="Y397" s="526"/>
      <c r="Z397" s="526"/>
    </row>
    <row r="398" spans="1:26" ht="18.600000000000001" x14ac:dyDescent="0.3">
      <c r="A398" s="526"/>
      <c r="B398" s="526"/>
      <c r="C398" s="526"/>
      <c r="D398" s="526"/>
      <c r="E398" s="526"/>
      <c r="F398" s="526"/>
      <c r="G398" s="526"/>
      <c r="H398" s="526"/>
      <c r="I398" s="526"/>
      <c r="J398" s="526"/>
      <c r="K398" s="526"/>
      <c r="L398" s="526"/>
      <c r="M398" s="526"/>
      <c r="N398" s="526"/>
      <c r="O398" s="526"/>
      <c r="P398" s="526"/>
      <c r="Q398" s="526"/>
      <c r="R398" s="526"/>
      <c r="S398" s="526"/>
      <c r="T398" s="526"/>
      <c r="U398" s="526"/>
      <c r="V398" s="526"/>
      <c r="W398" s="526"/>
      <c r="X398" s="526"/>
      <c r="Y398" s="526"/>
      <c r="Z398" s="526"/>
    </row>
    <row r="399" spans="1:26" ht="18.600000000000001" x14ac:dyDescent="0.3">
      <c r="A399" s="526"/>
      <c r="B399" s="526"/>
      <c r="C399" s="526"/>
      <c r="D399" s="526"/>
      <c r="E399" s="526"/>
      <c r="F399" s="526"/>
      <c r="G399" s="526"/>
      <c r="H399" s="526"/>
      <c r="I399" s="526"/>
      <c r="J399" s="526"/>
      <c r="K399" s="526"/>
      <c r="L399" s="526"/>
      <c r="M399" s="526"/>
      <c r="N399" s="526"/>
      <c r="O399" s="526"/>
      <c r="P399" s="526"/>
      <c r="Q399" s="526"/>
      <c r="R399" s="526"/>
      <c r="S399" s="526"/>
      <c r="T399" s="526"/>
      <c r="U399" s="526"/>
      <c r="V399" s="526"/>
      <c r="W399" s="526"/>
      <c r="X399" s="526"/>
      <c r="Y399" s="526"/>
      <c r="Z399" s="526"/>
    </row>
    <row r="400" spans="1:26" ht="18.600000000000001" x14ac:dyDescent="0.3">
      <c r="A400" s="526"/>
      <c r="B400" s="526"/>
      <c r="C400" s="526"/>
      <c r="D400" s="526"/>
      <c r="E400" s="526"/>
      <c r="F400" s="526"/>
      <c r="G400" s="526"/>
      <c r="H400" s="526"/>
      <c r="I400" s="526"/>
      <c r="J400" s="526"/>
      <c r="K400" s="526"/>
      <c r="L400" s="526"/>
      <c r="M400" s="526"/>
      <c r="N400" s="526"/>
      <c r="O400" s="526"/>
      <c r="P400" s="526"/>
      <c r="Q400" s="526"/>
      <c r="R400" s="526"/>
      <c r="S400" s="526"/>
      <c r="T400" s="526"/>
      <c r="U400" s="526"/>
      <c r="V400" s="526"/>
      <c r="W400" s="526"/>
      <c r="X400" s="526"/>
      <c r="Y400" s="526"/>
      <c r="Z400" s="526"/>
    </row>
    <row r="401" spans="1:26" ht="18.600000000000001" x14ac:dyDescent="0.3">
      <c r="A401" s="526"/>
      <c r="B401" s="526"/>
      <c r="C401" s="526"/>
      <c r="D401" s="526"/>
      <c r="E401" s="526"/>
      <c r="F401" s="526"/>
      <c r="G401" s="526"/>
      <c r="H401" s="526"/>
      <c r="I401" s="526"/>
      <c r="J401" s="526"/>
      <c r="K401" s="526"/>
      <c r="L401" s="526"/>
      <c r="M401" s="526"/>
      <c r="N401" s="526"/>
      <c r="O401" s="526"/>
      <c r="P401" s="526"/>
      <c r="Q401" s="526"/>
      <c r="R401" s="526"/>
      <c r="S401" s="526"/>
      <c r="T401" s="526"/>
      <c r="U401" s="526"/>
      <c r="V401" s="526"/>
      <c r="W401" s="526"/>
      <c r="X401" s="526"/>
      <c r="Y401" s="526"/>
      <c r="Z401" s="526"/>
    </row>
    <row r="402" spans="1:26" ht="18.600000000000001" x14ac:dyDescent="0.3">
      <c r="A402" s="526"/>
      <c r="B402" s="526"/>
      <c r="C402" s="526"/>
      <c r="D402" s="526"/>
      <c r="E402" s="526"/>
      <c r="F402" s="526"/>
      <c r="G402" s="526"/>
      <c r="H402" s="526"/>
      <c r="I402" s="526"/>
      <c r="J402" s="526"/>
      <c r="K402" s="526"/>
      <c r="L402" s="526"/>
      <c r="M402" s="526"/>
      <c r="N402" s="526"/>
      <c r="O402" s="526"/>
      <c r="P402" s="526"/>
      <c r="Q402" s="526"/>
      <c r="R402" s="526"/>
      <c r="S402" s="526"/>
      <c r="T402" s="526"/>
      <c r="U402" s="526"/>
      <c r="V402" s="526"/>
      <c r="W402" s="526"/>
      <c r="X402" s="526"/>
      <c r="Y402" s="526"/>
      <c r="Z402" s="526"/>
    </row>
    <row r="403" spans="1:26" ht="18.600000000000001" x14ac:dyDescent="0.3">
      <c r="A403" s="526"/>
      <c r="B403" s="526"/>
      <c r="C403" s="526"/>
      <c r="D403" s="526"/>
      <c r="E403" s="526"/>
      <c r="F403" s="526"/>
      <c r="G403" s="526"/>
      <c r="H403" s="526"/>
      <c r="I403" s="526"/>
      <c r="J403" s="526"/>
      <c r="K403" s="526"/>
      <c r="L403" s="526"/>
      <c r="M403" s="526"/>
      <c r="N403" s="526"/>
      <c r="O403" s="526"/>
      <c r="P403" s="526"/>
      <c r="Q403" s="526"/>
      <c r="R403" s="526"/>
      <c r="S403" s="526"/>
      <c r="T403" s="526"/>
      <c r="U403" s="526"/>
      <c r="V403" s="526"/>
      <c r="W403" s="526"/>
      <c r="X403" s="526"/>
      <c r="Y403" s="526"/>
      <c r="Z403" s="526"/>
    </row>
    <row r="404" spans="1:26" ht="18.600000000000001" x14ac:dyDescent="0.3">
      <c r="A404" s="526"/>
      <c r="B404" s="526"/>
      <c r="C404" s="526"/>
      <c r="D404" s="526"/>
      <c r="E404" s="526"/>
      <c r="F404" s="526"/>
      <c r="G404" s="526"/>
      <c r="H404" s="526"/>
      <c r="I404" s="526"/>
      <c r="J404" s="526"/>
      <c r="K404" s="526"/>
      <c r="L404" s="526"/>
      <c r="M404" s="526"/>
      <c r="N404" s="526"/>
      <c r="O404" s="526"/>
      <c r="P404" s="526"/>
      <c r="Q404" s="526"/>
      <c r="R404" s="526"/>
      <c r="S404" s="526"/>
      <c r="T404" s="526"/>
      <c r="U404" s="526"/>
      <c r="V404" s="526"/>
      <c r="W404" s="526"/>
      <c r="X404" s="526"/>
      <c r="Y404" s="526"/>
      <c r="Z404" s="526"/>
    </row>
    <row r="405" spans="1:26" ht="18.600000000000001" x14ac:dyDescent="0.3">
      <c r="A405" s="526"/>
      <c r="B405" s="526"/>
      <c r="C405" s="526"/>
      <c r="D405" s="526"/>
      <c r="E405" s="526"/>
      <c r="F405" s="526"/>
      <c r="G405" s="526"/>
      <c r="H405" s="526"/>
      <c r="I405" s="526"/>
      <c r="J405" s="526"/>
      <c r="K405" s="526"/>
      <c r="L405" s="526"/>
      <c r="M405" s="526"/>
      <c r="N405" s="526"/>
      <c r="O405" s="526"/>
      <c r="P405" s="526"/>
      <c r="Q405" s="526"/>
      <c r="R405" s="526"/>
      <c r="S405" s="526"/>
      <c r="T405" s="526"/>
      <c r="U405" s="526"/>
      <c r="V405" s="526"/>
      <c r="W405" s="526"/>
      <c r="X405" s="526"/>
      <c r="Y405" s="526"/>
      <c r="Z405" s="526"/>
    </row>
    <row r="406" spans="1:26" ht="18.600000000000001" x14ac:dyDescent="0.3">
      <c r="A406" s="526"/>
      <c r="B406" s="526"/>
      <c r="C406" s="526"/>
      <c r="D406" s="526"/>
      <c r="E406" s="526"/>
      <c r="F406" s="526"/>
      <c r="G406" s="526"/>
      <c r="H406" s="526"/>
      <c r="I406" s="526"/>
      <c r="J406" s="526"/>
      <c r="K406" s="526"/>
      <c r="L406" s="526"/>
      <c r="M406" s="526"/>
      <c r="N406" s="526"/>
      <c r="O406" s="526"/>
      <c r="P406" s="526"/>
      <c r="Q406" s="526"/>
      <c r="R406" s="526"/>
      <c r="S406" s="526"/>
      <c r="T406" s="526"/>
      <c r="U406" s="526"/>
      <c r="V406" s="526"/>
      <c r="W406" s="526"/>
      <c r="X406" s="526"/>
      <c r="Y406" s="526"/>
      <c r="Z406" s="526"/>
    </row>
    <row r="407" spans="1:26" ht="18.600000000000001" x14ac:dyDescent="0.3">
      <c r="A407" s="526"/>
      <c r="B407" s="526"/>
      <c r="C407" s="526"/>
      <c r="D407" s="526"/>
      <c r="E407" s="526"/>
      <c r="F407" s="526"/>
      <c r="G407" s="526"/>
      <c r="H407" s="526"/>
      <c r="I407" s="526"/>
      <c r="J407" s="526"/>
      <c r="K407" s="526"/>
      <c r="L407" s="526"/>
      <c r="M407" s="526"/>
      <c r="N407" s="526"/>
      <c r="O407" s="526"/>
      <c r="P407" s="526"/>
      <c r="Q407" s="526"/>
      <c r="R407" s="526"/>
      <c r="S407" s="526"/>
      <c r="T407" s="526"/>
      <c r="U407" s="526"/>
      <c r="V407" s="526"/>
      <c r="W407" s="526"/>
      <c r="X407" s="526"/>
      <c r="Y407" s="526"/>
      <c r="Z407" s="526"/>
    </row>
    <row r="408" spans="1:26" ht="18.600000000000001" x14ac:dyDescent="0.3">
      <c r="A408" s="526"/>
      <c r="B408" s="526"/>
      <c r="C408" s="526"/>
      <c r="D408" s="526"/>
      <c r="E408" s="526"/>
      <c r="F408" s="526"/>
      <c r="G408" s="526"/>
      <c r="H408" s="526"/>
      <c r="I408" s="526"/>
      <c r="J408" s="526"/>
      <c r="K408" s="526"/>
      <c r="L408" s="526"/>
      <c r="M408" s="526"/>
      <c r="N408" s="526"/>
      <c r="O408" s="526"/>
      <c r="P408" s="526"/>
      <c r="Q408" s="526"/>
      <c r="R408" s="526"/>
      <c r="S408" s="526"/>
      <c r="T408" s="526"/>
      <c r="U408" s="526"/>
      <c r="V408" s="526"/>
      <c r="W408" s="526"/>
      <c r="X408" s="526"/>
      <c r="Y408" s="526"/>
      <c r="Z408" s="526"/>
    </row>
    <row r="409" spans="1:26" ht="18.600000000000001" x14ac:dyDescent="0.3">
      <c r="A409" s="526"/>
      <c r="B409" s="526"/>
      <c r="C409" s="526"/>
      <c r="D409" s="526"/>
      <c r="E409" s="526"/>
      <c r="F409" s="526"/>
      <c r="G409" s="526"/>
      <c r="H409" s="526"/>
      <c r="I409" s="526"/>
      <c r="J409" s="526"/>
      <c r="K409" s="526"/>
      <c r="L409" s="526"/>
      <c r="M409" s="526"/>
      <c r="N409" s="526"/>
      <c r="O409" s="526"/>
      <c r="P409" s="526"/>
      <c r="Q409" s="526"/>
      <c r="R409" s="526"/>
      <c r="S409" s="526"/>
      <c r="T409" s="526"/>
      <c r="U409" s="526"/>
      <c r="V409" s="526"/>
      <c r="W409" s="526"/>
      <c r="X409" s="526"/>
      <c r="Y409" s="526"/>
      <c r="Z409" s="526"/>
    </row>
    <row r="410" spans="1:26" ht="18.600000000000001" x14ac:dyDescent="0.3">
      <c r="A410" s="526"/>
      <c r="B410" s="526"/>
      <c r="C410" s="526"/>
      <c r="D410" s="526"/>
      <c r="E410" s="526"/>
      <c r="F410" s="526"/>
      <c r="G410" s="526"/>
      <c r="H410" s="526"/>
      <c r="I410" s="526"/>
      <c r="J410" s="526"/>
      <c r="K410" s="526"/>
      <c r="L410" s="526"/>
      <c r="M410" s="526"/>
      <c r="N410" s="526"/>
      <c r="O410" s="526"/>
      <c r="P410" s="526"/>
      <c r="Q410" s="526"/>
      <c r="R410" s="526"/>
      <c r="S410" s="526"/>
      <c r="T410" s="526"/>
      <c r="U410" s="526"/>
      <c r="V410" s="526"/>
      <c r="W410" s="526"/>
      <c r="X410" s="526"/>
      <c r="Y410" s="526"/>
      <c r="Z410" s="526"/>
    </row>
    <row r="411" spans="1:26" ht="18.600000000000001" x14ac:dyDescent="0.3">
      <c r="A411" s="526"/>
      <c r="B411" s="526"/>
      <c r="C411" s="526"/>
      <c r="D411" s="526"/>
      <c r="E411" s="526"/>
      <c r="F411" s="526"/>
      <c r="G411" s="526"/>
      <c r="H411" s="526"/>
      <c r="I411" s="526"/>
      <c r="J411" s="526"/>
      <c r="K411" s="526"/>
      <c r="L411" s="526"/>
      <c r="M411" s="526"/>
      <c r="N411" s="526"/>
      <c r="O411" s="526"/>
      <c r="P411" s="526"/>
      <c r="Q411" s="526"/>
      <c r="R411" s="526"/>
      <c r="S411" s="526"/>
      <c r="T411" s="526"/>
      <c r="U411" s="526"/>
      <c r="V411" s="526"/>
      <c r="W411" s="526"/>
      <c r="X411" s="526"/>
      <c r="Y411" s="526"/>
      <c r="Z411" s="526"/>
    </row>
    <row r="412" spans="1:26" ht="18.600000000000001" x14ac:dyDescent="0.3">
      <c r="A412" s="526"/>
      <c r="B412" s="526"/>
      <c r="C412" s="526"/>
      <c r="D412" s="526"/>
      <c r="E412" s="526"/>
      <c r="F412" s="526"/>
      <c r="G412" s="526"/>
      <c r="H412" s="526"/>
      <c r="I412" s="526"/>
      <c r="J412" s="526"/>
      <c r="K412" s="526"/>
      <c r="L412" s="526"/>
      <c r="M412" s="526"/>
      <c r="N412" s="526"/>
      <c r="O412" s="526"/>
      <c r="P412" s="526"/>
      <c r="Q412" s="526"/>
      <c r="R412" s="526"/>
      <c r="S412" s="526"/>
      <c r="T412" s="526"/>
      <c r="U412" s="526"/>
      <c r="V412" s="526"/>
      <c r="W412" s="526"/>
      <c r="X412" s="526"/>
      <c r="Y412" s="526"/>
      <c r="Z412" s="526"/>
    </row>
    <row r="413" spans="1:26" ht="18.600000000000001" x14ac:dyDescent="0.3">
      <c r="A413" s="526"/>
      <c r="B413" s="526"/>
      <c r="C413" s="526"/>
      <c r="D413" s="526"/>
      <c r="E413" s="526"/>
      <c r="F413" s="526"/>
      <c r="G413" s="526"/>
      <c r="H413" s="526"/>
      <c r="I413" s="526"/>
      <c r="J413" s="526"/>
      <c r="K413" s="526"/>
      <c r="L413" s="526"/>
      <c r="M413" s="526"/>
      <c r="N413" s="526"/>
      <c r="O413" s="526"/>
      <c r="P413" s="526"/>
      <c r="Q413" s="526"/>
      <c r="R413" s="526"/>
      <c r="S413" s="526"/>
      <c r="T413" s="526"/>
      <c r="U413" s="526"/>
      <c r="V413" s="526"/>
      <c r="W413" s="526"/>
      <c r="X413" s="526"/>
      <c r="Y413" s="526"/>
      <c r="Z413" s="526"/>
    </row>
    <row r="414" spans="1:26" ht="18.600000000000001" x14ac:dyDescent="0.3">
      <c r="A414" s="526"/>
      <c r="B414" s="526"/>
      <c r="C414" s="526"/>
      <c r="D414" s="526"/>
      <c r="E414" s="526"/>
      <c r="F414" s="526"/>
      <c r="G414" s="526"/>
      <c r="H414" s="526"/>
      <c r="I414" s="526"/>
      <c r="J414" s="526"/>
      <c r="K414" s="526"/>
      <c r="L414" s="526"/>
      <c r="M414" s="526"/>
      <c r="N414" s="526"/>
      <c r="O414" s="526"/>
      <c r="P414" s="526"/>
      <c r="Q414" s="526"/>
      <c r="R414" s="526"/>
      <c r="S414" s="526"/>
      <c r="T414" s="526"/>
      <c r="U414" s="526"/>
      <c r="V414" s="526"/>
      <c r="W414" s="526"/>
      <c r="X414" s="526"/>
      <c r="Y414" s="526"/>
      <c r="Z414" s="526"/>
    </row>
    <row r="415" spans="1:26" ht="18.600000000000001" x14ac:dyDescent="0.3">
      <c r="A415" s="526"/>
      <c r="B415" s="526"/>
      <c r="C415" s="526"/>
      <c r="D415" s="526"/>
      <c r="E415" s="526"/>
      <c r="F415" s="526"/>
      <c r="G415" s="526"/>
      <c r="H415" s="526"/>
      <c r="I415" s="526"/>
      <c r="J415" s="526"/>
      <c r="K415" s="526"/>
      <c r="L415" s="526"/>
      <c r="M415" s="526"/>
      <c r="N415" s="526"/>
      <c r="O415" s="526"/>
      <c r="P415" s="526"/>
      <c r="Q415" s="526"/>
      <c r="R415" s="526"/>
      <c r="S415" s="526"/>
      <c r="T415" s="526"/>
      <c r="U415" s="526"/>
      <c r="V415" s="526"/>
      <c r="W415" s="526"/>
      <c r="X415" s="526"/>
      <c r="Y415" s="526"/>
      <c r="Z415" s="526"/>
    </row>
    <row r="416" spans="1:26" ht="18.600000000000001" x14ac:dyDescent="0.3">
      <c r="A416" s="526"/>
      <c r="B416" s="526"/>
      <c r="C416" s="526"/>
      <c r="D416" s="526"/>
      <c r="E416" s="526"/>
      <c r="F416" s="526"/>
      <c r="G416" s="526"/>
      <c r="H416" s="526"/>
      <c r="I416" s="526"/>
      <c r="J416" s="526"/>
      <c r="K416" s="526"/>
      <c r="L416" s="526"/>
      <c r="M416" s="526"/>
      <c r="N416" s="526"/>
      <c r="O416" s="526"/>
      <c r="P416" s="526"/>
      <c r="Q416" s="526"/>
      <c r="R416" s="526"/>
      <c r="S416" s="526"/>
      <c r="T416" s="526"/>
      <c r="U416" s="526"/>
      <c r="V416" s="526"/>
      <c r="W416" s="526"/>
      <c r="X416" s="526"/>
      <c r="Y416" s="526"/>
      <c r="Z416" s="526"/>
    </row>
    <row r="417" spans="1:26" ht="18.600000000000001" x14ac:dyDescent="0.3">
      <c r="A417" s="526"/>
      <c r="B417" s="526"/>
      <c r="C417" s="526"/>
      <c r="D417" s="526"/>
      <c r="E417" s="526"/>
      <c r="F417" s="526"/>
      <c r="G417" s="526"/>
      <c r="H417" s="526"/>
      <c r="I417" s="526"/>
      <c r="J417" s="526"/>
      <c r="K417" s="526"/>
      <c r="L417" s="526"/>
      <c r="M417" s="526"/>
      <c r="N417" s="526"/>
      <c r="O417" s="526"/>
      <c r="P417" s="526"/>
      <c r="Q417" s="526"/>
      <c r="R417" s="526"/>
      <c r="S417" s="526"/>
      <c r="T417" s="526"/>
      <c r="U417" s="526"/>
      <c r="V417" s="526"/>
      <c r="W417" s="526"/>
      <c r="X417" s="526"/>
      <c r="Y417" s="526"/>
      <c r="Z417" s="526"/>
    </row>
    <row r="418" spans="1:26" ht="18.600000000000001" x14ac:dyDescent="0.3">
      <c r="A418" s="526"/>
      <c r="B418" s="526"/>
      <c r="C418" s="526"/>
      <c r="D418" s="526"/>
      <c r="E418" s="526"/>
      <c r="F418" s="526"/>
      <c r="G418" s="526"/>
      <c r="H418" s="526"/>
      <c r="I418" s="526"/>
      <c r="J418" s="526"/>
      <c r="K418" s="526"/>
      <c r="L418" s="526"/>
      <c r="M418" s="526"/>
      <c r="N418" s="526"/>
      <c r="O418" s="526"/>
      <c r="P418" s="526"/>
      <c r="Q418" s="526"/>
      <c r="R418" s="526"/>
      <c r="S418" s="526"/>
      <c r="T418" s="526"/>
      <c r="U418" s="526"/>
      <c r="V418" s="526"/>
      <c r="W418" s="526"/>
      <c r="X418" s="526"/>
      <c r="Y418" s="526"/>
      <c r="Z418" s="526"/>
    </row>
    <row r="419" spans="1:26" ht="18.600000000000001" x14ac:dyDescent="0.3">
      <c r="A419" s="526"/>
      <c r="B419" s="526"/>
      <c r="C419" s="526"/>
      <c r="D419" s="526"/>
      <c r="E419" s="526"/>
      <c r="F419" s="526"/>
      <c r="G419" s="526"/>
      <c r="H419" s="526"/>
      <c r="I419" s="526"/>
      <c r="J419" s="526"/>
      <c r="K419" s="526"/>
      <c r="L419" s="526"/>
      <c r="M419" s="526"/>
      <c r="N419" s="526"/>
      <c r="O419" s="526"/>
      <c r="P419" s="526"/>
      <c r="Q419" s="526"/>
      <c r="R419" s="526"/>
      <c r="S419" s="526"/>
      <c r="T419" s="526"/>
      <c r="U419" s="526"/>
      <c r="V419" s="526"/>
      <c r="W419" s="526"/>
      <c r="X419" s="526"/>
      <c r="Y419" s="526"/>
      <c r="Z419" s="526"/>
    </row>
    <row r="420" spans="1:26" ht="18.600000000000001" x14ac:dyDescent="0.3">
      <c r="A420" s="526"/>
      <c r="B420" s="526"/>
      <c r="C420" s="526"/>
      <c r="D420" s="526"/>
      <c r="E420" s="526"/>
      <c r="F420" s="526"/>
      <c r="G420" s="526"/>
      <c r="H420" s="526"/>
      <c r="I420" s="526"/>
      <c r="J420" s="526"/>
      <c r="K420" s="526"/>
      <c r="L420" s="526"/>
      <c r="M420" s="526"/>
      <c r="N420" s="526"/>
      <c r="O420" s="526"/>
      <c r="P420" s="526"/>
      <c r="Q420" s="526"/>
      <c r="R420" s="526"/>
      <c r="S420" s="526"/>
      <c r="T420" s="526"/>
      <c r="U420" s="526"/>
      <c r="V420" s="526"/>
      <c r="W420" s="526"/>
      <c r="X420" s="526"/>
      <c r="Y420" s="526"/>
      <c r="Z420" s="526"/>
    </row>
    <row r="421" spans="1:26" ht="18.600000000000001" x14ac:dyDescent="0.3">
      <c r="A421" s="526"/>
      <c r="B421" s="526"/>
      <c r="C421" s="526"/>
      <c r="D421" s="526"/>
      <c r="E421" s="526"/>
      <c r="F421" s="526"/>
      <c r="G421" s="526"/>
      <c r="H421" s="526"/>
      <c r="I421" s="526"/>
      <c r="J421" s="526"/>
      <c r="K421" s="526"/>
      <c r="L421" s="526"/>
      <c r="M421" s="526"/>
      <c r="N421" s="526"/>
      <c r="O421" s="526"/>
      <c r="P421" s="526"/>
      <c r="Q421" s="526"/>
      <c r="R421" s="526"/>
      <c r="S421" s="526"/>
      <c r="T421" s="526"/>
      <c r="U421" s="526"/>
      <c r="V421" s="526"/>
      <c r="W421" s="526"/>
      <c r="X421" s="526"/>
      <c r="Y421" s="526"/>
      <c r="Z421" s="526"/>
    </row>
    <row r="422" spans="1:26" ht="18.600000000000001" x14ac:dyDescent="0.3">
      <c r="A422" s="526"/>
      <c r="B422" s="526"/>
      <c r="C422" s="526"/>
      <c r="D422" s="526"/>
      <c r="E422" s="526"/>
      <c r="F422" s="526"/>
      <c r="G422" s="526"/>
      <c r="H422" s="526"/>
      <c r="I422" s="526"/>
      <c r="J422" s="526"/>
      <c r="K422" s="526"/>
      <c r="L422" s="526"/>
      <c r="M422" s="526"/>
      <c r="N422" s="526"/>
      <c r="O422" s="526"/>
      <c r="P422" s="526"/>
      <c r="Q422" s="526"/>
      <c r="R422" s="526"/>
      <c r="S422" s="526"/>
      <c r="T422" s="526"/>
      <c r="U422" s="526"/>
      <c r="V422" s="526"/>
      <c r="W422" s="526"/>
      <c r="X422" s="526"/>
      <c r="Y422" s="526"/>
      <c r="Z422" s="526"/>
    </row>
    <row r="423" spans="1:26" ht="18.600000000000001" x14ac:dyDescent="0.3">
      <c r="A423" s="526"/>
      <c r="B423" s="526"/>
      <c r="C423" s="526"/>
      <c r="D423" s="526"/>
      <c r="E423" s="526"/>
      <c r="F423" s="526"/>
      <c r="G423" s="526"/>
      <c r="H423" s="526"/>
      <c r="I423" s="526"/>
      <c r="J423" s="526"/>
      <c r="K423" s="526"/>
      <c r="L423" s="526"/>
      <c r="M423" s="526"/>
      <c r="N423" s="526"/>
      <c r="O423" s="526"/>
      <c r="P423" s="526"/>
      <c r="Q423" s="526"/>
      <c r="R423" s="526"/>
      <c r="S423" s="526"/>
      <c r="T423" s="526"/>
      <c r="U423" s="526"/>
      <c r="V423" s="526"/>
      <c r="W423" s="526"/>
      <c r="X423" s="526"/>
      <c r="Y423" s="526"/>
      <c r="Z423" s="526"/>
    </row>
    <row r="424" spans="1:26" ht="18.600000000000001" x14ac:dyDescent="0.3">
      <c r="A424" s="526"/>
      <c r="B424" s="526"/>
      <c r="C424" s="526"/>
      <c r="D424" s="526"/>
      <c r="E424" s="526"/>
      <c r="F424" s="526"/>
      <c r="G424" s="526"/>
      <c r="H424" s="526"/>
      <c r="I424" s="526"/>
      <c r="J424" s="526"/>
      <c r="K424" s="526"/>
      <c r="L424" s="526"/>
      <c r="M424" s="526"/>
      <c r="N424" s="526"/>
      <c r="O424" s="526"/>
      <c r="P424" s="526"/>
      <c r="Q424" s="526"/>
      <c r="R424" s="526"/>
      <c r="S424" s="526"/>
      <c r="T424" s="526"/>
      <c r="U424" s="526"/>
      <c r="V424" s="526"/>
      <c r="W424" s="526"/>
      <c r="X424" s="526"/>
      <c r="Y424" s="526"/>
      <c r="Z424" s="526"/>
    </row>
    <row r="425" spans="1:26" ht="18.600000000000001" x14ac:dyDescent="0.3">
      <c r="A425" s="526"/>
      <c r="B425" s="526"/>
      <c r="C425" s="526"/>
      <c r="D425" s="526"/>
      <c r="E425" s="526"/>
      <c r="F425" s="526"/>
      <c r="G425" s="526"/>
      <c r="H425" s="526"/>
      <c r="I425" s="526"/>
      <c r="J425" s="526"/>
      <c r="K425" s="526"/>
      <c r="L425" s="526"/>
      <c r="M425" s="526"/>
      <c r="N425" s="526"/>
      <c r="O425" s="526"/>
      <c r="P425" s="526"/>
      <c r="Q425" s="526"/>
      <c r="R425" s="526"/>
      <c r="S425" s="526"/>
      <c r="T425" s="526"/>
      <c r="U425" s="526"/>
      <c r="V425" s="526"/>
      <c r="W425" s="526"/>
      <c r="X425" s="526"/>
      <c r="Y425" s="526"/>
      <c r="Z425" s="526"/>
    </row>
    <row r="426" spans="1:26" ht="18.600000000000001" x14ac:dyDescent="0.3">
      <c r="A426" s="526"/>
      <c r="B426" s="526"/>
      <c r="C426" s="526"/>
      <c r="D426" s="526"/>
      <c r="E426" s="526"/>
      <c r="F426" s="526"/>
      <c r="G426" s="526"/>
      <c r="H426" s="526"/>
      <c r="I426" s="526"/>
      <c r="J426" s="526"/>
      <c r="K426" s="526"/>
      <c r="L426" s="526"/>
      <c r="M426" s="526"/>
      <c r="N426" s="526"/>
      <c r="O426" s="526"/>
      <c r="P426" s="526"/>
      <c r="Q426" s="526"/>
      <c r="R426" s="526"/>
      <c r="S426" s="526"/>
      <c r="T426" s="526"/>
      <c r="U426" s="526"/>
      <c r="V426" s="526"/>
      <c r="W426" s="526"/>
      <c r="X426" s="526"/>
      <c r="Y426" s="526"/>
      <c r="Z426" s="526"/>
    </row>
    <row r="427" spans="1:26" ht="18.600000000000001" x14ac:dyDescent="0.3">
      <c r="A427" s="526"/>
      <c r="B427" s="526"/>
      <c r="C427" s="526"/>
      <c r="D427" s="526"/>
      <c r="E427" s="526"/>
      <c r="F427" s="526"/>
      <c r="G427" s="526"/>
      <c r="H427" s="526"/>
      <c r="I427" s="526"/>
      <c r="J427" s="526"/>
      <c r="K427" s="526"/>
      <c r="L427" s="526"/>
      <c r="M427" s="526"/>
      <c r="N427" s="526"/>
      <c r="O427" s="526"/>
      <c r="P427" s="526"/>
      <c r="Q427" s="526"/>
      <c r="R427" s="526"/>
      <c r="S427" s="526"/>
      <c r="T427" s="526"/>
      <c r="U427" s="526"/>
      <c r="V427" s="526"/>
      <c r="W427" s="526"/>
      <c r="X427" s="526"/>
      <c r="Y427" s="526"/>
      <c r="Z427" s="526"/>
    </row>
    <row r="428" spans="1:26" ht="18.600000000000001" x14ac:dyDescent="0.3">
      <c r="A428" s="526"/>
      <c r="B428" s="526"/>
      <c r="C428" s="526"/>
      <c r="D428" s="526"/>
      <c r="E428" s="526"/>
      <c r="F428" s="526"/>
      <c r="G428" s="526"/>
      <c r="H428" s="526"/>
      <c r="I428" s="526"/>
      <c r="J428" s="526"/>
      <c r="K428" s="526"/>
      <c r="L428" s="526"/>
      <c r="M428" s="526"/>
      <c r="N428" s="526"/>
      <c r="O428" s="526"/>
      <c r="P428" s="526"/>
      <c r="Q428" s="526"/>
      <c r="R428" s="526"/>
      <c r="S428" s="526"/>
      <c r="T428" s="526"/>
      <c r="U428" s="526"/>
      <c r="V428" s="526"/>
      <c r="W428" s="526"/>
      <c r="X428" s="526"/>
      <c r="Y428" s="526"/>
      <c r="Z428" s="526"/>
    </row>
    <row r="429" spans="1:26" ht="18.600000000000001" x14ac:dyDescent="0.3">
      <c r="A429" s="526"/>
      <c r="B429" s="526"/>
      <c r="C429" s="526"/>
      <c r="D429" s="526"/>
      <c r="E429" s="526"/>
      <c r="F429" s="526"/>
      <c r="G429" s="526"/>
      <c r="H429" s="526"/>
      <c r="I429" s="526"/>
      <c r="J429" s="526"/>
      <c r="K429" s="526"/>
      <c r="L429" s="526"/>
      <c r="M429" s="526"/>
      <c r="N429" s="526"/>
      <c r="O429" s="526"/>
      <c r="P429" s="526"/>
      <c r="Q429" s="526"/>
      <c r="R429" s="526"/>
      <c r="S429" s="526"/>
      <c r="T429" s="526"/>
      <c r="U429" s="526"/>
      <c r="V429" s="526"/>
      <c r="W429" s="526"/>
      <c r="X429" s="526"/>
      <c r="Y429" s="526"/>
      <c r="Z429" s="526"/>
    </row>
    <row r="430" spans="1:26" ht="18.600000000000001" x14ac:dyDescent="0.3">
      <c r="A430" s="526"/>
      <c r="B430" s="526"/>
      <c r="C430" s="526"/>
      <c r="D430" s="526"/>
      <c r="E430" s="526"/>
      <c r="F430" s="526"/>
      <c r="G430" s="526"/>
      <c r="H430" s="526"/>
      <c r="I430" s="526"/>
      <c r="J430" s="526"/>
      <c r="K430" s="526"/>
      <c r="L430" s="526"/>
      <c r="M430" s="526"/>
      <c r="N430" s="526"/>
      <c r="O430" s="526"/>
      <c r="P430" s="526"/>
      <c r="Q430" s="526"/>
      <c r="R430" s="526"/>
      <c r="S430" s="526"/>
      <c r="T430" s="526"/>
      <c r="U430" s="526"/>
      <c r="V430" s="526"/>
      <c r="W430" s="526"/>
      <c r="X430" s="526"/>
      <c r="Y430" s="526"/>
      <c r="Z430" s="526"/>
    </row>
    <row r="431" spans="1:26" ht="18.600000000000001" x14ac:dyDescent="0.3">
      <c r="A431" s="526"/>
      <c r="B431" s="526"/>
      <c r="C431" s="526"/>
      <c r="D431" s="526"/>
      <c r="E431" s="526"/>
      <c r="F431" s="526"/>
      <c r="G431" s="526"/>
      <c r="H431" s="526"/>
      <c r="I431" s="526"/>
      <c r="J431" s="526"/>
      <c r="K431" s="526"/>
      <c r="L431" s="526"/>
      <c r="M431" s="526"/>
      <c r="N431" s="526"/>
      <c r="O431" s="526"/>
      <c r="P431" s="526"/>
      <c r="Q431" s="526"/>
      <c r="R431" s="526"/>
      <c r="S431" s="526"/>
      <c r="T431" s="526"/>
      <c r="U431" s="526"/>
      <c r="V431" s="526"/>
      <c r="W431" s="526"/>
      <c r="X431" s="526"/>
      <c r="Y431" s="526"/>
      <c r="Z431" s="526"/>
    </row>
    <row r="432" spans="1:26" ht="18.600000000000001" x14ac:dyDescent="0.3">
      <c r="A432" s="526"/>
      <c r="B432" s="526"/>
      <c r="C432" s="526"/>
      <c r="D432" s="526"/>
      <c r="E432" s="526"/>
      <c r="F432" s="526"/>
      <c r="G432" s="526"/>
      <c r="H432" s="526"/>
      <c r="I432" s="526"/>
      <c r="J432" s="526"/>
      <c r="K432" s="526"/>
      <c r="L432" s="526"/>
      <c r="M432" s="526"/>
      <c r="N432" s="526"/>
      <c r="O432" s="526"/>
      <c r="P432" s="526"/>
      <c r="Q432" s="526"/>
      <c r="R432" s="526"/>
      <c r="S432" s="526"/>
      <c r="T432" s="526"/>
      <c r="U432" s="526"/>
      <c r="V432" s="526"/>
      <c r="W432" s="526"/>
      <c r="X432" s="526"/>
      <c r="Y432" s="526"/>
      <c r="Z432" s="526"/>
    </row>
    <row r="433" spans="1:26" ht="18.600000000000001" x14ac:dyDescent="0.3">
      <c r="A433" s="526"/>
      <c r="B433" s="526"/>
      <c r="C433" s="526"/>
      <c r="D433" s="526"/>
      <c r="E433" s="526"/>
      <c r="F433" s="526"/>
      <c r="G433" s="526"/>
      <c r="H433" s="526"/>
      <c r="I433" s="526"/>
      <c r="J433" s="526"/>
      <c r="K433" s="526"/>
      <c r="L433" s="526"/>
      <c r="M433" s="526"/>
      <c r="N433" s="526"/>
      <c r="O433" s="526"/>
      <c r="P433" s="526"/>
      <c r="Q433" s="526"/>
      <c r="R433" s="526"/>
      <c r="S433" s="526"/>
      <c r="T433" s="526"/>
      <c r="U433" s="526"/>
      <c r="V433" s="526"/>
      <c r="W433" s="526"/>
      <c r="X433" s="526"/>
      <c r="Y433" s="526"/>
      <c r="Z433" s="526"/>
    </row>
    <row r="434" spans="1:26" ht="18.600000000000001" x14ac:dyDescent="0.3">
      <c r="A434" s="526"/>
      <c r="B434" s="526"/>
      <c r="C434" s="526"/>
      <c r="D434" s="526"/>
      <c r="E434" s="526"/>
      <c r="F434" s="526"/>
      <c r="G434" s="526"/>
      <c r="H434" s="526"/>
      <c r="I434" s="526"/>
      <c r="J434" s="526"/>
      <c r="K434" s="526"/>
      <c r="L434" s="526"/>
      <c r="M434" s="526"/>
      <c r="N434" s="526"/>
      <c r="O434" s="526"/>
      <c r="P434" s="526"/>
      <c r="Q434" s="526"/>
      <c r="R434" s="526"/>
      <c r="S434" s="526"/>
      <c r="T434" s="526"/>
      <c r="U434" s="526"/>
      <c r="V434" s="526"/>
      <c r="W434" s="526"/>
      <c r="X434" s="526"/>
      <c r="Y434" s="526"/>
      <c r="Z434" s="526"/>
    </row>
    <row r="435" spans="1:26" ht="18.600000000000001" x14ac:dyDescent="0.3">
      <c r="A435" s="526"/>
      <c r="B435" s="526"/>
      <c r="C435" s="526"/>
      <c r="D435" s="526"/>
      <c r="E435" s="526"/>
      <c r="F435" s="526"/>
      <c r="G435" s="526"/>
      <c r="H435" s="526"/>
      <c r="I435" s="526"/>
      <c r="J435" s="526"/>
      <c r="K435" s="526"/>
      <c r="L435" s="526"/>
      <c r="M435" s="526"/>
      <c r="N435" s="526"/>
      <c r="O435" s="526"/>
      <c r="P435" s="526"/>
      <c r="Q435" s="526"/>
      <c r="R435" s="526"/>
      <c r="S435" s="526"/>
      <c r="T435" s="526"/>
      <c r="U435" s="526"/>
      <c r="V435" s="526"/>
      <c r="W435" s="526"/>
      <c r="X435" s="526"/>
      <c r="Y435" s="526"/>
      <c r="Z435" s="526"/>
    </row>
    <row r="436" spans="1:26" ht="18.600000000000001" x14ac:dyDescent="0.3">
      <c r="A436" s="526"/>
      <c r="B436" s="526"/>
      <c r="C436" s="526"/>
      <c r="D436" s="526"/>
      <c r="E436" s="526"/>
      <c r="F436" s="526"/>
      <c r="G436" s="526"/>
      <c r="H436" s="526"/>
      <c r="I436" s="526"/>
      <c r="J436" s="526"/>
      <c r="K436" s="526"/>
      <c r="L436" s="526"/>
      <c r="M436" s="526"/>
      <c r="N436" s="526"/>
      <c r="O436" s="526"/>
      <c r="P436" s="526"/>
      <c r="Q436" s="526"/>
      <c r="R436" s="526"/>
      <c r="S436" s="526"/>
      <c r="T436" s="526"/>
      <c r="U436" s="526"/>
      <c r="V436" s="526"/>
      <c r="W436" s="526"/>
      <c r="X436" s="526"/>
      <c r="Y436" s="526"/>
      <c r="Z436" s="526"/>
    </row>
    <row r="437" spans="1:26" ht="18.600000000000001" x14ac:dyDescent="0.3">
      <c r="A437" s="526"/>
      <c r="B437" s="526"/>
      <c r="C437" s="526"/>
      <c r="D437" s="526"/>
      <c r="E437" s="526"/>
      <c r="F437" s="526"/>
      <c r="G437" s="526"/>
      <c r="H437" s="526"/>
      <c r="I437" s="526"/>
      <c r="J437" s="526"/>
      <c r="K437" s="526"/>
      <c r="L437" s="526"/>
      <c r="M437" s="526"/>
      <c r="N437" s="526"/>
      <c r="O437" s="526"/>
      <c r="P437" s="526"/>
      <c r="Q437" s="526"/>
      <c r="R437" s="526"/>
      <c r="S437" s="526"/>
      <c r="T437" s="526"/>
      <c r="U437" s="526"/>
      <c r="V437" s="526"/>
      <c r="W437" s="526"/>
      <c r="X437" s="526"/>
      <c r="Y437" s="526"/>
      <c r="Z437" s="526"/>
    </row>
    <row r="438" spans="1:26" ht="18.600000000000001" x14ac:dyDescent="0.3">
      <c r="A438" s="526"/>
      <c r="B438" s="526"/>
      <c r="C438" s="526"/>
      <c r="D438" s="526"/>
      <c r="E438" s="526"/>
      <c r="F438" s="526"/>
      <c r="G438" s="526"/>
      <c r="H438" s="526"/>
      <c r="I438" s="526"/>
      <c r="J438" s="526"/>
      <c r="K438" s="526"/>
      <c r="L438" s="526"/>
      <c r="M438" s="526"/>
      <c r="N438" s="526"/>
      <c r="O438" s="526"/>
      <c r="P438" s="526"/>
      <c r="Q438" s="526"/>
      <c r="R438" s="526"/>
      <c r="S438" s="526"/>
      <c r="T438" s="526"/>
      <c r="U438" s="526"/>
      <c r="V438" s="526"/>
      <c r="W438" s="526"/>
      <c r="X438" s="526"/>
      <c r="Y438" s="526"/>
      <c r="Z438" s="526"/>
    </row>
    <row r="439" spans="1:26" ht="18.600000000000001" x14ac:dyDescent="0.3">
      <c r="A439" s="526"/>
      <c r="B439" s="526"/>
      <c r="C439" s="526"/>
      <c r="D439" s="526"/>
      <c r="E439" s="526"/>
      <c r="F439" s="526"/>
      <c r="G439" s="526"/>
      <c r="H439" s="526"/>
      <c r="I439" s="526"/>
      <c r="J439" s="526"/>
      <c r="K439" s="526"/>
      <c r="L439" s="526"/>
      <c r="M439" s="526"/>
      <c r="N439" s="526"/>
      <c r="O439" s="526"/>
      <c r="P439" s="526"/>
      <c r="Q439" s="526"/>
      <c r="R439" s="526"/>
      <c r="S439" s="526"/>
      <c r="T439" s="526"/>
      <c r="U439" s="526"/>
      <c r="V439" s="526"/>
      <c r="W439" s="526"/>
      <c r="X439" s="526"/>
      <c r="Y439" s="526"/>
      <c r="Z439" s="526"/>
    </row>
    <row r="440" spans="1:26" ht="18.600000000000001" x14ac:dyDescent="0.3">
      <c r="A440" s="526"/>
      <c r="B440" s="526"/>
      <c r="C440" s="526"/>
      <c r="D440" s="526"/>
      <c r="E440" s="526"/>
      <c r="F440" s="526"/>
      <c r="G440" s="526"/>
      <c r="H440" s="526"/>
      <c r="I440" s="526"/>
      <c r="J440" s="526"/>
      <c r="K440" s="526"/>
      <c r="L440" s="526"/>
      <c r="M440" s="526"/>
      <c r="N440" s="526"/>
      <c r="O440" s="526"/>
      <c r="P440" s="526"/>
      <c r="Q440" s="526"/>
      <c r="R440" s="526"/>
      <c r="S440" s="526"/>
      <c r="T440" s="526"/>
      <c r="U440" s="526"/>
      <c r="V440" s="526"/>
      <c r="W440" s="526"/>
      <c r="X440" s="526"/>
      <c r="Y440" s="526"/>
      <c r="Z440" s="526"/>
    </row>
    <row r="441" spans="1:26" ht="18.600000000000001" x14ac:dyDescent="0.3">
      <c r="A441" s="526"/>
      <c r="B441" s="526"/>
      <c r="C441" s="526"/>
      <c r="D441" s="526"/>
      <c r="E441" s="526"/>
      <c r="F441" s="526"/>
      <c r="G441" s="526"/>
      <c r="H441" s="526"/>
      <c r="I441" s="526"/>
      <c r="J441" s="526"/>
      <c r="K441" s="526"/>
      <c r="L441" s="526"/>
      <c r="M441" s="526"/>
      <c r="N441" s="526"/>
      <c r="O441" s="526"/>
      <c r="P441" s="526"/>
      <c r="Q441" s="526"/>
      <c r="R441" s="526"/>
      <c r="S441" s="526"/>
      <c r="T441" s="526"/>
      <c r="U441" s="526"/>
      <c r="V441" s="526"/>
      <c r="W441" s="526"/>
      <c r="X441" s="526"/>
      <c r="Y441" s="526"/>
      <c r="Z441" s="526"/>
    </row>
    <row r="442" spans="1:26" ht="18.600000000000001" x14ac:dyDescent="0.3">
      <c r="A442" s="526"/>
      <c r="B442" s="526"/>
      <c r="C442" s="526"/>
      <c r="D442" s="526"/>
      <c r="E442" s="526"/>
      <c r="F442" s="526"/>
      <c r="G442" s="526"/>
      <c r="H442" s="526"/>
      <c r="I442" s="526"/>
      <c r="J442" s="526"/>
      <c r="K442" s="526"/>
      <c r="L442" s="526"/>
      <c r="M442" s="526"/>
      <c r="N442" s="526"/>
      <c r="O442" s="526"/>
      <c r="P442" s="526"/>
      <c r="Q442" s="526"/>
      <c r="R442" s="526"/>
      <c r="S442" s="526"/>
      <c r="T442" s="526"/>
      <c r="U442" s="526"/>
      <c r="V442" s="526"/>
      <c r="W442" s="526"/>
      <c r="X442" s="526"/>
      <c r="Y442" s="526"/>
      <c r="Z442" s="526"/>
    </row>
    <row r="443" spans="1:26" ht="18.600000000000001" x14ac:dyDescent="0.3">
      <c r="A443" s="526"/>
      <c r="B443" s="526"/>
      <c r="C443" s="526"/>
      <c r="D443" s="526"/>
      <c r="E443" s="526"/>
      <c r="F443" s="526"/>
      <c r="G443" s="526"/>
      <c r="H443" s="526"/>
      <c r="I443" s="526"/>
      <c r="J443" s="526"/>
      <c r="K443" s="526"/>
      <c r="L443" s="526"/>
      <c r="M443" s="526"/>
      <c r="N443" s="526"/>
      <c r="O443" s="526"/>
      <c r="P443" s="526"/>
      <c r="Q443" s="526"/>
      <c r="R443" s="526"/>
      <c r="S443" s="526"/>
      <c r="T443" s="526"/>
      <c r="U443" s="526"/>
      <c r="V443" s="526"/>
      <c r="W443" s="526"/>
      <c r="X443" s="526"/>
      <c r="Y443" s="526"/>
      <c r="Z443" s="526"/>
    </row>
    <row r="444" spans="1:26" ht="18.600000000000001" x14ac:dyDescent="0.3">
      <c r="A444" s="526"/>
      <c r="B444" s="526"/>
      <c r="C444" s="526"/>
      <c r="D444" s="526"/>
      <c r="E444" s="526"/>
      <c r="F444" s="526"/>
      <c r="G444" s="526"/>
      <c r="H444" s="526"/>
      <c r="I444" s="526"/>
      <c r="J444" s="526"/>
      <c r="K444" s="526"/>
      <c r="L444" s="526"/>
      <c r="M444" s="526"/>
      <c r="N444" s="526"/>
      <c r="O444" s="526"/>
      <c r="P444" s="526"/>
      <c r="Q444" s="526"/>
      <c r="R444" s="526"/>
      <c r="S444" s="526"/>
      <c r="T444" s="526"/>
      <c r="U444" s="526"/>
      <c r="V444" s="526"/>
      <c r="W444" s="526"/>
      <c r="X444" s="526"/>
      <c r="Y444" s="526"/>
      <c r="Z444" s="526"/>
    </row>
    <row r="445" spans="1:26" ht="18.600000000000001" x14ac:dyDescent="0.3">
      <c r="A445" s="526"/>
      <c r="B445" s="526"/>
      <c r="C445" s="526"/>
      <c r="D445" s="526"/>
      <c r="E445" s="526"/>
      <c r="F445" s="526"/>
      <c r="G445" s="526"/>
      <c r="H445" s="526"/>
      <c r="I445" s="526"/>
      <c r="J445" s="526"/>
      <c r="K445" s="526"/>
      <c r="L445" s="526"/>
      <c r="M445" s="526"/>
      <c r="N445" s="526"/>
      <c r="O445" s="526"/>
      <c r="P445" s="526"/>
      <c r="Q445" s="526"/>
      <c r="R445" s="526"/>
      <c r="S445" s="526"/>
      <c r="T445" s="526"/>
      <c r="U445" s="526"/>
      <c r="V445" s="526"/>
      <c r="W445" s="526"/>
      <c r="X445" s="526"/>
      <c r="Y445" s="526"/>
      <c r="Z445" s="526"/>
    </row>
    <row r="446" spans="1:26" ht="18.600000000000001" x14ac:dyDescent="0.3">
      <c r="A446" s="526"/>
      <c r="B446" s="526"/>
      <c r="C446" s="526"/>
      <c r="D446" s="526"/>
      <c r="E446" s="526"/>
      <c r="F446" s="526"/>
      <c r="G446" s="526"/>
      <c r="H446" s="526"/>
      <c r="I446" s="526"/>
      <c r="J446" s="526"/>
      <c r="K446" s="526"/>
      <c r="L446" s="526"/>
      <c r="M446" s="526"/>
      <c r="N446" s="526"/>
      <c r="O446" s="526"/>
      <c r="P446" s="526"/>
      <c r="Q446" s="526"/>
      <c r="R446" s="526"/>
      <c r="S446" s="526"/>
      <c r="T446" s="526"/>
      <c r="U446" s="526"/>
      <c r="V446" s="526"/>
      <c r="W446" s="526"/>
      <c r="X446" s="526"/>
      <c r="Y446" s="526"/>
      <c r="Z446" s="526"/>
    </row>
    <row r="447" spans="1:26" ht="18.600000000000001" x14ac:dyDescent="0.3">
      <c r="A447" s="526"/>
      <c r="B447" s="526"/>
      <c r="C447" s="526"/>
      <c r="D447" s="526"/>
      <c r="E447" s="526"/>
      <c r="F447" s="526"/>
      <c r="G447" s="526"/>
      <c r="H447" s="526"/>
      <c r="I447" s="526"/>
      <c r="J447" s="526"/>
      <c r="K447" s="526"/>
      <c r="L447" s="526"/>
      <c r="M447" s="526"/>
      <c r="N447" s="526"/>
      <c r="O447" s="526"/>
      <c r="P447" s="526"/>
      <c r="Q447" s="526"/>
      <c r="R447" s="526"/>
      <c r="S447" s="526"/>
      <c r="T447" s="526"/>
      <c r="U447" s="526"/>
      <c r="V447" s="526"/>
      <c r="W447" s="526"/>
      <c r="X447" s="526"/>
      <c r="Y447" s="526"/>
      <c r="Z447" s="526"/>
    </row>
    <row r="448" spans="1:26" ht="18.600000000000001" x14ac:dyDescent="0.3">
      <c r="A448" s="526"/>
      <c r="B448" s="526"/>
      <c r="C448" s="526"/>
      <c r="D448" s="526"/>
      <c r="E448" s="526"/>
      <c r="F448" s="526"/>
      <c r="G448" s="526"/>
      <c r="H448" s="526"/>
      <c r="I448" s="526"/>
      <c r="J448" s="526"/>
      <c r="K448" s="526"/>
      <c r="L448" s="526"/>
      <c r="M448" s="526"/>
      <c r="N448" s="526"/>
      <c r="O448" s="526"/>
      <c r="P448" s="526"/>
      <c r="Q448" s="526"/>
      <c r="R448" s="526"/>
      <c r="S448" s="526"/>
      <c r="T448" s="526"/>
      <c r="U448" s="526"/>
      <c r="V448" s="526"/>
      <c r="W448" s="526"/>
      <c r="X448" s="526"/>
      <c r="Y448" s="526"/>
      <c r="Z448" s="526"/>
    </row>
    <row r="449" spans="1:26" ht="18.600000000000001" x14ac:dyDescent="0.3">
      <c r="A449" s="526"/>
      <c r="B449" s="526"/>
      <c r="C449" s="526"/>
      <c r="D449" s="526"/>
      <c r="E449" s="526"/>
      <c r="F449" s="526"/>
      <c r="G449" s="526"/>
      <c r="H449" s="526"/>
      <c r="I449" s="526"/>
      <c r="J449" s="526"/>
      <c r="K449" s="526"/>
      <c r="L449" s="526"/>
      <c r="M449" s="526"/>
      <c r="N449" s="526"/>
      <c r="O449" s="526"/>
      <c r="P449" s="526"/>
      <c r="Q449" s="526"/>
      <c r="R449" s="526"/>
      <c r="S449" s="526"/>
      <c r="T449" s="526"/>
      <c r="U449" s="526"/>
      <c r="V449" s="526"/>
      <c r="W449" s="526"/>
      <c r="X449" s="526"/>
      <c r="Y449" s="526"/>
      <c r="Z449" s="526"/>
    </row>
    <row r="450" spans="1:26" ht="18.600000000000001" x14ac:dyDescent="0.3">
      <c r="A450" s="526"/>
      <c r="B450" s="526"/>
      <c r="C450" s="526"/>
      <c r="D450" s="526"/>
      <c r="E450" s="526"/>
      <c r="F450" s="526"/>
      <c r="G450" s="526"/>
      <c r="H450" s="526"/>
      <c r="I450" s="526"/>
      <c r="J450" s="526"/>
      <c r="K450" s="526"/>
      <c r="L450" s="526"/>
      <c r="M450" s="526"/>
      <c r="N450" s="526"/>
      <c r="O450" s="526"/>
      <c r="P450" s="526"/>
      <c r="Q450" s="526"/>
      <c r="R450" s="526"/>
      <c r="S450" s="526"/>
      <c r="T450" s="526"/>
      <c r="U450" s="526"/>
      <c r="V450" s="526"/>
      <c r="W450" s="526"/>
      <c r="X450" s="526"/>
      <c r="Y450" s="526"/>
      <c r="Z450" s="526"/>
    </row>
    <row r="451" spans="1:26" ht="18.600000000000001" x14ac:dyDescent="0.3">
      <c r="A451" s="526"/>
      <c r="B451" s="526"/>
      <c r="C451" s="526"/>
      <c r="D451" s="526"/>
      <c r="E451" s="526"/>
      <c r="F451" s="526"/>
      <c r="G451" s="526"/>
      <c r="H451" s="526"/>
      <c r="I451" s="526"/>
      <c r="J451" s="526"/>
      <c r="K451" s="526"/>
      <c r="L451" s="526"/>
      <c r="M451" s="526"/>
      <c r="N451" s="526"/>
      <c r="O451" s="526"/>
      <c r="P451" s="526"/>
      <c r="Q451" s="526"/>
      <c r="R451" s="526"/>
      <c r="S451" s="526"/>
      <c r="T451" s="526"/>
      <c r="U451" s="526"/>
      <c r="V451" s="526"/>
      <c r="W451" s="526"/>
      <c r="X451" s="526"/>
      <c r="Y451" s="526"/>
      <c r="Z451" s="526"/>
    </row>
    <row r="452" spans="1:26" ht="18.600000000000001" x14ac:dyDescent="0.3">
      <c r="A452" s="526"/>
      <c r="B452" s="526"/>
      <c r="C452" s="526"/>
      <c r="D452" s="526"/>
      <c r="E452" s="526"/>
      <c r="F452" s="526"/>
      <c r="G452" s="526"/>
      <c r="H452" s="526"/>
      <c r="I452" s="526"/>
      <c r="J452" s="526"/>
      <c r="K452" s="526"/>
      <c r="L452" s="526"/>
      <c r="M452" s="526"/>
      <c r="N452" s="526"/>
      <c r="O452" s="526"/>
      <c r="P452" s="526"/>
      <c r="Q452" s="526"/>
      <c r="R452" s="526"/>
      <c r="S452" s="526"/>
      <c r="T452" s="526"/>
      <c r="U452" s="526"/>
      <c r="V452" s="526"/>
      <c r="W452" s="526"/>
      <c r="X452" s="526"/>
      <c r="Y452" s="526"/>
      <c r="Z452" s="526"/>
    </row>
    <row r="453" spans="1:26" ht="18.600000000000001" x14ac:dyDescent="0.3">
      <c r="A453" s="526"/>
      <c r="B453" s="526"/>
      <c r="C453" s="526"/>
      <c r="D453" s="526"/>
      <c r="E453" s="526"/>
      <c r="F453" s="526"/>
      <c r="G453" s="526"/>
      <c r="H453" s="526"/>
      <c r="I453" s="526"/>
      <c r="J453" s="526"/>
      <c r="K453" s="526"/>
      <c r="L453" s="526"/>
      <c r="M453" s="526"/>
      <c r="N453" s="526"/>
      <c r="O453" s="526"/>
      <c r="P453" s="526"/>
      <c r="Q453" s="526"/>
      <c r="R453" s="526"/>
      <c r="S453" s="526"/>
      <c r="T453" s="526"/>
      <c r="U453" s="526"/>
      <c r="V453" s="526"/>
      <c r="W453" s="526"/>
      <c r="X453" s="526"/>
      <c r="Y453" s="526"/>
      <c r="Z453" s="526"/>
    </row>
    <row r="454" spans="1:26" ht="18.600000000000001" x14ac:dyDescent="0.3">
      <c r="A454" s="526"/>
      <c r="B454" s="526"/>
      <c r="C454" s="526"/>
      <c r="D454" s="526"/>
      <c r="E454" s="526"/>
      <c r="F454" s="526"/>
      <c r="G454" s="526"/>
      <c r="H454" s="526"/>
      <c r="I454" s="526"/>
      <c r="J454" s="526"/>
      <c r="K454" s="526"/>
      <c r="L454" s="526"/>
      <c r="M454" s="526"/>
      <c r="N454" s="526"/>
      <c r="O454" s="526"/>
      <c r="P454" s="526"/>
      <c r="Q454" s="526"/>
      <c r="R454" s="526"/>
      <c r="S454" s="526"/>
      <c r="T454" s="526"/>
      <c r="U454" s="526"/>
      <c r="V454" s="526"/>
      <c r="W454" s="526"/>
      <c r="X454" s="526"/>
      <c r="Y454" s="526"/>
      <c r="Z454" s="526"/>
    </row>
    <row r="455" spans="1:26" ht="18.600000000000001" x14ac:dyDescent="0.3">
      <c r="A455" s="526"/>
      <c r="B455" s="526"/>
      <c r="C455" s="526"/>
      <c r="D455" s="526"/>
      <c r="E455" s="526"/>
      <c r="F455" s="526"/>
      <c r="G455" s="526"/>
      <c r="H455" s="526"/>
      <c r="I455" s="526"/>
      <c r="J455" s="526"/>
      <c r="K455" s="526"/>
      <c r="L455" s="526"/>
      <c r="M455" s="526"/>
      <c r="N455" s="526"/>
      <c r="O455" s="526"/>
      <c r="P455" s="526"/>
      <c r="Q455" s="526"/>
      <c r="R455" s="526"/>
      <c r="S455" s="526"/>
      <c r="T455" s="526"/>
      <c r="U455" s="526"/>
      <c r="V455" s="526"/>
      <c r="W455" s="526"/>
      <c r="X455" s="526"/>
      <c r="Y455" s="526"/>
      <c r="Z455" s="526"/>
    </row>
    <row r="456" spans="1:26" ht="18.600000000000001" x14ac:dyDescent="0.3">
      <c r="A456" s="526"/>
      <c r="B456" s="526"/>
      <c r="C456" s="526"/>
      <c r="D456" s="526"/>
      <c r="E456" s="526"/>
      <c r="F456" s="526"/>
      <c r="G456" s="526"/>
      <c r="H456" s="526"/>
      <c r="I456" s="526"/>
      <c r="J456" s="526"/>
      <c r="K456" s="526"/>
      <c r="L456" s="526"/>
      <c r="M456" s="526"/>
      <c r="N456" s="526"/>
      <c r="O456" s="526"/>
      <c r="P456" s="526"/>
      <c r="Q456" s="526"/>
      <c r="R456" s="526"/>
      <c r="S456" s="526"/>
      <c r="T456" s="526"/>
      <c r="U456" s="526"/>
      <c r="V456" s="526"/>
      <c r="W456" s="526"/>
      <c r="X456" s="526"/>
      <c r="Y456" s="526"/>
      <c r="Z456" s="526"/>
    </row>
    <row r="457" spans="1:26" ht="18.600000000000001" x14ac:dyDescent="0.3">
      <c r="A457" s="526"/>
      <c r="B457" s="526"/>
      <c r="C457" s="526"/>
      <c r="D457" s="526"/>
      <c r="E457" s="526"/>
      <c r="F457" s="526"/>
      <c r="G457" s="526"/>
      <c r="H457" s="526"/>
      <c r="I457" s="526"/>
      <c r="J457" s="526"/>
      <c r="K457" s="526"/>
      <c r="L457" s="526"/>
      <c r="M457" s="526"/>
      <c r="N457" s="526"/>
      <c r="O457" s="526"/>
      <c r="P457" s="526"/>
      <c r="Q457" s="526"/>
      <c r="R457" s="526"/>
      <c r="S457" s="526"/>
      <c r="T457" s="526"/>
      <c r="U457" s="526"/>
      <c r="V457" s="526"/>
      <c r="W457" s="526"/>
      <c r="X457" s="526"/>
      <c r="Y457" s="526"/>
      <c r="Z457" s="526"/>
    </row>
    <row r="458" spans="1:26" ht="18.600000000000001" x14ac:dyDescent="0.3">
      <c r="A458" s="526"/>
      <c r="B458" s="526"/>
      <c r="C458" s="526"/>
      <c r="D458" s="526"/>
      <c r="E458" s="526"/>
      <c r="F458" s="526"/>
      <c r="G458" s="526"/>
      <c r="H458" s="526"/>
      <c r="I458" s="526"/>
      <c r="J458" s="526"/>
      <c r="K458" s="526"/>
      <c r="L458" s="526"/>
      <c r="M458" s="526"/>
      <c r="N458" s="526"/>
      <c r="O458" s="526"/>
      <c r="P458" s="526"/>
      <c r="Q458" s="526"/>
      <c r="R458" s="526"/>
      <c r="S458" s="526"/>
      <c r="T458" s="526"/>
      <c r="U458" s="526"/>
      <c r="V458" s="526"/>
      <c r="W458" s="526"/>
      <c r="X458" s="526"/>
      <c r="Y458" s="526"/>
      <c r="Z458" s="526"/>
    </row>
    <row r="459" spans="1:26" ht="18.600000000000001" x14ac:dyDescent="0.3">
      <c r="A459" s="526"/>
      <c r="B459" s="526"/>
      <c r="C459" s="526"/>
      <c r="D459" s="526"/>
      <c r="E459" s="526"/>
      <c r="F459" s="526"/>
      <c r="G459" s="526"/>
      <c r="H459" s="526"/>
      <c r="I459" s="526"/>
      <c r="J459" s="526"/>
      <c r="K459" s="526"/>
      <c r="L459" s="526"/>
      <c r="M459" s="526"/>
      <c r="N459" s="526"/>
      <c r="O459" s="526"/>
      <c r="P459" s="526"/>
      <c r="Q459" s="526"/>
      <c r="R459" s="526"/>
      <c r="S459" s="526"/>
      <c r="T459" s="526"/>
      <c r="U459" s="526"/>
      <c r="V459" s="526"/>
      <c r="W459" s="526"/>
      <c r="X459" s="526"/>
      <c r="Y459" s="526"/>
      <c r="Z459" s="526"/>
    </row>
    <row r="460" spans="1:26" ht="18.600000000000001" x14ac:dyDescent="0.3">
      <c r="A460" s="526"/>
      <c r="B460" s="526"/>
      <c r="C460" s="526"/>
      <c r="D460" s="526"/>
      <c r="E460" s="526"/>
      <c r="F460" s="526"/>
      <c r="G460" s="526"/>
      <c r="H460" s="526"/>
      <c r="I460" s="526"/>
      <c r="J460" s="526"/>
      <c r="K460" s="526"/>
      <c r="L460" s="526"/>
      <c r="M460" s="526"/>
      <c r="N460" s="526"/>
      <c r="O460" s="526"/>
      <c r="P460" s="526"/>
      <c r="Q460" s="526"/>
      <c r="R460" s="526"/>
      <c r="S460" s="526"/>
      <c r="T460" s="526"/>
      <c r="U460" s="526"/>
      <c r="V460" s="526"/>
      <c r="W460" s="526"/>
      <c r="X460" s="526"/>
      <c r="Y460" s="526"/>
      <c r="Z460" s="526"/>
    </row>
    <row r="461" spans="1:26" ht="18.600000000000001" x14ac:dyDescent="0.3">
      <c r="A461" s="526"/>
      <c r="B461" s="526"/>
      <c r="C461" s="526"/>
      <c r="D461" s="526"/>
      <c r="E461" s="526"/>
      <c r="F461" s="526"/>
      <c r="G461" s="526"/>
      <c r="H461" s="526"/>
      <c r="I461" s="526"/>
      <c r="J461" s="526"/>
      <c r="K461" s="526"/>
      <c r="L461" s="526"/>
      <c r="M461" s="526"/>
      <c r="N461" s="526"/>
      <c r="O461" s="526"/>
      <c r="P461" s="526"/>
      <c r="Q461" s="526"/>
      <c r="R461" s="526"/>
      <c r="S461" s="526"/>
      <c r="T461" s="526"/>
      <c r="U461" s="526"/>
      <c r="V461" s="526"/>
      <c r="W461" s="526"/>
      <c r="X461" s="526"/>
      <c r="Y461" s="526"/>
      <c r="Z461" s="526"/>
    </row>
    <row r="462" spans="1:26" ht="18.600000000000001" x14ac:dyDescent="0.3">
      <c r="A462" s="526"/>
      <c r="B462" s="526"/>
      <c r="C462" s="526"/>
      <c r="D462" s="526"/>
      <c r="E462" s="526"/>
      <c r="F462" s="526"/>
      <c r="G462" s="526"/>
      <c r="H462" s="526"/>
      <c r="I462" s="526"/>
      <c r="J462" s="526"/>
      <c r="K462" s="526"/>
      <c r="L462" s="526"/>
      <c r="M462" s="526"/>
      <c r="N462" s="526"/>
      <c r="O462" s="526"/>
      <c r="P462" s="526"/>
      <c r="Q462" s="526"/>
      <c r="R462" s="526"/>
      <c r="S462" s="526"/>
      <c r="T462" s="526"/>
      <c r="U462" s="526"/>
      <c r="V462" s="526"/>
      <c r="W462" s="526"/>
      <c r="X462" s="526"/>
      <c r="Y462" s="526"/>
      <c r="Z462" s="526"/>
    </row>
    <row r="463" spans="1:26" ht="18.600000000000001" x14ac:dyDescent="0.3">
      <c r="A463" s="526"/>
      <c r="B463" s="526"/>
      <c r="C463" s="526"/>
      <c r="D463" s="526"/>
      <c r="E463" s="526"/>
      <c r="F463" s="526"/>
      <c r="G463" s="526"/>
      <c r="H463" s="526"/>
      <c r="I463" s="526"/>
      <c r="J463" s="526"/>
      <c r="K463" s="526"/>
      <c r="L463" s="526"/>
      <c r="M463" s="526"/>
      <c r="N463" s="526"/>
      <c r="O463" s="526"/>
      <c r="P463" s="526"/>
      <c r="Q463" s="526"/>
      <c r="R463" s="526"/>
      <c r="S463" s="526"/>
      <c r="T463" s="526"/>
      <c r="U463" s="526"/>
      <c r="V463" s="526"/>
      <c r="W463" s="526"/>
      <c r="X463" s="526"/>
      <c r="Y463" s="526"/>
      <c r="Z463" s="526"/>
    </row>
    <row r="464" spans="1:26" ht="18.600000000000001" x14ac:dyDescent="0.3">
      <c r="A464" s="526"/>
      <c r="B464" s="526"/>
      <c r="C464" s="526"/>
      <c r="D464" s="526"/>
      <c r="E464" s="526"/>
      <c r="F464" s="526"/>
      <c r="G464" s="526"/>
      <c r="H464" s="526"/>
      <c r="I464" s="526"/>
      <c r="J464" s="526"/>
      <c r="K464" s="526"/>
      <c r="L464" s="526"/>
      <c r="M464" s="526"/>
      <c r="N464" s="526"/>
      <c r="O464" s="526"/>
      <c r="P464" s="526"/>
      <c r="Q464" s="526"/>
      <c r="R464" s="526"/>
      <c r="S464" s="526"/>
      <c r="T464" s="526"/>
      <c r="U464" s="526"/>
      <c r="V464" s="526"/>
      <c r="W464" s="526"/>
      <c r="X464" s="526"/>
      <c r="Y464" s="526"/>
      <c r="Z464" s="526"/>
    </row>
    <row r="465" spans="1:26" ht="18.600000000000001" x14ac:dyDescent="0.3">
      <c r="A465" s="526"/>
      <c r="B465" s="526"/>
      <c r="C465" s="526"/>
      <c r="D465" s="526"/>
      <c r="E465" s="526"/>
      <c r="F465" s="526"/>
      <c r="G465" s="526"/>
      <c r="H465" s="526"/>
      <c r="I465" s="526"/>
      <c r="J465" s="526"/>
      <c r="K465" s="526"/>
      <c r="L465" s="526"/>
      <c r="M465" s="526"/>
      <c r="N465" s="526"/>
      <c r="O465" s="526"/>
      <c r="P465" s="526"/>
      <c r="Q465" s="526"/>
      <c r="R465" s="526"/>
      <c r="S465" s="526"/>
      <c r="T465" s="526"/>
      <c r="U465" s="526"/>
      <c r="V465" s="526"/>
      <c r="W465" s="526"/>
      <c r="X465" s="526"/>
      <c r="Y465" s="526"/>
      <c r="Z465" s="526"/>
    </row>
    <row r="466" spans="1:26" ht="18.600000000000001" x14ac:dyDescent="0.3">
      <c r="A466" s="526"/>
      <c r="B466" s="526"/>
      <c r="C466" s="526"/>
      <c r="D466" s="526"/>
      <c r="E466" s="526"/>
      <c r="F466" s="526"/>
      <c r="G466" s="526"/>
      <c r="H466" s="526"/>
      <c r="I466" s="526"/>
      <c r="J466" s="526"/>
      <c r="K466" s="526"/>
      <c r="L466" s="526"/>
      <c r="M466" s="526"/>
      <c r="N466" s="526"/>
      <c r="O466" s="526"/>
      <c r="P466" s="526"/>
      <c r="Q466" s="526"/>
      <c r="R466" s="526"/>
      <c r="S466" s="526"/>
      <c r="T466" s="526"/>
      <c r="U466" s="526"/>
      <c r="V466" s="526"/>
      <c r="W466" s="526"/>
      <c r="X466" s="526"/>
      <c r="Y466" s="526"/>
      <c r="Z466" s="526"/>
    </row>
    <row r="467" spans="1:26" ht="18.600000000000001" x14ac:dyDescent="0.3">
      <c r="A467" s="526"/>
      <c r="B467" s="526"/>
      <c r="C467" s="526"/>
      <c r="D467" s="526"/>
      <c r="E467" s="526"/>
      <c r="F467" s="526"/>
      <c r="G467" s="526"/>
      <c r="H467" s="526"/>
      <c r="I467" s="526"/>
      <c r="J467" s="526"/>
      <c r="K467" s="526"/>
      <c r="L467" s="526"/>
      <c r="M467" s="526"/>
      <c r="N467" s="526"/>
      <c r="O467" s="526"/>
      <c r="P467" s="526"/>
      <c r="Q467" s="526"/>
      <c r="R467" s="526"/>
      <c r="S467" s="526"/>
      <c r="T467" s="526"/>
      <c r="U467" s="526"/>
      <c r="V467" s="526"/>
      <c r="W467" s="526"/>
      <c r="X467" s="526"/>
      <c r="Y467" s="526"/>
      <c r="Z467" s="526"/>
    </row>
    <row r="468" spans="1:26" ht="18.600000000000001" x14ac:dyDescent="0.3">
      <c r="A468" s="526"/>
      <c r="B468" s="526"/>
      <c r="C468" s="526"/>
      <c r="D468" s="526"/>
      <c r="E468" s="526"/>
      <c r="F468" s="526"/>
      <c r="G468" s="526"/>
      <c r="H468" s="526"/>
      <c r="I468" s="526"/>
      <c r="J468" s="526"/>
      <c r="K468" s="526"/>
      <c r="L468" s="526"/>
      <c r="M468" s="526"/>
      <c r="N468" s="526"/>
      <c r="O468" s="526"/>
      <c r="P468" s="526"/>
      <c r="Q468" s="526"/>
      <c r="R468" s="526"/>
      <c r="S468" s="526"/>
      <c r="T468" s="526"/>
      <c r="U468" s="526"/>
      <c r="V468" s="526"/>
      <c r="W468" s="526"/>
      <c r="X468" s="526"/>
      <c r="Y468" s="526"/>
      <c r="Z468" s="526"/>
    </row>
    <row r="469" spans="1:26" ht="18.600000000000001" x14ac:dyDescent="0.3">
      <c r="A469" s="526"/>
      <c r="B469" s="526"/>
      <c r="C469" s="526"/>
      <c r="D469" s="526"/>
      <c r="E469" s="526"/>
      <c r="F469" s="526"/>
      <c r="G469" s="526"/>
      <c r="H469" s="526"/>
      <c r="I469" s="526"/>
      <c r="J469" s="526"/>
      <c r="K469" s="526"/>
      <c r="L469" s="526"/>
      <c r="M469" s="526"/>
      <c r="N469" s="526"/>
      <c r="O469" s="526"/>
      <c r="P469" s="526"/>
      <c r="Q469" s="526"/>
      <c r="R469" s="526"/>
      <c r="S469" s="526"/>
      <c r="T469" s="526"/>
      <c r="U469" s="526"/>
      <c r="V469" s="526"/>
      <c r="W469" s="526"/>
      <c r="X469" s="526"/>
      <c r="Y469" s="526"/>
      <c r="Z469" s="526"/>
    </row>
    <row r="470" spans="1:26" ht="18.600000000000001" x14ac:dyDescent="0.3">
      <c r="A470" s="526"/>
      <c r="B470" s="526"/>
      <c r="C470" s="526"/>
      <c r="D470" s="526"/>
      <c r="E470" s="526"/>
      <c r="F470" s="526"/>
      <c r="G470" s="526"/>
      <c r="H470" s="526"/>
      <c r="I470" s="526"/>
      <c r="J470" s="526"/>
      <c r="K470" s="526"/>
      <c r="L470" s="526"/>
      <c r="M470" s="526"/>
      <c r="N470" s="526"/>
      <c r="O470" s="526"/>
      <c r="P470" s="526"/>
      <c r="Q470" s="526"/>
      <c r="R470" s="526"/>
      <c r="S470" s="526"/>
      <c r="T470" s="526"/>
      <c r="U470" s="526"/>
      <c r="V470" s="526"/>
      <c r="W470" s="526"/>
      <c r="X470" s="526"/>
      <c r="Y470" s="526"/>
      <c r="Z470" s="526"/>
    </row>
    <row r="471" spans="1:26" ht="18.600000000000001" x14ac:dyDescent="0.3">
      <c r="A471" s="526"/>
      <c r="B471" s="526"/>
      <c r="C471" s="526"/>
      <c r="D471" s="526"/>
      <c r="E471" s="526"/>
      <c r="F471" s="526"/>
      <c r="G471" s="526"/>
      <c r="H471" s="526"/>
      <c r="I471" s="526"/>
      <c r="J471" s="526"/>
      <c r="K471" s="526"/>
      <c r="L471" s="526"/>
      <c r="M471" s="526"/>
      <c r="N471" s="526"/>
      <c r="O471" s="526"/>
      <c r="P471" s="526"/>
      <c r="Q471" s="526"/>
      <c r="R471" s="526"/>
      <c r="S471" s="526"/>
      <c r="T471" s="526"/>
      <c r="U471" s="526"/>
      <c r="V471" s="526"/>
      <c r="W471" s="526"/>
      <c r="X471" s="526"/>
      <c r="Y471" s="526"/>
      <c r="Z471" s="526"/>
    </row>
    <row r="472" spans="1:26" ht="18.600000000000001" x14ac:dyDescent="0.3">
      <c r="A472" s="526"/>
      <c r="B472" s="526"/>
      <c r="C472" s="526"/>
      <c r="D472" s="526"/>
      <c r="E472" s="526"/>
      <c r="F472" s="526"/>
      <c r="G472" s="526"/>
      <c r="H472" s="526"/>
      <c r="I472" s="526"/>
      <c r="J472" s="526"/>
      <c r="K472" s="526"/>
      <c r="L472" s="526"/>
      <c r="M472" s="526"/>
      <c r="N472" s="526"/>
      <c r="O472" s="526"/>
      <c r="P472" s="526"/>
      <c r="Q472" s="526"/>
      <c r="R472" s="526"/>
      <c r="S472" s="526"/>
      <c r="T472" s="526"/>
      <c r="U472" s="526"/>
      <c r="V472" s="526"/>
      <c r="W472" s="526"/>
      <c r="X472" s="526"/>
      <c r="Y472" s="526"/>
      <c r="Z472" s="526"/>
    </row>
    <row r="473" spans="1:26" ht="18.600000000000001" x14ac:dyDescent="0.3">
      <c r="A473" s="526"/>
      <c r="B473" s="526"/>
      <c r="C473" s="526"/>
      <c r="D473" s="526"/>
      <c r="E473" s="526"/>
      <c r="F473" s="526"/>
      <c r="G473" s="526"/>
      <c r="H473" s="526"/>
      <c r="I473" s="526"/>
      <c r="J473" s="526"/>
      <c r="K473" s="526"/>
      <c r="L473" s="526"/>
      <c r="M473" s="526"/>
      <c r="N473" s="526"/>
      <c r="O473" s="526"/>
      <c r="P473" s="526"/>
      <c r="Q473" s="526"/>
      <c r="R473" s="526"/>
      <c r="S473" s="526"/>
      <c r="T473" s="526"/>
      <c r="U473" s="526"/>
      <c r="V473" s="526"/>
      <c r="W473" s="526"/>
      <c r="X473" s="526"/>
      <c r="Y473" s="526"/>
      <c r="Z473" s="526"/>
    </row>
    <row r="474" spans="1:26" ht="18.600000000000001" x14ac:dyDescent="0.3">
      <c r="A474" s="526"/>
      <c r="B474" s="526"/>
      <c r="C474" s="526"/>
      <c r="D474" s="526"/>
      <c r="E474" s="526"/>
      <c r="F474" s="526"/>
      <c r="G474" s="526"/>
      <c r="H474" s="526"/>
      <c r="I474" s="526"/>
      <c r="J474" s="526"/>
      <c r="K474" s="526"/>
      <c r="L474" s="526"/>
      <c r="M474" s="526"/>
      <c r="N474" s="526"/>
      <c r="O474" s="526"/>
      <c r="P474" s="526"/>
      <c r="Q474" s="526"/>
      <c r="R474" s="526"/>
      <c r="S474" s="526"/>
      <c r="T474" s="526"/>
      <c r="U474" s="526"/>
      <c r="V474" s="526"/>
      <c r="W474" s="526"/>
      <c r="X474" s="526"/>
      <c r="Y474" s="526"/>
      <c r="Z474" s="526"/>
    </row>
    <row r="475" spans="1:26" ht="18.600000000000001" x14ac:dyDescent="0.3">
      <c r="A475" s="526"/>
      <c r="B475" s="526"/>
      <c r="C475" s="526"/>
      <c r="D475" s="526"/>
      <c r="E475" s="526"/>
      <c r="F475" s="526"/>
      <c r="G475" s="526"/>
      <c r="H475" s="526"/>
      <c r="I475" s="526"/>
      <c r="J475" s="526"/>
      <c r="K475" s="526"/>
      <c r="L475" s="526"/>
      <c r="M475" s="526"/>
      <c r="N475" s="526"/>
      <c r="O475" s="526"/>
      <c r="P475" s="526"/>
      <c r="Q475" s="526"/>
      <c r="R475" s="526"/>
      <c r="S475" s="526"/>
      <c r="T475" s="526"/>
      <c r="U475" s="526"/>
      <c r="V475" s="526"/>
      <c r="W475" s="526"/>
      <c r="X475" s="526"/>
      <c r="Y475" s="526"/>
      <c r="Z475" s="526"/>
    </row>
    <row r="476" spans="1:26" ht="18.600000000000001" x14ac:dyDescent="0.3">
      <c r="A476" s="526"/>
      <c r="B476" s="526"/>
      <c r="C476" s="526"/>
      <c r="D476" s="526"/>
      <c r="E476" s="526"/>
      <c r="F476" s="526"/>
      <c r="G476" s="526"/>
      <c r="H476" s="526"/>
      <c r="I476" s="526"/>
      <c r="J476" s="526"/>
      <c r="K476" s="526"/>
      <c r="L476" s="526"/>
      <c r="M476" s="526"/>
      <c r="N476" s="526"/>
      <c r="O476" s="526"/>
      <c r="P476" s="526"/>
      <c r="Q476" s="526"/>
      <c r="R476" s="526"/>
      <c r="S476" s="526"/>
      <c r="T476" s="526"/>
      <c r="U476" s="526"/>
      <c r="V476" s="526"/>
      <c r="W476" s="526"/>
      <c r="X476" s="526"/>
      <c r="Y476" s="526"/>
      <c r="Z476" s="526"/>
    </row>
    <row r="477" spans="1:26" ht="18.600000000000001" x14ac:dyDescent="0.3">
      <c r="A477" s="526"/>
      <c r="B477" s="526"/>
      <c r="C477" s="526"/>
      <c r="D477" s="526"/>
      <c r="E477" s="526"/>
      <c r="F477" s="526"/>
      <c r="G477" s="526"/>
      <c r="H477" s="526"/>
      <c r="I477" s="526"/>
      <c r="J477" s="526"/>
      <c r="K477" s="526"/>
      <c r="L477" s="526"/>
      <c r="M477" s="526"/>
      <c r="N477" s="526"/>
      <c r="O477" s="526"/>
      <c r="P477" s="526"/>
      <c r="Q477" s="526"/>
      <c r="R477" s="526"/>
      <c r="S477" s="526"/>
      <c r="T477" s="526"/>
      <c r="U477" s="526"/>
      <c r="V477" s="526"/>
      <c r="W477" s="526"/>
      <c r="X477" s="526"/>
      <c r="Y477" s="526"/>
      <c r="Z477" s="526"/>
    </row>
    <row r="478" spans="1:26" ht="18.600000000000001" x14ac:dyDescent="0.3">
      <c r="A478" s="526"/>
      <c r="B478" s="526"/>
      <c r="C478" s="526"/>
      <c r="D478" s="526"/>
      <c r="E478" s="526"/>
      <c r="F478" s="526"/>
      <c r="G478" s="526"/>
      <c r="H478" s="526"/>
      <c r="I478" s="526"/>
      <c r="J478" s="526"/>
      <c r="K478" s="526"/>
      <c r="L478" s="526"/>
      <c r="M478" s="526"/>
      <c r="N478" s="526"/>
      <c r="O478" s="526"/>
      <c r="P478" s="526"/>
      <c r="Q478" s="526"/>
      <c r="R478" s="526"/>
      <c r="S478" s="526"/>
      <c r="T478" s="526"/>
      <c r="U478" s="526"/>
      <c r="V478" s="526"/>
      <c r="W478" s="526"/>
      <c r="X478" s="526"/>
      <c r="Y478" s="526"/>
      <c r="Z478" s="526"/>
    </row>
    <row r="479" spans="1:26" ht="18.600000000000001" x14ac:dyDescent="0.3">
      <c r="A479" s="526"/>
      <c r="B479" s="526"/>
      <c r="C479" s="526"/>
      <c r="D479" s="526"/>
      <c r="E479" s="526"/>
      <c r="F479" s="526"/>
      <c r="G479" s="526"/>
      <c r="H479" s="526"/>
      <c r="I479" s="526"/>
      <c r="J479" s="526"/>
      <c r="K479" s="526"/>
      <c r="L479" s="526"/>
      <c r="M479" s="526"/>
      <c r="N479" s="526"/>
      <c r="O479" s="526"/>
      <c r="P479" s="526"/>
      <c r="Q479" s="526"/>
      <c r="R479" s="526"/>
      <c r="S479" s="526"/>
      <c r="T479" s="526"/>
      <c r="U479" s="526"/>
      <c r="V479" s="526"/>
      <c r="W479" s="526"/>
      <c r="X479" s="526"/>
      <c r="Y479" s="526"/>
      <c r="Z479" s="526"/>
    </row>
    <row r="480" spans="1:26" ht="18.600000000000001" x14ac:dyDescent="0.3">
      <c r="A480" s="526"/>
      <c r="B480" s="526"/>
      <c r="C480" s="526"/>
      <c r="D480" s="526"/>
      <c r="E480" s="526"/>
      <c r="F480" s="526"/>
      <c r="G480" s="526"/>
      <c r="H480" s="526"/>
      <c r="I480" s="526"/>
      <c r="J480" s="526"/>
      <c r="K480" s="526"/>
      <c r="L480" s="526"/>
      <c r="M480" s="526"/>
      <c r="N480" s="526"/>
      <c r="O480" s="526"/>
      <c r="P480" s="526"/>
      <c r="Q480" s="526"/>
      <c r="R480" s="526"/>
      <c r="S480" s="526"/>
      <c r="T480" s="526"/>
      <c r="U480" s="526"/>
      <c r="V480" s="526"/>
      <c r="W480" s="526"/>
      <c r="X480" s="526"/>
      <c r="Y480" s="526"/>
      <c r="Z480" s="526"/>
    </row>
    <row r="481" spans="1:26" ht="18.600000000000001" x14ac:dyDescent="0.3">
      <c r="A481" s="526"/>
      <c r="B481" s="526"/>
      <c r="C481" s="526"/>
      <c r="D481" s="526"/>
      <c r="E481" s="526"/>
      <c r="F481" s="526"/>
      <c r="G481" s="526"/>
      <c r="H481" s="526"/>
      <c r="I481" s="526"/>
      <c r="J481" s="526"/>
      <c r="K481" s="526"/>
      <c r="L481" s="526"/>
      <c r="M481" s="526"/>
      <c r="N481" s="526"/>
      <c r="O481" s="526"/>
      <c r="P481" s="526"/>
      <c r="Q481" s="526"/>
      <c r="R481" s="526"/>
      <c r="S481" s="526"/>
      <c r="T481" s="526"/>
      <c r="U481" s="526"/>
      <c r="V481" s="526"/>
      <c r="W481" s="526"/>
      <c r="X481" s="526"/>
      <c r="Y481" s="526"/>
      <c r="Z481" s="526"/>
    </row>
    <row r="482" spans="1:26" ht="18.600000000000001" x14ac:dyDescent="0.3">
      <c r="A482" s="526"/>
      <c r="B482" s="526"/>
      <c r="C482" s="526"/>
      <c r="D482" s="526"/>
      <c r="E482" s="526"/>
      <c r="F482" s="526"/>
      <c r="G482" s="526"/>
      <c r="H482" s="526"/>
      <c r="I482" s="526"/>
      <c r="J482" s="526"/>
      <c r="K482" s="526"/>
      <c r="L482" s="526"/>
      <c r="M482" s="526"/>
      <c r="N482" s="526"/>
      <c r="O482" s="526"/>
      <c r="P482" s="526"/>
      <c r="Q482" s="526"/>
      <c r="R482" s="526"/>
      <c r="S482" s="526"/>
      <c r="T482" s="526"/>
      <c r="U482" s="526"/>
      <c r="V482" s="526"/>
      <c r="W482" s="526"/>
      <c r="X482" s="526"/>
      <c r="Y482" s="526"/>
      <c r="Z482" s="526"/>
    </row>
    <row r="483" spans="1:26" ht="18.600000000000001" x14ac:dyDescent="0.3">
      <c r="A483" s="526"/>
      <c r="B483" s="526"/>
      <c r="C483" s="526"/>
      <c r="D483" s="526"/>
      <c r="E483" s="526"/>
      <c r="F483" s="526"/>
      <c r="G483" s="526"/>
      <c r="H483" s="526"/>
      <c r="I483" s="526"/>
      <c r="J483" s="526"/>
      <c r="K483" s="526"/>
      <c r="L483" s="526"/>
      <c r="M483" s="526"/>
      <c r="N483" s="526"/>
      <c r="O483" s="526"/>
      <c r="P483" s="526"/>
      <c r="Q483" s="526"/>
      <c r="R483" s="526"/>
      <c r="S483" s="526"/>
      <c r="T483" s="526"/>
      <c r="U483" s="526"/>
      <c r="V483" s="526"/>
      <c r="W483" s="526"/>
      <c r="X483" s="526"/>
      <c r="Y483" s="526"/>
      <c r="Z483" s="526"/>
    </row>
    <row r="484" spans="1:26" ht="18.600000000000001" x14ac:dyDescent="0.3">
      <c r="A484" s="526"/>
      <c r="B484" s="526"/>
      <c r="C484" s="526"/>
      <c r="D484" s="526"/>
      <c r="E484" s="526"/>
      <c r="F484" s="526"/>
      <c r="G484" s="526"/>
      <c r="H484" s="526"/>
      <c r="I484" s="526"/>
      <c r="J484" s="526"/>
      <c r="K484" s="526"/>
      <c r="L484" s="526"/>
      <c r="M484" s="526"/>
      <c r="N484" s="526"/>
      <c r="O484" s="526"/>
      <c r="P484" s="526"/>
      <c r="Q484" s="526"/>
      <c r="R484" s="526"/>
      <c r="S484" s="526"/>
      <c r="T484" s="526"/>
      <c r="U484" s="526"/>
      <c r="V484" s="526"/>
      <c r="W484" s="526"/>
      <c r="X484" s="526"/>
      <c r="Y484" s="526"/>
      <c r="Z484" s="526"/>
    </row>
    <row r="485" spans="1:26" ht="18.600000000000001" x14ac:dyDescent="0.3">
      <c r="A485" s="526"/>
      <c r="B485" s="526"/>
      <c r="C485" s="526"/>
      <c r="D485" s="526"/>
      <c r="E485" s="526"/>
      <c r="F485" s="526"/>
      <c r="G485" s="526"/>
      <c r="H485" s="526"/>
      <c r="I485" s="526"/>
      <c r="J485" s="526"/>
      <c r="K485" s="526"/>
      <c r="L485" s="526"/>
      <c r="M485" s="526"/>
      <c r="N485" s="526"/>
      <c r="O485" s="526"/>
      <c r="P485" s="526"/>
      <c r="Q485" s="526"/>
      <c r="R485" s="526"/>
      <c r="S485" s="526"/>
      <c r="T485" s="526"/>
      <c r="U485" s="526"/>
      <c r="V485" s="526"/>
      <c r="W485" s="526"/>
      <c r="X485" s="526"/>
      <c r="Y485" s="526"/>
      <c r="Z485" s="526"/>
    </row>
    <row r="486" spans="1:26" ht="18.600000000000001" x14ac:dyDescent="0.3">
      <c r="A486" s="526"/>
      <c r="B486" s="526"/>
      <c r="C486" s="526"/>
      <c r="D486" s="526"/>
      <c r="E486" s="526"/>
      <c r="F486" s="526"/>
      <c r="G486" s="526"/>
      <c r="H486" s="526"/>
      <c r="I486" s="526"/>
      <c r="J486" s="526"/>
      <c r="K486" s="526"/>
      <c r="L486" s="526"/>
      <c r="M486" s="526"/>
      <c r="N486" s="526"/>
      <c r="O486" s="526"/>
      <c r="P486" s="526"/>
      <c r="Q486" s="526"/>
      <c r="R486" s="526"/>
      <c r="S486" s="526"/>
      <c r="T486" s="526"/>
      <c r="U486" s="526"/>
      <c r="V486" s="526"/>
      <c r="W486" s="526"/>
      <c r="X486" s="526"/>
      <c r="Y486" s="526"/>
      <c r="Z486" s="526"/>
    </row>
    <row r="487" spans="1:26" ht="18.600000000000001" x14ac:dyDescent="0.3">
      <c r="A487" s="526"/>
      <c r="B487" s="526"/>
      <c r="C487" s="526"/>
      <c r="D487" s="526"/>
      <c r="E487" s="526"/>
      <c r="F487" s="526"/>
      <c r="G487" s="526"/>
      <c r="H487" s="526"/>
      <c r="I487" s="526"/>
      <c r="J487" s="526"/>
      <c r="K487" s="526"/>
      <c r="L487" s="526"/>
      <c r="M487" s="526"/>
      <c r="N487" s="526"/>
      <c r="O487" s="526"/>
      <c r="P487" s="526"/>
      <c r="Q487" s="526"/>
      <c r="R487" s="526"/>
      <c r="S487" s="526"/>
      <c r="T487" s="526"/>
      <c r="U487" s="526"/>
      <c r="V487" s="526"/>
      <c r="W487" s="526"/>
      <c r="X487" s="526"/>
      <c r="Y487" s="526"/>
      <c r="Z487" s="526"/>
    </row>
    <row r="488" spans="1:26" ht="18.600000000000001" x14ac:dyDescent="0.3">
      <c r="A488" s="526"/>
      <c r="B488" s="526"/>
      <c r="C488" s="526"/>
      <c r="D488" s="526"/>
      <c r="E488" s="526"/>
      <c r="F488" s="526"/>
      <c r="G488" s="526"/>
      <c r="H488" s="526"/>
      <c r="I488" s="526"/>
      <c r="J488" s="526"/>
      <c r="K488" s="526"/>
      <c r="L488" s="526"/>
      <c r="M488" s="526"/>
      <c r="N488" s="526"/>
      <c r="O488" s="526"/>
      <c r="P488" s="526"/>
      <c r="Q488" s="526"/>
      <c r="R488" s="526"/>
      <c r="S488" s="526"/>
      <c r="T488" s="526"/>
      <c r="U488" s="526"/>
      <c r="V488" s="526"/>
      <c r="W488" s="526"/>
      <c r="X488" s="526"/>
      <c r="Y488" s="526"/>
      <c r="Z488" s="526"/>
    </row>
    <row r="489" spans="1:26" ht="18.600000000000001" x14ac:dyDescent="0.3">
      <c r="A489" s="526"/>
      <c r="B489" s="526"/>
      <c r="C489" s="526"/>
      <c r="D489" s="526"/>
      <c r="E489" s="526"/>
      <c r="F489" s="526"/>
      <c r="G489" s="526"/>
      <c r="H489" s="526"/>
      <c r="I489" s="526"/>
      <c r="J489" s="526"/>
      <c r="K489" s="526"/>
      <c r="L489" s="526"/>
      <c r="M489" s="526"/>
      <c r="N489" s="526"/>
      <c r="O489" s="526"/>
      <c r="P489" s="526"/>
      <c r="Q489" s="526"/>
      <c r="R489" s="526"/>
      <c r="S489" s="526"/>
      <c r="T489" s="526"/>
      <c r="U489" s="526"/>
      <c r="V489" s="526"/>
      <c r="W489" s="526"/>
      <c r="X489" s="526"/>
      <c r="Y489" s="526"/>
      <c r="Z489" s="526"/>
    </row>
    <row r="490" spans="1:26" ht="18.600000000000001" x14ac:dyDescent="0.3">
      <c r="A490" s="526"/>
      <c r="B490" s="526"/>
      <c r="C490" s="526"/>
      <c r="D490" s="526"/>
      <c r="E490" s="526"/>
      <c r="F490" s="526"/>
      <c r="G490" s="526"/>
      <c r="H490" s="526"/>
      <c r="I490" s="526"/>
      <c r="J490" s="526"/>
      <c r="K490" s="526"/>
      <c r="L490" s="526"/>
      <c r="M490" s="526"/>
      <c r="N490" s="526"/>
      <c r="O490" s="526"/>
      <c r="P490" s="526"/>
      <c r="Q490" s="526"/>
      <c r="R490" s="526"/>
      <c r="S490" s="526"/>
      <c r="T490" s="526"/>
      <c r="U490" s="526"/>
      <c r="V490" s="526"/>
      <c r="W490" s="526"/>
      <c r="X490" s="526"/>
      <c r="Y490" s="526"/>
      <c r="Z490" s="526"/>
    </row>
    <row r="491" spans="1:26" ht="18.600000000000001" x14ac:dyDescent="0.3">
      <c r="A491" s="526"/>
      <c r="B491" s="526"/>
      <c r="C491" s="526"/>
      <c r="D491" s="526"/>
      <c r="E491" s="526"/>
      <c r="F491" s="526"/>
      <c r="G491" s="526"/>
      <c r="H491" s="526"/>
      <c r="I491" s="526"/>
      <c r="J491" s="526"/>
      <c r="K491" s="526"/>
      <c r="L491" s="526"/>
      <c r="M491" s="526"/>
      <c r="N491" s="526"/>
      <c r="O491" s="526"/>
      <c r="P491" s="526"/>
      <c r="Q491" s="526"/>
      <c r="R491" s="526"/>
      <c r="S491" s="526"/>
      <c r="T491" s="526"/>
      <c r="U491" s="526"/>
      <c r="V491" s="526"/>
      <c r="W491" s="526"/>
      <c r="X491" s="526"/>
      <c r="Y491" s="526"/>
      <c r="Z491" s="526"/>
    </row>
    <row r="492" spans="1:26" ht="18.600000000000001" x14ac:dyDescent="0.3">
      <c r="A492" s="526"/>
      <c r="B492" s="526"/>
      <c r="C492" s="526"/>
      <c r="D492" s="526"/>
      <c r="E492" s="526"/>
      <c r="F492" s="526"/>
      <c r="G492" s="526"/>
      <c r="H492" s="526"/>
      <c r="I492" s="526"/>
      <c r="J492" s="526"/>
      <c r="K492" s="526"/>
      <c r="L492" s="526"/>
      <c r="M492" s="526"/>
      <c r="N492" s="526"/>
      <c r="O492" s="526"/>
      <c r="P492" s="526"/>
      <c r="Q492" s="526"/>
      <c r="R492" s="526"/>
      <c r="S492" s="526"/>
      <c r="T492" s="526"/>
      <c r="U492" s="526"/>
      <c r="V492" s="526"/>
      <c r="W492" s="526"/>
      <c r="X492" s="526"/>
      <c r="Y492" s="526"/>
      <c r="Z492" s="526"/>
    </row>
    <row r="493" spans="1:26" ht="18.600000000000001" x14ac:dyDescent="0.3">
      <c r="A493" s="526"/>
      <c r="B493" s="526"/>
      <c r="C493" s="526"/>
      <c r="D493" s="526"/>
      <c r="E493" s="526"/>
      <c r="F493" s="526"/>
      <c r="G493" s="526"/>
      <c r="H493" s="526"/>
      <c r="I493" s="526"/>
      <c r="J493" s="526"/>
      <c r="K493" s="526"/>
      <c r="L493" s="526"/>
      <c r="M493" s="526"/>
      <c r="N493" s="526"/>
      <c r="O493" s="526"/>
      <c r="P493" s="526"/>
      <c r="Q493" s="526"/>
      <c r="R493" s="526"/>
      <c r="S493" s="526"/>
      <c r="T493" s="526"/>
      <c r="U493" s="526"/>
      <c r="V493" s="526"/>
      <c r="W493" s="526"/>
      <c r="X493" s="526"/>
      <c r="Y493" s="526"/>
      <c r="Z493" s="526"/>
    </row>
    <row r="494" spans="1:26" ht="18.600000000000001" x14ac:dyDescent="0.3">
      <c r="A494" s="526"/>
      <c r="B494" s="526"/>
      <c r="C494" s="526"/>
      <c r="D494" s="526"/>
      <c r="E494" s="526"/>
      <c r="F494" s="526"/>
      <c r="G494" s="526"/>
      <c r="H494" s="526"/>
      <c r="I494" s="526"/>
      <c r="J494" s="526"/>
      <c r="K494" s="526"/>
      <c r="L494" s="526"/>
      <c r="M494" s="526"/>
      <c r="N494" s="526"/>
      <c r="O494" s="526"/>
      <c r="P494" s="526"/>
      <c r="Q494" s="526"/>
      <c r="R494" s="526"/>
      <c r="S494" s="526"/>
      <c r="T494" s="526"/>
      <c r="U494" s="526"/>
      <c r="V494" s="526"/>
      <c r="W494" s="526"/>
      <c r="X494" s="526"/>
      <c r="Y494" s="526"/>
      <c r="Z494" s="526"/>
    </row>
    <row r="495" spans="1:26" ht="18.600000000000001" x14ac:dyDescent="0.3">
      <c r="A495" s="526"/>
      <c r="B495" s="526"/>
      <c r="C495" s="526"/>
      <c r="D495" s="526"/>
      <c r="E495" s="526"/>
      <c r="F495" s="526"/>
      <c r="G495" s="526"/>
      <c r="H495" s="526"/>
      <c r="I495" s="526"/>
      <c r="J495" s="526"/>
      <c r="K495" s="526"/>
      <c r="L495" s="526"/>
      <c r="M495" s="526"/>
      <c r="N495" s="526"/>
      <c r="O495" s="526"/>
      <c r="P495" s="526"/>
      <c r="Q495" s="526"/>
      <c r="R495" s="526"/>
      <c r="S495" s="526"/>
      <c r="T495" s="526"/>
      <c r="U495" s="526"/>
      <c r="V495" s="526"/>
      <c r="W495" s="526"/>
      <c r="X495" s="526"/>
      <c r="Y495" s="526"/>
      <c r="Z495" s="526"/>
    </row>
    <row r="496" spans="1:26" ht="18.600000000000001" x14ac:dyDescent="0.3">
      <c r="A496" s="526"/>
      <c r="B496" s="526"/>
      <c r="C496" s="526"/>
      <c r="D496" s="526"/>
      <c r="E496" s="526"/>
      <c r="F496" s="526"/>
      <c r="G496" s="526"/>
      <c r="H496" s="526"/>
      <c r="I496" s="526"/>
      <c r="J496" s="526"/>
      <c r="K496" s="526"/>
      <c r="L496" s="526"/>
      <c r="M496" s="526"/>
      <c r="N496" s="526"/>
      <c r="O496" s="526"/>
      <c r="P496" s="526"/>
      <c r="Q496" s="526"/>
      <c r="R496" s="526"/>
      <c r="S496" s="526"/>
      <c r="T496" s="526"/>
      <c r="U496" s="526"/>
      <c r="V496" s="526"/>
      <c r="W496" s="526"/>
      <c r="X496" s="526"/>
      <c r="Y496" s="526"/>
      <c r="Z496" s="526"/>
    </row>
    <row r="497" spans="1:26" ht="18.600000000000001" x14ac:dyDescent="0.3">
      <c r="A497" s="526"/>
      <c r="B497" s="526"/>
      <c r="C497" s="526"/>
      <c r="D497" s="526"/>
      <c r="E497" s="526"/>
      <c r="F497" s="526"/>
      <c r="G497" s="526"/>
      <c r="H497" s="526"/>
      <c r="I497" s="526"/>
      <c r="J497" s="526"/>
      <c r="K497" s="526"/>
      <c r="L497" s="526"/>
      <c r="M497" s="526"/>
      <c r="N497" s="526"/>
      <c r="O497" s="526"/>
      <c r="P497" s="526"/>
      <c r="Q497" s="526"/>
      <c r="R497" s="526"/>
      <c r="S497" s="526"/>
      <c r="T497" s="526"/>
      <c r="U497" s="526"/>
      <c r="V497" s="526"/>
      <c r="W497" s="526"/>
      <c r="X497" s="526"/>
      <c r="Y497" s="526"/>
      <c r="Z497" s="526"/>
    </row>
    <row r="498" spans="1:26" ht="18.600000000000001" x14ac:dyDescent="0.3">
      <c r="A498" s="526"/>
      <c r="B498" s="526"/>
      <c r="C498" s="526"/>
      <c r="D498" s="526"/>
      <c r="E498" s="526"/>
      <c r="F498" s="526"/>
      <c r="G498" s="526"/>
      <c r="H498" s="526"/>
      <c r="I498" s="526"/>
      <c r="J498" s="526"/>
      <c r="K498" s="526"/>
      <c r="L498" s="526"/>
      <c r="M498" s="526"/>
      <c r="N498" s="526"/>
      <c r="O498" s="526"/>
      <c r="P498" s="526"/>
      <c r="Q498" s="526"/>
      <c r="R498" s="526"/>
      <c r="S498" s="526"/>
      <c r="T498" s="526"/>
      <c r="U498" s="526"/>
      <c r="V498" s="526"/>
      <c r="W498" s="526"/>
      <c r="X498" s="526"/>
      <c r="Y498" s="526"/>
      <c r="Z498" s="526"/>
    </row>
    <row r="499" spans="1:26" ht="18.600000000000001" x14ac:dyDescent="0.3">
      <c r="A499" s="526"/>
      <c r="B499" s="526"/>
      <c r="C499" s="526"/>
      <c r="D499" s="526"/>
      <c r="E499" s="526"/>
      <c r="F499" s="526"/>
      <c r="G499" s="526"/>
      <c r="H499" s="526"/>
      <c r="I499" s="526"/>
      <c r="J499" s="526"/>
      <c r="K499" s="526"/>
      <c r="L499" s="526"/>
      <c r="M499" s="526"/>
      <c r="N499" s="526"/>
      <c r="O499" s="526"/>
      <c r="P499" s="526"/>
      <c r="Q499" s="526"/>
      <c r="R499" s="526"/>
      <c r="S499" s="526"/>
      <c r="T499" s="526"/>
      <c r="U499" s="526"/>
      <c r="V499" s="526"/>
      <c r="W499" s="526"/>
      <c r="X499" s="526"/>
      <c r="Y499" s="526"/>
      <c r="Z499" s="526"/>
    </row>
    <row r="500" spans="1:26" ht="18.600000000000001" x14ac:dyDescent="0.3">
      <c r="A500" s="526"/>
      <c r="B500" s="526"/>
      <c r="C500" s="526"/>
      <c r="D500" s="526"/>
      <c r="E500" s="526"/>
      <c r="F500" s="526"/>
      <c r="G500" s="526"/>
      <c r="H500" s="526"/>
      <c r="I500" s="526"/>
      <c r="J500" s="526"/>
      <c r="K500" s="526"/>
      <c r="L500" s="526"/>
      <c r="M500" s="526"/>
      <c r="N500" s="526"/>
      <c r="O500" s="526"/>
      <c r="P500" s="526"/>
      <c r="Q500" s="526"/>
      <c r="R500" s="526"/>
      <c r="S500" s="526"/>
      <c r="T500" s="526"/>
      <c r="U500" s="526"/>
      <c r="V500" s="526"/>
      <c r="W500" s="526"/>
      <c r="X500" s="526"/>
      <c r="Y500" s="526"/>
      <c r="Z500" s="526"/>
    </row>
    <row r="501" spans="1:26" ht="18.600000000000001" x14ac:dyDescent="0.3">
      <c r="A501" s="526"/>
      <c r="B501" s="526"/>
      <c r="C501" s="526"/>
      <c r="D501" s="526"/>
      <c r="E501" s="526"/>
      <c r="F501" s="526"/>
      <c r="G501" s="526"/>
      <c r="H501" s="526"/>
      <c r="I501" s="526"/>
      <c r="J501" s="526"/>
      <c r="K501" s="526"/>
      <c r="L501" s="526"/>
      <c r="M501" s="526"/>
      <c r="N501" s="526"/>
      <c r="O501" s="526"/>
      <c r="P501" s="526"/>
      <c r="Q501" s="526"/>
      <c r="R501" s="526"/>
      <c r="S501" s="526"/>
      <c r="T501" s="526"/>
      <c r="U501" s="526"/>
      <c r="V501" s="526"/>
      <c r="W501" s="526"/>
      <c r="X501" s="526"/>
      <c r="Y501" s="526"/>
      <c r="Z501" s="526"/>
    </row>
    <row r="502" spans="1:26" ht="18.600000000000001" x14ac:dyDescent="0.3">
      <c r="A502" s="526"/>
      <c r="B502" s="526"/>
      <c r="C502" s="526"/>
      <c r="D502" s="526"/>
      <c r="E502" s="526"/>
      <c r="F502" s="526"/>
      <c r="G502" s="526"/>
      <c r="H502" s="526"/>
      <c r="I502" s="526"/>
      <c r="J502" s="526"/>
      <c r="K502" s="526"/>
      <c r="L502" s="526"/>
      <c r="M502" s="526"/>
      <c r="N502" s="526"/>
      <c r="O502" s="526"/>
      <c r="P502" s="526"/>
      <c r="Q502" s="526"/>
      <c r="R502" s="526"/>
      <c r="S502" s="526"/>
      <c r="T502" s="526"/>
      <c r="U502" s="526"/>
      <c r="V502" s="526"/>
      <c r="W502" s="526"/>
      <c r="X502" s="526"/>
      <c r="Y502" s="526"/>
      <c r="Z502" s="526"/>
    </row>
    <row r="503" spans="1:26" ht="18.600000000000001" x14ac:dyDescent="0.3">
      <c r="A503" s="526"/>
      <c r="B503" s="526"/>
      <c r="C503" s="526"/>
      <c r="D503" s="526"/>
      <c r="E503" s="526"/>
      <c r="F503" s="526"/>
      <c r="G503" s="526"/>
      <c r="H503" s="526"/>
      <c r="I503" s="526"/>
      <c r="J503" s="526"/>
      <c r="K503" s="526"/>
      <c r="L503" s="526"/>
      <c r="M503" s="526"/>
      <c r="N503" s="526"/>
      <c r="O503" s="526"/>
      <c r="P503" s="526"/>
      <c r="Q503" s="526"/>
      <c r="R503" s="526"/>
      <c r="S503" s="526"/>
      <c r="T503" s="526"/>
      <c r="U503" s="526"/>
      <c r="V503" s="526"/>
      <c r="W503" s="526"/>
      <c r="X503" s="526"/>
      <c r="Y503" s="526"/>
      <c r="Z503" s="526"/>
    </row>
    <row r="504" spans="1:26" ht="18.600000000000001" x14ac:dyDescent="0.3">
      <c r="A504" s="526"/>
      <c r="B504" s="526"/>
      <c r="C504" s="526"/>
      <c r="D504" s="526"/>
      <c r="E504" s="526"/>
      <c r="F504" s="526"/>
      <c r="G504" s="526"/>
      <c r="H504" s="526"/>
      <c r="I504" s="526"/>
      <c r="J504" s="526"/>
      <c r="K504" s="526"/>
      <c r="L504" s="526"/>
      <c r="M504" s="526"/>
      <c r="N504" s="526"/>
      <c r="O504" s="526"/>
      <c r="P504" s="526"/>
      <c r="Q504" s="526"/>
      <c r="R504" s="526"/>
      <c r="S504" s="526"/>
      <c r="T504" s="526"/>
      <c r="U504" s="526"/>
      <c r="V504" s="526"/>
      <c r="W504" s="526"/>
      <c r="X504" s="526"/>
      <c r="Y504" s="526"/>
      <c r="Z504" s="526"/>
    </row>
    <row r="505" spans="1:26" ht="18.600000000000001" x14ac:dyDescent="0.3">
      <c r="A505" s="526"/>
      <c r="B505" s="526"/>
      <c r="C505" s="526"/>
      <c r="D505" s="526"/>
      <c r="E505" s="526"/>
      <c r="F505" s="526"/>
      <c r="G505" s="526"/>
      <c r="H505" s="526"/>
      <c r="I505" s="526"/>
      <c r="J505" s="526"/>
      <c r="K505" s="526"/>
      <c r="L505" s="526"/>
      <c r="M505" s="526"/>
      <c r="N505" s="526"/>
      <c r="O505" s="526"/>
      <c r="P505" s="526"/>
      <c r="Q505" s="526"/>
      <c r="R505" s="526"/>
      <c r="S505" s="526"/>
      <c r="T505" s="526"/>
      <c r="U505" s="526"/>
      <c r="V505" s="526"/>
      <c r="W505" s="526"/>
      <c r="X505" s="526"/>
      <c r="Y505" s="526"/>
      <c r="Z505" s="526"/>
    </row>
    <row r="506" spans="1:26" ht="18.600000000000001" x14ac:dyDescent="0.3">
      <c r="A506" s="526"/>
      <c r="B506" s="526"/>
      <c r="C506" s="526"/>
      <c r="D506" s="526"/>
      <c r="E506" s="526"/>
      <c r="F506" s="526"/>
      <c r="G506" s="526"/>
      <c r="H506" s="526"/>
      <c r="I506" s="526"/>
      <c r="J506" s="526"/>
      <c r="K506" s="526"/>
      <c r="L506" s="526"/>
      <c r="M506" s="526"/>
      <c r="N506" s="526"/>
      <c r="O506" s="526"/>
      <c r="P506" s="526"/>
      <c r="Q506" s="526"/>
      <c r="R506" s="526"/>
      <c r="S506" s="526"/>
      <c r="T506" s="526"/>
      <c r="U506" s="526"/>
      <c r="V506" s="526"/>
      <c r="W506" s="526"/>
      <c r="X506" s="526"/>
      <c r="Y506" s="526"/>
      <c r="Z506" s="526"/>
    </row>
    <row r="507" spans="1:26" ht="18.600000000000001" x14ac:dyDescent="0.3">
      <c r="A507" s="526"/>
      <c r="B507" s="526"/>
      <c r="C507" s="526"/>
      <c r="D507" s="526"/>
      <c r="E507" s="526"/>
      <c r="F507" s="526"/>
      <c r="G507" s="526"/>
      <c r="H507" s="526"/>
      <c r="I507" s="526"/>
      <c r="J507" s="526"/>
      <c r="K507" s="526"/>
      <c r="L507" s="526"/>
      <c r="M507" s="526"/>
      <c r="N507" s="526"/>
      <c r="O507" s="526"/>
      <c r="P507" s="526"/>
      <c r="Q507" s="526"/>
      <c r="R507" s="526"/>
      <c r="S507" s="526"/>
      <c r="T507" s="526"/>
      <c r="U507" s="526"/>
      <c r="V507" s="526"/>
      <c r="W507" s="526"/>
      <c r="X507" s="526"/>
      <c r="Y507" s="526"/>
      <c r="Z507" s="526"/>
    </row>
    <row r="508" spans="1:26" ht="18.600000000000001" x14ac:dyDescent="0.3">
      <c r="A508" s="526"/>
      <c r="B508" s="526"/>
      <c r="C508" s="526"/>
      <c r="D508" s="526"/>
      <c r="E508" s="526"/>
      <c r="F508" s="526"/>
      <c r="G508" s="526"/>
      <c r="H508" s="526"/>
      <c r="I508" s="526"/>
      <c r="J508" s="526"/>
      <c r="K508" s="526"/>
      <c r="L508" s="526"/>
      <c r="M508" s="526"/>
      <c r="N508" s="526"/>
      <c r="O508" s="526"/>
      <c r="P508" s="526"/>
      <c r="Q508" s="526"/>
      <c r="R508" s="526"/>
      <c r="S508" s="526"/>
      <c r="T508" s="526"/>
      <c r="U508" s="526"/>
      <c r="V508" s="526"/>
      <c r="W508" s="526"/>
      <c r="X508" s="526"/>
      <c r="Y508" s="526"/>
      <c r="Z508" s="526"/>
    </row>
    <row r="509" spans="1:26" ht="18.600000000000001" x14ac:dyDescent="0.3">
      <c r="A509" s="526"/>
      <c r="B509" s="526"/>
      <c r="C509" s="526"/>
      <c r="D509" s="526"/>
      <c r="E509" s="526"/>
      <c r="F509" s="526"/>
      <c r="G509" s="526"/>
      <c r="H509" s="526"/>
      <c r="I509" s="526"/>
      <c r="J509" s="526"/>
      <c r="K509" s="526"/>
      <c r="L509" s="526"/>
      <c r="M509" s="526"/>
      <c r="N509" s="526"/>
      <c r="O509" s="526"/>
      <c r="P509" s="526"/>
      <c r="Q509" s="526"/>
      <c r="R509" s="526"/>
      <c r="S509" s="526"/>
      <c r="T509" s="526"/>
      <c r="U509" s="526"/>
      <c r="V509" s="526"/>
      <c r="W509" s="526"/>
      <c r="X509" s="526"/>
      <c r="Y509" s="526"/>
      <c r="Z509" s="526"/>
    </row>
    <row r="510" spans="1:26" ht="18.600000000000001" x14ac:dyDescent="0.3">
      <c r="A510" s="526"/>
      <c r="B510" s="526"/>
      <c r="C510" s="526"/>
      <c r="D510" s="526"/>
      <c r="E510" s="526"/>
      <c r="F510" s="526"/>
      <c r="G510" s="526"/>
      <c r="H510" s="526"/>
      <c r="I510" s="526"/>
      <c r="J510" s="526"/>
      <c r="K510" s="526"/>
      <c r="L510" s="526"/>
      <c r="M510" s="526"/>
      <c r="N510" s="526"/>
      <c r="O510" s="526"/>
      <c r="P510" s="526"/>
      <c r="Q510" s="526"/>
      <c r="R510" s="526"/>
      <c r="S510" s="526"/>
      <c r="T510" s="526"/>
      <c r="U510" s="526"/>
      <c r="V510" s="526"/>
      <c r="W510" s="526"/>
      <c r="X510" s="526"/>
      <c r="Y510" s="526"/>
      <c r="Z510" s="526"/>
    </row>
    <row r="511" spans="1:26" ht="18.600000000000001" x14ac:dyDescent="0.3">
      <c r="A511" s="526"/>
      <c r="B511" s="526"/>
      <c r="C511" s="526"/>
      <c r="D511" s="526"/>
      <c r="E511" s="526"/>
      <c r="F511" s="526"/>
      <c r="G511" s="526"/>
      <c r="H511" s="526"/>
      <c r="I511" s="526"/>
      <c r="J511" s="526"/>
      <c r="K511" s="526"/>
      <c r="L511" s="526"/>
      <c r="M511" s="526"/>
      <c r="N511" s="526"/>
      <c r="O511" s="526"/>
      <c r="P511" s="526"/>
      <c r="Q511" s="526"/>
      <c r="R511" s="526"/>
      <c r="S511" s="526"/>
      <c r="T511" s="526"/>
      <c r="U511" s="526"/>
      <c r="V511" s="526"/>
      <c r="W511" s="526"/>
      <c r="X511" s="526"/>
      <c r="Y511" s="526"/>
      <c r="Z511" s="526"/>
    </row>
    <row r="512" spans="1:26" ht="18.600000000000001" x14ac:dyDescent="0.3">
      <c r="A512" s="526"/>
      <c r="B512" s="526"/>
      <c r="C512" s="526"/>
      <c r="D512" s="526"/>
      <c r="E512" s="526"/>
      <c r="F512" s="526"/>
      <c r="G512" s="526"/>
      <c r="H512" s="526"/>
      <c r="I512" s="526"/>
      <c r="J512" s="526"/>
      <c r="K512" s="526"/>
      <c r="L512" s="526"/>
      <c r="M512" s="526"/>
      <c r="N512" s="526"/>
      <c r="O512" s="526"/>
      <c r="P512" s="526"/>
      <c r="Q512" s="526"/>
      <c r="R512" s="526"/>
      <c r="S512" s="526"/>
      <c r="T512" s="526"/>
      <c r="U512" s="526"/>
      <c r="V512" s="526"/>
      <c r="W512" s="526"/>
      <c r="X512" s="526"/>
      <c r="Y512" s="526"/>
      <c r="Z512" s="526"/>
    </row>
    <row r="513" spans="1:26" ht="18.600000000000001" x14ac:dyDescent="0.3">
      <c r="A513" s="526"/>
      <c r="B513" s="526"/>
      <c r="C513" s="526"/>
      <c r="D513" s="526"/>
      <c r="E513" s="526"/>
      <c r="F513" s="526"/>
      <c r="G513" s="526"/>
      <c r="H513" s="526"/>
      <c r="I513" s="526"/>
      <c r="J513" s="526"/>
      <c r="K513" s="526"/>
      <c r="L513" s="526"/>
      <c r="M513" s="526"/>
      <c r="N513" s="526"/>
      <c r="O513" s="526"/>
      <c r="P513" s="526"/>
      <c r="Q513" s="526"/>
      <c r="R513" s="526"/>
      <c r="S513" s="526"/>
      <c r="T513" s="526"/>
      <c r="U513" s="526"/>
      <c r="V513" s="526"/>
      <c r="W513" s="526"/>
      <c r="X513" s="526"/>
      <c r="Y513" s="526"/>
      <c r="Z513" s="526"/>
    </row>
    <row r="514" spans="1:26" ht="18.600000000000001" x14ac:dyDescent="0.3">
      <c r="A514" s="526"/>
      <c r="B514" s="526"/>
      <c r="C514" s="526"/>
      <c r="D514" s="526"/>
      <c r="E514" s="526"/>
      <c r="F514" s="526"/>
      <c r="G514" s="526"/>
      <c r="H514" s="526"/>
      <c r="I514" s="526"/>
      <c r="J514" s="526"/>
      <c r="K514" s="526"/>
      <c r="L514" s="526"/>
      <c r="M514" s="526"/>
      <c r="N514" s="526"/>
      <c r="O514" s="526"/>
      <c r="P514" s="526"/>
      <c r="Q514" s="526"/>
      <c r="R514" s="526"/>
      <c r="S514" s="526"/>
      <c r="T514" s="526"/>
      <c r="U514" s="526"/>
      <c r="V514" s="526"/>
      <c r="W514" s="526"/>
      <c r="X514" s="526"/>
      <c r="Y514" s="526"/>
      <c r="Z514" s="526"/>
    </row>
    <row r="515" spans="1:26" ht="18.600000000000001" x14ac:dyDescent="0.3">
      <c r="A515" s="526"/>
      <c r="B515" s="526"/>
      <c r="C515" s="526"/>
      <c r="D515" s="526"/>
      <c r="E515" s="526"/>
      <c r="F515" s="526"/>
      <c r="G515" s="526"/>
      <c r="H515" s="526"/>
      <c r="I515" s="526"/>
      <c r="J515" s="526"/>
      <c r="K515" s="526"/>
      <c r="L515" s="526"/>
      <c r="M515" s="526"/>
      <c r="N515" s="526"/>
      <c r="O515" s="526"/>
      <c r="P515" s="526"/>
      <c r="Q515" s="526"/>
      <c r="R515" s="526"/>
      <c r="S515" s="526"/>
      <c r="T515" s="526"/>
      <c r="U515" s="526"/>
      <c r="V515" s="526"/>
      <c r="W515" s="526"/>
      <c r="X515" s="526"/>
      <c r="Y515" s="526"/>
      <c r="Z515" s="526"/>
    </row>
    <row r="516" spans="1:26" ht="18.600000000000001" x14ac:dyDescent="0.3">
      <c r="A516" s="526"/>
      <c r="B516" s="526"/>
      <c r="C516" s="526"/>
      <c r="D516" s="526"/>
      <c r="E516" s="526"/>
      <c r="F516" s="526"/>
      <c r="G516" s="526"/>
      <c r="H516" s="526"/>
      <c r="I516" s="526"/>
      <c r="J516" s="526"/>
      <c r="K516" s="526"/>
      <c r="L516" s="526"/>
      <c r="M516" s="526"/>
      <c r="N516" s="526"/>
      <c r="O516" s="526"/>
      <c r="P516" s="526"/>
      <c r="Q516" s="526"/>
      <c r="R516" s="526"/>
      <c r="S516" s="526"/>
      <c r="T516" s="526"/>
      <c r="U516" s="526"/>
      <c r="V516" s="526"/>
      <c r="W516" s="526"/>
      <c r="X516" s="526"/>
      <c r="Y516" s="526"/>
      <c r="Z516" s="526"/>
    </row>
    <row r="517" spans="1:26" ht="18.600000000000001" x14ac:dyDescent="0.3">
      <c r="A517" s="526"/>
      <c r="B517" s="526"/>
      <c r="C517" s="526"/>
      <c r="D517" s="526"/>
      <c r="E517" s="526"/>
      <c r="F517" s="526"/>
      <c r="G517" s="526"/>
      <c r="H517" s="526"/>
      <c r="I517" s="526"/>
      <c r="J517" s="526"/>
      <c r="K517" s="526"/>
      <c r="L517" s="526"/>
      <c r="M517" s="526"/>
      <c r="N517" s="526"/>
      <c r="O517" s="526"/>
      <c r="P517" s="526"/>
      <c r="Q517" s="526"/>
      <c r="R517" s="526"/>
      <c r="S517" s="526"/>
      <c r="T517" s="526"/>
      <c r="U517" s="526"/>
      <c r="V517" s="526"/>
      <c r="W517" s="526"/>
      <c r="X517" s="526"/>
      <c r="Y517" s="526"/>
      <c r="Z517" s="526"/>
    </row>
    <row r="518" spans="1:26" ht="18.600000000000001" x14ac:dyDescent="0.3">
      <c r="A518" s="526"/>
      <c r="B518" s="526"/>
      <c r="C518" s="526"/>
      <c r="D518" s="526"/>
      <c r="E518" s="526"/>
      <c r="F518" s="526"/>
      <c r="G518" s="526"/>
      <c r="H518" s="526"/>
      <c r="I518" s="526"/>
      <c r="J518" s="526"/>
      <c r="K518" s="526"/>
      <c r="L518" s="526"/>
      <c r="M518" s="526"/>
      <c r="N518" s="526"/>
      <c r="O518" s="526"/>
      <c r="P518" s="526"/>
      <c r="Q518" s="526"/>
      <c r="R518" s="526"/>
      <c r="S518" s="526"/>
      <c r="T518" s="526"/>
      <c r="U518" s="526"/>
      <c r="V518" s="526"/>
      <c r="W518" s="526"/>
      <c r="X518" s="526"/>
      <c r="Y518" s="526"/>
      <c r="Z518" s="526"/>
    </row>
    <row r="519" spans="1:26" ht="18.600000000000001" x14ac:dyDescent="0.3">
      <c r="A519" s="526"/>
      <c r="B519" s="526"/>
      <c r="C519" s="526"/>
      <c r="D519" s="526"/>
      <c r="E519" s="526"/>
      <c r="F519" s="526"/>
      <c r="G519" s="526"/>
      <c r="H519" s="526"/>
      <c r="I519" s="526"/>
      <c r="J519" s="526"/>
      <c r="K519" s="526"/>
      <c r="L519" s="526"/>
      <c r="M519" s="526"/>
      <c r="N519" s="526"/>
      <c r="O519" s="526"/>
      <c r="P519" s="526"/>
      <c r="Q519" s="526"/>
      <c r="R519" s="526"/>
      <c r="S519" s="526"/>
      <c r="T519" s="526"/>
      <c r="U519" s="526"/>
      <c r="V519" s="526"/>
      <c r="W519" s="526"/>
      <c r="X519" s="526"/>
      <c r="Y519" s="526"/>
      <c r="Z519" s="526"/>
    </row>
    <row r="520" spans="1:26" ht="18.600000000000001" x14ac:dyDescent="0.3">
      <c r="A520" s="526"/>
      <c r="B520" s="526"/>
      <c r="C520" s="526"/>
      <c r="D520" s="526"/>
      <c r="E520" s="526"/>
      <c r="F520" s="526"/>
      <c r="G520" s="526"/>
      <c r="H520" s="526"/>
      <c r="I520" s="526"/>
      <c r="J520" s="526"/>
      <c r="K520" s="526"/>
      <c r="L520" s="526"/>
      <c r="M520" s="526"/>
      <c r="N520" s="526"/>
      <c r="O520" s="526"/>
      <c r="P520" s="526"/>
      <c r="Q520" s="526"/>
      <c r="R520" s="526"/>
      <c r="S520" s="526"/>
      <c r="T520" s="526"/>
      <c r="U520" s="526"/>
      <c r="V520" s="526"/>
      <c r="W520" s="526"/>
      <c r="X520" s="526"/>
      <c r="Y520" s="526"/>
      <c r="Z520" s="526"/>
    </row>
    <row r="521" spans="1:26" ht="18.600000000000001" x14ac:dyDescent="0.3">
      <c r="A521" s="526"/>
      <c r="B521" s="526"/>
      <c r="C521" s="526"/>
      <c r="D521" s="526"/>
      <c r="E521" s="526"/>
      <c r="F521" s="526"/>
      <c r="G521" s="526"/>
      <c r="H521" s="526"/>
      <c r="I521" s="526"/>
      <c r="J521" s="526"/>
      <c r="K521" s="526"/>
      <c r="L521" s="526"/>
      <c r="M521" s="526"/>
      <c r="N521" s="526"/>
      <c r="O521" s="526"/>
      <c r="P521" s="526"/>
      <c r="Q521" s="526"/>
      <c r="R521" s="526"/>
      <c r="S521" s="526"/>
      <c r="T521" s="526"/>
      <c r="U521" s="526"/>
      <c r="V521" s="526"/>
      <c r="W521" s="526"/>
      <c r="X521" s="526"/>
      <c r="Y521" s="526"/>
      <c r="Z521" s="526"/>
    </row>
    <row r="522" spans="1:26" ht="18.600000000000001" x14ac:dyDescent="0.3">
      <c r="A522" s="526"/>
      <c r="B522" s="526"/>
      <c r="C522" s="526"/>
      <c r="D522" s="526"/>
      <c r="E522" s="526"/>
      <c r="F522" s="526"/>
      <c r="G522" s="526"/>
      <c r="H522" s="526"/>
      <c r="I522" s="526"/>
      <c r="J522" s="526"/>
      <c r="K522" s="526"/>
      <c r="L522" s="526"/>
      <c r="M522" s="526"/>
      <c r="N522" s="526"/>
      <c r="O522" s="526"/>
      <c r="P522" s="526"/>
      <c r="Q522" s="526"/>
      <c r="R522" s="526"/>
      <c r="S522" s="526"/>
      <c r="T522" s="526"/>
      <c r="U522" s="526"/>
      <c r="V522" s="526"/>
      <c r="W522" s="526"/>
      <c r="X522" s="526"/>
      <c r="Y522" s="526"/>
      <c r="Z522" s="526"/>
    </row>
    <row r="523" spans="1:26" ht="18.600000000000001" x14ac:dyDescent="0.3">
      <c r="A523" s="526"/>
      <c r="B523" s="526"/>
      <c r="C523" s="526"/>
      <c r="D523" s="526"/>
      <c r="E523" s="526"/>
      <c r="F523" s="526"/>
      <c r="G523" s="526"/>
      <c r="H523" s="526"/>
      <c r="I523" s="526"/>
      <c r="J523" s="526"/>
      <c r="K523" s="526"/>
      <c r="L523" s="526"/>
      <c r="M523" s="526"/>
      <c r="N523" s="526"/>
      <c r="O523" s="526"/>
      <c r="P523" s="526"/>
      <c r="Q523" s="526"/>
      <c r="R523" s="526"/>
      <c r="S523" s="526"/>
      <c r="T523" s="526"/>
      <c r="U523" s="526"/>
      <c r="V523" s="526"/>
      <c r="W523" s="526"/>
      <c r="X523" s="526"/>
      <c r="Y523" s="526"/>
      <c r="Z523" s="526"/>
    </row>
    <row r="524" spans="1:26" ht="18.600000000000001" x14ac:dyDescent="0.3">
      <c r="A524" s="526"/>
      <c r="B524" s="526"/>
      <c r="C524" s="526"/>
      <c r="D524" s="526"/>
      <c r="E524" s="526"/>
      <c r="F524" s="526"/>
      <c r="G524" s="526"/>
      <c r="H524" s="526"/>
      <c r="I524" s="526"/>
      <c r="J524" s="526"/>
      <c r="K524" s="526"/>
      <c r="L524" s="526"/>
      <c r="M524" s="526"/>
      <c r="N524" s="526"/>
      <c r="O524" s="526"/>
      <c r="P524" s="526"/>
      <c r="Q524" s="526"/>
      <c r="R524" s="526"/>
      <c r="S524" s="526"/>
      <c r="T524" s="526"/>
      <c r="U524" s="526"/>
      <c r="V524" s="526"/>
      <c r="W524" s="526"/>
      <c r="X524" s="526"/>
      <c r="Y524" s="526"/>
      <c r="Z524" s="526"/>
    </row>
    <row r="525" spans="1:26" ht="18.600000000000001" x14ac:dyDescent="0.3">
      <c r="A525" s="526"/>
      <c r="B525" s="526"/>
      <c r="C525" s="526"/>
      <c r="D525" s="526"/>
      <c r="E525" s="526"/>
      <c r="F525" s="526"/>
      <c r="G525" s="526"/>
      <c r="H525" s="526"/>
      <c r="I525" s="526"/>
      <c r="J525" s="526"/>
      <c r="K525" s="526"/>
      <c r="L525" s="526"/>
      <c r="M525" s="526"/>
      <c r="N525" s="526"/>
      <c r="O525" s="526"/>
      <c r="P525" s="526"/>
      <c r="Q525" s="526"/>
      <c r="R525" s="526"/>
      <c r="S525" s="526"/>
      <c r="T525" s="526"/>
      <c r="U525" s="526"/>
      <c r="V525" s="526"/>
      <c r="W525" s="526"/>
      <c r="X525" s="526"/>
      <c r="Y525" s="526"/>
      <c r="Z525" s="526"/>
    </row>
    <row r="526" spans="1:26" ht="18.600000000000001" x14ac:dyDescent="0.3">
      <c r="A526" s="526"/>
      <c r="B526" s="526"/>
      <c r="C526" s="526"/>
      <c r="D526" s="526"/>
      <c r="E526" s="526"/>
      <c r="F526" s="526"/>
      <c r="G526" s="526"/>
      <c r="H526" s="526"/>
      <c r="I526" s="526"/>
      <c r="J526" s="526"/>
      <c r="K526" s="526"/>
      <c r="L526" s="526"/>
      <c r="M526" s="526"/>
      <c r="N526" s="526"/>
      <c r="O526" s="526"/>
      <c r="P526" s="526"/>
      <c r="Q526" s="526"/>
      <c r="R526" s="526"/>
      <c r="S526" s="526"/>
      <c r="T526" s="526"/>
      <c r="U526" s="526"/>
      <c r="V526" s="526"/>
      <c r="W526" s="526"/>
      <c r="X526" s="526"/>
      <c r="Y526" s="526"/>
      <c r="Z526" s="526"/>
    </row>
    <row r="527" spans="1:26" ht="18.600000000000001" x14ac:dyDescent="0.3">
      <c r="A527" s="526"/>
      <c r="B527" s="526"/>
      <c r="C527" s="526"/>
      <c r="D527" s="526"/>
      <c r="E527" s="526"/>
      <c r="F527" s="526"/>
      <c r="G527" s="526"/>
      <c r="H527" s="526"/>
      <c r="I527" s="526"/>
      <c r="J527" s="526"/>
      <c r="K527" s="526"/>
      <c r="L527" s="526"/>
      <c r="M527" s="526"/>
      <c r="N527" s="526"/>
      <c r="O527" s="526"/>
      <c r="P527" s="526"/>
      <c r="Q527" s="526"/>
      <c r="R527" s="526"/>
      <c r="S527" s="526"/>
      <c r="T527" s="526"/>
      <c r="U527" s="526"/>
      <c r="V527" s="526"/>
      <c r="W527" s="526"/>
      <c r="X527" s="526"/>
      <c r="Y527" s="526"/>
      <c r="Z527" s="526"/>
    </row>
    <row r="528" spans="1:26" ht="18.600000000000001" x14ac:dyDescent="0.3">
      <c r="A528" s="526"/>
      <c r="B528" s="526"/>
      <c r="C528" s="526"/>
      <c r="D528" s="526"/>
      <c r="E528" s="526"/>
      <c r="F528" s="526"/>
      <c r="G528" s="526"/>
      <c r="H528" s="526"/>
      <c r="I528" s="526"/>
      <c r="J528" s="526"/>
      <c r="K528" s="526"/>
      <c r="L528" s="526"/>
      <c r="M528" s="526"/>
      <c r="N528" s="526"/>
      <c r="O528" s="526"/>
      <c r="P528" s="526"/>
      <c r="Q528" s="526"/>
      <c r="R528" s="526"/>
      <c r="S528" s="526"/>
      <c r="T528" s="526"/>
      <c r="U528" s="526"/>
      <c r="V528" s="526"/>
      <c r="W528" s="526"/>
      <c r="X528" s="526"/>
      <c r="Y528" s="526"/>
      <c r="Z528" s="526"/>
    </row>
    <row r="529" spans="1:26" ht="18.600000000000001" x14ac:dyDescent="0.3">
      <c r="A529" s="526"/>
      <c r="B529" s="526"/>
      <c r="C529" s="526"/>
      <c r="D529" s="526"/>
      <c r="E529" s="526"/>
      <c r="F529" s="526"/>
      <c r="G529" s="526"/>
      <c r="H529" s="526"/>
      <c r="I529" s="526"/>
      <c r="J529" s="526"/>
      <c r="K529" s="526"/>
      <c r="L529" s="526"/>
      <c r="M529" s="526"/>
      <c r="N529" s="526"/>
      <c r="O529" s="526"/>
      <c r="P529" s="526"/>
      <c r="Q529" s="526"/>
      <c r="R529" s="526"/>
      <c r="S529" s="526"/>
      <c r="T529" s="526"/>
      <c r="U529" s="526"/>
      <c r="V529" s="526"/>
      <c r="W529" s="526"/>
      <c r="X529" s="526"/>
      <c r="Y529" s="526"/>
      <c r="Z529" s="526"/>
    </row>
    <row r="530" spans="1:26" ht="18.600000000000001" x14ac:dyDescent="0.3">
      <c r="A530" s="526"/>
      <c r="B530" s="526"/>
      <c r="C530" s="526"/>
      <c r="D530" s="526"/>
      <c r="E530" s="526"/>
      <c r="F530" s="526"/>
      <c r="G530" s="526"/>
      <c r="H530" s="526"/>
      <c r="I530" s="526"/>
      <c r="J530" s="526"/>
      <c r="K530" s="526"/>
      <c r="L530" s="526"/>
      <c r="M530" s="526"/>
      <c r="N530" s="526"/>
      <c r="O530" s="526"/>
      <c r="P530" s="526"/>
      <c r="Q530" s="526"/>
      <c r="R530" s="526"/>
      <c r="S530" s="526"/>
      <c r="T530" s="526"/>
      <c r="U530" s="526"/>
      <c r="V530" s="526"/>
      <c r="W530" s="526"/>
      <c r="X530" s="526"/>
      <c r="Y530" s="526"/>
      <c r="Z530" s="526"/>
    </row>
    <row r="531" spans="1:26" ht="18.600000000000001" x14ac:dyDescent="0.3">
      <c r="A531" s="526"/>
      <c r="B531" s="526"/>
      <c r="C531" s="526"/>
      <c r="D531" s="526"/>
      <c r="E531" s="526"/>
      <c r="F531" s="526"/>
      <c r="G531" s="526"/>
      <c r="H531" s="526"/>
      <c r="I531" s="526"/>
      <c r="J531" s="526"/>
      <c r="K531" s="526"/>
      <c r="L531" s="526"/>
      <c r="M531" s="526"/>
      <c r="N531" s="526"/>
      <c r="O531" s="526"/>
      <c r="P531" s="526"/>
      <c r="Q531" s="526"/>
      <c r="R531" s="526"/>
      <c r="S531" s="526"/>
      <c r="T531" s="526"/>
      <c r="U531" s="526"/>
      <c r="V531" s="526"/>
      <c r="W531" s="526"/>
      <c r="X531" s="526"/>
      <c r="Y531" s="526"/>
      <c r="Z531" s="526"/>
    </row>
    <row r="532" spans="1:26" ht="18.600000000000001" x14ac:dyDescent="0.3">
      <c r="A532" s="526"/>
      <c r="B532" s="526"/>
      <c r="C532" s="526"/>
      <c r="D532" s="526"/>
      <c r="E532" s="526"/>
      <c r="F532" s="526"/>
      <c r="G532" s="526"/>
      <c r="H532" s="526"/>
      <c r="I532" s="526"/>
      <c r="J532" s="526"/>
      <c r="K532" s="526"/>
      <c r="L532" s="526"/>
      <c r="M532" s="526"/>
      <c r="N532" s="526"/>
      <c r="O532" s="526"/>
      <c r="P532" s="526"/>
      <c r="Q532" s="526"/>
      <c r="R532" s="526"/>
      <c r="S532" s="526"/>
      <c r="T532" s="526"/>
      <c r="U532" s="526"/>
      <c r="V532" s="526"/>
      <c r="W532" s="526"/>
      <c r="X532" s="526"/>
      <c r="Y532" s="526"/>
      <c r="Z532" s="526"/>
    </row>
    <row r="533" spans="1:26" ht="18.600000000000001" x14ac:dyDescent="0.3">
      <c r="A533" s="526"/>
      <c r="B533" s="526"/>
      <c r="C533" s="526"/>
      <c r="D533" s="526"/>
      <c r="E533" s="526"/>
      <c r="F533" s="526"/>
      <c r="G533" s="526"/>
      <c r="H533" s="526"/>
      <c r="I533" s="526"/>
      <c r="J533" s="526"/>
      <c r="K533" s="526"/>
      <c r="L533" s="526"/>
      <c r="M533" s="526"/>
      <c r="N533" s="526"/>
      <c r="O533" s="526"/>
      <c r="P533" s="526"/>
      <c r="Q533" s="526"/>
      <c r="R533" s="526"/>
      <c r="S533" s="526"/>
      <c r="T533" s="526"/>
      <c r="U533" s="526"/>
      <c r="V533" s="526"/>
      <c r="W533" s="526"/>
      <c r="X533" s="526"/>
      <c r="Y533" s="526"/>
      <c r="Z533" s="526"/>
    </row>
    <row r="534" spans="1:26" ht="18.600000000000001" x14ac:dyDescent="0.3">
      <c r="A534" s="526"/>
      <c r="B534" s="526"/>
      <c r="C534" s="526"/>
      <c r="D534" s="526"/>
      <c r="E534" s="526"/>
      <c r="F534" s="526"/>
      <c r="G534" s="526"/>
      <c r="H534" s="526"/>
      <c r="I534" s="526"/>
      <c r="J534" s="526"/>
      <c r="K534" s="526"/>
      <c r="L534" s="526"/>
      <c r="M534" s="526"/>
      <c r="N534" s="526"/>
      <c r="O534" s="526"/>
      <c r="P534" s="526"/>
      <c r="Q534" s="526"/>
      <c r="R534" s="526"/>
      <c r="S534" s="526"/>
      <c r="T534" s="526"/>
      <c r="U534" s="526"/>
      <c r="V534" s="526"/>
      <c r="W534" s="526"/>
      <c r="X534" s="526"/>
      <c r="Y534" s="526"/>
      <c r="Z534" s="526"/>
    </row>
    <row r="535" spans="1:26" ht="18.600000000000001" x14ac:dyDescent="0.3">
      <c r="A535" s="526"/>
      <c r="B535" s="526"/>
      <c r="C535" s="526"/>
      <c r="D535" s="526"/>
      <c r="E535" s="526"/>
      <c r="F535" s="526"/>
      <c r="G535" s="526"/>
      <c r="H535" s="526"/>
      <c r="I535" s="526"/>
      <c r="J535" s="526"/>
      <c r="K535" s="526"/>
      <c r="L535" s="526"/>
      <c r="M535" s="526"/>
      <c r="N535" s="526"/>
      <c r="O535" s="526"/>
      <c r="P535" s="526"/>
      <c r="Q535" s="526"/>
      <c r="R535" s="526"/>
      <c r="S535" s="526"/>
      <c r="T535" s="526"/>
      <c r="U535" s="526"/>
      <c r="V535" s="526"/>
      <c r="W535" s="526"/>
      <c r="X535" s="526"/>
      <c r="Y535" s="526"/>
      <c r="Z535" s="526"/>
    </row>
    <row r="536" spans="1:26" ht="18.600000000000001" x14ac:dyDescent="0.3">
      <c r="A536" s="526"/>
      <c r="B536" s="526"/>
      <c r="C536" s="526"/>
      <c r="D536" s="526"/>
      <c r="E536" s="526"/>
      <c r="F536" s="526"/>
      <c r="G536" s="526"/>
      <c r="H536" s="526"/>
      <c r="I536" s="526"/>
      <c r="J536" s="526"/>
      <c r="K536" s="526"/>
      <c r="L536" s="526"/>
      <c r="M536" s="526"/>
      <c r="N536" s="526"/>
      <c r="O536" s="526"/>
      <c r="P536" s="526"/>
      <c r="Q536" s="526"/>
      <c r="R536" s="526"/>
      <c r="S536" s="526"/>
      <c r="T536" s="526"/>
      <c r="U536" s="526"/>
      <c r="V536" s="526"/>
      <c r="W536" s="526"/>
      <c r="X536" s="526"/>
      <c r="Y536" s="526"/>
      <c r="Z536" s="526"/>
    </row>
    <row r="537" spans="1:26" ht="18.600000000000001" x14ac:dyDescent="0.3">
      <c r="A537" s="526"/>
      <c r="B537" s="526"/>
      <c r="C537" s="526"/>
      <c r="D537" s="526"/>
      <c r="E537" s="526"/>
      <c r="F537" s="526"/>
      <c r="G537" s="526"/>
      <c r="H537" s="526"/>
      <c r="I537" s="526"/>
      <c r="J537" s="526"/>
      <c r="K537" s="526"/>
      <c r="L537" s="526"/>
      <c r="M537" s="526"/>
      <c r="N537" s="526"/>
      <c r="O537" s="526"/>
      <c r="P537" s="526"/>
      <c r="Q537" s="526"/>
      <c r="R537" s="526"/>
      <c r="S537" s="526"/>
      <c r="T537" s="526"/>
      <c r="U537" s="526"/>
      <c r="V537" s="526"/>
      <c r="W537" s="526"/>
      <c r="X537" s="526"/>
      <c r="Y537" s="526"/>
      <c r="Z537" s="526"/>
    </row>
    <row r="538" spans="1:26" ht="18.600000000000001" x14ac:dyDescent="0.3">
      <c r="A538" s="526"/>
      <c r="B538" s="526"/>
      <c r="C538" s="526"/>
      <c r="D538" s="526"/>
      <c r="E538" s="526"/>
      <c r="F538" s="526"/>
      <c r="G538" s="526"/>
      <c r="H538" s="526"/>
      <c r="I538" s="526"/>
      <c r="J538" s="526"/>
      <c r="K538" s="526"/>
      <c r="L538" s="526"/>
      <c r="M538" s="526"/>
      <c r="N538" s="526"/>
      <c r="O538" s="526"/>
      <c r="P538" s="526"/>
      <c r="Q538" s="526"/>
      <c r="R538" s="526"/>
      <c r="S538" s="526"/>
      <c r="T538" s="526"/>
      <c r="U538" s="526"/>
      <c r="V538" s="526"/>
      <c r="W538" s="526"/>
      <c r="X538" s="526"/>
      <c r="Y538" s="526"/>
      <c r="Z538" s="526"/>
    </row>
    <row r="539" spans="1:26" ht="18.600000000000001" x14ac:dyDescent="0.3">
      <c r="A539" s="526"/>
      <c r="B539" s="526"/>
      <c r="C539" s="526"/>
      <c r="D539" s="526"/>
      <c r="E539" s="526"/>
      <c r="F539" s="526"/>
      <c r="G539" s="526"/>
      <c r="H539" s="526"/>
      <c r="I539" s="526"/>
      <c r="J539" s="526"/>
      <c r="K539" s="526"/>
      <c r="L539" s="526"/>
      <c r="M539" s="526"/>
      <c r="N539" s="526"/>
      <c r="O539" s="526"/>
      <c r="P539" s="526"/>
      <c r="Q539" s="526"/>
      <c r="R539" s="526"/>
      <c r="S539" s="526"/>
      <c r="T539" s="526"/>
      <c r="U539" s="526"/>
      <c r="V539" s="526"/>
      <c r="W539" s="526"/>
      <c r="X539" s="526"/>
      <c r="Y539" s="526"/>
      <c r="Z539" s="526"/>
    </row>
    <row r="540" spans="1:26" ht="18.600000000000001" x14ac:dyDescent="0.3">
      <c r="A540" s="526"/>
      <c r="B540" s="526"/>
      <c r="C540" s="526"/>
      <c r="D540" s="526"/>
      <c r="E540" s="526"/>
      <c r="F540" s="526"/>
      <c r="G540" s="526"/>
      <c r="H540" s="526"/>
      <c r="I540" s="526"/>
      <c r="J540" s="526"/>
      <c r="K540" s="526"/>
      <c r="L540" s="526"/>
      <c r="M540" s="526"/>
      <c r="N540" s="526"/>
      <c r="O540" s="526"/>
      <c r="P540" s="526"/>
      <c r="Q540" s="526"/>
      <c r="R540" s="526"/>
      <c r="S540" s="526"/>
      <c r="T540" s="526"/>
      <c r="U540" s="526"/>
      <c r="V540" s="526"/>
      <c r="W540" s="526"/>
      <c r="X540" s="526"/>
      <c r="Y540" s="526"/>
      <c r="Z540" s="526"/>
    </row>
    <row r="541" spans="1:26" ht="18.600000000000001" x14ac:dyDescent="0.3">
      <c r="A541" s="526"/>
      <c r="B541" s="526"/>
      <c r="C541" s="526"/>
      <c r="D541" s="526"/>
      <c r="E541" s="526"/>
      <c r="F541" s="526"/>
      <c r="G541" s="526"/>
      <c r="H541" s="526"/>
      <c r="I541" s="526"/>
      <c r="J541" s="526"/>
      <c r="K541" s="526"/>
      <c r="L541" s="526"/>
      <c r="M541" s="526"/>
      <c r="N541" s="526"/>
      <c r="O541" s="526"/>
      <c r="P541" s="526"/>
      <c r="Q541" s="526"/>
      <c r="R541" s="526"/>
      <c r="S541" s="526"/>
      <c r="T541" s="526"/>
      <c r="U541" s="526"/>
      <c r="V541" s="526"/>
      <c r="W541" s="526"/>
      <c r="X541" s="526"/>
      <c r="Y541" s="526"/>
      <c r="Z541" s="526"/>
    </row>
    <row r="542" spans="1:26" ht="18.600000000000001" x14ac:dyDescent="0.3">
      <c r="A542" s="526"/>
      <c r="B542" s="526"/>
      <c r="C542" s="526"/>
      <c r="D542" s="526"/>
      <c r="E542" s="526"/>
      <c r="F542" s="526"/>
      <c r="G542" s="526"/>
      <c r="H542" s="526"/>
      <c r="I542" s="526"/>
      <c r="J542" s="526"/>
      <c r="K542" s="526"/>
      <c r="L542" s="526"/>
      <c r="M542" s="526"/>
      <c r="N542" s="526"/>
      <c r="O542" s="526"/>
      <c r="P542" s="526"/>
      <c r="Q542" s="526"/>
      <c r="R542" s="526"/>
      <c r="S542" s="526"/>
      <c r="T542" s="526"/>
      <c r="U542" s="526"/>
      <c r="V542" s="526"/>
      <c r="W542" s="526"/>
      <c r="X542" s="526"/>
      <c r="Y542" s="526"/>
      <c r="Z542" s="526"/>
    </row>
    <row r="543" spans="1:26" ht="18.600000000000001" x14ac:dyDescent="0.3">
      <c r="A543" s="526"/>
      <c r="B543" s="526"/>
      <c r="C543" s="526"/>
      <c r="D543" s="526"/>
      <c r="E543" s="526"/>
      <c r="F543" s="526"/>
      <c r="G543" s="526"/>
      <c r="H543" s="526"/>
      <c r="I543" s="526"/>
      <c r="J543" s="526"/>
      <c r="K543" s="526"/>
      <c r="L543" s="526"/>
      <c r="M543" s="526"/>
      <c r="N543" s="526"/>
      <c r="O543" s="526"/>
      <c r="P543" s="526"/>
      <c r="Q543" s="526"/>
      <c r="R543" s="526"/>
      <c r="S543" s="526"/>
      <c r="T543" s="526"/>
      <c r="U543" s="526"/>
      <c r="V543" s="526"/>
      <c r="W543" s="526"/>
      <c r="X543" s="526"/>
      <c r="Y543" s="526"/>
      <c r="Z543" s="526"/>
    </row>
    <row r="544" spans="1:26" ht="18.600000000000001" x14ac:dyDescent="0.3">
      <c r="A544" s="526"/>
      <c r="B544" s="526"/>
      <c r="C544" s="526"/>
      <c r="D544" s="526"/>
      <c r="E544" s="526"/>
      <c r="F544" s="526"/>
      <c r="G544" s="526"/>
      <c r="H544" s="526"/>
      <c r="I544" s="526"/>
      <c r="J544" s="526"/>
      <c r="K544" s="526"/>
      <c r="L544" s="526"/>
      <c r="M544" s="526"/>
      <c r="N544" s="526"/>
      <c r="O544" s="526"/>
      <c r="P544" s="526"/>
      <c r="Q544" s="526"/>
      <c r="R544" s="526"/>
      <c r="S544" s="526"/>
      <c r="T544" s="526"/>
      <c r="U544" s="526"/>
      <c r="V544" s="526"/>
      <c r="W544" s="526"/>
      <c r="X544" s="526"/>
      <c r="Y544" s="526"/>
      <c r="Z544" s="526"/>
    </row>
    <row r="545" spans="1:26" ht="18.600000000000001" x14ac:dyDescent="0.3">
      <c r="A545" s="526"/>
      <c r="B545" s="526"/>
      <c r="C545" s="526"/>
      <c r="D545" s="526"/>
      <c r="E545" s="526"/>
      <c r="F545" s="526"/>
      <c r="G545" s="526"/>
      <c r="H545" s="526"/>
      <c r="I545" s="526"/>
      <c r="J545" s="526"/>
      <c r="K545" s="526"/>
      <c r="L545" s="526"/>
      <c r="M545" s="526"/>
      <c r="N545" s="526"/>
      <c r="O545" s="526"/>
      <c r="P545" s="526"/>
      <c r="Q545" s="526"/>
      <c r="R545" s="526"/>
      <c r="S545" s="526"/>
      <c r="T545" s="526"/>
      <c r="U545" s="526"/>
      <c r="V545" s="526"/>
      <c r="W545" s="526"/>
      <c r="X545" s="526"/>
      <c r="Y545" s="526"/>
      <c r="Z545" s="526"/>
    </row>
    <row r="546" spans="1:26" ht="18.600000000000001" x14ac:dyDescent="0.3">
      <c r="A546" s="526"/>
      <c r="B546" s="526"/>
      <c r="C546" s="526"/>
      <c r="D546" s="526"/>
      <c r="E546" s="526"/>
      <c r="F546" s="526"/>
      <c r="G546" s="526"/>
      <c r="H546" s="526"/>
      <c r="I546" s="526"/>
      <c r="J546" s="526"/>
      <c r="K546" s="526"/>
      <c r="L546" s="526"/>
      <c r="M546" s="526"/>
      <c r="N546" s="526"/>
      <c r="O546" s="526"/>
      <c r="P546" s="526"/>
      <c r="Q546" s="526"/>
      <c r="R546" s="526"/>
      <c r="S546" s="526"/>
      <c r="T546" s="526"/>
      <c r="U546" s="526"/>
      <c r="V546" s="526"/>
      <c r="W546" s="526"/>
      <c r="X546" s="526"/>
      <c r="Y546" s="526"/>
      <c r="Z546" s="526"/>
    </row>
    <row r="547" spans="1:26" ht="18.600000000000001" x14ac:dyDescent="0.3">
      <c r="A547" s="526"/>
      <c r="B547" s="526"/>
      <c r="C547" s="526"/>
      <c r="D547" s="526"/>
      <c r="E547" s="526"/>
      <c r="F547" s="526"/>
      <c r="G547" s="526"/>
      <c r="H547" s="526"/>
      <c r="I547" s="526"/>
      <c r="J547" s="526"/>
      <c r="K547" s="526"/>
      <c r="L547" s="526"/>
      <c r="M547" s="526"/>
      <c r="N547" s="526"/>
      <c r="O547" s="526"/>
      <c r="P547" s="526"/>
      <c r="Q547" s="526"/>
      <c r="R547" s="526"/>
      <c r="S547" s="526"/>
      <c r="T547" s="526"/>
      <c r="U547" s="526"/>
      <c r="V547" s="526"/>
      <c r="W547" s="526"/>
      <c r="X547" s="526"/>
      <c r="Y547" s="526"/>
      <c r="Z547" s="526"/>
    </row>
    <row r="548" spans="1:26" ht="18.600000000000001" x14ac:dyDescent="0.3">
      <c r="A548" s="526"/>
      <c r="B548" s="526"/>
      <c r="C548" s="526"/>
      <c r="D548" s="526"/>
      <c r="E548" s="526"/>
      <c r="F548" s="526"/>
      <c r="G548" s="526"/>
      <c r="H548" s="526"/>
      <c r="I548" s="526"/>
      <c r="J548" s="526"/>
      <c r="K548" s="526"/>
      <c r="L548" s="526"/>
      <c r="M548" s="526"/>
      <c r="N548" s="526"/>
      <c r="O548" s="526"/>
      <c r="P548" s="526"/>
      <c r="Q548" s="526"/>
      <c r="R548" s="526"/>
      <c r="S548" s="526"/>
      <c r="T548" s="526"/>
      <c r="U548" s="526"/>
      <c r="V548" s="526"/>
      <c r="W548" s="526"/>
      <c r="X548" s="526"/>
      <c r="Y548" s="526"/>
      <c r="Z548" s="526"/>
    </row>
    <row r="549" spans="1:26" ht="18.600000000000001" x14ac:dyDescent="0.3">
      <c r="A549" s="526"/>
      <c r="B549" s="526"/>
      <c r="C549" s="526"/>
      <c r="D549" s="526"/>
      <c r="E549" s="526"/>
      <c r="F549" s="526"/>
      <c r="G549" s="526"/>
      <c r="H549" s="526"/>
      <c r="I549" s="526"/>
      <c r="J549" s="526"/>
      <c r="K549" s="526"/>
      <c r="L549" s="526"/>
      <c r="M549" s="526"/>
      <c r="N549" s="526"/>
      <c r="O549" s="526"/>
      <c r="P549" s="526"/>
      <c r="Q549" s="526"/>
      <c r="R549" s="526"/>
      <c r="S549" s="526"/>
      <c r="T549" s="526"/>
      <c r="U549" s="526"/>
      <c r="V549" s="526"/>
      <c r="W549" s="526"/>
      <c r="X549" s="526"/>
      <c r="Y549" s="526"/>
      <c r="Z549" s="526"/>
    </row>
    <row r="550" spans="1:26" ht="18.600000000000001" x14ac:dyDescent="0.3">
      <c r="A550" s="526"/>
      <c r="B550" s="526"/>
      <c r="C550" s="526"/>
      <c r="D550" s="526"/>
      <c r="E550" s="526"/>
      <c r="F550" s="526"/>
      <c r="G550" s="526"/>
      <c r="H550" s="526"/>
      <c r="I550" s="526"/>
      <c r="J550" s="526"/>
      <c r="K550" s="526"/>
      <c r="L550" s="526"/>
      <c r="M550" s="526"/>
      <c r="N550" s="526"/>
      <c r="O550" s="526"/>
      <c r="P550" s="526"/>
      <c r="Q550" s="526"/>
      <c r="R550" s="526"/>
      <c r="S550" s="526"/>
      <c r="T550" s="526"/>
      <c r="U550" s="526"/>
      <c r="V550" s="526"/>
      <c r="W550" s="526"/>
      <c r="X550" s="526"/>
      <c r="Y550" s="526"/>
      <c r="Z550" s="526"/>
    </row>
    <row r="551" spans="1:26" ht="18.600000000000001" x14ac:dyDescent="0.3">
      <c r="A551" s="526"/>
      <c r="B551" s="526"/>
      <c r="C551" s="526"/>
      <c r="D551" s="526"/>
      <c r="E551" s="526"/>
      <c r="F551" s="526"/>
      <c r="G551" s="526"/>
      <c r="H551" s="526"/>
      <c r="I551" s="526"/>
      <c r="J551" s="526"/>
      <c r="K551" s="526"/>
      <c r="L551" s="526"/>
      <c r="M551" s="526"/>
      <c r="N551" s="526"/>
      <c r="O551" s="526"/>
      <c r="P551" s="526"/>
      <c r="Q551" s="526"/>
      <c r="R551" s="526"/>
      <c r="S551" s="526"/>
      <c r="T551" s="526"/>
      <c r="U551" s="526"/>
      <c r="V551" s="526"/>
      <c r="W551" s="526"/>
      <c r="X551" s="526"/>
      <c r="Y551" s="526"/>
      <c r="Z551" s="526"/>
    </row>
    <row r="552" spans="1:26" ht="18.600000000000001" x14ac:dyDescent="0.3">
      <c r="A552" s="526"/>
      <c r="B552" s="526"/>
      <c r="C552" s="526"/>
      <c r="D552" s="526"/>
      <c r="E552" s="526"/>
      <c r="F552" s="526"/>
      <c r="G552" s="526"/>
      <c r="H552" s="526"/>
      <c r="I552" s="526"/>
      <c r="J552" s="526"/>
      <c r="K552" s="526"/>
      <c r="L552" s="526"/>
      <c r="M552" s="526"/>
      <c r="N552" s="526"/>
      <c r="O552" s="526"/>
      <c r="P552" s="526"/>
      <c r="Q552" s="526"/>
      <c r="R552" s="526"/>
      <c r="S552" s="526"/>
      <c r="T552" s="526"/>
      <c r="U552" s="526"/>
      <c r="V552" s="526"/>
      <c r="W552" s="526"/>
      <c r="X552" s="526"/>
      <c r="Y552" s="526"/>
      <c r="Z552" s="526"/>
    </row>
    <row r="553" spans="1:26" ht="18.600000000000001" x14ac:dyDescent="0.3">
      <c r="A553" s="526"/>
      <c r="B553" s="526"/>
      <c r="C553" s="526"/>
      <c r="D553" s="526"/>
      <c r="E553" s="526"/>
      <c r="F553" s="526"/>
      <c r="G553" s="526"/>
      <c r="H553" s="526"/>
      <c r="I553" s="526"/>
      <c r="J553" s="526"/>
      <c r="K553" s="526"/>
      <c r="L553" s="526"/>
      <c r="M553" s="526"/>
      <c r="N553" s="526"/>
      <c r="O553" s="526"/>
      <c r="P553" s="526"/>
      <c r="Q553" s="526"/>
      <c r="R553" s="526"/>
      <c r="S553" s="526"/>
      <c r="T553" s="526"/>
      <c r="U553" s="526"/>
      <c r="V553" s="526"/>
      <c r="W553" s="526"/>
      <c r="X553" s="526"/>
      <c r="Y553" s="526"/>
      <c r="Z553" s="526"/>
    </row>
    <row r="554" spans="1:26" ht="18.600000000000001" x14ac:dyDescent="0.3">
      <c r="A554" s="526"/>
      <c r="B554" s="526"/>
      <c r="C554" s="526"/>
      <c r="D554" s="526"/>
      <c r="E554" s="526"/>
      <c r="F554" s="526"/>
      <c r="G554" s="526"/>
      <c r="H554" s="526"/>
      <c r="I554" s="526"/>
      <c r="J554" s="526"/>
      <c r="K554" s="526"/>
      <c r="L554" s="526"/>
      <c r="M554" s="526"/>
      <c r="N554" s="526"/>
      <c r="O554" s="526"/>
      <c r="P554" s="526"/>
      <c r="Q554" s="526"/>
      <c r="R554" s="526"/>
      <c r="S554" s="526"/>
      <c r="T554" s="526"/>
      <c r="U554" s="526"/>
      <c r="V554" s="526"/>
      <c r="W554" s="526"/>
      <c r="X554" s="526"/>
      <c r="Y554" s="526"/>
      <c r="Z554" s="526"/>
    </row>
    <row r="555" spans="1:26" ht="18.600000000000001" x14ac:dyDescent="0.3">
      <c r="A555" s="526"/>
      <c r="B555" s="526"/>
      <c r="C555" s="526"/>
      <c r="D555" s="526"/>
      <c r="E555" s="526"/>
      <c r="F555" s="526"/>
      <c r="G555" s="526"/>
      <c r="H555" s="526"/>
      <c r="I555" s="526"/>
      <c r="J555" s="526"/>
      <c r="K555" s="526"/>
      <c r="L555" s="526"/>
      <c r="M555" s="526"/>
      <c r="N555" s="526"/>
      <c r="O555" s="526"/>
      <c r="P555" s="526"/>
      <c r="Q555" s="526"/>
      <c r="R555" s="526"/>
      <c r="S555" s="526"/>
      <c r="T555" s="526"/>
      <c r="U555" s="526"/>
      <c r="V555" s="526"/>
      <c r="W555" s="526"/>
      <c r="X555" s="526"/>
      <c r="Y555" s="526"/>
      <c r="Z555" s="526"/>
    </row>
    <row r="556" spans="1:26" ht="18.600000000000001" x14ac:dyDescent="0.3">
      <c r="A556" s="526"/>
      <c r="B556" s="526"/>
      <c r="C556" s="526"/>
      <c r="D556" s="526"/>
      <c r="E556" s="526"/>
      <c r="F556" s="526"/>
      <c r="G556" s="526"/>
      <c r="H556" s="526"/>
      <c r="I556" s="526"/>
      <c r="J556" s="526"/>
      <c r="K556" s="526"/>
      <c r="L556" s="526"/>
      <c r="M556" s="526"/>
      <c r="N556" s="526"/>
      <c r="O556" s="526"/>
      <c r="P556" s="526"/>
      <c r="Q556" s="526"/>
      <c r="R556" s="526"/>
      <c r="S556" s="526"/>
      <c r="T556" s="526"/>
      <c r="U556" s="526"/>
      <c r="V556" s="526"/>
      <c r="W556" s="526"/>
      <c r="X556" s="526"/>
      <c r="Y556" s="526"/>
      <c r="Z556" s="526"/>
    </row>
    <row r="557" spans="1:26" ht="18.600000000000001" x14ac:dyDescent="0.3">
      <c r="A557" s="526"/>
      <c r="B557" s="526"/>
      <c r="C557" s="526"/>
      <c r="D557" s="526"/>
      <c r="E557" s="526"/>
      <c r="F557" s="526"/>
      <c r="G557" s="526"/>
      <c r="H557" s="526"/>
      <c r="I557" s="526"/>
      <c r="J557" s="526"/>
      <c r="K557" s="526"/>
      <c r="L557" s="526"/>
      <c r="M557" s="526"/>
      <c r="N557" s="526"/>
      <c r="O557" s="526"/>
      <c r="P557" s="526"/>
      <c r="Q557" s="526"/>
      <c r="R557" s="526"/>
      <c r="S557" s="526"/>
      <c r="T557" s="526"/>
      <c r="U557" s="526"/>
      <c r="V557" s="526"/>
      <c r="W557" s="526"/>
      <c r="X557" s="526"/>
      <c r="Y557" s="526"/>
      <c r="Z557" s="526"/>
    </row>
    <row r="558" spans="1:26" ht="18.600000000000001" x14ac:dyDescent="0.3">
      <c r="A558" s="526"/>
      <c r="B558" s="526"/>
      <c r="C558" s="526"/>
      <c r="D558" s="526"/>
      <c r="E558" s="526"/>
      <c r="F558" s="526"/>
      <c r="G558" s="526"/>
      <c r="H558" s="526"/>
      <c r="I558" s="526"/>
      <c r="J558" s="526"/>
      <c r="K558" s="526"/>
      <c r="L558" s="526"/>
      <c r="M558" s="526"/>
      <c r="N558" s="526"/>
      <c r="O558" s="526"/>
      <c r="P558" s="526"/>
      <c r="Q558" s="526"/>
      <c r="R558" s="526"/>
      <c r="S558" s="526"/>
      <c r="T558" s="526"/>
      <c r="U558" s="526"/>
      <c r="V558" s="526"/>
      <c r="W558" s="526"/>
      <c r="X558" s="526"/>
      <c r="Y558" s="526"/>
      <c r="Z558" s="526"/>
    </row>
    <row r="559" spans="1:26" ht="18.600000000000001" x14ac:dyDescent="0.3">
      <c r="A559" s="526"/>
      <c r="B559" s="526"/>
      <c r="C559" s="526"/>
      <c r="D559" s="526"/>
      <c r="E559" s="526"/>
      <c r="F559" s="526"/>
      <c r="G559" s="526"/>
      <c r="H559" s="526"/>
      <c r="I559" s="526"/>
      <c r="J559" s="526"/>
      <c r="K559" s="526"/>
      <c r="L559" s="526"/>
      <c r="M559" s="526"/>
      <c r="N559" s="526"/>
      <c r="O559" s="526"/>
      <c r="P559" s="526"/>
      <c r="Q559" s="526"/>
      <c r="R559" s="526"/>
      <c r="S559" s="526"/>
      <c r="T559" s="526"/>
      <c r="U559" s="526"/>
      <c r="V559" s="526"/>
      <c r="W559" s="526"/>
      <c r="X559" s="526"/>
      <c r="Y559" s="526"/>
      <c r="Z559" s="526"/>
    </row>
    <row r="560" spans="1:26" ht="18.600000000000001" x14ac:dyDescent="0.3">
      <c r="A560" s="526"/>
      <c r="B560" s="526"/>
      <c r="C560" s="526"/>
      <c r="D560" s="526"/>
      <c r="E560" s="526"/>
      <c r="F560" s="526"/>
      <c r="G560" s="526"/>
      <c r="H560" s="526"/>
      <c r="I560" s="526"/>
      <c r="J560" s="526"/>
      <c r="K560" s="526"/>
      <c r="L560" s="526"/>
      <c r="M560" s="526"/>
      <c r="N560" s="526"/>
      <c r="O560" s="526"/>
      <c r="P560" s="526"/>
      <c r="Q560" s="526"/>
      <c r="R560" s="526"/>
      <c r="S560" s="526"/>
      <c r="T560" s="526"/>
      <c r="U560" s="526"/>
      <c r="V560" s="526"/>
      <c r="W560" s="526"/>
      <c r="X560" s="526"/>
      <c r="Y560" s="526"/>
      <c r="Z560" s="526"/>
    </row>
    <row r="561" spans="1:26" ht="18.600000000000001" x14ac:dyDescent="0.3">
      <c r="A561" s="526"/>
      <c r="B561" s="526"/>
      <c r="C561" s="526"/>
      <c r="D561" s="526"/>
      <c r="E561" s="526"/>
      <c r="F561" s="526"/>
      <c r="G561" s="526"/>
      <c r="H561" s="526"/>
      <c r="I561" s="526"/>
      <c r="J561" s="526"/>
      <c r="K561" s="526"/>
      <c r="L561" s="526"/>
      <c r="M561" s="526"/>
      <c r="N561" s="526"/>
      <c r="O561" s="526"/>
      <c r="P561" s="526"/>
      <c r="Q561" s="526"/>
      <c r="R561" s="526"/>
      <c r="S561" s="526"/>
      <c r="T561" s="526"/>
      <c r="U561" s="526"/>
      <c r="V561" s="526"/>
      <c r="W561" s="526"/>
      <c r="X561" s="526"/>
      <c r="Y561" s="526"/>
      <c r="Z561" s="526"/>
    </row>
    <row r="562" spans="1:26" ht="18.600000000000001" x14ac:dyDescent="0.3">
      <c r="A562" s="526"/>
      <c r="B562" s="526"/>
      <c r="C562" s="526"/>
      <c r="D562" s="526"/>
      <c r="E562" s="526"/>
      <c r="F562" s="526"/>
      <c r="G562" s="526"/>
      <c r="H562" s="526"/>
      <c r="I562" s="526"/>
      <c r="J562" s="526"/>
      <c r="K562" s="526"/>
      <c r="L562" s="526"/>
      <c r="M562" s="526"/>
      <c r="N562" s="526"/>
      <c r="O562" s="526"/>
      <c r="P562" s="526"/>
      <c r="Q562" s="526"/>
      <c r="R562" s="526"/>
      <c r="S562" s="526"/>
      <c r="T562" s="526"/>
      <c r="U562" s="526"/>
      <c r="V562" s="526"/>
      <c r="W562" s="526"/>
      <c r="X562" s="526"/>
      <c r="Y562" s="526"/>
      <c r="Z562" s="526"/>
    </row>
    <row r="563" spans="1:26" ht="18.600000000000001" x14ac:dyDescent="0.3">
      <c r="A563" s="526"/>
      <c r="B563" s="526"/>
      <c r="C563" s="526"/>
      <c r="D563" s="526"/>
      <c r="E563" s="526"/>
      <c r="F563" s="526"/>
      <c r="G563" s="526"/>
      <c r="H563" s="526"/>
      <c r="I563" s="526"/>
      <c r="J563" s="526"/>
      <c r="K563" s="526"/>
      <c r="L563" s="526"/>
      <c r="M563" s="526"/>
      <c r="N563" s="526"/>
      <c r="O563" s="526"/>
      <c r="P563" s="526"/>
      <c r="Q563" s="526"/>
      <c r="R563" s="526"/>
      <c r="S563" s="526"/>
      <c r="T563" s="526"/>
      <c r="U563" s="526"/>
      <c r="V563" s="526"/>
      <c r="W563" s="526"/>
      <c r="X563" s="526"/>
      <c r="Y563" s="526"/>
      <c r="Z563" s="526"/>
    </row>
    <row r="564" spans="1:26" ht="18.600000000000001" x14ac:dyDescent="0.3">
      <c r="A564" s="526"/>
      <c r="B564" s="526"/>
      <c r="C564" s="526"/>
      <c r="D564" s="526"/>
      <c r="E564" s="526"/>
      <c r="F564" s="526"/>
      <c r="G564" s="526"/>
      <c r="H564" s="526"/>
      <c r="I564" s="526"/>
      <c r="J564" s="526"/>
      <c r="K564" s="526"/>
      <c r="L564" s="526"/>
      <c r="M564" s="526"/>
      <c r="N564" s="526"/>
      <c r="O564" s="526"/>
      <c r="P564" s="526"/>
      <c r="Q564" s="526"/>
      <c r="R564" s="526"/>
      <c r="S564" s="526"/>
      <c r="T564" s="526"/>
      <c r="U564" s="526"/>
      <c r="V564" s="526"/>
      <c r="W564" s="526"/>
      <c r="X564" s="526"/>
      <c r="Y564" s="526"/>
      <c r="Z564" s="526"/>
    </row>
    <row r="565" spans="1:26" ht="18.600000000000001" x14ac:dyDescent="0.3">
      <c r="A565" s="526"/>
      <c r="B565" s="526"/>
      <c r="C565" s="526"/>
      <c r="D565" s="526"/>
      <c r="E565" s="526"/>
      <c r="F565" s="526"/>
      <c r="G565" s="526"/>
      <c r="H565" s="526"/>
      <c r="I565" s="526"/>
      <c r="J565" s="526"/>
      <c r="K565" s="526"/>
      <c r="L565" s="526"/>
      <c r="M565" s="526"/>
      <c r="N565" s="526"/>
      <c r="O565" s="526"/>
      <c r="P565" s="526"/>
      <c r="Q565" s="526"/>
      <c r="R565" s="526"/>
      <c r="S565" s="526"/>
      <c r="T565" s="526"/>
      <c r="U565" s="526"/>
      <c r="V565" s="526"/>
      <c r="W565" s="526"/>
      <c r="X565" s="526"/>
      <c r="Y565" s="526"/>
      <c r="Z565" s="526"/>
    </row>
    <row r="566" spans="1:26" ht="18.600000000000001" x14ac:dyDescent="0.3">
      <c r="A566" s="526"/>
      <c r="B566" s="526"/>
      <c r="C566" s="526"/>
      <c r="D566" s="526"/>
      <c r="E566" s="526"/>
      <c r="F566" s="526"/>
      <c r="G566" s="526"/>
      <c r="H566" s="526"/>
      <c r="I566" s="526"/>
      <c r="J566" s="526"/>
      <c r="K566" s="526"/>
      <c r="L566" s="526"/>
      <c r="M566" s="526"/>
      <c r="N566" s="526"/>
      <c r="O566" s="526"/>
      <c r="P566" s="526"/>
      <c r="Q566" s="526"/>
      <c r="R566" s="526"/>
      <c r="S566" s="526"/>
      <c r="T566" s="526"/>
      <c r="U566" s="526"/>
      <c r="V566" s="526"/>
      <c r="W566" s="526"/>
      <c r="X566" s="526"/>
      <c r="Y566" s="526"/>
      <c r="Z566" s="526"/>
    </row>
    <row r="567" spans="1:26" ht="18.600000000000001" x14ac:dyDescent="0.3">
      <c r="A567" s="526"/>
      <c r="B567" s="526"/>
      <c r="C567" s="526"/>
      <c r="D567" s="526"/>
      <c r="E567" s="526"/>
      <c r="F567" s="526"/>
      <c r="G567" s="526"/>
      <c r="H567" s="526"/>
      <c r="I567" s="526"/>
      <c r="J567" s="526"/>
      <c r="K567" s="526"/>
      <c r="L567" s="526"/>
      <c r="M567" s="526"/>
      <c r="N567" s="526"/>
      <c r="O567" s="526"/>
      <c r="P567" s="526"/>
      <c r="Q567" s="526"/>
      <c r="R567" s="526"/>
      <c r="S567" s="526"/>
      <c r="T567" s="526"/>
      <c r="U567" s="526"/>
      <c r="V567" s="526"/>
      <c r="W567" s="526"/>
      <c r="X567" s="526"/>
      <c r="Y567" s="526"/>
      <c r="Z567" s="526"/>
    </row>
    <row r="568" spans="1:26" ht="18.600000000000001" x14ac:dyDescent="0.3">
      <c r="A568" s="526"/>
      <c r="B568" s="526"/>
      <c r="C568" s="526"/>
      <c r="D568" s="526"/>
      <c r="E568" s="526"/>
      <c r="F568" s="526"/>
      <c r="G568" s="526"/>
      <c r="H568" s="526"/>
      <c r="I568" s="526"/>
      <c r="J568" s="526"/>
      <c r="K568" s="526"/>
      <c r="L568" s="526"/>
      <c r="M568" s="526"/>
      <c r="N568" s="526"/>
      <c r="O568" s="526"/>
      <c r="P568" s="526"/>
      <c r="Q568" s="526"/>
      <c r="R568" s="526"/>
      <c r="S568" s="526"/>
      <c r="T568" s="526"/>
      <c r="U568" s="526"/>
      <c r="V568" s="526"/>
      <c r="W568" s="526"/>
      <c r="X568" s="526"/>
      <c r="Y568" s="526"/>
      <c r="Z568" s="526"/>
    </row>
    <row r="569" spans="1:26" ht="18.600000000000001" x14ac:dyDescent="0.3">
      <c r="A569" s="526"/>
      <c r="B569" s="526"/>
      <c r="C569" s="526"/>
      <c r="D569" s="526"/>
      <c r="E569" s="526"/>
      <c r="F569" s="526"/>
      <c r="G569" s="526"/>
      <c r="H569" s="526"/>
      <c r="I569" s="526"/>
      <c r="J569" s="526"/>
      <c r="K569" s="526"/>
      <c r="L569" s="526"/>
      <c r="M569" s="526"/>
      <c r="N569" s="526"/>
      <c r="O569" s="526"/>
      <c r="P569" s="526"/>
      <c r="Q569" s="526"/>
      <c r="R569" s="526"/>
      <c r="S569" s="526"/>
      <c r="T569" s="526"/>
      <c r="U569" s="526"/>
      <c r="V569" s="526"/>
      <c r="W569" s="526"/>
      <c r="X569" s="526"/>
      <c r="Y569" s="526"/>
      <c r="Z569" s="526"/>
    </row>
    <row r="570" spans="1:26" ht="18.600000000000001" x14ac:dyDescent="0.3">
      <c r="A570" s="526"/>
      <c r="B570" s="526"/>
      <c r="C570" s="526"/>
      <c r="D570" s="526"/>
      <c r="E570" s="526"/>
      <c r="F570" s="526"/>
      <c r="G570" s="526"/>
      <c r="H570" s="526"/>
      <c r="I570" s="526"/>
      <c r="J570" s="526"/>
      <c r="K570" s="526"/>
      <c r="L570" s="526"/>
      <c r="M570" s="526"/>
      <c r="N570" s="526"/>
      <c r="O570" s="526"/>
      <c r="P570" s="526"/>
      <c r="Q570" s="526"/>
      <c r="R570" s="526"/>
      <c r="S570" s="526"/>
      <c r="T570" s="526"/>
      <c r="U570" s="526"/>
      <c r="V570" s="526"/>
      <c r="W570" s="526"/>
      <c r="X570" s="526"/>
      <c r="Y570" s="526"/>
      <c r="Z570" s="526"/>
    </row>
    <row r="571" spans="1:26" ht="18.600000000000001" x14ac:dyDescent="0.3">
      <c r="A571" s="526"/>
      <c r="B571" s="526"/>
      <c r="C571" s="526"/>
      <c r="D571" s="526"/>
      <c r="E571" s="526"/>
      <c r="F571" s="526"/>
      <c r="G571" s="526"/>
      <c r="H571" s="526"/>
      <c r="I571" s="526"/>
      <c r="J571" s="526"/>
      <c r="K571" s="526"/>
      <c r="L571" s="526"/>
      <c r="M571" s="526"/>
      <c r="N571" s="526"/>
      <c r="O571" s="526"/>
      <c r="P571" s="526"/>
      <c r="Q571" s="526"/>
      <c r="R571" s="526"/>
      <c r="S571" s="526"/>
      <c r="T571" s="526"/>
      <c r="U571" s="526"/>
      <c r="V571" s="526"/>
      <c r="W571" s="526"/>
      <c r="X571" s="526"/>
      <c r="Y571" s="526"/>
      <c r="Z571" s="526"/>
    </row>
    <row r="572" spans="1:26" ht="18.600000000000001" x14ac:dyDescent="0.3">
      <c r="A572" s="526"/>
      <c r="B572" s="526"/>
      <c r="C572" s="526"/>
      <c r="D572" s="526"/>
      <c r="E572" s="526"/>
      <c r="F572" s="526"/>
      <c r="G572" s="526"/>
      <c r="H572" s="526"/>
      <c r="I572" s="526"/>
      <c r="J572" s="526"/>
      <c r="K572" s="526"/>
      <c r="L572" s="526"/>
      <c r="M572" s="526"/>
      <c r="N572" s="526"/>
      <c r="O572" s="526"/>
      <c r="P572" s="526"/>
      <c r="Q572" s="526"/>
      <c r="R572" s="526"/>
      <c r="S572" s="526"/>
      <c r="T572" s="526"/>
      <c r="U572" s="526"/>
      <c r="V572" s="526"/>
      <c r="W572" s="526"/>
      <c r="X572" s="526"/>
      <c r="Y572" s="526"/>
      <c r="Z572" s="526"/>
    </row>
    <row r="573" spans="1:26" ht="18.600000000000001" x14ac:dyDescent="0.3">
      <c r="A573" s="526"/>
      <c r="B573" s="526"/>
      <c r="C573" s="526"/>
      <c r="D573" s="526"/>
      <c r="E573" s="526"/>
      <c r="F573" s="526"/>
      <c r="G573" s="526"/>
      <c r="H573" s="526"/>
      <c r="I573" s="526"/>
      <c r="J573" s="526"/>
      <c r="K573" s="526"/>
      <c r="L573" s="526"/>
      <c r="M573" s="526"/>
      <c r="N573" s="526"/>
      <c r="O573" s="526"/>
      <c r="P573" s="526"/>
      <c r="Q573" s="526"/>
      <c r="R573" s="526"/>
      <c r="S573" s="526"/>
      <c r="T573" s="526"/>
      <c r="U573" s="526"/>
      <c r="V573" s="526"/>
      <c r="W573" s="526"/>
      <c r="X573" s="526"/>
      <c r="Y573" s="526"/>
      <c r="Z573" s="526"/>
    </row>
    <row r="574" spans="1:26" ht="18.600000000000001" x14ac:dyDescent="0.3">
      <c r="A574" s="526"/>
      <c r="B574" s="526"/>
      <c r="C574" s="526"/>
      <c r="D574" s="526"/>
      <c r="E574" s="526"/>
      <c r="F574" s="526"/>
      <c r="G574" s="526"/>
      <c r="H574" s="526"/>
      <c r="I574" s="526"/>
      <c r="J574" s="526"/>
      <c r="K574" s="526"/>
      <c r="L574" s="526"/>
      <c r="M574" s="526"/>
      <c r="N574" s="526"/>
      <c r="O574" s="526"/>
      <c r="P574" s="526"/>
      <c r="Q574" s="526"/>
      <c r="R574" s="526"/>
      <c r="S574" s="526"/>
      <c r="T574" s="526"/>
      <c r="U574" s="526"/>
      <c r="V574" s="526"/>
      <c r="W574" s="526"/>
      <c r="X574" s="526"/>
      <c r="Y574" s="526"/>
      <c r="Z574" s="526"/>
    </row>
    <row r="575" spans="1:26" ht="18.600000000000001" x14ac:dyDescent="0.3">
      <c r="A575" s="526"/>
      <c r="B575" s="526"/>
      <c r="C575" s="526"/>
      <c r="D575" s="526"/>
      <c r="E575" s="526"/>
      <c r="F575" s="526"/>
      <c r="G575" s="526"/>
      <c r="H575" s="526"/>
      <c r="I575" s="526"/>
      <c r="J575" s="526"/>
      <c r="K575" s="526"/>
      <c r="L575" s="526"/>
      <c r="M575" s="526"/>
      <c r="N575" s="526"/>
      <c r="O575" s="526"/>
      <c r="P575" s="526"/>
      <c r="Q575" s="526"/>
      <c r="R575" s="526"/>
      <c r="S575" s="526"/>
      <c r="T575" s="526"/>
      <c r="U575" s="526"/>
      <c r="V575" s="526"/>
      <c r="W575" s="526"/>
      <c r="X575" s="526"/>
      <c r="Y575" s="526"/>
      <c r="Z575" s="526"/>
    </row>
    <row r="576" spans="1:26" ht="18.600000000000001" x14ac:dyDescent="0.3">
      <c r="A576" s="526"/>
      <c r="B576" s="526"/>
      <c r="C576" s="526"/>
      <c r="D576" s="526"/>
      <c r="E576" s="526"/>
      <c r="F576" s="526"/>
      <c r="G576" s="526"/>
      <c r="H576" s="526"/>
      <c r="I576" s="526"/>
      <c r="J576" s="526"/>
      <c r="K576" s="526"/>
      <c r="L576" s="526"/>
      <c r="M576" s="526"/>
      <c r="N576" s="526"/>
      <c r="O576" s="526"/>
      <c r="P576" s="526"/>
      <c r="Q576" s="526"/>
      <c r="R576" s="526"/>
      <c r="S576" s="526"/>
      <c r="T576" s="526"/>
      <c r="U576" s="526"/>
      <c r="V576" s="526"/>
      <c r="W576" s="526"/>
      <c r="X576" s="526"/>
      <c r="Y576" s="526"/>
      <c r="Z576" s="526"/>
    </row>
    <row r="577" spans="1:26" ht="18.600000000000001" x14ac:dyDescent="0.3">
      <c r="A577" s="526"/>
      <c r="B577" s="526"/>
      <c r="C577" s="526"/>
      <c r="D577" s="526"/>
      <c r="E577" s="526"/>
      <c r="F577" s="526"/>
      <c r="G577" s="526"/>
      <c r="H577" s="526"/>
      <c r="I577" s="526"/>
      <c r="J577" s="526"/>
      <c r="K577" s="526"/>
      <c r="L577" s="526"/>
      <c r="M577" s="526"/>
      <c r="N577" s="526"/>
      <c r="O577" s="526"/>
      <c r="P577" s="526"/>
      <c r="Q577" s="526"/>
      <c r="R577" s="526"/>
      <c r="S577" s="526"/>
      <c r="T577" s="526"/>
      <c r="U577" s="526"/>
      <c r="V577" s="526"/>
      <c r="W577" s="526"/>
      <c r="X577" s="526"/>
      <c r="Y577" s="526"/>
      <c r="Z577" s="526"/>
    </row>
    <row r="578" spans="1:26" ht="18.600000000000001" x14ac:dyDescent="0.3">
      <c r="A578" s="526"/>
      <c r="B578" s="526"/>
      <c r="C578" s="526"/>
      <c r="D578" s="526"/>
      <c r="E578" s="526"/>
      <c r="F578" s="526"/>
      <c r="G578" s="526"/>
      <c r="H578" s="526"/>
      <c r="I578" s="526"/>
      <c r="J578" s="526"/>
      <c r="K578" s="526"/>
      <c r="L578" s="526"/>
      <c r="M578" s="526"/>
      <c r="N578" s="526"/>
      <c r="O578" s="526"/>
      <c r="P578" s="526"/>
      <c r="Q578" s="526"/>
      <c r="R578" s="526"/>
      <c r="S578" s="526"/>
      <c r="T578" s="526"/>
      <c r="U578" s="526"/>
      <c r="V578" s="526"/>
      <c r="W578" s="526"/>
      <c r="X578" s="526"/>
      <c r="Y578" s="526"/>
      <c r="Z578" s="526"/>
    </row>
    <row r="579" spans="1:26" ht="18.600000000000001" x14ac:dyDescent="0.3">
      <c r="A579" s="526"/>
      <c r="B579" s="526"/>
      <c r="C579" s="526"/>
      <c r="D579" s="526"/>
      <c r="E579" s="526"/>
      <c r="F579" s="526"/>
      <c r="G579" s="526"/>
      <c r="H579" s="526"/>
      <c r="I579" s="526"/>
      <c r="J579" s="526"/>
      <c r="K579" s="526"/>
      <c r="L579" s="526"/>
      <c r="M579" s="526"/>
      <c r="N579" s="526"/>
      <c r="O579" s="526"/>
      <c r="P579" s="526"/>
      <c r="Q579" s="526"/>
      <c r="R579" s="526"/>
      <c r="S579" s="526"/>
      <c r="T579" s="526"/>
      <c r="U579" s="526"/>
      <c r="V579" s="526"/>
      <c r="W579" s="526"/>
      <c r="X579" s="526"/>
      <c r="Y579" s="526"/>
      <c r="Z579" s="526"/>
    </row>
    <row r="580" spans="1:26" ht="18.600000000000001" x14ac:dyDescent="0.3">
      <c r="A580" s="526"/>
      <c r="B580" s="526"/>
      <c r="C580" s="526"/>
      <c r="D580" s="526"/>
      <c r="E580" s="526"/>
      <c r="F580" s="526"/>
      <c r="G580" s="526"/>
      <c r="H580" s="526"/>
      <c r="I580" s="526"/>
      <c r="J580" s="526"/>
      <c r="K580" s="526"/>
      <c r="L580" s="526"/>
      <c r="M580" s="526"/>
      <c r="N580" s="526"/>
      <c r="O580" s="526"/>
      <c r="P580" s="526"/>
      <c r="Q580" s="526"/>
      <c r="R580" s="526"/>
      <c r="S580" s="526"/>
      <c r="T580" s="526"/>
      <c r="U580" s="526"/>
      <c r="V580" s="526"/>
      <c r="W580" s="526"/>
      <c r="X580" s="526"/>
      <c r="Y580" s="526"/>
      <c r="Z580" s="526"/>
    </row>
    <row r="581" spans="1:26" ht="18.600000000000001" x14ac:dyDescent="0.3">
      <c r="A581" s="526"/>
      <c r="B581" s="526"/>
      <c r="C581" s="526"/>
      <c r="D581" s="526"/>
      <c r="E581" s="526"/>
      <c r="F581" s="526"/>
      <c r="G581" s="526"/>
      <c r="H581" s="526"/>
      <c r="I581" s="526"/>
      <c r="J581" s="526"/>
      <c r="K581" s="526"/>
      <c r="L581" s="526"/>
      <c r="M581" s="526"/>
      <c r="N581" s="526"/>
      <c r="O581" s="526"/>
      <c r="P581" s="526"/>
      <c r="Q581" s="526"/>
      <c r="R581" s="526"/>
      <c r="S581" s="526"/>
      <c r="T581" s="526"/>
      <c r="U581" s="526"/>
      <c r="V581" s="526"/>
      <c r="W581" s="526"/>
      <c r="X581" s="526"/>
      <c r="Y581" s="526"/>
      <c r="Z581" s="526"/>
    </row>
    <row r="582" spans="1:26" ht="18.600000000000001" x14ac:dyDescent="0.3">
      <c r="A582" s="526"/>
      <c r="B582" s="526"/>
      <c r="C582" s="526"/>
      <c r="D582" s="526"/>
      <c r="E582" s="526"/>
      <c r="F582" s="526"/>
      <c r="G582" s="526"/>
      <c r="H582" s="526"/>
      <c r="I582" s="526"/>
      <c r="J582" s="526"/>
      <c r="K582" s="526"/>
      <c r="L582" s="526"/>
      <c r="M582" s="526"/>
      <c r="N582" s="526"/>
      <c r="O582" s="526"/>
      <c r="P582" s="526"/>
      <c r="Q582" s="526"/>
      <c r="R582" s="526"/>
      <c r="S582" s="526"/>
      <c r="T582" s="526"/>
      <c r="U582" s="526"/>
      <c r="V582" s="526"/>
      <c r="W582" s="526"/>
      <c r="X582" s="526"/>
      <c r="Y582" s="526"/>
      <c r="Z582" s="526"/>
    </row>
    <row r="583" spans="1:26" ht="18.600000000000001" x14ac:dyDescent="0.3">
      <c r="A583" s="526"/>
      <c r="B583" s="526"/>
      <c r="C583" s="526"/>
      <c r="D583" s="526"/>
      <c r="E583" s="526"/>
      <c r="F583" s="526"/>
      <c r="G583" s="526"/>
      <c r="H583" s="526"/>
      <c r="I583" s="526"/>
      <c r="J583" s="526"/>
      <c r="K583" s="526"/>
      <c r="L583" s="526"/>
      <c r="M583" s="526"/>
      <c r="N583" s="526"/>
      <c r="O583" s="526"/>
      <c r="P583" s="526"/>
      <c r="Q583" s="526"/>
      <c r="R583" s="526"/>
      <c r="S583" s="526"/>
      <c r="T583" s="526"/>
      <c r="U583" s="526"/>
      <c r="V583" s="526"/>
      <c r="W583" s="526"/>
      <c r="X583" s="526"/>
      <c r="Y583" s="526"/>
      <c r="Z583" s="526"/>
    </row>
    <row r="584" spans="1:26" ht="18.600000000000001" x14ac:dyDescent="0.3">
      <c r="A584" s="526"/>
      <c r="B584" s="526"/>
      <c r="C584" s="526"/>
      <c r="D584" s="526"/>
      <c r="E584" s="526"/>
      <c r="F584" s="526"/>
      <c r="G584" s="526"/>
      <c r="H584" s="526"/>
      <c r="I584" s="526"/>
      <c r="J584" s="526"/>
      <c r="K584" s="526"/>
      <c r="L584" s="526"/>
      <c r="M584" s="526"/>
      <c r="N584" s="526"/>
      <c r="O584" s="526"/>
      <c r="P584" s="526"/>
      <c r="Q584" s="526"/>
      <c r="R584" s="526"/>
      <c r="S584" s="526"/>
      <c r="T584" s="526"/>
      <c r="U584" s="526"/>
      <c r="V584" s="526"/>
      <c r="W584" s="526"/>
      <c r="X584" s="526"/>
      <c r="Y584" s="526"/>
      <c r="Z584" s="526"/>
    </row>
    <row r="585" spans="1:26" ht="18.600000000000001" x14ac:dyDescent="0.3">
      <c r="A585" s="526"/>
      <c r="B585" s="526"/>
      <c r="C585" s="526"/>
      <c r="D585" s="526"/>
      <c r="E585" s="526"/>
      <c r="F585" s="526"/>
      <c r="G585" s="526"/>
      <c r="H585" s="526"/>
      <c r="I585" s="526"/>
      <c r="J585" s="526"/>
      <c r="K585" s="526"/>
      <c r="L585" s="526"/>
      <c r="M585" s="526"/>
      <c r="N585" s="526"/>
      <c r="O585" s="526"/>
      <c r="P585" s="526"/>
      <c r="Q585" s="526"/>
      <c r="R585" s="526"/>
      <c r="S585" s="526"/>
      <c r="T585" s="526"/>
      <c r="U585" s="526"/>
      <c r="V585" s="526"/>
      <c r="W585" s="526"/>
      <c r="X585" s="526"/>
      <c r="Y585" s="526"/>
      <c r="Z585" s="526"/>
    </row>
    <row r="586" spans="1:26" ht="18.600000000000001" x14ac:dyDescent="0.3">
      <c r="A586" s="526"/>
      <c r="B586" s="526"/>
      <c r="C586" s="526"/>
      <c r="D586" s="526"/>
      <c r="E586" s="526"/>
      <c r="F586" s="526"/>
      <c r="G586" s="526"/>
      <c r="H586" s="526"/>
      <c r="I586" s="526"/>
      <c r="J586" s="526"/>
      <c r="K586" s="526"/>
      <c r="L586" s="526"/>
      <c r="M586" s="526"/>
      <c r="N586" s="526"/>
      <c r="O586" s="526"/>
      <c r="P586" s="526"/>
      <c r="Q586" s="526"/>
      <c r="R586" s="526"/>
      <c r="S586" s="526"/>
      <c r="T586" s="526"/>
      <c r="U586" s="526"/>
      <c r="V586" s="526"/>
      <c r="W586" s="526"/>
      <c r="X586" s="526"/>
      <c r="Y586" s="526"/>
      <c r="Z586" s="526"/>
    </row>
    <row r="587" spans="1:26" ht="18.600000000000001" x14ac:dyDescent="0.3">
      <c r="A587" s="526"/>
      <c r="B587" s="526"/>
      <c r="C587" s="526"/>
      <c r="D587" s="526"/>
      <c r="E587" s="526"/>
      <c r="F587" s="526"/>
      <c r="G587" s="526"/>
      <c r="H587" s="526"/>
      <c r="I587" s="526"/>
      <c r="J587" s="526"/>
      <c r="K587" s="526"/>
      <c r="L587" s="526"/>
      <c r="M587" s="526"/>
      <c r="N587" s="526"/>
      <c r="O587" s="526"/>
      <c r="P587" s="526"/>
      <c r="Q587" s="526"/>
      <c r="R587" s="526"/>
      <c r="S587" s="526"/>
      <c r="T587" s="526"/>
      <c r="U587" s="526"/>
      <c r="V587" s="526"/>
      <c r="W587" s="526"/>
      <c r="X587" s="526"/>
      <c r="Y587" s="526"/>
      <c r="Z587" s="526"/>
    </row>
    <row r="588" spans="1:26" ht="18.600000000000001" x14ac:dyDescent="0.3">
      <c r="A588" s="526"/>
      <c r="B588" s="526"/>
      <c r="C588" s="526"/>
      <c r="D588" s="526"/>
      <c r="E588" s="526"/>
      <c r="F588" s="526"/>
      <c r="G588" s="526"/>
      <c r="H588" s="526"/>
      <c r="I588" s="526"/>
      <c r="J588" s="526"/>
      <c r="K588" s="526"/>
      <c r="L588" s="526"/>
      <c r="M588" s="526"/>
      <c r="N588" s="526"/>
      <c r="O588" s="526"/>
      <c r="P588" s="526"/>
      <c r="Q588" s="526"/>
      <c r="R588" s="526"/>
      <c r="S588" s="526"/>
      <c r="T588" s="526"/>
      <c r="U588" s="526"/>
      <c r="V588" s="526"/>
      <c r="W588" s="526"/>
      <c r="X588" s="526"/>
      <c r="Y588" s="526"/>
      <c r="Z588" s="526"/>
    </row>
    <row r="589" spans="1:26" ht="18.600000000000001" x14ac:dyDescent="0.3">
      <c r="A589" s="526"/>
      <c r="B589" s="526"/>
      <c r="C589" s="526"/>
      <c r="D589" s="526"/>
      <c r="E589" s="526"/>
      <c r="F589" s="526"/>
      <c r="G589" s="526"/>
      <c r="H589" s="526"/>
      <c r="I589" s="526"/>
      <c r="J589" s="526"/>
      <c r="K589" s="526"/>
      <c r="L589" s="526"/>
      <c r="M589" s="526"/>
      <c r="N589" s="526"/>
      <c r="O589" s="526"/>
      <c r="P589" s="526"/>
      <c r="Q589" s="526"/>
      <c r="R589" s="526"/>
      <c r="S589" s="526"/>
      <c r="T589" s="526"/>
      <c r="U589" s="526"/>
      <c r="V589" s="526"/>
      <c r="W589" s="526"/>
      <c r="X589" s="526"/>
      <c r="Y589" s="526"/>
      <c r="Z589" s="526"/>
    </row>
    <row r="590" spans="1:26" ht="18.600000000000001" x14ac:dyDescent="0.3">
      <c r="A590" s="526"/>
      <c r="B590" s="526"/>
      <c r="C590" s="526"/>
      <c r="D590" s="526"/>
      <c r="E590" s="526"/>
      <c r="F590" s="526"/>
      <c r="G590" s="526"/>
      <c r="H590" s="526"/>
      <c r="I590" s="526"/>
      <c r="J590" s="526"/>
      <c r="K590" s="526"/>
      <c r="L590" s="526"/>
      <c r="M590" s="526"/>
      <c r="N590" s="526"/>
      <c r="O590" s="526"/>
      <c r="P590" s="526"/>
      <c r="Q590" s="526"/>
      <c r="R590" s="526"/>
      <c r="S590" s="526"/>
      <c r="T590" s="526"/>
      <c r="U590" s="526"/>
      <c r="V590" s="526"/>
      <c r="W590" s="526"/>
      <c r="X590" s="526"/>
      <c r="Y590" s="526"/>
      <c r="Z590" s="526"/>
    </row>
    <row r="591" spans="1:26" ht="18.600000000000001" x14ac:dyDescent="0.3">
      <c r="A591" s="526"/>
      <c r="B591" s="526"/>
      <c r="C591" s="526"/>
      <c r="D591" s="526"/>
      <c r="E591" s="526"/>
      <c r="F591" s="526"/>
      <c r="G591" s="526"/>
      <c r="H591" s="526"/>
      <c r="I591" s="526"/>
      <c r="J591" s="526"/>
      <c r="K591" s="526"/>
      <c r="L591" s="526"/>
      <c r="M591" s="526"/>
      <c r="N591" s="526"/>
      <c r="O591" s="526"/>
      <c r="P591" s="526"/>
      <c r="Q591" s="526"/>
      <c r="R591" s="526"/>
      <c r="S591" s="526"/>
      <c r="T591" s="526"/>
      <c r="U591" s="526"/>
      <c r="V591" s="526"/>
      <c r="W591" s="526"/>
      <c r="X591" s="526"/>
      <c r="Y591" s="526"/>
      <c r="Z591" s="526"/>
    </row>
    <row r="592" spans="1:26" ht="18.600000000000001" x14ac:dyDescent="0.3">
      <c r="A592" s="526"/>
      <c r="B592" s="526"/>
      <c r="C592" s="526"/>
      <c r="D592" s="526"/>
      <c r="E592" s="526"/>
      <c r="F592" s="526"/>
      <c r="G592" s="526"/>
      <c r="H592" s="526"/>
      <c r="I592" s="526"/>
      <c r="J592" s="526"/>
      <c r="K592" s="526"/>
      <c r="L592" s="526"/>
      <c r="M592" s="526"/>
      <c r="N592" s="526"/>
      <c r="O592" s="526"/>
      <c r="P592" s="526"/>
      <c r="Q592" s="526"/>
      <c r="R592" s="526"/>
      <c r="S592" s="526"/>
      <c r="T592" s="526"/>
      <c r="U592" s="526"/>
      <c r="V592" s="526"/>
      <c r="W592" s="526"/>
      <c r="X592" s="526"/>
      <c r="Y592" s="526"/>
      <c r="Z592" s="526"/>
    </row>
    <row r="593" spans="1:26" ht="18.600000000000001" x14ac:dyDescent="0.3">
      <c r="A593" s="526"/>
      <c r="B593" s="526"/>
      <c r="C593" s="526"/>
      <c r="D593" s="526"/>
      <c r="E593" s="526"/>
      <c r="F593" s="526"/>
      <c r="G593" s="526"/>
      <c r="H593" s="526"/>
      <c r="I593" s="526"/>
      <c r="J593" s="526"/>
      <c r="K593" s="526"/>
      <c r="L593" s="526"/>
      <c r="M593" s="526"/>
      <c r="N593" s="526"/>
      <c r="O593" s="526"/>
      <c r="P593" s="526"/>
      <c r="Q593" s="526"/>
      <c r="R593" s="526"/>
      <c r="S593" s="526"/>
      <c r="T593" s="526"/>
      <c r="U593" s="526"/>
      <c r="V593" s="526"/>
      <c r="W593" s="526"/>
      <c r="X593" s="526"/>
      <c r="Y593" s="526"/>
      <c r="Z593" s="526"/>
    </row>
    <row r="594" spans="1:26" ht="18.600000000000001" x14ac:dyDescent="0.3">
      <c r="A594" s="526"/>
      <c r="B594" s="526"/>
      <c r="C594" s="526"/>
      <c r="D594" s="526"/>
      <c r="E594" s="526"/>
      <c r="F594" s="526"/>
      <c r="G594" s="526"/>
      <c r="H594" s="526"/>
      <c r="I594" s="526"/>
      <c r="J594" s="526"/>
      <c r="K594" s="526"/>
      <c r="L594" s="526"/>
      <c r="M594" s="526"/>
      <c r="N594" s="526"/>
      <c r="O594" s="526"/>
      <c r="P594" s="526"/>
      <c r="Q594" s="526"/>
      <c r="R594" s="526"/>
      <c r="S594" s="526"/>
      <c r="T594" s="526"/>
      <c r="U594" s="526"/>
      <c r="V594" s="526"/>
      <c r="W594" s="526"/>
      <c r="X594" s="526"/>
      <c r="Y594" s="526"/>
      <c r="Z594" s="526"/>
    </row>
    <row r="595" spans="1:26" ht="18.600000000000001" x14ac:dyDescent="0.3">
      <c r="A595" s="526"/>
      <c r="B595" s="526"/>
      <c r="C595" s="526"/>
      <c r="D595" s="526"/>
      <c r="E595" s="526"/>
      <c r="F595" s="526"/>
      <c r="G595" s="526"/>
      <c r="H595" s="526"/>
      <c r="I595" s="526"/>
      <c r="J595" s="526"/>
      <c r="K595" s="526"/>
      <c r="L595" s="526"/>
      <c r="M595" s="526"/>
      <c r="N595" s="526"/>
      <c r="O595" s="526"/>
      <c r="P595" s="526"/>
      <c r="Q595" s="526"/>
      <c r="R595" s="526"/>
      <c r="S595" s="526"/>
      <c r="T595" s="526"/>
      <c r="U595" s="526"/>
      <c r="V595" s="526"/>
      <c r="W595" s="526"/>
      <c r="X595" s="526"/>
      <c r="Y595" s="526"/>
      <c r="Z595" s="526"/>
    </row>
    <row r="596" spans="1:26" ht="18.600000000000001" x14ac:dyDescent="0.3">
      <c r="A596" s="526"/>
      <c r="B596" s="526"/>
      <c r="C596" s="526"/>
      <c r="D596" s="526"/>
      <c r="E596" s="526"/>
      <c r="F596" s="526"/>
      <c r="G596" s="526"/>
      <c r="H596" s="526"/>
      <c r="I596" s="526"/>
      <c r="J596" s="526"/>
      <c r="K596" s="526"/>
      <c r="L596" s="526"/>
      <c r="M596" s="526"/>
      <c r="N596" s="526"/>
      <c r="O596" s="526"/>
      <c r="P596" s="526"/>
      <c r="Q596" s="526"/>
      <c r="R596" s="526"/>
      <c r="S596" s="526"/>
      <c r="T596" s="526"/>
      <c r="U596" s="526"/>
      <c r="V596" s="526"/>
      <c r="W596" s="526"/>
      <c r="X596" s="526"/>
      <c r="Y596" s="526"/>
      <c r="Z596" s="526"/>
    </row>
    <row r="597" spans="1:26" ht="18.600000000000001" x14ac:dyDescent="0.3">
      <c r="A597" s="526"/>
      <c r="B597" s="526"/>
      <c r="C597" s="526"/>
      <c r="D597" s="526"/>
      <c r="E597" s="526"/>
      <c r="F597" s="526"/>
      <c r="G597" s="526"/>
      <c r="H597" s="526"/>
      <c r="I597" s="526"/>
      <c r="J597" s="526"/>
      <c r="K597" s="526"/>
      <c r="L597" s="526"/>
      <c r="M597" s="526"/>
      <c r="N597" s="526"/>
      <c r="O597" s="526"/>
      <c r="P597" s="526"/>
      <c r="Q597" s="526"/>
      <c r="R597" s="526"/>
      <c r="S597" s="526"/>
      <c r="T597" s="526"/>
      <c r="U597" s="526"/>
      <c r="V597" s="526"/>
      <c r="W597" s="526"/>
      <c r="X597" s="526"/>
      <c r="Y597" s="526"/>
      <c r="Z597" s="526"/>
    </row>
    <row r="598" spans="1:26" ht="18.600000000000001" x14ac:dyDescent="0.3">
      <c r="A598" s="526"/>
      <c r="B598" s="526"/>
      <c r="C598" s="526"/>
      <c r="D598" s="526"/>
      <c r="E598" s="526"/>
      <c r="F598" s="526"/>
      <c r="G598" s="526"/>
      <c r="H598" s="526"/>
      <c r="I598" s="526"/>
      <c r="J598" s="526"/>
      <c r="K598" s="526"/>
      <c r="L598" s="526"/>
      <c r="M598" s="526"/>
      <c r="N598" s="526"/>
      <c r="O598" s="526"/>
      <c r="P598" s="526"/>
      <c r="Q598" s="526"/>
      <c r="R598" s="526"/>
      <c r="S598" s="526"/>
      <c r="T598" s="526"/>
      <c r="U598" s="526"/>
      <c r="V598" s="526"/>
      <c r="W598" s="526"/>
      <c r="X598" s="526"/>
      <c r="Y598" s="526"/>
      <c r="Z598" s="526"/>
    </row>
    <row r="599" spans="1:26" ht="18.600000000000001" x14ac:dyDescent="0.3">
      <c r="A599" s="526"/>
      <c r="B599" s="526"/>
      <c r="C599" s="526"/>
      <c r="D599" s="526"/>
      <c r="E599" s="526"/>
      <c r="F599" s="526"/>
      <c r="G599" s="526"/>
      <c r="H599" s="526"/>
      <c r="I599" s="526"/>
      <c r="J599" s="526"/>
      <c r="K599" s="526"/>
      <c r="L599" s="526"/>
      <c r="M599" s="526"/>
      <c r="N599" s="526"/>
      <c r="O599" s="526"/>
      <c r="P599" s="526"/>
      <c r="Q599" s="526"/>
      <c r="R599" s="526"/>
      <c r="S599" s="526"/>
      <c r="T599" s="526"/>
      <c r="U599" s="526"/>
      <c r="V599" s="526"/>
      <c r="W599" s="526"/>
      <c r="X599" s="526"/>
      <c r="Y599" s="526"/>
      <c r="Z599" s="526"/>
    </row>
    <row r="600" spans="1:26" ht="18.600000000000001" x14ac:dyDescent="0.3">
      <c r="A600" s="526"/>
      <c r="B600" s="526"/>
      <c r="C600" s="526"/>
      <c r="D600" s="526"/>
      <c r="E600" s="526"/>
      <c r="F600" s="526"/>
      <c r="G600" s="526"/>
      <c r="H600" s="526"/>
      <c r="I600" s="526"/>
      <c r="J600" s="526"/>
      <c r="K600" s="526"/>
      <c r="L600" s="526"/>
      <c r="M600" s="526"/>
      <c r="N600" s="526"/>
      <c r="O600" s="526"/>
      <c r="P600" s="526"/>
      <c r="Q600" s="526"/>
      <c r="R600" s="526"/>
      <c r="S600" s="526"/>
      <c r="T600" s="526"/>
      <c r="U600" s="526"/>
      <c r="V600" s="526"/>
      <c r="W600" s="526"/>
      <c r="X600" s="526"/>
      <c r="Y600" s="526"/>
      <c r="Z600" s="526"/>
    </row>
    <row r="601" spans="1:26" ht="18.600000000000001" x14ac:dyDescent="0.3">
      <c r="A601" s="526"/>
      <c r="B601" s="526"/>
      <c r="C601" s="526"/>
      <c r="D601" s="526"/>
      <c r="E601" s="526"/>
      <c r="F601" s="526"/>
      <c r="G601" s="526"/>
      <c r="H601" s="526"/>
      <c r="I601" s="526"/>
      <c r="J601" s="526"/>
      <c r="K601" s="526"/>
      <c r="L601" s="526"/>
      <c r="M601" s="526"/>
      <c r="N601" s="526"/>
      <c r="O601" s="526"/>
      <c r="P601" s="526"/>
      <c r="Q601" s="526"/>
      <c r="R601" s="526"/>
      <c r="S601" s="526"/>
      <c r="T601" s="526"/>
      <c r="U601" s="526"/>
      <c r="V601" s="526"/>
      <c r="W601" s="526"/>
      <c r="X601" s="526"/>
      <c r="Y601" s="526"/>
      <c r="Z601" s="526"/>
    </row>
    <row r="602" spans="1:26" ht="18.600000000000001" x14ac:dyDescent="0.3">
      <c r="A602" s="526"/>
      <c r="B602" s="526"/>
      <c r="C602" s="526"/>
      <c r="D602" s="526"/>
      <c r="E602" s="526"/>
      <c r="F602" s="526"/>
      <c r="G602" s="526"/>
      <c r="H602" s="526"/>
      <c r="I602" s="526"/>
      <c r="J602" s="526"/>
      <c r="K602" s="526"/>
      <c r="L602" s="526"/>
      <c r="M602" s="526"/>
      <c r="N602" s="526"/>
      <c r="O602" s="526"/>
      <c r="P602" s="526"/>
      <c r="Q602" s="526"/>
      <c r="R602" s="526"/>
      <c r="S602" s="526"/>
      <c r="T602" s="526"/>
      <c r="U602" s="526"/>
      <c r="V602" s="526"/>
      <c r="W602" s="526"/>
      <c r="X602" s="526"/>
      <c r="Y602" s="526"/>
      <c r="Z602" s="526"/>
    </row>
    <row r="603" spans="1:26" ht="18.600000000000001" x14ac:dyDescent="0.3">
      <c r="A603" s="526"/>
      <c r="B603" s="526"/>
      <c r="C603" s="526"/>
      <c r="D603" s="526"/>
      <c r="E603" s="526"/>
      <c r="F603" s="526"/>
      <c r="G603" s="526"/>
      <c r="H603" s="526"/>
      <c r="I603" s="526"/>
      <c r="J603" s="526"/>
      <c r="K603" s="526"/>
      <c r="L603" s="526"/>
      <c r="M603" s="526"/>
      <c r="N603" s="526"/>
      <c r="O603" s="526"/>
      <c r="P603" s="526"/>
      <c r="Q603" s="526"/>
      <c r="R603" s="526"/>
      <c r="S603" s="526"/>
      <c r="T603" s="526"/>
      <c r="U603" s="526"/>
      <c r="V603" s="526"/>
      <c r="W603" s="526"/>
      <c r="X603" s="526"/>
      <c r="Y603" s="526"/>
      <c r="Z603" s="526"/>
    </row>
    <row r="604" spans="1:26" ht="18.600000000000001" x14ac:dyDescent="0.3">
      <c r="A604" s="526"/>
      <c r="B604" s="526"/>
      <c r="C604" s="526"/>
      <c r="D604" s="526"/>
      <c r="E604" s="526"/>
      <c r="F604" s="526"/>
      <c r="G604" s="526"/>
      <c r="H604" s="526"/>
      <c r="I604" s="526"/>
      <c r="J604" s="526"/>
      <c r="K604" s="526"/>
      <c r="L604" s="526"/>
      <c r="M604" s="526"/>
      <c r="N604" s="526"/>
      <c r="O604" s="526"/>
      <c r="P604" s="526"/>
      <c r="Q604" s="526"/>
      <c r="R604" s="526"/>
      <c r="S604" s="526"/>
      <c r="T604" s="526"/>
      <c r="U604" s="526"/>
      <c r="V604" s="526"/>
      <c r="W604" s="526"/>
      <c r="X604" s="526"/>
      <c r="Y604" s="526"/>
      <c r="Z604" s="526"/>
    </row>
    <row r="605" spans="1:26" ht="18.600000000000001" x14ac:dyDescent="0.3">
      <c r="A605" s="526"/>
      <c r="B605" s="526"/>
      <c r="C605" s="526"/>
      <c r="D605" s="526"/>
      <c r="E605" s="526"/>
      <c r="F605" s="526"/>
      <c r="G605" s="526"/>
      <c r="H605" s="526"/>
      <c r="I605" s="526"/>
      <c r="J605" s="526"/>
      <c r="K605" s="526"/>
      <c r="L605" s="526"/>
      <c r="M605" s="526"/>
      <c r="N605" s="526"/>
      <c r="O605" s="526"/>
      <c r="P605" s="526"/>
      <c r="Q605" s="526"/>
      <c r="R605" s="526"/>
      <c r="S605" s="526"/>
      <c r="T605" s="526"/>
      <c r="U605" s="526"/>
      <c r="V605" s="526"/>
      <c r="W605" s="526"/>
      <c r="X605" s="526"/>
      <c r="Y605" s="526"/>
      <c r="Z605" s="526"/>
    </row>
    <row r="606" spans="1:26" ht="18.600000000000001" x14ac:dyDescent="0.3">
      <c r="A606" s="526"/>
      <c r="B606" s="526"/>
      <c r="C606" s="526"/>
      <c r="D606" s="526"/>
      <c r="E606" s="526"/>
      <c r="F606" s="526"/>
      <c r="G606" s="526"/>
      <c r="H606" s="526"/>
      <c r="I606" s="526"/>
      <c r="J606" s="526"/>
      <c r="K606" s="526"/>
      <c r="L606" s="526"/>
      <c r="M606" s="526"/>
      <c r="N606" s="526"/>
      <c r="O606" s="526"/>
      <c r="P606" s="526"/>
      <c r="Q606" s="526"/>
      <c r="R606" s="526"/>
      <c r="S606" s="526"/>
      <c r="T606" s="526"/>
      <c r="U606" s="526"/>
      <c r="V606" s="526"/>
      <c r="W606" s="526"/>
      <c r="X606" s="526"/>
      <c r="Y606" s="526"/>
      <c r="Z606" s="526"/>
    </row>
    <row r="607" spans="1:26" ht="18.600000000000001" x14ac:dyDescent="0.3">
      <c r="A607" s="526"/>
      <c r="B607" s="526"/>
      <c r="C607" s="526"/>
      <c r="D607" s="526"/>
      <c r="E607" s="526"/>
      <c r="F607" s="526"/>
      <c r="G607" s="526"/>
      <c r="H607" s="526"/>
      <c r="I607" s="526"/>
      <c r="J607" s="526"/>
      <c r="K607" s="526"/>
      <c r="L607" s="526"/>
      <c r="M607" s="526"/>
      <c r="N607" s="526"/>
      <c r="O607" s="526"/>
      <c r="P607" s="526"/>
      <c r="Q607" s="526"/>
      <c r="R607" s="526"/>
      <c r="S607" s="526"/>
      <c r="T607" s="526"/>
      <c r="U607" s="526"/>
      <c r="V607" s="526"/>
      <c r="W607" s="526"/>
      <c r="X607" s="526"/>
      <c r="Y607" s="526"/>
      <c r="Z607" s="526"/>
    </row>
    <row r="608" spans="1:26" ht="18.600000000000001" x14ac:dyDescent="0.3">
      <c r="A608" s="526"/>
      <c r="B608" s="526"/>
      <c r="C608" s="526"/>
      <c r="D608" s="526"/>
      <c r="E608" s="526"/>
      <c r="F608" s="526"/>
      <c r="G608" s="526"/>
      <c r="H608" s="526"/>
      <c r="I608" s="526"/>
      <c r="J608" s="526"/>
      <c r="K608" s="526"/>
      <c r="L608" s="526"/>
      <c r="M608" s="526"/>
      <c r="N608" s="526"/>
      <c r="O608" s="526"/>
      <c r="P608" s="526"/>
      <c r="Q608" s="526"/>
      <c r="R608" s="526"/>
      <c r="S608" s="526"/>
      <c r="T608" s="526"/>
      <c r="U608" s="526"/>
      <c r="V608" s="526"/>
      <c r="W608" s="526"/>
      <c r="X608" s="526"/>
      <c r="Y608" s="526"/>
      <c r="Z608" s="526"/>
    </row>
    <row r="609" spans="1:26" ht="18.600000000000001" x14ac:dyDescent="0.3">
      <c r="A609" s="526"/>
      <c r="B609" s="526"/>
      <c r="C609" s="526"/>
      <c r="D609" s="526"/>
      <c r="E609" s="526"/>
      <c r="F609" s="526"/>
      <c r="G609" s="526"/>
      <c r="H609" s="526"/>
      <c r="I609" s="526"/>
      <c r="J609" s="526"/>
      <c r="K609" s="526"/>
      <c r="L609" s="526"/>
      <c r="M609" s="526"/>
      <c r="N609" s="526"/>
      <c r="O609" s="526"/>
      <c r="P609" s="526"/>
      <c r="Q609" s="526"/>
      <c r="R609" s="526"/>
      <c r="S609" s="526"/>
      <c r="T609" s="526"/>
      <c r="U609" s="526"/>
      <c r="V609" s="526"/>
      <c r="W609" s="526"/>
      <c r="X609" s="526"/>
      <c r="Y609" s="526"/>
      <c r="Z609" s="526"/>
    </row>
    <row r="610" spans="1:26" ht="18.600000000000001" x14ac:dyDescent="0.3">
      <c r="A610" s="526"/>
      <c r="B610" s="526"/>
      <c r="C610" s="526"/>
      <c r="D610" s="526"/>
      <c r="E610" s="526"/>
      <c r="F610" s="526"/>
      <c r="G610" s="526"/>
      <c r="H610" s="526"/>
      <c r="I610" s="526"/>
      <c r="J610" s="526"/>
      <c r="K610" s="526"/>
      <c r="L610" s="526"/>
      <c r="M610" s="526"/>
      <c r="N610" s="526"/>
      <c r="O610" s="526"/>
      <c r="P610" s="526"/>
      <c r="Q610" s="526"/>
      <c r="R610" s="526"/>
      <c r="S610" s="526"/>
      <c r="T610" s="526"/>
      <c r="U610" s="526"/>
      <c r="V610" s="526"/>
      <c r="W610" s="526"/>
      <c r="X610" s="526"/>
      <c r="Y610" s="526"/>
      <c r="Z610" s="526"/>
    </row>
    <row r="611" spans="1:26" ht="18.600000000000001" x14ac:dyDescent="0.3">
      <c r="A611" s="526"/>
      <c r="B611" s="526"/>
      <c r="C611" s="526"/>
      <c r="D611" s="526"/>
      <c r="E611" s="526"/>
      <c r="F611" s="526"/>
      <c r="G611" s="526"/>
      <c r="H611" s="526"/>
      <c r="I611" s="526"/>
      <c r="J611" s="526"/>
      <c r="K611" s="526"/>
      <c r="L611" s="526"/>
      <c r="M611" s="526"/>
      <c r="N611" s="526"/>
      <c r="O611" s="526"/>
      <c r="P611" s="526"/>
      <c r="Q611" s="526"/>
      <c r="R611" s="526"/>
      <c r="S611" s="526"/>
      <c r="T611" s="526"/>
      <c r="U611" s="526"/>
      <c r="V611" s="526"/>
      <c r="W611" s="526"/>
      <c r="X611" s="526"/>
      <c r="Y611" s="526"/>
      <c r="Z611" s="526"/>
    </row>
    <row r="612" spans="1:26" ht="18.600000000000001" x14ac:dyDescent="0.3">
      <c r="A612" s="526"/>
      <c r="B612" s="526"/>
      <c r="C612" s="526"/>
      <c r="D612" s="526"/>
      <c r="E612" s="526"/>
      <c r="F612" s="526"/>
      <c r="G612" s="526"/>
      <c r="H612" s="526"/>
      <c r="I612" s="526"/>
      <c r="J612" s="526"/>
      <c r="K612" s="526"/>
      <c r="L612" s="526"/>
      <c r="M612" s="526"/>
      <c r="N612" s="526"/>
      <c r="O612" s="526"/>
      <c r="P612" s="526"/>
      <c r="Q612" s="526"/>
      <c r="R612" s="526"/>
      <c r="S612" s="526"/>
      <c r="T612" s="526"/>
      <c r="U612" s="526"/>
      <c r="V612" s="526"/>
      <c r="W612" s="526"/>
      <c r="X612" s="526"/>
      <c r="Y612" s="526"/>
      <c r="Z612" s="526"/>
    </row>
    <row r="613" spans="1:26" ht="18.600000000000001" x14ac:dyDescent="0.3">
      <c r="A613" s="526"/>
      <c r="B613" s="526"/>
      <c r="C613" s="526"/>
      <c r="D613" s="526"/>
      <c r="E613" s="526"/>
      <c r="F613" s="526"/>
      <c r="G613" s="526"/>
      <c r="H613" s="526"/>
      <c r="I613" s="526"/>
      <c r="J613" s="526"/>
      <c r="K613" s="526"/>
      <c r="L613" s="526"/>
      <c r="M613" s="526"/>
      <c r="N613" s="526"/>
      <c r="O613" s="526"/>
      <c r="P613" s="526"/>
      <c r="Q613" s="526"/>
      <c r="R613" s="526"/>
      <c r="S613" s="526"/>
      <c r="T613" s="526"/>
      <c r="U613" s="526"/>
      <c r="V613" s="526"/>
      <c r="W613" s="526"/>
      <c r="X613" s="526"/>
      <c r="Y613" s="526"/>
      <c r="Z613" s="526"/>
    </row>
    <row r="614" spans="1:26" ht="18.600000000000001" x14ac:dyDescent="0.3">
      <c r="A614" s="526"/>
      <c r="B614" s="526"/>
      <c r="C614" s="526"/>
      <c r="D614" s="526"/>
      <c r="E614" s="526"/>
      <c r="F614" s="526"/>
      <c r="G614" s="526"/>
      <c r="H614" s="526"/>
      <c r="I614" s="526"/>
      <c r="J614" s="526"/>
      <c r="K614" s="526"/>
      <c r="L614" s="526"/>
      <c r="M614" s="526"/>
      <c r="N614" s="526"/>
      <c r="O614" s="526"/>
      <c r="P614" s="526"/>
      <c r="Q614" s="526"/>
      <c r="R614" s="526"/>
      <c r="S614" s="526"/>
      <c r="T614" s="526"/>
      <c r="U614" s="526"/>
      <c r="V614" s="526"/>
      <c r="W614" s="526"/>
      <c r="X614" s="526"/>
      <c r="Y614" s="526"/>
      <c r="Z614" s="526"/>
    </row>
    <row r="615" spans="1:26" ht="18.600000000000001" x14ac:dyDescent="0.3">
      <c r="A615" s="526"/>
      <c r="B615" s="526"/>
      <c r="C615" s="526"/>
      <c r="D615" s="526"/>
      <c r="E615" s="526"/>
      <c r="F615" s="526"/>
      <c r="G615" s="526"/>
      <c r="H615" s="526"/>
      <c r="I615" s="526"/>
      <c r="J615" s="526"/>
      <c r="K615" s="526"/>
      <c r="L615" s="526"/>
      <c r="M615" s="526"/>
      <c r="N615" s="526"/>
      <c r="O615" s="526"/>
      <c r="P615" s="526"/>
      <c r="Q615" s="526"/>
      <c r="R615" s="526"/>
      <c r="S615" s="526"/>
      <c r="T615" s="526"/>
      <c r="U615" s="526"/>
      <c r="V615" s="526"/>
      <c r="W615" s="526"/>
      <c r="X615" s="526"/>
      <c r="Y615" s="526"/>
      <c r="Z615" s="526"/>
    </row>
    <row r="616" spans="1:26" ht="18.600000000000001" x14ac:dyDescent="0.3">
      <c r="A616" s="526"/>
      <c r="B616" s="526"/>
      <c r="C616" s="526"/>
      <c r="D616" s="526"/>
      <c r="E616" s="526"/>
      <c r="F616" s="526"/>
      <c r="G616" s="526"/>
      <c r="H616" s="526"/>
      <c r="I616" s="526"/>
      <c r="J616" s="526"/>
      <c r="K616" s="526"/>
      <c r="L616" s="526"/>
      <c r="M616" s="526"/>
      <c r="N616" s="526"/>
      <c r="O616" s="526"/>
      <c r="P616" s="526"/>
      <c r="Q616" s="526"/>
      <c r="R616" s="526"/>
      <c r="S616" s="526"/>
      <c r="T616" s="526"/>
      <c r="U616" s="526"/>
      <c r="V616" s="526"/>
      <c r="W616" s="526"/>
      <c r="X616" s="526"/>
      <c r="Y616" s="526"/>
      <c r="Z616" s="526"/>
    </row>
    <row r="617" spans="1:26" ht="18.600000000000001" x14ac:dyDescent="0.3">
      <c r="A617" s="526"/>
      <c r="B617" s="526"/>
      <c r="C617" s="526"/>
      <c r="D617" s="526"/>
      <c r="E617" s="526"/>
      <c r="F617" s="526"/>
      <c r="G617" s="526"/>
      <c r="H617" s="526"/>
      <c r="I617" s="526"/>
      <c r="J617" s="526"/>
      <c r="K617" s="526"/>
      <c r="L617" s="526"/>
      <c r="M617" s="526"/>
      <c r="N617" s="526"/>
      <c r="O617" s="526"/>
      <c r="P617" s="526"/>
      <c r="Q617" s="526"/>
      <c r="R617" s="526"/>
      <c r="S617" s="526"/>
      <c r="T617" s="526"/>
      <c r="U617" s="526"/>
      <c r="V617" s="526"/>
      <c r="W617" s="526"/>
      <c r="X617" s="526"/>
      <c r="Y617" s="526"/>
      <c r="Z617" s="526"/>
    </row>
    <row r="618" spans="1:26" ht="18.600000000000001" x14ac:dyDescent="0.3">
      <c r="A618" s="526"/>
      <c r="B618" s="526"/>
      <c r="C618" s="526"/>
      <c r="D618" s="526"/>
      <c r="E618" s="526"/>
      <c r="F618" s="526"/>
      <c r="G618" s="526"/>
      <c r="H618" s="526"/>
      <c r="I618" s="526"/>
      <c r="J618" s="526"/>
      <c r="K618" s="526"/>
      <c r="L618" s="526"/>
      <c r="M618" s="526"/>
      <c r="N618" s="526"/>
      <c r="O618" s="526"/>
      <c r="P618" s="526"/>
      <c r="Q618" s="526"/>
      <c r="R618" s="526"/>
      <c r="S618" s="526"/>
      <c r="T618" s="526"/>
      <c r="U618" s="526"/>
      <c r="V618" s="526"/>
      <c r="W618" s="526"/>
      <c r="X618" s="526"/>
      <c r="Y618" s="526"/>
      <c r="Z618" s="526"/>
    </row>
    <row r="619" spans="1:26" ht="18.600000000000001" x14ac:dyDescent="0.3">
      <c r="A619" s="526"/>
      <c r="B619" s="526"/>
      <c r="C619" s="526"/>
      <c r="D619" s="526"/>
      <c r="E619" s="526"/>
      <c r="F619" s="526"/>
      <c r="G619" s="526"/>
      <c r="H619" s="526"/>
      <c r="I619" s="526"/>
      <c r="J619" s="526"/>
      <c r="K619" s="526"/>
      <c r="L619" s="526"/>
      <c r="M619" s="526"/>
      <c r="N619" s="526"/>
      <c r="O619" s="526"/>
      <c r="P619" s="526"/>
      <c r="Q619" s="526"/>
      <c r="R619" s="526"/>
      <c r="S619" s="526"/>
      <c r="T619" s="526"/>
      <c r="U619" s="526"/>
      <c r="V619" s="526"/>
      <c r="W619" s="526"/>
      <c r="X619" s="526"/>
      <c r="Y619" s="526"/>
      <c r="Z619" s="526"/>
    </row>
    <row r="620" spans="1:26" ht="18.600000000000001" x14ac:dyDescent="0.3">
      <c r="A620" s="526"/>
      <c r="B620" s="526"/>
      <c r="C620" s="526"/>
      <c r="D620" s="526"/>
      <c r="E620" s="526"/>
      <c r="F620" s="526"/>
      <c r="G620" s="526"/>
      <c r="H620" s="526"/>
      <c r="I620" s="526"/>
      <c r="J620" s="526"/>
      <c r="K620" s="526"/>
      <c r="L620" s="526"/>
      <c r="M620" s="526"/>
      <c r="N620" s="526"/>
      <c r="O620" s="526"/>
      <c r="P620" s="526"/>
      <c r="Q620" s="526"/>
      <c r="R620" s="526"/>
      <c r="S620" s="526"/>
      <c r="T620" s="526"/>
      <c r="U620" s="526"/>
      <c r="V620" s="526"/>
      <c r="W620" s="526"/>
      <c r="X620" s="526"/>
      <c r="Y620" s="526"/>
      <c r="Z620" s="526"/>
    </row>
    <row r="621" spans="1:26" ht="18.600000000000001" x14ac:dyDescent="0.3">
      <c r="A621" s="526"/>
      <c r="B621" s="526"/>
      <c r="C621" s="526"/>
      <c r="D621" s="526"/>
      <c r="E621" s="526"/>
      <c r="F621" s="526"/>
      <c r="G621" s="526"/>
      <c r="H621" s="526"/>
      <c r="I621" s="526"/>
      <c r="J621" s="526"/>
      <c r="K621" s="526"/>
      <c r="L621" s="526"/>
      <c r="M621" s="526"/>
      <c r="N621" s="526"/>
      <c r="O621" s="526"/>
      <c r="P621" s="526"/>
      <c r="Q621" s="526"/>
      <c r="R621" s="526"/>
      <c r="S621" s="526"/>
      <c r="T621" s="526"/>
      <c r="U621" s="526"/>
      <c r="V621" s="526"/>
      <c r="W621" s="526"/>
      <c r="X621" s="526"/>
      <c r="Y621" s="526"/>
      <c r="Z621" s="526"/>
    </row>
    <row r="622" spans="1:26" ht="18.600000000000001" x14ac:dyDescent="0.3">
      <c r="A622" s="526"/>
      <c r="B622" s="526"/>
      <c r="C622" s="526"/>
      <c r="D622" s="526"/>
      <c r="E622" s="526"/>
      <c r="F622" s="526"/>
      <c r="G622" s="526"/>
      <c r="H622" s="526"/>
      <c r="I622" s="526"/>
      <c r="J622" s="526"/>
      <c r="K622" s="526"/>
      <c r="L622" s="526"/>
      <c r="M622" s="526"/>
      <c r="N622" s="526"/>
      <c r="O622" s="526"/>
      <c r="P622" s="526"/>
      <c r="Q622" s="526"/>
      <c r="R622" s="526"/>
      <c r="S622" s="526"/>
      <c r="T622" s="526"/>
      <c r="U622" s="526"/>
      <c r="V622" s="526"/>
      <c r="W622" s="526"/>
      <c r="X622" s="526"/>
      <c r="Y622" s="526"/>
      <c r="Z622" s="526"/>
    </row>
    <row r="623" spans="1:26" ht="18.600000000000001" x14ac:dyDescent="0.3">
      <c r="A623" s="526"/>
      <c r="B623" s="526"/>
      <c r="C623" s="526"/>
      <c r="D623" s="526"/>
      <c r="E623" s="526"/>
      <c r="F623" s="526"/>
      <c r="G623" s="526"/>
      <c r="H623" s="526"/>
      <c r="I623" s="526"/>
      <c r="J623" s="526"/>
      <c r="K623" s="526"/>
      <c r="L623" s="526"/>
      <c r="M623" s="526"/>
      <c r="N623" s="526"/>
      <c r="O623" s="526"/>
      <c r="P623" s="526"/>
      <c r="Q623" s="526"/>
      <c r="R623" s="526"/>
      <c r="S623" s="526"/>
      <c r="T623" s="526"/>
      <c r="U623" s="526"/>
      <c r="V623" s="526"/>
      <c r="W623" s="526"/>
      <c r="X623" s="526"/>
      <c r="Y623" s="526"/>
      <c r="Z623" s="526"/>
    </row>
    <row r="624" spans="1:26" ht="18.600000000000001" x14ac:dyDescent="0.3">
      <c r="A624" s="526"/>
      <c r="B624" s="526"/>
      <c r="C624" s="526"/>
      <c r="D624" s="526"/>
      <c r="E624" s="526"/>
      <c r="F624" s="526"/>
      <c r="G624" s="526"/>
      <c r="H624" s="526"/>
      <c r="I624" s="526"/>
      <c r="J624" s="526"/>
      <c r="K624" s="526"/>
      <c r="L624" s="526"/>
      <c r="M624" s="526"/>
      <c r="N624" s="526"/>
      <c r="O624" s="526"/>
      <c r="P624" s="526"/>
      <c r="Q624" s="526"/>
      <c r="R624" s="526"/>
      <c r="S624" s="526"/>
      <c r="T624" s="526"/>
      <c r="U624" s="526"/>
      <c r="V624" s="526"/>
      <c r="W624" s="526"/>
      <c r="X624" s="526"/>
      <c r="Y624" s="526"/>
      <c r="Z624" s="526"/>
    </row>
    <row r="625" spans="1:26" ht="18.600000000000001" x14ac:dyDescent="0.3">
      <c r="A625" s="526"/>
      <c r="B625" s="526"/>
      <c r="C625" s="526"/>
      <c r="D625" s="526"/>
      <c r="E625" s="526"/>
      <c r="F625" s="526"/>
      <c r="G625" s="526"/>
      <c r="H625" s="526"/>
      <c r="I625" s="526"/>
      <c r="J625" s="526"/>
      <c r="K625" s="526"/>
      <c r="L625" s="526"/>
      <c r="M625" s="526"/>
      <c r="N625" s="526"/>
      <c r="O625" s="526"/>
      <c r="P625" s="526"/>
      <c r="Q625" s="526"/>
      <c r="R625" s="526"/>
      <c r="S625" s="526"/>
      <c r="T625" s="526"/>
      <c r="U625" s="526"/>
      <c r="V625" s="526"/>
      <c r="W625" s="526"/>
      <c r="X625" s="526"/>
      <c r="Y625" s="526"/>
      <c r="Z625" s="526"/>
    </row>
    <row r="626" spans="1:26" ht="18.600000000000001" x14ac:dyDescent="0.3">
      <c r="A626" s="526"/>
      <c r="B626" s="526"/>
      <c r="C626" s="526"/>
      <c r="D626" s="526"/>
      <c r="E626" s="526"/>
      <c r="F626" s="526"/>
      <c r="G626" s="526"/>
      <c r="H626" s="526"/>
      <c r="I626" s="526"/>
      <c r="J626" s="526"/>
      <c r="K626" s="526"/>
      <c r="L626" s="526"/>
      <c r="M626" s="526"/>
      <c r="N626" s="526"/>
      <c r="O626" s="526"/>
      <c r="P626" s="526"/>
      <c r="Q626" s="526"/>
      <c r="R626" s="526"/>
      <c r="S626" s="526"/>
      <c r="T626" s="526"/>
      <c r="U626" s="526"/>
      <c r="V626" s="526"/>
      <c r="W626" s="526"/>
      <c r="X626" s="526"/>
      <c r="Y626" s="526"/>
      <c r="Z626" s="526"/>
    </row>
    <row r="627" spans="1:26" ht="18.600000000000001" x14ac:dyDescent="0.3">
      <c r="A627" s="526"/>
      <c r="B627" s="526"/>
      <c r="C627" s="526"/>
      <c r="D627" s="526"/>
      <c r="E627" s="526"/>
      <c r="F627" s="526"/>
      <c r="G627" s="526"/>
      <c r="H627" s="526"/>
      <c r="I627" s="526"/>
      <c r="J627" s="526"/>
      <c r="K627" s="526"/>
      <c r="L627" s="526"/>
      <c r="M627" s="526"/>
      <c r="N627" s="526"/>
      <c r="O627" s="526"/>
      <c r="P627" s="526"/>
      <c r="Q627" s="526"/>
      <c r="R627" s="526"/>
      <c r="S627" s="526"/>
      <c r="T627" s="526"/>
      <c r="U627" s="526"/>
      <c r="V627" s="526"/>
      <c r="W627" s="526"/>
      <c r="X627" s="526"/>
      <c r="Y627" s="526"/>
      <c r="Z627" s="526"/>
    </row>
    <row r="628" spans="1:26" ht="18.600000000000001" x14ac:dyDescent="0.3">
      <c r="A628" s="526"/>
      <c r="B628" s="526"/>
      <c r="C628" s="526"/>
      <c r="D628" s="526"/>
      <c r="E628" s="526"/>
      <c r="F628" s="526"/>
      <c r="G628" s="526"/>
      <c r="H628" s="526"/>
      <c r="I628" s="526"/>
      <c r="J628" s="526"/>
      <c r="K628" s="526"/>
      <c r="L628" s="526"/>
      <c r="M628" s="526"/>
      <c r="N628" s="526"/>
      <c r="O628" s="526"/>
      <c r="P628" s="526"/>
      <c r="Q628" s="526"/>
      <c r="R628" s="526"/>
      <c r="S628" s="526"/>
      <c r="T628" s="526"/>
      <c r="U628" s="526"/>
      <c r="V628" s="526"/>
      <c r="W628" s="526"/>
      <c r="X628" s="526"/>
      <c r="Y628" s="526"/>
      <c r="Z628" s="526"/>
    </row>
    <row r="629" spans="1:26" ht="18.600000000000001" x14ac:dyDescent="0.3">
      <c r="A629" s="526"/>
      <c r="B629" s="526"/>
      <c r="C629" s="526"/>
      <c r="D629" s="526"/>
      <c r="E629" s="526"/>
      <c r="F629" s="526"/>
      <c r="G629" s="526"/>
      <c r="H629" s="526"/>
      <c r="I629" s="526"/>
      <c r="J629" s="526"/>
      <c r="K629" s="526"/>
      <c r="L629" s="526"/>
      <c r="M629" s="526"/>
      <c r="N629" s="526"/>
      <c r="O629" s="526"/>
      <c r="P629" s="526"/>
      <c r="Q629" s="526"/>
      <c r="R629" s="526"/>
      <c r="S629" s="526"/>
      <c r="T629" s="526"/>
      <c r="U629" s="526"/>
      <c r="V629" s="526"/>
      <c r="W629" s="526"/>
      <c r="X629" s="526"/>
      <c r="Y629" s="526"/>
      <c r="Z629" s="526"/>
    </row>
    <row r="630" spans="1:26" ht="18.600000000000001" x14ac:dyDescent="0.3">
      <c r="A630" s="526"/>
      <c r="B630" s="526"/>
      <c r="C630" s="526"/>
      <c r="D630" s="526"/>
      <c r="E630" s="526"/>
      <c r="F630" s="526"/>
      <c r="G630" s="526"/>
      <c r="H630" s="526"/>
      <c r="I630" s="526"/>
      <c r="J630" s="526"/>
      <c r="K630" s="526"/>
      <c r="L630" s="526"/>
      <c r="M630" s="526"/>
      <c r="N630" s="526"/>
      <c r="O630" s="526"/>
      <c r="P630" s="526"/>
      <c r="Q630" s="526"/>
      <c r="R630" s="526"/>
      <c r="S630" s="526"/>
      <c r="T630" s="526"/>
      <c r="U630" s="526"/>
      <c r="V630" s="526"/>
      <c r="W630" s="526"/>
      <c r="X630" s="526"/>
      <c r="Y630" s="526"/>
      <c r="Z630" s="526"/>
    </row>
    <row r="631" spans="1:26" ht="18.600000000000001" x14ac:dyDescent="0.3">
      <c r="A631" s="526"/>
      <c r="B631" s="526"/>
      <c r="C631" s="526"/>
      <c r="D631" s="526"/>
      <c r="E631" s="526"/>
      <c r="F631" s="526"/>
      <c r="G631" s="526"/>
      <c r="H631" s="526"/>
      <c r="I631" s="526"/>
      <c r="J631" s="526"/>
      <c r="K631" s="526"/>
      <c r="L631" s="526"/>
      <c r="M631" s="526"/>
      <c r="N631" s="526"/>
      <c r="O631" s="526"/>
      <c r="P631" s="526"/>
      <c r="Q631" s="526"/>
      <c r="R631" s="526"/>
      <c r="S631" s="526"/>
      <c r="T631" s="526"/>
      <c r="U631" s="526"/>
      <c r="V631" s="526"/>
      <c r="W631" s="526"/>
      <c r="X631" s="526"/>
      <c r="Y631" s="526"/>
      <c r="Z631" s="526"/>
    </row>
    <row r="632" spans="1:26" ht="18.600000000000001" x14ac:dyDescent="0.3">
      <c r="A632" s="526"/>
      <c r="B632" s="526"/>
      <c r="C632" s="526"/>
      <c r="D632" s="526"/>
      <c r="E632" s="526"/>
      <c r="F632" s="526"/>
      <c r="G632" s="526"/>
      <c r="H632" s="526"/>
      <c r="I632" s="526"/>
      <c r="J632" s="526"/>
      <c r="K632" s="526"/>
      <c r="L632" s="526"/>
      <c r="M632" s="526"/>
      <c r="N632" s="526"/>
      <c r="O632" s="526"/>
      <c r="P632" s="526"/>
      <c r="Q632" s="526"/>
      <c r="R632" s="526"/>
      <c r="S632" s="526"/>
      <c r="T632" s="526"/>
      <c r="U632" s="526"/>
      <c r="V632" s="526"/>
      <c r="W632" s="526"/>
      <c r="X632" s="526"/>
      <c r="Y632" s="526"/>
      <c r="Z632" s="526"/>
    </row>
    <row r="633" spans="1:26" ht="18.600000000000001" x14ac:dyDescent="0.3">
      <c r="A633" s="526"/>
      <c r="B633" s="526"/>
      <c r="C633" s="526"/>
      <c r="D633" s="526"/>
      <c r="E633" s="526"/>
      <c r="F633" s="526"/>
      <c r="G633" s="526"/>
      <c r="H633" s="526"/>
      <c r="I633" s="526"/>
      <c r="J633" s="526"/>
      <c r="K633" s="526"/>
      <c r="L633" s="526"/>
      <c r="M633" s="526"/>
      <c r="N633" s="526"/>
      <c r="O633" s="526"/>
      <c r="P633" s="526"/>
      <c r="Q633" s="526"/>
      <c r="R633" s="526"/>
      <c r="S633" s="526"/>
      <c r="T633" s="526"/>
      <c r="U633" s="526"/>
      <c r="V633" s="526"/>
      <c r="W633" s="526"/>
      <c r="X633" s="526"/>
      <c r="Y633" s="526"/>
      <c r="Z633" s="526"/>
    </row>
    <row r="634" spans="1:26" ht="18.600000000000001" x14ac:dyDescent="0.3">
      <c r="A634" s="526"/>
      <c r="B634" s="526"/>
      <c r="C634" s="526"/>
      <c r="D634" s="526"/>
      <c r="E634" s="526"/>
      <c r="F634" s="526"/>
      <c r="G634" s="526"/>
      <c r="H634" s="526"/>
      <c r="I634" s="526"/>
      <c r="J634" s="526"/>
      <c r="K634" s="526"/>
      <c r="L634" s="526"/>
      <c r="M634" s="526"/>
      <c r="N634" s="526"/>
      <c r="O634" s="526"/>
      <c r="P634" s="526"/>
      <c r="Q634" s="526"/>
      <c r="R634" s="526"/>
      <c r="S634" s="526"/>
      <c r="T634" s="526"/>
      <c r="U634" s="526"/>
      <c r="V634" s="526"/>
      <c r="W634" s="526"/>
      <c r="X634" s="526"/>
      <c r="Y634" s="526"/>
      <c r="Z634" s="526"/>
    </row>
    <row r="635" spans="1:26" ht="18.600000000000001" x14ac:dyDescent="0.3">
      <c r="A635" s="526"/>
      <c r="B635" s="526"/>
      <c r="C635" s="526"/>
      <c r="D635" s="526"/>
      <c r="E635" s="526"/>
      <c r="F635" s="526"/>
      <c r="G635" s="526"/>
      <c r="H635" s="526"/>
      <c r="I635" s="526"/>
      <c r="J635" s="526"/>
      <c r="K635" s="526"/>
      <c r="L635" s="526"/>
      <c r="M635" s="526"/>
      <c r="N635" s="526"/>
      <c r="O635" s="526"/>
      <c r="P635" s="526"/>
      <c r="Q635" s="526"/>
      <c r="R635" s="526"/>
      <c r="S635" s="526"/>
      <c r="T635" s="526"/>
      <c r="U635" s="526"/>
      <c r="V635" s="526"/>
      <c r="W635" s="526"/>
      <c r="X635" s="526"/>
      <c r="Y635" s="526"/>
      <c r="Z635" s="526"/>
    </row>
    <row r="636" spans="1:26" ht="18.600000000000001" x14ac:dyDescent="0.3">
      <c r="A636" s="526"/>
      <c r="B636" s="526"/>
      <c r="C636" s="526"/>
      <c r="D636" s="526"/>
      <c r="E636" s="526"/>
      <c r="F636" s="526"/>
      <c r="G636" s="526"/>
      <c r="H636" s="526"/>
      <c r="I636" s="526"/>
      <c r="J636" s="526"/>
      <c r="K636" s="526"/>
      <c r="L636" s="526"/>
      <c r="M636" s="526"/>
      <c r="N636" s="526"/>
      <c r="O636" s="526"/>
      <c r="P636" s="526"/>
      <c r="Q636" s="526"/>
      <c r="R636" s="526"/>
      <c r="S636" s="526"/>
      <c r="T636" s="526"/>
      <c r="U636" s="526"/>
      <c r="V636" s="526"/>
      <c r="W636" s="526"/>
      <c r="X636" s="526"/>
      <c r="Y636" s="526"/>
      <c r="Z636" s="526"/>
    </row>
    <row r="637" spans="1:26" ht="18.600000000000001" x14ac:dyDescent="0.3">
      <c r="A637" s="526"/>
      <c r="B637" s="526"/>
      <c r="C637" s="526"/>
      <c r="D637" s="526"/>
      <c r="E637" s="526"/>
      <c r="F637" s="526"/>
      <c r="G637" s="526"/>
      <c r="H637" s="526"/>
      <c r="I637" s="526"/>
      <c r="J637" s="526"/>
      <c r="K637" s="526"/>
      <c r="L637" s="526"/>
      <c r="M637" s="526"/>
      <c r="N637" s="526"/>
      <c r="O637" s="526"/>
      <c r="P637" s="526"/>
      <c r="Q637" s="526"/>
      <c r="R637" s="526"/>
      <c r="S637" s="526"/>
      <c r="T637" s="526"/>
      <c r="U637" s="526"/>
      <c r="V637" s="526"/>
      <c r="W637" s="526"/>
      <c r="X637" s="526"/>
      <c r="Y637" s="526"/>
      <c r="Z637" s="526"/>
    </row>
    <row r="638" spans="1:26" ht="18.600000000000001" x14ac:dyDescent="0.3">
      <c r="A638" s="526"/>
      <c r="B638" s="526"/>
      <c r="C638" s="526"/>
      <c r="D638" s="526"/>
      <c r="E638" s="526"/>
      <c r="F638" s="526"/>
      <c r="G638" s="526"/>
      <c r="H638" s="526"/>
      <c r="I638" s="526"/>
      <c r="J638" s="526"/>
      <c r="K638" s="526"/>
      <c r="L638" s="526"/>
      <c r="M638" s="526"/>
      <c r="N638" s="526"/>
      <c r="O638" s="526"/>
      <c r="P638" s="526"/>
      <c r="Q638" s="526"/>
      <c r="R638" s="526"/>
      <c r="S638" s="526"/>
      <c r="T638" s="526"/>
      <c r="U638" s="526"/>
      <c r="V638" s="526"/>
      <c r="W638" s="526"/>
      <c r="X638" s="526"/>
      <c r="Y638" s="526"/>
      <c r="Z638" s="526"/>
    </row>
    <row r="639" spans="1:26" ht="18.600000000000001" x14ac:dyDescent="0.3">
      <c r="A639" s="526"/>
      <c r="B639" s="526"/>
      <c r="C639" s="526"/>
      <c r="D639" s="526"/>
      <c r="E639" s="526"/>
      <c r="F639" s="526"/>
      <c r="G639" s="526"/>
      <c r="H639" s="526"/>
      <c r="I639" s="526"/>
      <c r="J639" s="526"/>
      <c r="K639" s="526"/>
      <c r="L639" s="526"/>
      <c r="M639" s="526"/>
      <c r="N639" s="526"/>
      <c r="O639" s="526"/>
      <c r="P639" s="526"/>
      <c r="Q639" s="526"/>
      <c r="R639" s="526"/>
      <c r="S639" s="526"/>
      <c r="T639" s="526"/>
      <c r="U639" s="526"/>
      <c r="V639" s="526"/>
      <c r="W639" s="526"/>
      <c r="X639" s="526"/>
      <c r="Y639" s="526"/>
      <c r="Z639" s="526"/>
    </row>
    <row r="640" spans="1:26" ht="18.600000000000001" x14ac:dyDescent="0.3">
      <c r="A640" s="526"/>
      <c r="B640" s="526"/>
      <c r="C640" s="526"/>
      <c r="D640" s="526"/>
      <c r="E640" s="526"/>
      <c r="F640" s="526"/>
      <c r="G640" s="526"/>
      <c r="H640" s="526"/>
      <c r="I640" s="526"/>
      <c r="J640" s="526"/>
      <c r="K640" s="526"/>
      <c r="L640" s="526"/>
      <c r="M640" s="526"/>
      <c r="N640" s="526"/>
      <c r="O640" s="526"/>
      <c r="P640" s="526"/>
      <c r="Q640" s="526"/>
      <c r="R640" s="526"/>
      <c r="S640" s="526"/>
      <c r="T640" s="526"/>
      <c r="U640" s="526"/>
      <c r="V640" s="526"/>
      <c r="W640" s="526"/>
      <c r="X640" s="526"/>
      <c r="Y640" s="526"/>
      <c r="Z640" s="526"/>
    </row>
    <row r="641" spans="1:26" ht="18.600000000000001" x14ac:dyDescent="0.3">
      <c r="A641" s="526"/>
      <c r="B641" s="526"/>
      <c r="C641" s="526"/>
      <c r="D641" s="526"/>
      <c r="E641" s="526"/>
      <c r="F641" s="526"/>
      <c r="G641" s="526"/>
      <c r="H641" s="526"/>
      <c r="I641" s="526"/>
      <c r="J641" s="526"/>
      <c r="K641" s="526"/>
      <c r="L641" s="526"/>
      <c r="M641" s="526"/>
      <c r="N641" s="526"/>
      <c r="O641" s="526"/>
      <c r="P641" s="526"/>
      <c r="Q641" s="526"/>
      <c r="R641" s="526"/>
      <c r="S641" s="526"/>
      <c r="T641" s="526"/>
      <c r="U641" s="526"/>
      <c r="V641" s="526"/>
      <c r="W641" s="526"/>
      <c r="X641" s="526"/>
      <c r="Y641" s="526"/>
      <c r="Z641" s="526"/>
    </row>
    <row r="642" spans="1:26" ht="18.600000000000001" x14ac:dyDescent="0.3">
      <c r="A642" s="526"/>
      <c r="B642" s="526"/>
      <c r="C642" s="526"/>
      <c r="D642" s="526"/>
      <c r="E642" s="526"/>
      <c r="F642" s="526"/>
      <c r="G642" s="526"/>
      <c r="H642" s="526"/>
      <c r="I642" s="526"/>
      <c r="J642" s="526"/>
      <c r="K642" s="526"/>
      <c r="L642" s="526"/>
      <c r="M642" s="526"/>
      <c r="N642" s="526"/>
      <c r="O642" s="526"/>
      <c r="P642" s="526"/>
      <c r="Q642" s="526"/>
      <c r="R642" s="526"/>
      <c r="S642" s="526"/>
      <c r="T642" s="526"/>
      <c r="U642" s="526"/>
      <c r="V642" s="526"/>
      <c r="W642" s="526"/>
      <c r="X642" s="526"/>
      <c r="Y642" s="526"/>
      <c r="Z642" s="526"/>
    </row>
    <row r="643" spans="1:26" ht="18.600000000000001" x14ac:dyDescent="0.3">
      <c r="A643" s="526"/>
      <c r="B643" s="526"/>
      <c r="C643" s="526"/>
      <c r="D643" s="526"/>
      <c r="E643" s="526"/>
      <c r="F643" s="526"/>
      <c r="G643" s="526"/>
      <c r="H643" s="526"/>
      <c r="I643" s="526"/>
      <c r="J643" s="526"/>
      <c r="K643" s="526"/>
      <c r="L643" s="526"/>
      <c r="M643" s="526"/>
      <c r="N643" s="526"/>
      <c r="O643" s="526"/>
      <c r="P643" s="526"/>
      <c r="Q643" s="526"/>
      <c r="R643" s="526"/>
      <c r="S643" s="526"/>
      <c r="T643" s="526"/>
      <c r="U643" s="526"/>
      <c r="V643" s="526"/>
      <c r="W643" s="526"/>
      <c r="X643" s="526"/>
      <c r="Y643" s="526"/>
      <c r="Z643" s="526"/>
    </row>
    <row r="644" spans="1:26" ht="18.600000000000001" x14ac:dyDescent="0.3">
      <c r="A644" s="526"/>
      <c r="B644" s="526"/>
      <c r="C644" s="526"/>
      <c r="D644" s="526"/>
      <c r="E644" s="526"/>
      <c r="F644" s="526"/>
      <c r="G644" s="526"/>
      <c r="H644" s="526"/>
      <c r="I644" s="526"/>
      <c r="J644" s="526"/>
      <c r="K644" s="526"/>
      <c r="L644" s="526"/>
      <c r="M644" s="526"/>
      <c r="N644" s="526"/>
      <c r="O644" s="526"/>
      <c r="P644" s="526"/>
      <c r="Q644" s="526"/>
      <c r="R644" s="526"/>
      <c r="S644" s="526"/>
      <c r="T644" s="526"/>
      <c r="U644" s="526"/>
      <c r="V644" s="526"/>
      <c r="W644" s="526"/>
      <c r="X644" s="526"/>
      <c r="Y644" s="526"/>
      <c r="Z644" s="526"/>
    </row>
    <row r="645" spans="1:26" ht="18.600000000000001" x14ac:dyDescent="0.3">
      <c r="A645" s="526"/>
      <c r="B645" s="526"/>
      <c r="C645" s="526"/>
      <c r="D645" s="526"/>
      <c r="E645" s="526"/>
      <c r="F645" s="526"/>
      <c r="G645" s="526"/>
      <c r="H645" s="526"/>
      <c r="I645" s="526"/>
      <c r="J645" s="526"/>
      <c r="K645" s="526"/>
      <c r="L645" s="526"/>
      <c r="M645" s="526"/>
      <c r="N645" s="526"/>
      <c r="O645" s="526"/>
      <c r="P645" s="526"/>
      <c r="Q645" s="526"/>
      <c r="R645" s="526"/>
      <c r="S645" s="526"/>
      <c r="T645" s="526"/>
      <c r="U645" s="526"/>
      <c r="V645" s="526"/>
      <c r="W645" s="526"/>
      <c r="X645" s="526"/>
      <c r="Y645" s="526"/>
      <c r="Z645" s="526"/>
    </row>
    <row r="646" spans="1:26" ht="18.600000000000001" x14ac:dyDescent="0.3">
      <c r="A646" s="526"/>
      <c r="B646" s="526"/>
      <c r="C646" s="526"/>
      <c r="D646" s="526"/>
      <c r="E646" s="526"/>
      <c r="F646" s="526"/>
      <c r="G646" s="526"/>
      <c r="H646" s="526"/>
      <c r="I646" s="526"/>
      <c r="J646" s="526"/>
      <c r="K646" s="526"/>
      <c r="L646" s="526"/>
      <c r="M646" s="526"/>
      <c r="N646" s="526"/>
      <c r="O646" s="526"/>
      <c r="P646" s="526"/>
      <c r="Q646" s="526"/>
      <c r="R646" s="526"/>
      <c r="S646" s="526"/>
      <c r="T646" s="526"/>
      <c r="U646" s="526"/>
      <c r="V646" s="526"/>
      <c r="W646" s="526"/>
      <c r="X646" s="526"/>
      <c r="Y646" s="526"/>
      <c r="Z646" s="526"/>
    </row>
    <row r="647" spans="1:26" ht="18.600000000000001" x14ac:dyDescent="0.3">
      <c r="A647" s="526"/>
      <c r="B647" s="526"/>
      <c r="C647" s="526"/>
      <c r="D647" s="526"/>
      <c r="E647" s="526"/>
      <c r="F647" s="526"/>
      <c r="G647" s="526"/>
      <c r="H647" s="526"/>
      <c r="I647" s="526"/>
      <c r="J647" s="526"/>
      <c r="K647" s="526"/>
      <c r="L647" s="526"/>
      <c r="M647" s="526"/>
      <c r="N647" s="526"/>
      <c r="O647" s="526"/>
      <c r="P647" s="526"/>
      <c r="Q647" s="526"/>
      <c r="R647" s="526"/>
      <c r="S647" s="526"/>
      <c r="T647" s="526"/>
      <c r="U647" s="526"/>
      <c r="V647" s="526"/>
      <c r="W647" s="526"/>
      <c r="X647" s="526"/>
      <c r="Y647" s="526"/>
      <c r="Z647" s="526"/>
    </row>
    <row r="648" spans="1:26" ht="18.600000000000001" x14ac:dyDescent="0.3">
      <c r="A648" s="526"/>
      <c r="B648" s="526"/>
      <c r="C648" s="526"/>
      <c r="D648" s="526"/>
      <c r="E648" s="526"/>
      <c r="F648" s="526"/>
      <c r="G648" s="526"/>
      <c r="H648" s="526"/>
      <c r="I648" s="526"/>
      <c r="J648" s="526"/>
      <c r="K648" s="526"/>
      <c r="L648" s="526"/>
      <c r="M648" s="526"/>
      <c r="N648" s="526"/>
      <c r="O648" s="526"/>
      <c r="P648" s="526"/>
      <c r="Q648" s="526"/>
      <c r="R648" s="526"/>
      <c r="S648" s="526"/>
      <c r="T648" s="526"/>
      <c r="U648" s="526"/>
      <c r="V648" s="526"/>
      <c r="W648" s="526"/>
      <c r="X648" s="526"/>
      <c r="Y648" s="526"/>
      <c r="Z648" s="526"/>
    </row>
    <row r="649" spans="1:26" ht="18.600000000000001" x14ac:dyDescent="0.3">
      <c r="A649" s="526"/>
      <c r="B649" s="526"/>
      <c r="C649" s="526"/>
      <c r="D649" s="526"/>
      <c r="E649" s="526"/>
      <c r="F649" s="526"/>
      <c r="G649" s="526"/>
      <c r="H649" s="526"/>
      <c r="I649" s="526"/>
      <c r="J649" s="526"/>
      <c r="K649" s="526"/>
      <c r="L649" s="526"/>
      <c r="M649" s="526"/>
      <c r="N649" s="526"/>
      <c r="O649" s="526"/>
      <c r="P649" s="526"/>
      <c r="Q649" s="526"/>
      <c r="R649" s="526"/>
      <c r="S649" s="526"/>
      <c r="T649" s="526"/>
      <c r="U649" s="526"/>
      <c r="V649" s="526"/>
      <c r="W649" s="526"/>
      <c r="X649" s="526"/>
      <c r="Y649" s="526"/>
      <c r="Z649" s="526"/>
    </row>
    <row r="650" spans="1:26" ht="18.600000000000001" x14ac:dyDescent="0.3">
      <c r="A650" s="526"/>
      <c r="B650" s="526"/>
      <c r="C650" s="526"/>
      <c r="D650" s="526"/>
      <c r="E650" s="526"/>
      <c r="F650" s="526"/>
      <c r="G650" s="526"/>
      <c r="H650" s="526"/>
      <c r="I650" s="526"/>
      <c r="J650" s="526"/>
      <c r="K650" s="526"/>
      <c r="L650" s="526"/>
      <c r="M650" s="526"/>
      <c r="N650" s="526"/>
      <c r="O650" s="526"/>
      <c r="P650" s="526"/>
      <c r="Q650" s="526"/>
      <c r="R650" s="526"/>
      <c r="S650" s="526"/>
      <c r="T650" s="526"/>
      <c r="U650" s="526"/>
      <c r="V650" s="526"/>
      <c r="W650" s="526"/>
      <c r="X650" s="526"/>
      <c r="Y650" s="526"/>
      <c r="Z650" s="526"/>
    </row>
    <row r="651" spans="1:26" ht="18.600000000000001" x14ac:dyDescent="0.3">
      <c r="A651" s="526"/>
      <c r="B651" s="526"/>
      <c r="C651" s="526"/>
      <c r="D651" s="526"/>
      <c r="E651" s="526"/>
      <c r="F651" s="526"/>
      <c r="G651" s="526"/>
      <c r="H651" s="526"/>
      <c r="I651" s="526"/>
      <c r="J651" s="526"/>
      <c r="K651" s="526"/>
      <c r="L651" s="526"/>
      <c r="M651" s="526"/>
      <c r="N651" s="526"/>
      <c r="O651" s="526"/>
      <c r="P651" s="526"/>
      <c r="Q651" s="526"/>
      <c r="R651" s="526"/>
      <c r="S651" s="526"/>
      <c r="T651" s="526"/>
      <c r="U651" s="526"/>
      <c r="V651" s="526"/>
      <c r="W651" s="526"/>
      <c r="X651" s="526"/>
      <c r="Y651" s="526"/>
      <c r="Z651" s="526"/>
    </row>
    <row r="652" spans="1:26" ht="18.600000000000001" x14ac:dyDescent="0.3">
      <c r="A652" s="526"/>
      <c r="B652" s="526"/>
      <c r="C652" s="526"/>
      <c r="D652" s="526"/>
      <c r="E652" s="526"/>
      <c r="F652" s="526"/>
      <c r="G652" s="526"/>
      <c r="H652" s="526"/>
      <c r="I652" s="526"/>
      <c r="J652" s="526"/>
      <c r="K652" s="526"/>
      <c r="L652" s="526"/>
      <c r="M652" s="526"/>
      <c r="N652" s="526"/>
      <c r="O652" s="526"/>
      <c r="P652" s="526"/>
      <c r="Q652" s="526"/>
      <c r="R652" s="526"/>
      <c r="S652" s="526"/>
      <c r="T652" s="526"/>
      <c r="U652" s="526"/>
      <c r="V652" s="526"/>
      <c r="W652" s="526"/>
      <c r="X652" s="526"/>
      <c r="Y652" s="526"/>
      <c r="Z652" s="526"/>
    </row>
    <row r="653" spans="1:26" ht="18.600000000000001" x14ac:dyDescent="0.3">
      <c r="A653" s="526"/>
      <c r="B653" s="526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</row>
    <row r="654" spans="1:26" ht="18.600000000000001" x14ac:dyDescent="0.3">
      <c r="A654" s="526"/>
      <c r="B654" s="526"/>
      <c r="C654" s="526"/>
      <c r="D654" s="526"/>
      <c r="E654" s="526"/>
      <c r="F654" s="526"/>
      <c r="G654" s="526"/>
      <c r="H654" s="526"/>
      <c r="I654" s="526"/>
      <c r="J654" s="526"/>
      <c r="K654" s="526"/>
      <c r="L654" s="526"/>
      <c r="M654" s="526"/>
      <c r="N654" s="526"/>
      <c r="O654" s="526"/>
      <c r="P654" s="526"/>
      <c r="Q654" s="526"/>
      <c r="R654" s="526"/>
      <c r="S654" s="526"/>
      <c r="T654" s="526"/>
      <c r="U654" s="526"/>
      <c r="V654" s="526"/>
      <c r="W654" s="526"/>
      <c r="X654" s="526"/>
      <c r="Y654" s="526"/>
      <c r="Z654" s="526"/>
    </row>
    <row r="655" spans="1:26" ht="18.600000000000001" x14ac:dyDescent="0.3">
      <c r="A655" s="526"/>
      <c r="B655" s="526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</row>
    <row r="656" spans="1:26" ht="18.600000000000001" x14ac:dyDescent="0.3">
      <c r="A656" s="526"/>
      <c r="B656" s="526"/>
      <c r="C656" s="526"/>
      <c r="D656" s="526"/>
      <c r="E656" s="526"/>
      <c r="F656" s="526"/>
      <c r="G656" s="526"/>
      <c r="H656" s="526"/>
      <c r="I656" s="526"/>
      <c r="J656" s="526"/>
      <c r="K656" s="526"/>
      <c r="L656" s="526"/>
      <c r="M656" s="526"/>
      <c r="N656" s="526"/>
      <c r="O656" s="526"/>
      <c r="P656" s="526"/>
      <c r="Q656" s="526"/>
      <c r="R656" s="526"/>
      <c r="S656" s="526"/>
      <c r="T656" s="526"/>
      <c r="U656" s="526"/>
      <c r="V656" s="526"/>
      <c r="W656" s="526"/>
      <c r="X656" s="526"/>
      <c r="Y656" s="526"/>
      <c r="Z656" s="526"/>
    </row>
    <row r="657" spans="1:26" ht="18.600000000000001" x14ac:dyDescent="0.3">
      <c r="A657" s="526"/>
      <c r="B657" s="526"/>
      <c r="C657" s="526"/>
      <c r="D657" s="526"/>
      <c r="E657" s="526"/>
      <c r="F657" s="526"/>
      <c r="G657" s="526"/>
      <c r="H657" s="526"/>
      <c r="I657" s="526"/>
      <c r="J657" s="526"/>
      <c r="K657" s="526"/>
      <c r="L657" s="526"/>
      <c r="M657" s="526"/>
      <c r="N657" s="526"/>
      <c r="O657" s="526"/>
      <c r="P657" s="526"/>
      <c r="Q657" s="526"/>
      <c r="R657" s="526"/>
      <c r="S657" s="526"/>
      <c r="T657" s="526"/>
      <c r="U657" s="526"/>
      <c r="V657" s="526"/>
      <c r="W657" s="526"/>
      <c r="X657" s="526"/>
      <c r="Y657" s="526"/>
      <c r="Z657" s="526"/>
    </row>
    <row r="658" spans="1:26" ht="18.600000000000001" x14ac:dyDescent="0.3">
      <c r="A658" s="526"/>
      <c r="B658" s="526"/>
      <c r="C658" s="526"/>
      <c r="D658" s="526"/>
      <c r="E658" s="526"/>
      <c r="F658" s="526"/>
      <c r="G658" s="526"/>
      <c r="H658" s="526"/>
      <c r="I658" s="526"/>
      <c r="J658" s="526"/>
      <c r="K658" s="526"/>
      <c r="L658" s="526"/>
      <c r="M658" s="526"/>
      <c r="N658" s="526"/>
      <c r="O658" s="526"/>
      <c r="P658" s="526"/>
      <c r="Q658" s="526"/>
      <c r="R658" s="526"/>
      <c r="S658" s="526"/>
      <c r="T658" s="526"/>
      <c r="U658" s="526"/>
      <c r="V658" s="526"/>
      <c r="W658" s="526"/>
      <c r="X658" s="526"/>
      <c r="Y658" s="526"/>
      <c r="Z658" s="526"/>
    </row>
    <row r="659" spans="1:26" ht="18.600000000000001" x14ac:dyDescent="0.3">
      <c r="A659" s="526"/>
      <c r="B659" s="526"/>
      <c r="C659" s="526"/>
      <c r="D659" s="526"/>
      <c r="E659" s="526"/>
      <c r="F659" s="526"/>
      <c r="G659" s="526"/>
      <c r="H659" s="526"/>
      <c r="I659" s="526"/>
      <c r="J659" s="526"/>
      <c r="K659" s="526"/>
      <c r="L659" s="526"/>
      <c r="M659" s="526"/>
      <c r="N659" s="526"/>
      <c r="O659" s="526"/>
      <c r="P659" s="526"/>
      <c r="Q659" s="526"/>
      <c r="R659" s="526"/>
      <c r="S659" s="526"/>
      <c r="T659" s="526"/>
      <c r="U659" s="526"/>
      <c r="V659" s="526"/>
      <c r="W659" s="526"/>
      <c r="X659" s="526"/>
      <c r="Y659" s="526"/>
      <c r="Z659" s="526"/>
    </row>
    <row r="660" spans="1:26" ht="18.600000000000001" x14ac:dyDescent="0.3">
      <c r="A660" s="526"/>
      <c r="B660" s="526"/>
      <c r="C660" s="526"/>
      <c r="D660" s="526"/>
      <c r="E660" s="526"/>
      <c r="F660" s="526"/>
      <c r="G660" s="526"/>
      <c r="H660" s="526"/>
      <c r="I660" s="526"/>
      <c r="J660" s="526"/>
      <c r="K660" s="526"/>
      <c r="L660" s="526"/>
      <c r="M660" s="526"/>
      <c r="N660" s="526"/>
      <c r="O660" s="526"/>
      <c r="P660" s="526"/>
      <c r="Q660" s="526"/>
      <c r="R660" s="526"/>
      <c r="S660" s="526"/>
      <c r="T660" s="526"/>
      <c r="U660" s="526"/>
      <c r="V660" s="526"/>
      <c r="W660" s="526"/>
      <c r="X660" s="526"/>
      <c r="Y660" s="526"/>
      <c r="Z660" s="526"/>
    </row>
    <row r="661" spans="1:26" ht="18.600000000000001" x14ac:dyDescent="0.3">
      <c r="A661" s="526"/>
      <c r="B661" s="526"/>
      <c r="C661" s="526"/>
      <c r="D661" s="526"/>
      <c r="E661" s="526"/>
      <c r="F661" s="526"/>
      <c r="G661" s="526"/>
      <c r="H661" s="526"/>
      <c r="I661" s="526"/>
      <c r="J661" s="526"/>
      <c r="K661" s="526"/>
      <c r="L661" s="526"/>
      <c r="M661" s="526"/>
      <c r="N661" s="526"/>
      <c r="O661" s="526"/>
      <c r="P661" s="526"/>
      <c r="Q661" s="526"/>
      <c r="R661" s="526"/>
      <c r="S661" s="526"/>
      <c r="T661" s="526"/>
      <c r="U661" s="526"/>
      <c r="V661" s="526"/>
      <c r="W661" s="526"/>
      <c r="X661" s="526"/>
      <c r="Y661" s="526"/>
      <c r="Z661" s="526"/>
    </row>
    <row r="662" spans="1:26" ht="18.600000000000001" x14ac:dyDescent="0.3">
      <c r="A662" s="526"/>
      <c r="B662" s="526"/>
      <c r="C662" s="526"/>
      <c r="D662" s="526"/>
      <c r="E662" s="526"/>
      <c r="F662" s="526"/>
      <c r="G662" s="526"/>
      <c r="H662" s="526"/>
      <c r="I662" s="526"/>
      <c r="J662" s="526"/>
      <c r="K662" s="526"/>
      <c r="L662" s="526"/>
      <c r="M662" s="526"/>
      <c r="N662" s="526"/>
      <c r="O662" s="526"/>
      <c r="P662" s="526"/>
      <c r="Q662" s="526"/>
      <c r="R662" s="526"/>
      <c r="S662" s="526"/>
      <c r="T662" s="526"/>
      <c r="U662" s="526"/>
      <c r="V662" s="526"/>
      <c r="W662" s="526"/>
      <c r="X662" s="526"/>
      <c r="Y662" s="526"/>
      <c r="Z662" s="526"/>
    </row>
    <row r="663" spans="1:26" ht="18.600000000000001" x14ac:dyDescent="0.3">
      <c r="A663" s="526"/>
      <c r="B663" s="526"/>
      <c r="C663" s="526"/>
      <c r="D663" s="526"/>
      <c r="E663" s="526"/>
      <c r="F663" s="526"/>
      <c r="G663" s="526"/>
      <c r="H663" s="526"/>
      <c r="I663" s="526"/>
      <c r="J663" s="526"/>
      <c r="K663" s="526"/>
      <c r="L663" s="526"/>
      <c r="M663" s="526"/>
      <c r="N663" s="526"/>
      <c r="O663" s="526"/>
      <c r="P663" s="526"/>
      <c r="Q663" s="526"/>
      <c r="R663" s="526"/>
      <c r="S663" s="526"/>
      <c r="T663" s="526"/>
      <c r="U663" s="526"/>
      <c r="V663" s="526"/>
      <c r="W663" s="526"/>
      <c r="X663" s="526"/>
      <c r="Y663" s="526"/>
      <c r="Z663" s="526"/>
    </row>
    <row r="664" spans="1:26" ht="18.600000000000001" x14ac:dyDescent="0.3">
      <c r="A664" s="526"/>
      <c r="B664" s="526"/>
      <c r="C664" s="526"/>
      <c r="D664" s="526"/>
      <c r="E664" s="526"/>
      <c r="F664" s="526"/>
      <c r="G664" s="526"/>
      <c r="H664" s="526"/>
      <c r="I664" s="526"/>
      <c r="J664" s="526"/>
      <c r="K664" s="526"/>
      <c r="L664" s="526"/>
      <c r="M664" s="526"/>
      <c r="N664" s="526"/>
      <c r="O664" s="526"/>
      <c r="P664" s="526"/>
      <c r="Q664" s="526"/>
      <c r="R664" s="526"/>
      <c r="S664" s="526"/>
      <c r="T664" s="526"/>
      <c r="U664" s="526"/>
      <c r="V664" s="526"/>
      <c r="W664" s="526"/>
      <c r="X664" s="526"/>
      <c r="Y664" s="526"/>
      <c r="Z664" s="526"/>
    </row>
    <row r="665" spans="1:26" ht="18.600000000000001" x14ac:dyDescent="0.3">
      <c r="A665" s="526"/>
      <c r="B665" s="526"/>
      <c r="C665" s="526"/>
      <c r="D665" s="526"/>
      <c r="E665" s="526"/>
      <c r="F665" s="526"/>
      <c r="G665" s="526"/>
      <c r="H665" s="526"/>
      <c r="I665" s="526"/>
      <c r="J665" s="526"/>
      <c r="K665" s="526"/>
      <c r="L665" s="526"/>
      <c r="M665" s="526"/>
      <c r="N665" s="526"/>
      <c r="O665" s="526"/>
      <c r="P665" s="526"/>
      <c r="Q665" s="526"/>
      <c r="R665" s="526"/>
      <c r="S665" s="526"/>
      <c r="T665" s="526"/>
      <c r="U665" s="526"/>
      <c r="V665" s="526"/>
      <c r="W665" s="526"/>
      <c r="X665" s="526"/>
      <c r="Y665" s="526"/>
      <c r="Z665" s="526"/>
    </row>
    <row r="666" spans="1:26" ht="18.600000000000001" x14ac:dyDescent="0.3">
      <c r="A666" s="526"/>
      <c r="B666" s="526"/>
      <c r="C666" s="526"/>
      <c r="D666" s="526"/>
      <c r="E666" s="526"/>
      <c r="F666" s="526"/>
      <c r="G666" s="526"/>
      <c r="H666" s="526"/>
      <c r="I666" s="526"/>
      <c r="J666" s="526"/>
      <c r="K666" s="526"/>
      <c r="L666" s="526"/>
      <c r="M666" s="526"/>
      <c r="N666" s="526"/>
      <c r="O666" s="526"/>
      <c r="P666" s="526"/>
      <c r="Q666" s="526"/>
      <c r="R666" s="526"/>
      <c r="S666" s="526"/>
      <c r="T666" s="526"/>
      <c r="U666" s="526"/>
      <c r="V666" s="526"/>
      <c r="W666" s="526"/>
      <c r="X666" s="526"/>
      <c r="Y666" s="526"/>
      <c r="Z666" s="526"/>
    </row>
    <row r="667" spans="1:26" ht="18.600000000000001" x14ac:dyDescent="0.3">
      <c r="A667" s="526"/>
      <c r="B667" s="526"/>
      <c r="C667" s="526"/>
      <c r="D667" s="526"/>
      <c r="E667" s="526"/>
      <c r="F667" s="526"/>
      <c r="G667" s="526"/>
      <c r="H667" s="526"/>
      <c r="I667" s="526"/>
      <c r="J667" s="526"/>
      <c r="K667" s="526"/>
      <c r="L667" s="526"/>
      <c r="M667" s="526"/>
      <c r="N667" s="526"/>
      <c r="O667" s="526"/>
      <c r="P667" s="526"/>
      <c r="Q667" s="526"/>
      <c r="R667" s="526"/>
      <c r="S667" s="526"/>
      <c r="T667" s="526"/>
      <c r="U667" s="526"/>
      <c r="V667" s="526"/>
      <c r="W667" s="526"/>
      <c r="X667" s="526"/>
      <c r="Y667" s="526"/>
      <c r="Z667" s="526"/>
    </row>
    <row r="668" spans="1:26" ht="18.600000000000001" x14ac:dyDescent="0.3">
      <c r="A668" s="526"/>
      <c r="B668" s="526"/>
      <c r="C668" s="526"/>
      <c r="D668" s="526"/>
      <c r="E668" s="526"/>
      <c r="F668" s="526"/>
      <c r="G668" s="526"/>
      <c r="H668" s="526"/>
      <c r="I668" s="526"/>
      <c r="J668" s="526"/>
      <c r="K668" s="526"/>
      <c r="L668" s="526"/>
      <c r="M668" s="526"/>
      <c r="N668" s="526"/>
      <c r="O668" s="526"/>
      <c r="P668" s="526"/>
      <c r="Q668" s="526"/>
      <c r="R668" s="526"/>
      <c r="S668" s="526"/>
      <c r="T668" s="526"/>
      <c r="U668" s="526"/>
      <c r="V668" s="526"/>
      <c r="W668" s="526"/>
      <c r="X668" s="526"/>
      <c r="Y668" s="526"/>
      <c r="Z668" s="526"/>
    </row>
    <row r="669" spans="1:26" ht="18.600000000000001" x14ac:dyDescent="0.3">
      <c r="A669" s="526"/>
      <c r="B669" s="526"/>
      <c r="C669" s="526"/>
      <c r="D669" s="526"/>
      <c r="E669" s="526"/>
      <c r="F669" s="526"/>
      <c r="G669" s="526"/>
      <c r="H669" s="526"/>
      <c r="I669" s="526"/>
      <c r="J669" s="526"/>
      <c r="K669" s="526"/>
      <c r="L669" s="526"/>
      <c r="M669" s="526"/>
      <c r="N669" s="526"/>
      <c r="O669" s="526"/>
      <c r="P669" s="526"/>
      <c r="Q669" s="526"/>
      <c r="R669" s="526"/>
      <c r="S669" s="526"/>
      <c r="T669" s="526"/>
      <c r="U669" s="526"/>
      <c r="V669" s="526"/>
      <c r="W669" s="526"/>
      <c r="X669" s="526"/>
      <c r="Y669" s="526"/>
      <c r="Z669" s="526"/>
    </row>
    <row r="670" spans="1:26" ht="18.600000000000001" x14ac:dyDescent="0.3">
      <c r="A670" s="526"/>
      <c r="B670" s="526"/>
      <c r="C670" s="526"/>
      <c r="D670" s="526"/>
      <c r="E670" s="526"/>
      <c r="F670" s="526"/>
      <c r="G670" s="526"/>
      <c r="H670" s="526"/>
      <c r="I670" s="526"/>
      <c r="J670" s="526"/>
      <c r="K670" s="526"/>
      <c r="L670" s="526"/>
      <c r="M670" s="526"/>
      <c r="N670" s="526"/>
      <c r="O670" s="526"/>
      <c r="P670" s="526"/>
      <c r="Q670" s="526"/>
      <c r="R670" s="526"/>
      <c r="S670" s="526"/>
      <c r="T670" s="526"/>
      <c r="U670" s="526"/>
      <c r="V670" s="526"/>
      <c r="W670" s="526"/>
      <c r="X670" s="526"/>
      <c r="Y670" s="526"/>
      <c r="Z670" s="526"/>
    </row>
    <row r="671" spans="1:26" ht="18.600000000000001" x14ac:dyDescent="0.3">
      <c r="A671" s="526"/>
      <c r="B671" s="526"/>
      <c r="C671" s="526"/>
      <c r="D671" s="526"/>
      <c r="E671" s="526"/>
      <c r="F671" s="526"/>
      <c r="G671" s="526"/>
      <c r="H671" s="526"/>
      <c r="I671" s="526"/>
      <c r="J671" s="526"/>
      <c r="K671" s="526"/>
      <c r="L671" s="526"/>
      <c r="M671" s="526"/>
      <c r="N671" s="526"/>
      <c r="O671" s="526"/>
      <c r="P671" s="526"/>
      <c r="Q671" s="526"/>
      <c r="R671" s="526"/>
      <c r="S671" s="526"/>
      <c r="T671" s="526"/>
      <c r="U671" s="526"/>
      <c r="V671" s="526"/>
      <c r="W671" s="526"/>
      <c r="X671" s="526"/>
      <c r="Y671" s="526"/>
      <c r="Z671" s="526"/>
    </row>
    <row r="672" spans="1:26" ht="18.600000000000001" x14ac:dyDescent="0.3">
      <c r="A672" s="526"/>
      <c r="B672" s="526"/>
      <c r="C672" s="526"/>
      <c r="D672" s="526"/>
      <c r="E672" s="526"/>
      <c r="F672" s="526"/>
      <c r="G672" s="526"/>
      <c r="H672" s="526"/>
      <c r="I672" s="526"/>
      <c r="J672" s="526"/>
      <c r="K672" s="526"/>
      <c r="L672" s="526"/>
      <c r="M672" s="526"/>
      <c r="N672" s="526"/>
      <c r="O672" s="526"/>
      <c r="P672" s="526"/>
      <c r="Q672" s="526"/>
      <c r="R672" s="526"/>
      <c r="S672" s="526"/>
      <c r="T672" s="526"/>
      <c r="U672" s="526"/>
      <c r="V672" s="526"/>
      <c r="W672" s="526"/>
      <c r="X672" s="526"/>
      <c r="Y672" s="526"/>
      <c r="Z672" s="526"/>
    </row>
    <row r="673" spans="1:26" ht="18.600000000000001" x14ac:dyDescent="0.3">
      <c r="A673" s="526"/>
      <c r="B673" s="526"/>
      <c r="C673" s="526"/>
      <c r="D673" s="526"/>
      <c r="E673" s="526"/>
      <c r="F673" s="526"/>
      <c r="G673" s="526"/>
      <c r="H673" s="526"/>
      <c r="I673" s="526"/>
      <c r="J673" s="526"/>
      <c r="K673" s="526"/>
      <c r="L673" s="526"/>
      <c r="M673" s="526"/>
      <c r="N673" s="526"/>
      <c r="O673" s="526"/>
      <c r="P673" s="526"/>
      <c r="Q673" s="526"/>
      <c r="R673" s="526"/>
      <c r="S673" s="526"/>
      <c r="T673" s="526"/>
      <c r="U673" s="526"/>
      <c r="V673" s="526"/>
      <c r="W673" s="526"/>
      <c r="X673" s="526"/>
      <c r="Y673" s="526"/>
      <c r="Z673" s="526"/>
    </row>
    <row r="674" spans="1:26" ht="18.600000000000001" x14ac:dyDescent="0.3">
      <c r="A674" s="526"/>
      <c r="B674" s="526"/>
      <c r="C674" s="526"/>
      <c r="D674" s="526"/>
      <c r="E674" s="526"/>
      <c r="F674" s="526"/>
      <c r="G674" s="526"/>
      <c r="H674" s="526"/>
      <c r="I674" s="526"/>
      <c r="J674" s="526"/>
      <c r="K674" s="526"/>
      <c r="L674" s="526"/>
      <c r="M674" s="526"/>
      <c r="N674" s="526"/>
      <c r="O674" s="526"/>
      <c r="P674" s="526"/>
      <c r="Q674" s="526"/>
      <c r="R674" s="526"/>
      <c r="S674" s="526"/>
      <c r="T674" s="526"/>
      <c r="U674" s="526"/>
      <c r="V674" s="526"/>
      <c r="W674" s="526"/>
      <c r="X674" s="526"/>
      <c r="Y674" s="526"/>
      <c r="Z674" s="526"/>
    </row>
    <row r="675" spans="1:26" ht="18.600000000000001" x14ac:dyDescent="0.3">
      <c r="A675" s="526"/>
      <c r="B675" s="526"/>
      <c r="C675" s="526"/>
      <c r="D675" s="526"/>
      <c r="E675" s="526"/>
      <c r="F675" s="526"/>
      <c r="G675" s="526"/>
      <c r="H675" s="526"/>
      <c r="I675" s="526"/>
      <c r="J675" s="526"/>
      <c r="K675" s="526"/>
      <c r="L675" s="526"/>
      <c r="M675" s="526"/>
      <c r="N675" s="526"/>
      <c r="O675" s="526"/>
      <c r="P675" s="526"/>
      <c r="Q675" s="526"/>
      <c r="R675" s="526"/>
      <c r="S675" s="526"/>
      <c r="T675" s="526"/>
      <c r="U675" s="526"/>
      <c r="V675" s="526"/>
      <c r="W675" s="526"/>
      <c r="X675" s="526"/>
      <c r="Y675" s="526"/>
      <c r="Z675" s="526"/>
    </row>
    <row r="676" spans="1:26" ht="18.600000000000001" x14ac:dyDescent="0.3">
      <c r="A676" s="526"/>
      <c r="B676" s="526"/>
      <c r="C676" s="526"/>
      <c r="D676" s="526"/>
      <c r="E676" s="526"/>
      <c r="F676" s="526"/>
      <c r="G676" s="526"/>
      <c r="H676" s="526"/>
      <c r="I676" s="526"/>
      <c r="J676" s="526"/>
      <c r="K676" s="526"/>
      <c r="L676" s="526"/>
      <c r="M676" s="526"/>
      <c r="N676" s="526"/>
      <c r="O676" s="526"/>
      <c r="P676" s="526"/>
      <c r="Q676" s="526"/>
      <c r="R676" s="526"/>
      <c r="S676" s="526"/>
      <c r="T676" s="526"/>
      <c r="U676" s="526"/>
      <c r="V676" s="526"/>
      <c r="W676" s="526"/>
      <c r="X676" s="526"/>
      <c r="Y676" s="526"/>
      <c r="Z676" s="526"/>
    </row>
    <row r="677" spans="1:26" ht="18.600000000000001" x14ac:dyDescent="0.3">
      <c r="A677" s="526"/>
      <c r="B677" s="526"/>
      <c r="C677" s="526"/>
      <c r="D677" s="526"/>
      <c r="E677" s="526"/>
      <c r="F677" s="526"/>
      <c r="G677" s="526"/>
      <c r="H677" s="526"/>
      <c r="I677" s="526"/>
      <c r="J677" s="526"/>
      <c r="K677" s="526"/>
      <c r="L677" s="526"/>
      <c r="M677" s="526"/>
      <c r="N677" s="526"/>
      <c r="O677" s="526"/>
      <c r="P677" s="526"/>
      <c r="Q677" s="526"/>
      <c r="R677" s="526"/>
      <c r="S677" s="526"/>
      <c r="T677" s="526"/>
      <c r="U677" s="526"/>
      <c r="V677" s="526"/>
      <c r="W677" s="526"/>
      <c r="X677" s="526"/>
      <c r="Y677" s="526"/>
      <c r="Z677" s="526"/>
    </row>
    <row r="678" spans="1:26" ht="18.600000000000001" x14ac:dyDescent="0.3">
      <c r="A678" s="526"/>
      <c r="B678" s="526"/>
      <c r="C678" s="526"/>
      <c r="D678" s="526"/>
      <c r="E678" s="526"/>
      <c r="F678" s="526"/>
      <c r="G678" s="526"/>
      <c r="H678" s="526"/>
      <c r="I678" s="526"/>
      <c r="J678" s="526"/>
      <c r="K678" s="526"/>
      <c r="L678" s="526"/>
      <c r="M678" s="526"/>
      <c r="N678" s="526"/>
      <c r="O678" s="526"/>
      <c r="P678" s="526"/>
      <c r="Q678" s="526"/>
      <c r="R678" s="526"/>
      <c r="S678" s="526"/>
      <c r="T678" s="526"/>
      <c r="U678" s="526"/>
      <c r="V678" s="526"/>
      <c r="W678" s="526"/>
      <c r="X678" s="526"/>
      <c r="Y678" s="526"/>
      <c r="Z678" s="526"/>
    </row>
    <row r="679" spans="1:26" ht="18.600000000000001" x14ac:dyDescent="0.3">
      <c r="A679" s="526"/>
      <c r="B679" s="526"/>
      <c r="C679" s="526"/>
      <c r="D679" s="526"/>
      <c r="E679" s="526"/>
      <c r="F679" s="526"/>
      <c r="G679" s="526"/>
      <c r="H679" s="526"/>
      <c r="I679" s="526"/>
      <c r="J679" s="526"/>
      <c r="K679" s="526"/>
      <c r="L679" s="526"/>
      <c r="M679" s="526"/>
      <c r="N679" s="526"/>
      <c r="O679" s="526"/>
      <c r="P679" s="526"/>
      <c r="Q679" s="526"/>
      <c r="R679" s="526"/>
      <c r="S679" s="526"/>
      <c r="T679" s="526"/>
      <c r="U679" s="526"/>
      <c r="V679" s="526"/>
      <c r="W679" s="526"/>
      <c r="X679" s="526"/>
      <c r="Y679" s="526"/>
      <c r="Z679" s="526"/>
    </row>
    <row r="680" spans="1:26" ht="18.600000000000001" x14ac:dyDescent="0.3">
      <c r="A680" s="526"/>
      <c r="B680" s="526"/>
      <c r="C680" s="526"/>
      <c r="D680" s="526"/>
      <c r="E680" s="526"/>
      <c r="F680" s="526"/>
      <c r="G680" s="526"/>
      <c r="H680" s="526"/>
      <c r="I680" s="526"/>
      <c r="J680" s="526"/>
      <c r="K680" s="526"/>
      <c r="L680" s="526"/>
      <c r="M680" s="526"/>
      <c r="N680" s="526"/>
      <c r="O680" s="526"/>
      <c r="P680" s="526"/>
      <c r="Q680" s="526"/>
      <c r="R680" s="526"/>
      <c r="S680" s="526"/>
      <c r="T680" s="526"/>
      <c r="U680" s="526"/>
      <c r="V680" s="526"/>
      <c r="W680" s="526"/>
      <c r="X680" s="526"/>
      <c r="Y680" s="526"/>
      <c r="Z680" s="526"/>
    </row>
    <row r="681" spans="1:26" ht="18.600000000000001" x14ac:dyDescent="0.3">
      <c r="A681" s="526"/>
      <c r="B681" s="526"/>
      <c r="C681" s="526"/>
      <c r="D681" s="526"/>
      <c r="E681" s="526"/>
      <c r="F681" s="526"/>
      <c r="G681" s="526"/>
      <c r="H681" s="526"/>
      <c r="I681" s="526"/>
      <c r="J681" s="526"/>
      <c r="K681" s="526"/>
      <c r="L681" s="526"/>
      <c r="M681" s="526"/>
      <c r="N681" s="526"/>
      <c r="O681" s="526"/>
      <c r="P681" s="526"/>
      <c r="Q681" s="526"/>
      <c r="R681" s="526"/>
      <c r="S681" s="526"/>
      <c r="T681" s="526"/>
      <c r="U681" s="526"/>
      <c r="V681" s="526"/>
      <c r="W681" s="526"/>
      <c r="X681" s="526"/>
      <c r="Y681" s="526"/>
      <c r="Z681" s="526"/>
    </row>
    <row r="682" spans="1:26" ht="18.600000000000001" x14ac:dyDescent="0.3">
      <c r="A682" s="526"/>
      <c r="B682" s="526"/>
      <c r="C682" s="526"/>
      <c r="D682" s="526"/>
      <c r="E682" s="526"/>
      <c r="F682" s="526"/>
      <c r="G682" s="526"/>
      <c r="H682" s="526"/>
      <c r="I682" s="526"/>
      <c r="J682" s="526"/>
      <c r="K682" s="526"/>
      <c r="L682" s="526"/>
      <c r="M682" s="526"/>
      <c r="N682" s="526"/>
      <c r="O682" s="526"/>
      <c r="P682" s="526"/>
      <c r="Q682" s="526"/>
      <c r="R682" s="526"/>
      <c r="S682" s="526"/>
      <c r="T682" s="526"/>
      <c r="U682" s="526"/>
      <c r="V682" s="526"/>
      <c r="W682" s="526"/>
      <c r="X682" s="526"/>
      <c r="Y682" s="526"/>
      <c r="Z682" s="526"/>
    </row>
    <row r="683" spans="1:26" ht="18.600000000000001" x14ac:dyDescent="0.3">
      <c r="A683" s="526"/>
      <c r="B683" s="526"/>
      <c r="C683" s="526"/>
      <c r="D683" s="526"/>
      <c r="E683" s="526"/>
      <c r="F683" s="526"/>
      <c r="G683" s="526"/>
      <c r="H683" s="526"/>
      <c r="I683" s="526"/>
      <c r="J683" s="526"/>
      <c r="K683" s="526"/>
      <c r="L683" s="526"/>
      <c r="M683" s="526"/>
      <c r="N683" s="526"/>
      <c r="O683" s="526"/>
      <c r="P683" s="526"/>
      <c r="Q683" s="526"/>
      <c r="R683" s="526"/>
      <c r="S683" s="526"/>
      <c r="T683" s="526"/>
      <c r="U683" s="526"/>
      <c r="V683" s="526"/>
      <c r="W683" s="526"/>
      <c r="X683" s="526"/>
      <c r="Y683" s="526"/>
      <c r="Z683" s="526"/>
    </row>
    <row r="684" spans="1:26" ht="18.600000000000001" x14ac:dyDescent="0.3">
      <c r="A684" s="526"/>
      <c r="B684" s="526"/>
      <c r="C684" s="526"/>
      <c r="D684" s="526"/>
      <c r="E684" s="526"/>
      <c r="F684" s="526"/>
      <c r="G684" s="526"/>
      <c r="H684" s="526"/>
      <c r="I684" s="526"/>
      <c r="J684" s="526"/>
      <c r="K684" s="526"/>
      <c r="L684" s="526"/>
      <c r="M684" s="526"/>
      <c r="N684" s="526"/>
      <c r="O684" s="526"/>
      <c r="P684" s="526"/>
      <c r="Q684" s="526"/>
      <c r="R684" s="526"/>
      <c r="S684" s="526"/>
      <c r="T684" s="526"/>
      <c r="U684" s="526"/>
      <c r="V684" s="526"/>
      <c r="W684" s="526"/>
      <c r="X684" s="526"/>
      <c r="Y684" s="526"/>
      <c r="Z684" s="526"/>
    </row>
    <row r="685" spans="1:26" ht="18.600000000000001" x14ac:dyDescent="0.3">
      <c r="A685" s="526"/>
      <c r="B685" s="526"/>
      <c r="C685" s="526"/>
      <c r="D685" s="526"/>
      <c r="E685" s="526"/>
      <c r="F685" s="526"/>
      <c r="G685" s="526"/>
      <c r="H685" s="526"/>
      <c r="I685" s="526"/>
      <c r="J685" s="526"/>
      <c r="K685" s="526"/>
      <c r="L685" s="526"/>
      <c r="M685" s="526"/>
      <c r="N685" s="526"/>
      <c r="O685" s="526"/>
      <c r="P685" s="526"/>
      <c r="Q685" s="526"/>
      <c r="R685" s="526"/>
      <c r="S685" s="526"/>
      <c r="T685" s="526"/>
      <c r="U685" s="526"/>
      <c r="V685" s="526"/>
      <c r="W685" s="526"/>
      <c r="X685" s="526"/>
      <c r="Y685" s="526"/>
      <c r="Z685" s="526"/>
    </row>
    <row r="686" spans="1:26" ht="18.600000000000001" x14ac:dyDescent="0.3">
      <c r="A686" s="526"/>
      <c r="B686" s="526"/>
      <c r="C686" s="526"/>
      <c r="D686" s="526"/>
      <c r="E686" s="526"/>
      <c r="F686" s="526"/>
      <c r="G686" s="526"/>
      <c r="H686" s="526"/>
      <c r="I686" s="526"/>
      <c r="J686" s="526"/>
      <c r="K686" s="526"/>
      <c r="L686" s="526"/>
      <c r="M686" s="526"/>
      <c r="N686" s="526"/>
      <c r="O686" s="526"/>
      <c r="P686" s="526"/>
      <c r="Q686" s="526"/>
      <c r="R686" s="526"/>
      <c r="S686" s="526"/>
      <c r="T686" s="526"/>
      <c r="U686" s="526"/>
      <c r="V686" s="526"/>
      <c r="W686" s="526"/>
      <c r="X686" s="526"/>
      <c r="Y686" s="526"/>
      <c r="Z686" s="526"/>
    </row>
    <row r="687" spans="1:26" ht="18.600000000000001" x14ac:dyDescent="0.3">
      <c r="A687" s="526"/>
      <c r="B687" s="526"/>
      <c r="C687" s="526"/>
      <c r="D687" s="526"/>
      <c r="E687" s="526"/>
      <c r="F687" s="526"/>
      <c r="G687" s="526"/>
      <c r="H687" s="526"/>
      <c r="I687" s="526"/>
      <c r="J687" s="526"/>
      <c r="K687" s="526"/>
      <c r="L687" s="526"/>
      <c r="M687" s="526"/>
      <c r="N687" s="526"/>
      <c r="O687" s="526"/>
      <c r="P687" s="526"/>
      <c r="Q687" s="526"/>
      <c r="R687" s="526"/>
      <c r="S687" s="526"/>
      <c r="T687" s="526"/>
      <c r="U687" s="526"/>
      <c r="V687" s="526"/>
      <c r="W687" s="526"/>
      <c r="X687" s="526"/>
      <c r="Y687" s="526"/>
      <c r="Z687" s="526"/>
    </row>
    <row r="688" spans="1:26" ht="18.600000000000001" x14ac:dyDescent="0.3">
      <c r="A688" s="526"/>
      <c r="B688" s="526"/>
      <c r="C688" s="526"/>
      <c r="D688" s="526"/>
      <c r="E688" s="526"/>
      <c r="F688" s="526"/>
      <c r="G688" s="526"/>
      <c r="H688" s="526"/>
      <c r="I688" s="526"/>
      <c r="J688" s="526"/>
      <c r="K688" s="526"/>
      <c r="L688" s="526"/>
      <c r="M688" s="526"/>
      <c r="N688" s="526"/>
      <c r="O688" s="526"/>
      <c r="P688" s="526"/>
      <c r="Q688" s="526"/>
      <c r="R688" s="526"/>
      <c r="S688" s="526"/>
      <c r="T688" s="526"/>
      <c r="U688" s="526"/>
      <c r="V688" s="526"/>
      <c r="W688" s="526"/>
      <c r="X688" s="526"/>
      <c r="Y688" s="526"/>
      <c r="Z688" s="526"/>
    </row>
    <row r="689" spans="1:26" ht="18.600000000000001" x14ac:dyDescent="0.3">
      <c r="A689" s="526"/>
      <c r="B689" s="526"/>
      <c r="C689" s="526"/>
      <c r="D689" s="526"/>
      <c r="E689" s="526"/>
      <c r="F689" s="526"/>
      <c r="G689" s="526"/>
      <c r="H689" s="526"/>
      <c r="I689" s="526"/>
      <c r="J689" s="526"/>
      <c r="K689" s="526"/>
      <c r="L689" s="526"/>
      <c r="M689" s="526"/>
      <c r="N689" s="526"/>
      <c r="O689" s="526"/>
      <c r="P689" s="526"/>
      <c r="Q689" s="526"/>
      <c r="R689" s="526"/>
      <c r="S689" s="526"/>
      <c r="T689" s="526"/>
      <c r="U689" s="526"/>
      <c r="V689" s="526"/>
      <c r="W689" s="526"/>
      <c r="X689" s="526"/>
      <c r="Y689" s="526"/>
      <c r="Z689" s="526"/>
    </row>
    <row r="690" spans="1:26" ht="18.600000000000001" x14ac:dyDescent="0.3">
      <c r="A690" s="526"/>
      <c r="B690" s="526"/>
      <c r="C690" s="526"/>
      <c r="D690" s="526"/>
      <c r="E690" s="526"/>
      <c r="F690" s="526"/>
      <c r="G690" s="526"/>
      <c r="H690" s="526"/>
      <c r="I690" s="526"/>
      <c r="J690" s="526"/>
      <c r="K690" s="526"/>
      <c r="L690" s="526"/>
      <c r="M690" s="526"/>
      <c r="N690" s="526"/>
      <c r="O690" s="526"/>
      <c r="P690" s="526"/>
      <c r="Q690" s="526"/>
      <c r="R690" s="526"/>
      <c r="S690" s="526"/>
      <c r="T690" s="526"/>
      <c r="U690" s="526"/>
      <c r="V690" s="526"/>
      <c r="W690" s="526"/>
      <c r="X690" s="526"/>
      <c r="Y690" s="526"/>
      <c r="Z690" s="526"/>
    </row>
    <row r="691" spans="1:26" ht="18.600000000000001" x14ac:dyDescent="0.3">
      <c r="A691" s="526"/>
      <c r="B691" s="526"/>
      <c r="C691" s="526"/>
      <c r="D691" s="526"/>
      <c r="E691" s="526"/>
      <c r="F691" s="526"/>
      <c r="G691" s="526"/>
      <c r="H691" s="526"/>
      <c r="I691" s="526"/>
      <c r="J691" s="526"/>
      <c r="K691" s="526"/>
      <c r="L691" s="526"/>
      <c r="M691" s="526"/>
      <c r="N691" s="526"/>
      <c r="O691" s="526"/>
      <c r="P691" s="526"/>
      <c r="Q691" s="526"/>
      <c r="R691" s="526"/>
      <c r="S691" s="526"/>
      <c r="T691" s="526"/>
      <c r="U691" s="526"/>
      <c r="V691" s="526"/>
      <c r="W691" s="526"/>
      <c r="X691" s="526"/>
      <c r="Y691" s="526"/>
      <c r="Z691" s="526"/>
    </row>
    <row r="692" spans="1:26" ht="18.600000000000001" x14ac:dyDescent="0.3">
      <c r="A692" s="526"/>
      <c r="B692" s="526"/>
      <c r="C692" s="526"/>
      <c r="D692" s="526"/>
      <c r="E692" s="526"/>
      <c r="F692" s="526"/>
      <c r="G692" s="526"/>
      <c r="H692" s="526"/>
      <c r="I692" s="526"/>
      <c r="J692" s="526"/>
      <c r="K692" s="526"/>
      <c r="L692" s="526"/>
      <c r="M692" s="526"/>
      <c r="N692" s="526"/>
      <c r="O692" s="526"/>
      <c r="P692" s="526"/>
      <c r="Q692" s="526"/>
      <c r="R692" s="526"/>
      <c r="S692" s="526"/>
      <c r="T692" s="526"/>
      <c r="U692" s="526"/>
      <c r="V692" s="526"/>
      <c r="W692" s="526"/>
      <c r="X692" s="526"/>
      <c r="Y692" s="526"/>
      <c r="Z692" s="526"/>
    </row>
    <row r="693" spans="1:26" ht="18.600000000000001" x14ac:dyDescent="0.3">
      <c r="A693" s="526"/>
      <c r="B693" s="526"/>
      <c r="C693" s="526"/>
      <c r="D693" s="526"/>
      <c r="E693" s="526"/>
      <c r="F693" s="526"/>
      <c r="G693" s="526"/>
      <c r="H693" s="526"/>
      <c r="I693" s="526"/>
      <c r="J693" s="526"/>
      <c r="K693" s="526"/>
      <c r="L693" s="526"/>
      <c r="M693" s="526"/>
      <c r="N693" s="526"/>
      <c r="O693" s="526"/>
      <c r="P693" s="526"/>
      <c r="Q693" s="526"/>
      <c r="R693" s="526"/>
      <c r="S693" s="526"/>
      <c r="T693" s="526"/>
      <c r="U693" s="526"/>
      <c r="V693" s="526"/>
      <c r="W693" s="526"/>
      <c r="X693" s="526"/>
      <c r="Y693" s="526"/>
      <c r="Z693" s="526"/>
    </row>
    <row r="694" spans="1:26" ht="18.600000000000001" x14ac:dyDescent="0.3">
      <c r="A694" s="526"/>
      <c r="B694" s="526"/>
      <c r="C694" s="526"/>
      <c r="D694" s="526"/>
      <c r="E694" s="526"/>
      <c r="F694" s="526"/>
      <c r="G694" s="526"/>
      <c r="H694" s="526"/>
      <c r="I694" s="526"/>
      <c r="J694" s="526"/>
      <c r="K694" s="526"/>
      <c r="L694" s="526"/>
      <c r="M694" s="526"/>
      <c r="N694" s="526"/>
      <c r="O694" s="526"/>
      <c r="P694" s="526"/>
      <c r="Q694" s="526"/>
      <c r="R694" s="526"/>
      <c r="S694" s="526"/>
      <c r="T694" s="526"/>
      <c r="U694" s="526"/>
      <c r="V694" s="526"/>
      <c r="W694" s="526"/>
      <c r="X694" s="526"/>
      <c r="Y694" s="526"/>
      <c r="Z694" s="526"/>
    </row>
    <row r="695" spans="1:26" ht="18.600000000000001" x14ac:dyDescent="0.3">
      <c r="A695" s="526"/>
      <c r="B695" s="526"/>
      <c r="C695" s="526"/>
      <c r="D695" s="526"/>
      <c r="E695" s="526"/>
      <c r="F695" s="526"/>
      <c r="G695" s="526"/>
      <c r="H695" s="526"/>
      <c r="I695" s="526"/>
      <c r="J695" s="526"/>
      <c r="K695" s="526"/>
      <c r="L695" s="526"/>
      <c r="M695" s="526"/>
      <c r="N695" s="526"/>
      <c r="O695" s="526"/>
      <c r="P695" s="526"/>
      <c r="Q695" s="526"/>
      <c r="R695" s="526"/>
      <c r="S695" s="526"/>
      <c r="T695" s="526"/>
      <c r="U695" s="526"/>
      <c r="V695" s="526"/>
      <c r="W695" s="526"/>
      <c r="X695" s="526"/>
      <c r="Y695" s="526"/>
      <c r="Z695" s="526"/>
    </row>
    <row r="696" spans="1:26" ht="18.600000000000001" x14ac:dyDescent="0.3">
      <c r="A696" s="526"/>
      <c r="B696" s="526"/>
      <c r="C696" s="526"/>
      <c r="D696" s="526"/>
      <c r="E696" s="526"/>
      <c r="F696" s="526"/>
      <c r="G696" s="526"/>
      <c r="H696" s="526"/>
      <c r="I696" s="526"/>
      <c r="J696" s="526"/>
      <c r="K696" s="526"/>
      <c r="L696" s="526"/>
      <c r="M696" s="526"/>
      <c r="N696" s="526"/>
      <c r="O696" s="526"/>
      <c r="P696" s="526"/>
      <c r="Q696" s="526"/>
      <c r="R696" s="526"/>
      <c r="S696" s="526"/>
      <c r="T696" s="526"/>
      <c r="U696" s="526"/>
      <c r="V696" s="526"/>
      <c r="W696" s="526"/>
      <c r="X696" s="526"/>
      <c r="Y696" s="526"/>
      <c r="Z696" s="526"/>
    </row>
    <row r="697" spans="1:26" ht="18.600000000000001" x14ac:dyDescent="0.3">
      <c r="A697" s="526"/>
      <c r="B697" s="526"/>
      <c r="C697" s="526"/>
      <c r="D697" s="526"/>
      <c r="E697" s="526"/>
      <c r="F697" s="526"/>
      <c r="G697" s="526"/>
      <c r="H697" s="526"/>
      <c r="I697" s="526"/>
      <c r="J697" s="526"/>
      <c r="K697" s="526"/>
      <c r="L697" s="526"/>
      <c r="M697" s="526"/>
      <c r="N697" s="526"/>
      <c r="O697" s="526"/>
      <c r="P697" s="526"/>
      <c r="Q697" s="526"/>
      <c r="R697" s="526"/>
      <c r="S697" s="526"/>
      <c r="T697" s="526"/>
      <c r="U697" s="526"/>
      <c r="V697" s="526"/>
      <c r="W697" s="526"/>
      <c r="X697" s="526"/>
      <c r="Y697" s="526"/>
      <c r="Z697" s="526"/>
    </row>
    <row r="698" spans="1:26" ht="18.600000000000001" x14ac:dyDescent="0.3">
      <c r="A698" s="526"/>
      <c r="B698" s="526"/>
      <c r="C698" s="526"/>
      <c r="D698" s="526"/>
      <c r="E698" s="526"/>
      <c r="F698" s="526"/>
      <c r="G698" s="526"/>
      <c r="H698" s="526"/>
      <c r="I698" s="526"/>
      <c r="J698" s="526"/>
      <c r="K698" s="526"/>
      <c r="L698" s="526"/>
      <c r="M698" s="526"/>
      <c r="N698" s="526"/>
      <c r="O698" s="526"/>
      <c r="P698" s="526"/>
      <c r="Q698" s="526"/>
      <c r="R698" s="526"/>
      <c r="S698" s="526"/>
      <c r="T698" s="526"/>
      <c r="U698" s="526"/>
      <c r="V698" s="526"/>
      <c r="W698" s="526"/>
      <c r="X698" s="526"/>
      <c r="Y698" s="526"/>
      <c r="Z698" s="526"/>
    </row>
    <row r="699" spans="1:26" ht="18.600000000000001" x14ac:dyDescent="0.3">
      <c r="A699" s="526"/>
      <c r="B699" s="526"/>
      <c r="C699" s="526"/>
      <c r="D699" s="526"/>
      <c r="E699" s="526"/>
      <c r="F699" s="526"/>
      <c r="G699" s="526"/>
      <c r="H699" s="526"/>
      <c r="I699" s="526"/>
      <c r="J699" s="526"/>
      <c r="K699" s="526"/>
      <c r="L699" s="526"/>
      <c r="M699" s="526"/>
      <c r="N699" s="526"/>
      <c r="O699" s="526"/>
      <c r="P699" s="526"/>
      <c r="Q699" s="526"/>
      <c r="R699" s="526"/>
      <c r="S699" s="526"/>
      <c r="T699" s="526"/>
      <c r="U699" s="526"/>
      <c r="V699" s="526"/>
      <c r="W699" s="526"/>
      <c r="X699" s="526"/>
      <c r="Y699" s="526"/>
      <c r="Z699" s="526"/>
    </row>
    <row r="700" spans="1:26" ht="18.600000000000001" x14ac:dyDescent="0.3">
      <c r="A700" s="526"/>
      <c r="B700" s="526"/>
      <c r="C700" s="526"/>
      <c r="D700" s="526"/>
      <c r="E700" s="526"/>
      <c r="F700" s="526"/>
      <c r="G700" s="526"/>
      <c r="H700" s="526"/>
      <c r="I700" s="526"/>
      <c r="J700" s="526"/>
      <c r="K700" s="526"/>
      <c r="L700" s="526"/>
      <c r="M700" s="526"/>
      <c r="N700" s="526"/>
      <c r="O700" s="526"/>
      <c r="P700" s="526"/>
      <c r="Q700" s="526"/>
      <c r="R700" s="526"/>
      <c r="S700" s="526"/>
      <c r="T700" s="526"/>
      <c r="U700" s="526"/>
      <c r="V700" s="526"/>
      <c r="W700" s="526"/>
      <c r="X700" s="526"/>
      <c r="Y700" s="526"/>
      <c r="Z700" s="526"/>
    </row>
    <row r="701" spans="1:26" ht="18.600000000000001" x14ac:dyDescent="0.3">
      <c r="A701" s="526"/>
      <c r="B701" s="526"/>
      <c r="C701" s="526"/>
      <c r="D701" s="526"/>
      <c r="E701" s="526"/>
      <c r="F701" s="526"/>
      <c r="G701" s="526"/>
      <c r="H701" s="526"/>
      <c r="I701" s="526"/>
      <c r="J701" s="526"/>
      <c r="K701" s="526"/>
      <c r="L701" s="526"/>
      <c r="M701" s="526"/>
      <c r="N701" s="526"/>
      <c r="O701" s="526"/>
      <c r="P701" s="526"/>
      <c r="Q701" s="526"/>
      <c r="R701" s="526"/>
      <c r="S701" s="526"/>
      <c r="T701" s="526"/>
      <c r="U701" s="526"/>
      <c r="V701" s="526"/>
      <c r="W701" s="526"/>
      <c r="X701" s="526"/>
      <c r="Y701" s="526"/>
      <c r="Z701" s="526"/>
    </row>
    <row r="702" spans="1:26" ht="18.600000000000001" x14ac:dyDescent="0.3">
      <c r="A702" s="526"/>
      <c r="B702" s="526"/>
      <c r="C702" s="526"/>
      <c r="D702" s="526"/>
      <c r="E702" s="526"/>
      <c r="F702" s="526"/>
      <c r="G702" s="526"/>
      <c r="H702" s="526"/>
      <c r="I702" s="526"/>
      <c r="J702" s="526"/>
      <c r="K702" s="526"/>
      <c r="L702" s="526"/>
      <c r="M702" s="526"/>
      <c r="N702" s="526"/>
      <c r="O702" s="526"/>
      <c r="P702" s="526"/>
      <c r="Q702" s="526"/>
      <c r="R702" s="526"/>
      <c r="S702" s="526"/>
      <c r="T702" s="526"/>
      <c r="U702" s="526"/>
      <c r="V702" s="526"/>
      <c r="W702" s="526"/>
      <c r="X702" s="526"/>
      <c r="Y702" s="526"/>
      <c r="Z702" s="526"/>
    </row>
    <row r="703" spans="1:26" ht="18.600000000000001" x14ac:dyDescent="0.3">
      <c r="A703" s="526"/>
      <c r="B703" s="526"/>
      <c r="C703" s="526"/>
      <c r="D703" s="526"/>
      <c r="E703" s="526"/>
      <c r="F703" s="526"/>
      <c r="G703" s="526"/>
      <c r="H703" s="526"/>
      <c r="I703" s="526"/>
      <c r="J703" s="526"/>
      <c r="K703" s="526"/>
      <c r="L703" s="526"/>
      <c r="M703" s="526"/>
      <c r="N703" s="526"/>
      <c r="O703" s="526"/>
      <c r="P703" s="526"/>
      <c r="Q703" s="526"/>
      <c r="R703" s="526"/>
      <c r="S703" s="526"/>
      <c r="T703" s="526"/>
      <c r="U703" s="526"/>
      <c r="V703" s="526"/>
      <c r="W703" s="526"/>
      <c r="X703" s="526"/>
      <c r="Y703" s="526"/>
      <c r="Z703" s="526"/>
    </row>
    <row r="704" spans="1:26" ht="18.600000000000001" x14ac:dyDescent="0.3">
      <c r="A704" s="526"/>
      <c r="B704" s="526"/>
      <c r="C704" s="526"/>
      <c r="D704" s="526"/>
      <c r="E704" s="526"/>
      <c r="F704" s="526"/>
      <c r="G704" s="526"/>
      <c r="H704" s="526"/>
      <c r="I704" s="526"/>
      <c r="J704" s="526"/>
      <c r="K704" s="526"/>
      <c r="L704" s="526"/>
      <c r="M704" s="526"/>
      <c r="N704" s="526"/>
      <c r="O704" s="526"/>
      <c r="P704" s="526"/>
      <c r="Q704" s="526"/>
      <c r="R704" s="526"/>
      <c r="S704" s="526"/>
      <c r="T704" s="526"/>
      <c r="U704" s="526"/>
      <c r="V704" s="526"/>
      <c r="W704" s="526"/>
      <c r="X704" s="526"/>
      <c r="Y704" s="526"/>
      <c r="Z704" s="526"/>
    </row>
    <row r="705" spans="1:26" ht="18.600000000000001" x14ac:dyDescent="0.3">
      <c r="A705" s="526"/>
      <c r="B705" s="526"/>
      <c r="C705" s="526"/>
      <c r="D705" s="526"/>
      <c r="E705" s="526"/>
      <c r="F705" s="526"/>
      <c r="G705" s="526"/>
      <c r="H705" s="526"/>
      <c r="I705" s="526"/>
      <c r="J705" s="526"/>
      <c r="K705" s="526"/>
      <c r="L705" s="526"/>
      <c r="M705" s="526"/>
      <c r="N705" s="526"/>
      <c r="O705" s="526"/>
      <c r="P705" s="526"/>
      <c r="Q705" s="526"/>
      <c r="R705" s="526"/>
      <c r="S705" s="526"/>
      <c r="T705" s="526"/>
      <c r="U705" s="526"/>
      <c r="V705" s="526"/>
      <c r="W705" s="526"/>
      <c r="X705" s="526"/>
      <c r="Y705" s="526"/>
      <c r="Z705" s="526"/>
    </row>
    <row r="706" spans="1:26" ht="18.600000000000001" x14ac:dyDescent="0.3">
      <c r="A706" s="526"/>
      <c r="B706" s="526"/>
      <c r="C706" s="526"/>
      <c r="D706" s="526"/>
      <c r="E706" s="526"/>
      <c r="F706" s="526"/>
      <c r="G706" s="526"/>
      <c r="H706" s="526"/>
      <c r="I706" s="526"/>
      <c r="J706" s="526"/>
      <c r="K706" s="526"/>
      <c r="L706" s="526"/>
      <c r="M706" s="526"/>
      <c r="N706" s="526"/>
      <c r="O706" s="526"/>
      <c r="P706" s="526"/>
      <c r="Q706" s="526"/>
      <c r="R706" s="526"/>
      <c r="S706" s="526"/>
      <c r="T706" s="526"/>
      <c r="U706" s="526"/>
      <c r="V706" s="526"/>
      <c r="W706" s="526"/>
      <c r="X706" s="526"/>
      <c r="Y706" s="526"/>
      <c r="Z706" s="526"/>
    </row>
    <row r="707" spans="1:26" ht="18.600000000000001" x14ac:dyDescent="0.3">
      <c r="A707" s="526"/>
      <c r="B707" s="526"/>
      <c r="C707" s="526"/>
      <c r="D707" s="526"/>
      <c r="E707" s="526"/>
      <c r="F707" s="526"/>
      <c r="G707" s="526"/>
      <c r="H707" s="526"/>
      <c r="I707" s="526"/>
      <c r="J707" s="526"/>
      <c r="K707" s="526"/>
      <c r="L707" s="526"/>
      <c r="M707" s="526"/>
      <c r="N707" s="526"/>
      <c r="O707" s="526"/>
      <c r="P707" s="526"/>
      <c r="Q707" s="526"/>
      <c r="R707" s="526"/>
      <c r="S707" s="526"/>
      <c r="T707" s="526"/>
      <c r="U707" s="526"/>
      <c r="V707" s="526"/>
      <c r="W707" s="526"/>
      <c r="X707" s="526"/>
      <c r="Y707" s="526"/>
      <c r="Z707" s="526"/>
    </row>
    <row r="708" spans="1:26" ht="18.600000000000001" x14ac:dyDescent="0.3">
      <c r="A708" s="526"/>
      <c r="B708" s="526"/>
      <c r="C708" s="526"/>
      <c r="D708" s="526"/>
      <c r="E708" s="526"/>
      <c r="F708" s="526"/>
      <c r="G708" s="526"/>
      <c r="H708" s="526"/>
      <c r="I708" s="526"/>
      <c r="J708" s="526"/>
      <c r="K708" s="526"/>
      <c r="L708" s="526"/>
      <c r="M708" s="526"/>
      <c r="N708" s="526"/>
      <c r="O708" s="526"/>
      <c r="P708" s="526"/>
      <c r="Q708" s="526"/>
      <c r="R708" s="526"/>
      <c r="S708" s="526"/>
      <c r="T708" s="526"/>
      <c r="U708" s="526"/>
      <c r="V708" s="526"/>
      <c r="W708" s="526"/>
      <c r="X708" s="526"/>
      <c r="Y708" s="526"/>
      <c r="Z708" s="526"/>
    </row>
    <row r="709" spans="1:26" ht="18.600000000000001" x14ac:dyDescent="0.3">
      <c r="A709" s="526"/>
      <c r="B709" s="526"/>
      <c r="C709" s="526"/>
      <c r="D709" s="526"/>
      <c r="E709" s="526"/>
      <c r="F709" s="526"/>
      <c r="G709" s="526"/>
      <c r="H709" s="526"/>
      <c r="I709" s="526"/>
      <c r="J709" s="526"/>
      <c r="K709" s="526"/>
      <c r="L709" s="526"/>
      <c r="M709" s="526"/>
      <c r="N709" s="526"/>
      <c r="O709" s="526"/>
      <c r="P709" s="526"/>
      <c r="Q709" s="526"/>
      <c r="R709" s="526"/>
      <c r="S709" s="526"/>
      <c r="T709" s="526"/>
      <c r="U709" s="526"/>
      <c r="V709" s="526"/>
      <c r="W709" s="526"/>
      <c r="X709" s="526"/>
      <c r="Y709" s="526"/>
      <c r="Z709" s="526"/>
    </row>
    <row r="710" spans="1:26" ht="18.600000000000001" x14ac:dyDescent="0.3">
      <c r="A710" s="526"/>
      <c r="B710" s="526"/>
      <c r="C710" s="526"/>
      <c r="D710" s="526"/>
      <c r="E710" s="526"/>
      <c r="F710" s="526"/>
      <c r="G710" s="526"/>
      <c r="H710" s="526"/>
      <c r="I710" s="526"/>
      <c r="J710" s="526"/>
      <c r="K710" s="526"/>
      <c r="L710" s="526"/>
      <c r="M710" s="526"/>
      <c r="N710" s="526"/>
      <c r="O710" s="526"/>
      <c r="P710" s="526"/>
      <c r="Q710" s="526"/>
      <c r="R710" s="526"/>
      <c r="S710" s="526"/>
      <c r="T710" s="526"/>
      <c r="U710" s="526"/>
      <c r="V710" s="526"/>
      <c r="W710" s="526"/>
      <c r="X710" s="526"/>
      <c r="Y710" s="526"/>
      <c r="Z710" s="526"/>
    </row>
    <row r="711" spans="1:26" ht="18.600000000000001" x14ac:dyDescent="0.3">
      <c r="A711" s="526"/>
      <c r="B711" s="526"/>
      <c r="C711" s="526"/>
      <c r="D711" s="526"/>
      <c r="E711" s="526"/>
      <c r="F711" s="526"/>
      <c r="G711" s="526"/>
      <c r="H711" s="526"/>
      <c r="I711" s="526"/>
      <c r="J711" s="526"/>
      <c r="K711" s="526"/>
      <c r="L711" s="526"/>
      <c r="M711" s="526"/>
      <c r="N711" s="526"/>
      <c r="O711" s="526"/>
      <c r="P711" s="526"/>
      <c r="Q711" s="526"/>
      <c r="R711" s="526"/>
      <c r="S711" s="526"/>
      <c r="T711" s="526"/>
      <c r="U711" s="526"/>
      <c r="V711" s="526"/>
      <c r="W711" s="526"/>
      <c r="X711" s="526"/>
      <c r="Y711" s="526"/>
      <c r="Z711" s="526"/>
    </row>
    <row r="712" spans="1:26" ht="18.600000000000001" x14ac:dyDescent="0.3">
      <c r="A712" s="526"/>
      <c r="B712" s="526"/>
      <c r="C712" s="526"/>
      <c r="D712" s="526"/>
      <c r="E712" s="526"/>
      <c r="F712" s="526"/>
      <c r="G712" s="526"/>
      <c r="H712" s="526"/>
      <c r="I712" s="526"/>
      <c r="J712" s="526"/>
      <c r="K712" s="526"/>
      <c r="L712" s="526"/>
      <c r="M712" s="526"/>
      <c r="N712" s="526"/>
      <c r="O712" s="526"/>
      <c r="P712" s="526"/>
      <c r="Q712" s="526"/>
      <c r="R712" s="526"/>
      <c r="S712" s="526"/>
      <c r="T712" s="526"/>
      <c r="U712" s="526"/>
      <c r="V712" s="526"/>
      <c r="W712" s="526"/>
      <c r="X712" s="526"/>
      <c r="Y712" s="526"/>
      <c r="Z712" s="526"/>
    </row>
    <row r="713" spans="1:26" ht="18.600000000000001" x14ac:dyDescent="0.3">
      <c r="A713" s="526"/>
      <c r="B713" s="526"/>
      <c r="C713" s="526"/>
      <c r="D713" s="526"/>
      <c r="E713" s="526"/>
      <c r="F713" s="526"/>
      <c r="G713" s="526"/>
      <c r="H713" s="526"/>
      <c r="I713" s="526"/>
      <c r="J713" s="526"/>
      <c r="K713" s="526"/>
      <c r="L713" s="526"/>
      <c r="M713" s="526"/>
      <c r="N713" s="526"/>
      <c r="O713" s="526"/>
      <c r="P713" s="526"/>
      <c r="Q713" s="526"/>
      <c r="R713" s="526"/>
      <c r="S713" s="526"/>
      <c r="T713" s="526"/>
      <c r="U713" s="526"/>
      <c r="V713" s="526"/>
      <c r="W713" s="526"/>
      <c r="X713" s="526"/>
      <c r="Y713" s="526"/>
      <c r="Z713" s="526"/>
    </row>
    <row r="714" spans="1:26" ht="18.600000000000001" x14ac:dyDescent="0.3">
      <c r="A714" s="526"/>
      <c r="B714" s="526"/>
      <c r="C714" s="526"/>
      <c r="D714" s="526"/>
      <c r="E714" s="526"/>
      <c r="F714" s="526"/>
      <c r="G714" s="526"/>
      <c r="H714" s="526"/>
      <c r="I714" s="526"/>
      <c r="J714" s="526"/>
      <c r="K714" s="526"/>
      <c r="L714" s="526"/>
      <c r="M714" s="526"/>
      <c r="N714" s="526"/>
      <c r="O714" s="526"/>
      <c r="P714" s="526"/>
      <c r="Q714" s="526"/>
      <c r="R714" s="526"/>
      <c r="S714" s="526"/>
      <c r="T714" s="526"/>
      <c r="U714" s="526"/>
      <c r="V714" s="526"/>
      <c r="W714" s="526"/>
      <c r="X714" s="526"/>
      <c r="Y714" s="526"/>
      <c r="Z714" s="526"/>
    </row>
    <row r="715" spans="1:26" ht="18.600000000000001" x14ac:dyDescent="0.3">
      <c r="A715" s="526"/>
      <c r="B715" s="526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</row>
    <row r="716" spans="1:26" ht="18.600000000000001" x14ac:dyDescent="0.3">
      <c r="A716" s="526"/>
      <c r="B716" s="526"/>
      <c r="C716" s="526"/>
      <c r="D716" s="526"/>
      <c r="E716" s="526"/>
      <c r="F716" s="526"/>
      <c r="G716" s="526"/>
      <c r="H716" s="526"/>
      <c r="I716" s="526"/>
      <c r="J716" s="526"/>
      <c r="K716" s="526"/>
      <c r="L716" s="526"/>
      <c r="M716" s="526"/>
      <c r="N716" s="526"/>
      <c r="O716" s="526"/>
      <c r="P716" s="526"/>
      <c r="Q716" s="526"/>
      <c r="R716" s="526"/>
      <c r="S716" s="526"/>
      <c r="T716" s="526"/>
      <c r="U716" s="526"/>
      <c r="V716" s="526"/>
      <c r="W716" s="526"/>
      <c r="X716" s="526"/>
      <c r="Y716" s="526"/>
      <c r="Z716" s="526"/>
    </row>
    <row r="717" spans="1:26" ht="18.600000000000001" x14ac:dyDescent="0.3">
      <c r="A717" s="526"/>
      <c r="B717" s="526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</row>
    <row r="718" spans="1:26" ht="18.600000000000001" x14ac:dyDescent="0.3">
      <c r="A718" s="526"/>
      <c r="B718" s="526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</row>
    <row r="719" spans="1:26" ht="18.600000000000001" x14ac:dyDescent="0.3">
      <c r="A719" s="526"/>
      <c r="B719" s="526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</row>
    <row r="720" spans="1:26" ht="18.600000000000001" x14ac:dyDescent="0.3">
      <c r="A720" s="526"/>
      <c r="B720" s="526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</row>
    <row r="721" spans="1:26" ht="18.600000000000001" x14ac:dyDescent="0.3">
      <c r="A721" s="526"/>
      <c r="B721" s="526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</row>
    <row r="722" spans="1:26" ht="18.600000000000001" x14ac:dyDescent="0.3">
      <c r="A722" s="526"/>
      <c r="B722" s="526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</row>
    <row r="723" spans="1:26" ht="18.600000000000001" x14ac:dyDescent="0.3">
      <c r="A723" s="526"/>
      <c r="B723" s="526"/>
      <c r="C723" s="526"/>
      <c r="D723" s="526"/>
      <c r="E723" s="526"/>
      <c r="F723" s="526"/>
      <c r="G723" s="526"/>
      <c r="H723" s="526"/>
      <c r="I723" s="526"/>
      <c r="J723" s="526"/>
      <c r="K723" s="526"/>
      <c r="L723" s="526"/>
      <c r="M723" s="526"/>
      <c r="N723" s="526"/>
      <c r="O723" s="526"/>
      <c r="P723" s="526"/>
      <c r="Q723" s="526"/>
      <c r="R723" s="526"/>
      <c r="S723" s="526"/>
      <c r="T723" s="526"/>
      <c r="U723" s="526"/>
      <c r="V723" s="526"/>
      <c r="W723" s="526"/>
      <c r="X723" s="526"/>
      <c r="Y723" s="526"/>
      <c r="Z723" s="526"/>
    </row>
    <row r="724" spans="1:26" ht="18.600000000000001" x14ac:dyDescent="0.3">
      <c r="A724" s="526"/>
      <c r="B724" s="526"/>
      <c r="C724" s="526"/>
      <c r="D724" s="526"/>
      <c r="E724" s="526"/>
      <c r="F724" s="526"/>
      <c r="G724" s="526"/>
      <c r="H724" s="526"/>
      <c r="I724" s="526"/>
      <c r="J724" s="526"/>
      <c r="K724" s="526"/>
      <c r="L724" s="526"/>
      <c r="M724" s="526"/>
      <c r="N724" s="526"/>
      <c r="O724" s="526"/>
      <c r="P724" s="526"/>
      <c r="Q724" s="526"/>
      <c r="R724" s="526"/>
      <c r="S724" s="526"/>
      <c r="T724" s="526"/>
      <c r="U724" s="526"/>
      <c r="V724" s="526"/>
      <c r="W724" s="526"/>
      <c r="X724" s="526"/>
      <c r="Y724" s="526"/>
      <c r="Z724" s="526"/>
    </row>
    <row r="725" spans="1:26" ht="18.600000000000001" x14ac:dyDescent="0.3">
      <c r="A725" s="526"/>
      <c r="B725" s="526"/>
      <c r="C725" s="526"/>
      <c r="D725" s="526"/>
      <c r="E725" s="526"/>
      <c r="F725" s="526"/>
      <c r="G725" s="526"/>
      <c r="H725" s="526"/>
      <c r="I725" s="526"/>
      <c r="J725" s="526"/>
      <c r="K725" s="526"/>
      <c r="L725" s="526"/>
      <c r="M725" s="526"/>
      <c r="N725" s="526"/>
      <c r="O725" s="526"/>
      <c r="P725" s="526"/>
      <c r="Q725" s="526"/>
      <c r="R725" s="526"/>
      <c r="S725" s="526"/>
      <c r="T725" s="526"/>
      <c r="U725" s="526"/>
      <c r="V725" s="526"/>
      <c r="W725" s="526"/>
      <c r="X725" s="526"/>
      <c r="Y725" s="526"/>
      <c r="Z725" s="526"/>
    </row>
    <row r="726" spans="1:26" ht="18.600000000000001" x14ac:dyDescent="0.3">
      <c r="A726" s="526"/>
      <c r="B726" s="526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</row>
    <row r="727" spans="1:26" ht="18.600000000000001" x14ac:dyDescent="0.3">
      <c r="A727" s="526"/>
      <c r="B727" s="526"/>
      <c r="C727" s="526"/>
      <c r="D727" s="526"/>
      <c r="E727" s="526"/>
      <c r="F727" s="526"/>
      <c r="G727" s="526"/>
      <c r="H727" s="526"/>
      <c r="I727" s="526"/>
      <c r="J727" s="526"/>
      <c r="K727" s="526"/>
      <c r="L727" s="526"/>
      <c r="M727" s="526"/>
      <c r="N727" s="526"/>
      <c r="O727" s="526"/>
      <c r="P727" s="526"/>
      <c r="Q727" s="526"/>
      <c r="R727" s="526"/>
      <c r="S727" s="526"/>
      <c r="T727" s="526"/>
      <c r="U727" s="526"/>
      <c r="V727" s="526"/>
      <c r="W727" s="526"/>
      <c r="X727" s="526"/>
      <c r="Y727" s="526"/>
      <c r="Z727" s="526"/>
    </row>
    <row r="728" spans="1:26" ht="18.600000000000001" x14ac:dyDescent="0.3">
      <c r="A728" s="526"/>
      <c r="B728" s="526"/>
      <c r="C728" s="526"/>
      <c r="D728" s="526"/>
      <c r="E728" s="526"/>
      <c r="F728" s="526"/>
      <c r="G728" s="526"/>
      <c r="H728" s="526"/>
      <c r="I728" s="526"/>
      <c r="J728" s="526"/>
      <c r="K728" s="526"/>
      <c r="L728" s="526"/>
      <c r="M728" s="526"/>
      <c r="N728" s="526"/>
      <c r="O728" s="526"/>
      <c r="P728" s="526"/>
      <c r="Q728" s="526"/>
      <c r="R728" s="526"/>
      <c r="S728" s="526"/>
      <c r="T728" s="526"/>
      <c r="U728" s="526"/>
      <c r="V728" s="526"/>
      <c r="W728" s="526"/>
      <c r="X728" s="526"/>
      <c r="Y728" s="526"/>
      <c r="Z728" s="526"/>
    </row>
    <row r="729" spans="1:26" ht="18.600000000000001" x14ac:dyDescent="0.3">
      <c r="A729" s="526"/>
      <c r="B729" s="526"/>
      <c r="C729" s="526"/>
      <c r="D729" s="526"/>
      <c r="E729" s="526"/>
      <c r="F729" s="526"/>
      <c r="G729" s="526"/>
      <c r="H729" s="526"/>
      <c r="I729" s="526"/>
      <c r="J729" s="526"/>
      <c r="K729" s="526"/>
      <c r="L729" s="526"/>
      <c r="M729" s="526"/>
      <c r="N729" s="526"/>
      <c r="O729" s="526"/>
      <c r="P729" s="526"/>
      <c r="Q729" s="526"/>
      <c r="R729" s="526"/>
      <c r="S729" s="526"/>
      <c r="T729" s="526"/>
      <c r="U729" s="526"/>
      <c r="V729" s="526"/>
      <c r="W729" s="526"/>
      <c r="X729" s="526"/>
      <c r="Y729" s="526"/>
      <c r="Z729" s="526"/>
    </row>
    <row r="730" spans="1:26" ht="18.600000000000001" x14ac:dyDescent="0.3">
      <c r="A730" s="526"/>
      <c r="B730" s="526"/>
      <c r="C730" s="526"/>
      <c r="D730" s="526"/>
      <c r="E730" s="526"/>
      <c r="F730" s="526"/>
      <c r="G730" s="526"/>
      <c r="H730" s="526"/>
      <c r="I730" s="526"/>
      <c r="J730" s="526"/>
      <c r="K730" s="526"/>
      <c r="L730" s="526"/>
      <c r="M730" s="526"/>
      <c r="N730" s="526"/>
      <c r="O730" s="526"/>
      <c r="P730" s="526"/>
      <c r="Q730" s="526"/>
      <c r="R730" s="526"/>
      <c r="S730" s="526"/>
      <c r="T730" s="526"/>
      <c r="U730" s="526"/>
      <c r="V730" s="526"/>
      <c r="W730" s="526"/>
      <c r="X730" s="526"/>
      <c r="Y730" s="526"/>
      <c r="Z730" s="526"/>
    </row>
    <row r="731" spans="1:26" ht="18.600000000000001" x14ac:dyDescent="0.3">
      <c r="A731" s="526"/>
      <c r="B731" s="526"/>
      <c r="C731" s="526"/>
      <c r="D731" s="526"/>
      <c r="E731" s="526"/>
      <c r="F731" s="526"/>
      <c r="G731" s="526"/>
      <c r="H731" s="526"/>
      <c r="I731" s="526"/>
      <c r="J731" s="526"/>
      <c r="K731" s="526"/>
      <c r="L731" s="526"/>
      <c r="M731" s="526"/>
      <c r="N731" s="526"/>
      <c r="O731" s="526"/>
      <c r="P731" s="526"/>
      <c r="Q731" s="526"/>
      <c r="R731" s="526"/>
      <c r="S731" s="526"/>
      <c r="T731" s="526"/>
      <c r="U731" s="526"/>
      <c r="V731" s="526"/>
      <c r="W731" s="526"/>
      <c r="X731" s="526"/>
      <c r="Y731" s="526"/>
      <c r="Z731" s="526"/>
    </row>
    <row r="732" spans="1:26" ht="18.600000000000001" x14ac:dyDescent="0.3">
      <c r="A732" s="526"/>
      <c r="B732" s="526"/>
      <c r="C732" s="526"/>
      <c r="D732" s="526"/>
      <c r="E732" s="526"/>
      <c r="F732" s="526"/>
      <c r="G732" s="526"/>
      <c r="H732" s="526"/>
      <c r="I732" s="526"/>
      <c r="J732" s="526"/>
      <c r="K732" s="526"/>
      <c r="L732" s="526"/>
      <c r="M732" s="526"/>
      <c r="N732" s="526"/>
      <c r="O732" s="526"/>
      <c r="P732" s="526"/>
      <c r="Q732" s="526"/>
      <c r="R732" s="526"/>
      <c r="S732" s="526"/>
      <c r="T732" s="526"/>
      <c r="U732" s="526"/>
      <c r="V732" s="526"/>
      <c r="W732" s="526"/>
      <c r="X732" s="526"/>
      <c r="Y732" s="526"/>
      <c r="Z732" s="526"/>
    </row>
    <row r="733" spans="1:26" ht="18.600000000000001" x14ac:dyDescent="0.3">
      <c r="A733" s="526"/>
      <c r="B733" s="526"/>
      <c r="C733" s="526"/>
      <c r="D733" s="526"/>
      <c r="E733" s="526"/>
      <c r="F733" s="526"/>
      <c r="G733" s="526"/>
      <c r="H733" s="526"/>
      <c r="I733" s="526"/>
      <c r="J733" s="526"/>
      <c r="K733" s="526"/>
      <c r="L733" s="526"/>
      <c r="M733" s="526"/>
      <c r="N733" s="526"/>
      <c r="O733" s="526"/>
      <c r="P733" s="526"/>
      <c r="Q733" s="526"/>
      <c r="R733" s="526"/>
      <c r="S733" s="526"/>
      <c r="T733" s="526"/>
      <c r="U733" s="526"/>
      <c r="V733" s="526"/>
      <c r="W733" s="526"/>
      <c r="X733" s="526"/>
      <c r="Y733" s="526"/>
      <c r="Z733" s="526"/>
    </row>
    <row r="734" spans="1:26" ht="18.600000000000001" x14ac:dyDescent="0.3">
      <c r="A734" s="526"/>
      <c r="B734" s="526"/>
      <c r="C734" s="526"/>
      <c r="D734" s="526"/>
      <c r="E734" s="526"/>
      <c r="F734" s="526"/>
      <c r="G734" s="526"/>
      <c r="H734" s="526"/>
      <c r="I734" s="526"/>
      <c r="J734" s="526"/>
      <c r="K734" s="526"/>
      <c r="L734" s="526"/>
      <c r="M734" s="526"/>
      <c r="N734" s="526"/>
      <c r="O734" s="526"/>
      <c r="P734" s="526"/>
      <c r="Q734" s="526"/>
      <c r="R734" s="526"/>
      <c r="S734" s="526"/>
      <c r="T734" s="526"/>
      <c r="U734" s="526"/>
      <c r="V734" s="526"/>
      <c r="W734" s="526"/>
      <c r="X734" s="526"/>
      <c r="Y734" s="526"/>
      <c r="Z734" s="526"/>
    </row>
    <row r="735" spans="1:26" ht="18.600000000000001" x14ac:dyDescent="0.3">
      <c r="A735" s="526"/>
      <c r="B735" s="526"/>
      <c r="C735" s="526"/>
      <c r="D735" s="526"/>
      <c r="E735" s="526"/>
      <c r="F735" s="526"/>
      <c r="G735" s="526"/>
      <c r="H735" s="526"/>
      <c r="I735" s="526"/>
      <c r="J735" s="526"/>
      <c r="K735" s="526"/>
      <c r="L735" s="526"/>
      <c r="M735" s="526"/>
      <c r="N735" s="526"/>
      <c r="O735" s="526"/>
      <c r="P735" s="526"/>
      <c r="Q735" s="526"/>
      <c r="R735" s="526"/>
      <c r="S735" s="526"/>
      <c r="T735" s="526"/>
      <c r="U735" s="526"/>
      <c r="V735" s="526"/>
      <c r="W735" s="526"/>
      <c r="X735" s="526"/>
      <c r="Y735" s="526"/>
      <c r="Z735" s="526"/>
    </row>
    <row r="736" spans="1:26" ht="18.600000000000001" x14ac:dyDescent="0.3">
      <c r="A736" s="526"/>
      <c r="B736" s="526"/>
      <c r="C736" s="526"/>
      <c r="D736" s="526"/>
      <c r="E736" s="526"/>
      <c r="F736" s="526"/>
      <c r="G736" s="526"/>
      <c r="H736" s="526"/>
      <c r="I736" s="526"/>
      <c r="J736" s="526"/>
      <c r="K736" s="526"/>
      <c r="L736" s="526"/>
      <c r="M736" s="526"/>
      <c r="N736" s="526"/>
      <c r="O736" s="526"/>
      <c r="P736" s="526"/>
      <c r="Q736" s="526"/>
      <c r="R736" s="526"/>
      <c r="S736" s="526"/>
      <c r="T736" s="526"/>
      <c r="U736" s="526"/>
      <c r="V736" s="526"/>
      <c r="W736" s="526"/>
      <c r="X736" s="526"/>
      <c r="Y736" s="526"/>
      <c r="Z736" s="526"/>
    </row>
    <row r="737" spans="1:26" ht="18.600000000000001" x14ac:dyDescent="0.3">
      <c r="A737" s="526"/>
      <c r="B737" s="526"/>
      <c r="C737" s="526"/>
      <c r="D737" s="526"/>
      <c r="E737" s="526"/>
      <c r="F737" s="526"/>
      <c r="G737" s="526"/>
      <c r="H737" s="526"/>
      <c r="I737" s="526"/>
      <c r="J737" s="526"/>
      <c r="K737" s="526"/>
      <c r="L737" s="526"/>
      <c r="M737" s="526"/>
      <c r="N737" s="526"/>
      <c r="O737" s="526"/>
      <c r="P737" s="526"/>
      <c r="Q737" s="526"/>
      <c r="R737" s="526"/>
      <c r="S737" s="526"/>
      <c r="T737" s="526"/>
      <c r="U737" s="526"/>
      <c r="V737" s="526"/>
      <c r="W737" s="526"/>
      <c r="X737" s="526"/>
      <c r="Y737" s="526"/>
      <c r="Z737" s="526"/>
    </row>
    <row r="738" spans="1:26" ht="18.600000000000001" x14ac:dyDescent="0.3">
      <c r="A738" s="526"/>
      <c r="B738" s="526"/>
      <c r="C738" s="526"/>
      <c r="D738" s="526"/>
      <c r="E738" s="526"/>
      <c r="F738" s="526"/>
      <c r="G738" s="526"/>
      <c r="H738" s="526"/>
      <c r="I738" s="526"/>
      <c r="J738" s="526"/>
      <c r="K738" s="526"/>
      <c r="L738" s="526"/>
      <c r="M738" s="526"/>
      <c r="N738" s="526"/>
      <c r="O738" s="526"/>
      <c r="P738" s="526"/>
      <c r="Q738" s="526"/>
      <c r="R738" s="526"/>
      <c r="S738" s="526"/>
      <c r="T738" s="526"/>
      <c r="U738" s="526"/>
      <c r="V738" s="526"/>
      <c r="W738" s="526"/>
      <c r="X738" s="526"/>
      <c r="Y738" s="526"/>
      <c r="Z738" s="526"/>
    </row>
    <row r="739" spans="1:26" ht="18.600000000000001" x14ac:dyDescent="0.3">
      <c r="A739" s="526"/>
      <c r="B739" s="526"/>
      <c r="C739" s="526"/>
      <c r="D739" s="526"/>
      <c r="E739" s="526"/>
      <c r="F739" s="526"/>
      <c r="G739" s="526"/>
      <c r="H739" s="526"/>
      <c r="I739" s="526"/>
      <c r="J739" s="526"/>
      <c r="K739" s="526"/>
      <c r="L739" s="526"/>
      <c r="M739" s="526"/>
      <c r="N739" s="526"/>
      <c r="O739" s="526"/>
      <c r="P739" s="526"/>
      <c r="Q739" s="526"/>
      <c r="R739" s="526"/>
      <c r="S739" s="526"/>
      <c r="T739" s="526"/>
      <c r="U739" s="526"/>
      <c r="V739" s="526"/>
      <c r="W739" s="526"/>
      <c r="X739" s="526"/>
      <c r="Y739" s="526"/>
      <c r="Z739" s="526"/>
    </row>
    <row r="740" spans="1:26" ht="18.600000000000001" x14ac:dyDescent="0.3">
      <c r="A740" s="526"/>
      <c r="B740" s="526"/>
      <c r="C740" s="526"/>
      <c r="D740" s="526"/>
      <c r="E740" s="526"/>
      <c r="F740" s="526"/>
      <c r="G740" s="526"/>
      <c r="H740" s="526"/>
      <c r="I740" s="526"/>
      <c r="J740" s="526"/>
      <c r="K740" s="526"/>
      <c r="L740" s="526"/>
      <c r="M740" s="526"/>
      <c r="N740" s="526"/>
      <c r="O740" s="526"/>
      <c r="P740" s="526"/>
      <c r="Q740" s="526"/>
      <c r="R740" s="526"/>
      <c r="S740" s="526"/>
      <c r="T740" s="526"/>
      <c r="U740" s="526"/>
      <c r="V740" s="526"/>
      <c r="W740" s="526"/>
      <c r="X740" s="526"/>
      <c r="Y740" s="526"/>
      <c r="Z740" s="526"/>
    </row>
    <row r="741" spans="1:26" ht="18.600000000000001" x14ac:dyDescent="0.3">
      <c r="A741" s="526"/>
      <c r="B741" s="526"/>
      <c r="C741" s="526"/>
      <c r="D741" s="526"/>
      <c r="E741" s="526"/>
      <c r="F741" s="526"/>
      <c r="G741" s="526"/>
      <c r="H741" s="526"/>
      <c r="I741" s="526"/>
      <c r="J741" s="526"/>
      <c r="K741" s="526"/>
      <c r="L741" s="526"/>
      <c r="M741" s="526"/>
      <c r="N741" s="526"/>
      <c r="O741" s="526"/>
      <c r="P741" s="526"/>
      <c r="Q741" s="526"/>
      <c r="R741" s="526"/>
      <c r="S741" s="526"/>
      <c r="T741" s="526"/>
      <c r="U741" s="526"/>
      <c r="V741" s="526"/>
      <c r="W741" s="526"/>
      <c r="X741" s="526"/>
      <c r="Y741" s="526"/>
      <c r="Z741" s="526"/>
    </row>
    <row r="742" spans="1:26" ht="18.600000000000001" x14ac:dyDescent="0.3">
      <c r="A742" s="526"/>
      <c r="B742" s="526"/>
      <c r="C742" s="526"/>
      <c r="D742" s="526"/>
      <c r="E742" s="526"/>
      <c r="F742" s="526"/>
      <c r="G742" s="526"/>
      <c r="H742" s="526"/>
      <c r="I742" s="526"/>
      <c r="J742" s="526"/>
      <c r="K742" s="526"/>
      <c r="L742" s="526"/>
      <c r="M742" s="526"/>
      <c r="N742" s="526"/>
      <c r="O742" s="526"/>
      <c r="P742" s="526"/>
      <c r="Q742" s="526"/>
      <c r="R742" s="526"/>
      <c r="S742" s="526"/>
      <c r="T742" s="526"/>
      <c r="U742" s="526"/>
      <c r="V742" s="526"/>
      <c r="W742" s="526"/>
      <c r="X742" s="526"/>
      <c r="Y742" s="526"/>
      <c r="Z742" s="526"/>
    </row>
    <row r="743" spans="1:26" ht="18.600000000000001" x14ac:dyDescent="0.3">
      <c r="A743" s="526"/>
      <c r="B743" s="526"/>
      <c r="C743" s="526"/>
      <c r="D743" s="526"/>
      <c r="E743" s="526"/>
      <c r="F743" s="526"/>
      <c r="G743" s="526"/>
      <c r="H743" s="526"/>
      <c r="I743" s="526"/>
      <c r="J743" s="526"/>
      <c r="K743" s="526"/>
      <c r="L743" s="526"/>
      <c r="M743" s="526"/>
      <c r="N743" s="526"/>
      <c r="O743" s="526"/>
      <c r="P743" s="526"/>
      <c r="Q743" s="526"/>
      <c r="R743" s="526"/>
      <c r="S743" s="526"/>
      <c r="T743" s="526"/>
      <c r="U743" s="526"/>
      <c r="V743" s="526"/>
      <c r="W743" s="526"/>
      <c r="X743" s="526"/>
      <c r="Y743" s="526"/>
      <c r="Z743" s="526"/>
    </row>
    <row r="744" spans="1:26" ht="18.600000000000001" x14ac:dyDescent="0.3">
      <c r="A744" s="526"/>
      <c r="B744" s="526"/>
      <c r="C744" s="526"/>
      <c r="D744" s="526"/>
      <c r="E744" s="526"/>
      <c r="F744" s="526"/>
      <c r="G744" s="526"/>
      <c r="H744" s="526"/>
      <c r="I744" s="526"/>
      <c r="J744" s="526"/>
      <c r="K744" s="526"/>
      <c r="L744" s="526"/>
      <c r="M744" s="526"/>
      <c r="N744" s="526"/>
      <c r="O744" s="526"/>
      <c r="P744" s="526"/>
      <c r="Q744" s="526"/>
      <c r="R744" s="526"/>
      <c r="S744" s="526"/>
      <c r="T744" s="526"/>
      <c r="U744" s="526"/>
      <c r="V744" s="526"/>
      <c r="W744" s="526"/>
      <c r="X744" s="526"/>
      <c r="Y744" s="526"/>
      <c r="Z744" s="526"/>
    </row>
    <row r="745" spans="1:26" ht="18.600000000000001" x14ac:dyDescent="0.3">
      <c r="A745" s="526"/>
      <c r="B745" s="526"/>
      <c r="C745" s="526"/>
      <c r="D745" s="526"/>
      <c r="E745" s="526"/>
      <c r="F745" s="526"/>
      <c r="G745" s="526"/>
      <c r="H745" s="526"/>
      <c r="I745" s="526"/>
      <c r="J745" s="526"/>
      <c r="K745" s="526"/>
      <c r="L745" s="526"/>
      <c r="M745" s="526"/>
      <c r="N745" s="526"/>
      <c r="O745" s="526"/>
      <c r="P745" s="526"/>
      <c r="Q745" s="526"/>
      <c r="R745" s="526"/>
      <c r="S745" s="526"/>
      <c r="T745" s="526"/>
      <c r="U745" s="526"/>
      <c r="V745" s="526"/>
      <c r="W745" s="526"/>
      <c r="X745" s="526"/>
      <c r="Y745" s="526"/>
      <c r="Z745" s="526"/>
    </row>
    <row r="746" spans="1:26" ht="18.600000000000001" x14ac:dyDescent="0.3">
      <c r="A746" s="526"/>
      <c r="B746" s="526"/>
      <c r="C746" s="526"/>
      <c r="D746" s="526"/>
      <c r="E746" s="526"/>
      <c r="F746" s="526"/>
      <c r="G746" s="526"/>
      <c r="H746" s="526"/>
      <c r="I746" s="526"/>
      <c r="J746" s="526"/>
      <c r="K746" s="526"/>
      <c r="L746" s="526"/>
      <c r="M746" s="526"/>
      <c r="N746" s="526"/>
      <c r="O746" s="526"/>
      <c r="P746" s="526"/>
      <c r="Q746" s="526"/>
      <c r="R746" s="526"/>
      <c r="S746" s="526"/>
      <c r="T746" s="526"/>
      <c r="U746" s="526"/>
      <c r="V746" s="526"/>
      <c r="W746" s="526"/>
      <c r="X746" s="526"/>
      <c r="Y746" s="526"/>
      <c r="Z746" s="526"/>
    </row>
    <row r="747" spans="1:26" ht="18.600000000000001" x14ac:dyDescent="0.3">
      <c r="A747" s="526"/>
      <c r="B747" s="526"/>
      <c r="C747" s="526"/>
      <c r="D747" s="526"/>
      <c r="E747" s="526"/>
      <c r="F747" s="526"/>
      <c r="G747" s="526"/>
      <c r="H747" s="526"/>
      <c r="I747" s="526"/>
      <c r="J747" s="526"/>
      <c r="K747" s="526"/>
      <c r="L747" s="526"/>
      <c r="M747" s="526"/>
      <c r="N747" s="526"/>
      <c r="O747" s="526"/>
      <c r="P747" s="526"/>
      <c r="Q747" s="526"/>
      <c r="R747" s="526"/>
      <c r="S747" s="526"/>
      <c r="T747" s="526"/>
      <c r="U747" s="526"/>
      <c r="V747" s="526"/>
      <c r="W747" s="526"/>
      <c r="X747" s="526"/>
      <c r="Y747" s="526"/>
      <c r="Z747" s="526"/>
    </row>
    <row r="748" spans="1:26" ht="18.600000000000001" x14ac:dyDescent="0.3">
      <c r="A748" s="526"/>
      <c r="B748" s="526"/>
      <c r="C748" s="526"/>
      <c r="D748" s="526"/>
      <c r="E748" s="526"/>
      <c r="F748" s="526"/>
      <c r="G748" s="526"/>
      <c r="H748" s="526"/>
      <c r="I748" s="526"/>
      <c r="J748" s="526"/>
      <c r="K748" s="526"/>
      <c r="L748" s="526"/>
      <c r="M748" s="526"/>
      <c r="N748" s="526"/>
      <c r="O748" s="526"/>
      <c r="P748" s="526"/>
      <c r="Q748" s="526"/>
      <c r="R748" s="526"/>
      <c r="S748" s="526"/>
      <c r="T748" s="526"/>
      <c r="U748" s="526"/>
      <c r="V748" s="526"/>
      <c r="W748" s="526"/>
      <c r="X748" s="526"/>
      <c r="Y748" s="526"/>
      <c r="Z748" s="526"/>
    </row>
    <row r="749" spans="1:26" ht="18.600000000000001" x14ac:dyDescent="0.3">
      <c r="A749" s="526"/>
      <c r="B749" s="526"/>
      <c r="C749" s="526"/>
      <c r="D749" s="526"/>
      <c r="E749" s="526"/>
      <c r="F749" s="526"/>
      <c r="G749" s="526"/>
      <c r="H749" s="526"/>
      <c r="I749" s="526"/>
      <c r="J749" s="526"/>
      <c r="K749" s="526"/>
      <c r="L749" s="526"/>
      <c r="M749" s="526"/>
      <c r="N749" s="526"/>
      <c r="O749" s="526"/>
      <c r="P749" s="526"/>
      <c r="Q749" s="526"/>
      <c r="R749" s="526"/>
      <c r="S749" s="526"/>
      <c r="T749" s="526"/>
      <c r="U749" s="526"/>
      <c r="V749" s="526"/>
      <c r="W749" s="526"/>
      <c r="X749" s="526"/>
      <c r="Y749" s="526"/>
      <c r="Z749" s="526"/>
    </row>
    <row r="750" spans="1:26" ht="18.600000000000001" x14ac:dyDescent="0.3">
      <c r="A750" s="526"/>
      <c r="B750" s="526"/>
      <c r="C750" s="526"/>
      <c r="D750" s="526"/>
      <c r="E750" s="526"/>
      <c r="F750" s="526"/>
      <c r="G750" s="526"/>
      <c r="H750" s="526"/>
      <c r="I750" s="526"/>
      <c r="J750" s="526"/>
      <c r="K750" s="526"/>
      <c r="L750" s="526"/>
      <c r="M750" s="526"/>
      <c r="N750" s="526"/>
      <c r="O750" s="526"/>
      <c r="P750" s="526"/>
      <c r="Q750" s="526"/>
      <c r="R750" s="526"/>
      <c r="S750" s="526"/>
      <c r="T750" s="526"/>
      <c r="U750" s="526"/>
      <c r="V750" s="526"/>
      <c r="W750" s="526"/>
      <c r="X750" s="526"/>
      <c r="Y750" s="526"/>
      <c r="Z750" s="526"/>
    </row>
    <row r="751" spans="1:26" ht="18.600000000000001" x14ac:dyDescent="0.3">
      <c r="A751" s="526"/>
      <c r="B751" s="526"/>
      <c r="C751" s="526"/>
      <c r="D751" s="526"/>
      <c r="E751" s="526"/>
      <c r="F751" s="526"/>
      <c r="G751" s="526"/>
      <c r="H751" s="526"/>
      <c r="I751" s="526"/>
      <c r="J751" s="526"/>
      <c r="K751" s="526"/>
      <c r="L751" s="526"/>
      <c r="M751" s="526"/>
      <c r="N751" s="526"/>
      <c r="O751" s="526"/>
      <c r="P751" s="526"/>
      <c r="Q751" s="526"/>
      <c r="R751" s="526"/>
      <c r="S751" s="526"/>
      <c r="T751" s="526"/>
      <c r="U751" s="526"/>
      <c r="V751" s="526"/>
      <c r="W751" s="526"/>
      <c r="X751" s="526"/>
      <c r="Y751" s="526"/>
      <c r="Z751" s="526"/>
    </row>
    <row r="752" spans="1:26" ht="18.600000000000001" x14ac:dyDescent="0.3">
      <c r="A752" s="526"/>
      <c r="B752" s="526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</row>
    <row r="753" spans="1:26" ht="18.600000000000001" x14ac:dyDescent="0.3">
      <c r="A753" s="526"/>
      <c r="B753" s="526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</row>
    <row r="754" spans="1:26" ht="18.600000000000001" x14ac:dyDescent="0.3">
      <c r="A754" s="526"/>
      <c r="B754" s="526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</row>
    <row r="755" spans="1:26" ht="18.600000000000001" x14ac:dyDescent="0.3">
      <c r="A755" s="526"/>
      <c r="B755" s="526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</row>
    <row r="756" spans="1:26" ht="18.600000000000001" x14ac:dyDescent="0.3">
      <c r="A756" s="526"/>
      <c r="B756" s="526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</row>
    <row r="757" spans="1:26" ht="18.600000000000001" x14ac:dyDescent="0.3">
      <c r="A757" s="526"/>
      <c r="B757" s="526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</row>
    <row r="758" spans="1:26" ht="18.600000000000001" x14ac:dyDescent="0.3">
      <c r="A758" s="526"/>
      <c r="B758" s="526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</row>
    <row r="759" spans="1:26" ht="18.600000000000001" x14ac:dyDescent="0.3">
      <c r="A759" s="526"/>
      <c r="B759" s="526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</row>
    <row r="760" spans="1:26" ht="18.600000000000001" x14ac:dyDescent="0.3">
      <c r="A760" s="526"/>
      <c r="B760" s="526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</row>
    <row r="761" spans="1:26" ht="18.600000000000001" x14ac:dyDescent="0.3">
      <c r="A761" s="526"/>
      <c r="B761" s="526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</row>
    <row r="762" spans="1:26" ht="18.600000000000001" x14ac:dyDescent="0.3">
      <c r="A762" s="526"/>
      <c r="B762" s="526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</row>
    <row r="763" spans="1:26" ht="18.600000000000001" x14ac:dyDescent="0.3">
      <c r="A763" s="526"/>
      <c r="B763" s="526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</row>
    <row r="764" spans="1:26" ht="18.600000000000001" x14ac:dyDescent="0.3">
      <c r="A764" s="526"/>
      <c r="B764" s="526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</row>
    <row r="765" spans="1:26" ht="18.600000000000001" x14ac:dyDescent="0.3">
      <c r="A765" s="526"/>
      <c r="B765" s="526"/>
      <c r="C765" s="526"/>
      <c r="D765" s="526"/>
      <c r="E765" s="526"/>
      <c r="F765" s="526"/>
      <c r="G765" s="526"/>
      <c r="H765" s="526"/>
      <c r="I765" s="526"/>
      <c r="J765" s="526"/>
      <c r="K765" s="526"/>
      <c r="L765" s="526"/>
      <c r="M765" s="526"/>
      <c r="N765" s="526"/>
      <c r="O765" s="526"/>
      <c r="P765" s="526"/>
      <c r="Q765" s="526"/>
      <c r="R765" s="526"/>
      <c r="S765" s="526"/>
      <c r="T765" s="526"/>
      <c r="U765" s="526"/>
      <c r="V765" s="526"/>
      <c r="W765" s="526"/>
      <c r="X765" s="526"/>
      <c r="Y765" s="526"/>
      <c r="Z765" s="526"/>
    </row>
    <row r="766" spans="1:26" ht="18.600000000000001" x14ac:dyDescent="0.3">
      <c r="A766" s="526"/>
      <c r="B766" s="526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</row>
    <row r="767" spans="1:26" ht="18.600000000000001" x14ac:dyDescent="0.3">
      <c r="A767" s="526"/>
      <c r="B767" s="526"/>
      <c r="C767" s="526"/>
      <c r="D767" s="526"/>
      <c r="E767" s="526"/>
      <c r="F767" s="526"/>
      <c r="G767" s="526"/>
      <c r="H767" s="526"/>
      <c r="I767" s="526"/>
      <c r="J767" s="526"/>
      <c r="K767" s="526"/>
      <c r="L767" s="526"/>
      <c r="M767" s="526"/>
      <c r="N767" s="526"/>
      <c r="O767" s="526"/>
      <c r="P767" s="526"/>
      <c r="Q767" s="526"/>
      <c r="R767" s="526"/>
      <c r="S767" s="526"/>
      <c r="T767" s="526"/>
      <c r="U767" s="526"/>
      <c r="V767" s="526"/>
      <c r="W767" s="526"/>
      <c r="X767" s="526"/>
      <c r="Y767" s="526"/>
      <c r="Z767" s="526"/>
    </row>
    <row r="768" spans="1:26" ht="18.600000000000001" x14ac:dyDescent="0.3">
      <c r="A768" s="526"/>
      <c r="B768" s="526"/>
      <c r="C768" s="526"/>
      <c r="D768" s="526"/>
      <c r="E768" s="526"/>
      <c r="F768" s="526"/>
      <c r="G768" s="526"/>
      <c r="H768" s="526"/>
      <c r="I768" s="526"/>
      <c r="J768" s="526"/>
      <c r="K768" s="526"/>
      <c r="L768" s="526"/>
      <c r="M768" s="526"/>
      <c r="N768" s="526"/>
      <c r="O768" s="526"/>
      <c r="P768" s="526"/>
      <c r="Q768" s="526"/>
      <c r="R768" s="526"/>
      <c r="S768" s="526"/>
      <c r="T768" s="526"/>
      <c r="U768" s="526"/>
      <c r="V768" s="526"/>
      <c r="W768" s="526"/>
      <c r="X768" s="526"/>
      <c r="Y768" s="526"/>
      <c r="Z768" s="526"/>
    </row>
    <row r="769" spans="1:26" ht="18.600000000000001" x14ac:dyDescent="0.3">
      <c r="A769" s="526"/>
      <c r="B769" s="526"/>
      <c r="C769" s="526"/>
      <c r="D769" s="526"/>
      <c r="E769" s="526"/>
      <c r="F769" s="526"/>
      <c r="G769" s="526"/>
      <c r="H769" s="526"/>
      <c r="I769" s="526"/>
      <c r="J769" s="526"/>
      <c r="K769" s="526"/>
      <c r="L769" s="526"/>
      <c r="M769" s="526"/>
      <c r="N769" s="526"/>
      <c r="O769" s="526"/>
      <c r="P769" s="526"/>
      <c r="Q769" s="526"/>
      <c r="R769" s="526"/>
      <c r="S769" s="526"/>
      <c r="T769" s="526"/>
      <c r="U769" s="526"/>
      <c r="V769" s="526"/>
      <c r="W769" s="526"/>
      <c r="X769" s="526"/>
      <c r="Y769" s="526"/>
      <c r="Z769" s="526"/>
    </row>
    <row r="770" spans="1:26" ht="18.600000000000001" x14ac:dyDescent="0.3">
      <c r="A770" s="526"/>
      <c r="B770" s="526"/>
      <c r="C770" s="526"/>
      <c r="D770" s="526"/>
      <c r="E770" s="526"/>
      <c r="F770" s="526"/>
      <c r="G770" s="526"/>
      <c r="H770" s="526"/>
      <c r="I770" s="526"/>
      <c r="J770" s="526"/>
      <c r="K770" s="526"/>
      <c r="L770" s="526"/>
      <c r="M770" s="526"/>
      <c r="N770" s="526"/>
      <c r="O770" s="526"/>
      <c r="P770" s="526"/>
      <c r="Q770" s="526"/>
      <c r="R770" s="526"/>
      <c r="S770" s="526"/>
      <c r="T770" s="526"/>
      <c r="U770" s="526"/>
      <c r="V770" s="526"/>
      <c r="W770" s="526"/>
      <c r="X770" s="526"/>
      <c r="Y770" s="526"/>
      <c r="Z770" s="526"/>
    </row>
    <row r="771" spans="1:26" ht="18.600000000000001" x14ac:dyDescent="0.3">
      <c r="A771" s="526"/>
      <c r="B771" s="526"/>
      <c r="C771" s="526"/>
      <c r="D771" s="526"/>
      <c r="E771" s="526"/>
      <c r="F771" s="526"/>
      <c r="G771" s="526"/>
      <c r="H771" s="526"/>
      <c r="I771" s="526"/>
      <c r="J771" s="526"/>
      <c r="K771" s="526"/>
      <c r="L771" s="526"/>
      <c r="M771" s="526"/>
      <c r="N771" s="526"/>
      <c r="O771" s="526"/>
      <c r="P771" s="526"/>
      <c r="Q771" s="526"/>
      <c r="R771" s="526"/>
      <c r="S771" s="526"/>
      <c r="T771" s="526"/>
      <c r="U771" s="526"/>
      <c r="V771" s="526"/>
      <c r="W771" s="526"/>
      <c r="X771" s="526"/>
      <c r="Y771" s="526"/>
      <c r="Z771" s="526"/>
    </row>
    <row r="772" spans="1:26" ht="18.600000000000001" x14ac:dyDescent="0.3">
      <c r="A772" s="526"/>
      <c r="B772" s="526"/>
      <c r="C772" s="526"/>
      <c r="D772" s="526"/>
      <c r="E772" s="526"/>
      <c r="F772" s="526"/>
      <c r="G772" s="526"/>
      <c r="H772" s="526"/>
      <c r="I772" s="526"/>
      <c r="J772" s="526"/>
      <c r="K772" s="526"/>
      <c r="L772" s="526"/>
      <c r="M772" s="526"/>
      <c r="N772" s="526"/>
      <c r="O772" s="526"/>
      <c r="P772" s="526"/>
      <c r="Q772" s="526"/>
      <c r="R772" s="526"/>
      <c r="S772" s="526"/>
      <c r="T772" s="526"/>
      <c r="U772" s="526"/>
      <c r="V772" s="526"/>
      <c r="W772" s="526"/>
      <c r="X772" s="526"/>
      <c r="Y772" s="526"/>
      <c r="Z772" s="526"/>
    </row>
    <row r="773" spans="1:26" ht="18.600000000000001" x14ac:dyDescent="0.3">
      <c r="A773" s="526"/>
      <c r="B773" s="526"/>
      <c r="C773" s="526"/>
      <c r="D773" s="526"/>
      <c r="E773" s="526"/>
      <c r="F773" s="526"/>
      <c r="G773" s="526"/>
      <c r="H773" s="526"/>
      <c r="I773" s="526"/>
      <c r="J773" s="526"/>
      <c r="K773" s="526"/>
      <c r="L773" s="526"/>
      <c r="M773" s="526"/>
      <c r="N773" s="526"/>
      <c r="O773" s="526"/>
      <c r="P773" s="526"/>
      <c r="Q773" s="526"/>
      <c r="R773" s="526"/>
      <c r="S773" s="526"/>
      <c r="T773" s="526"/>
      <c r="U773" s="526"/>
      <c r="V773" s="526"/>
      <c r="W773" s="526"/>
      <c r="X773" s="526"/>
      <c r="Y773" s="526"/>
      <c r="Z773" s="526"/>
    </row>
    <row r="774" spans="1:26" ht="18.600000000000001" x14ac:dyDescent="0.3">
      <c r="A774" s="526"/>
      <c r="B774" s="526"/>
      <c r="C774" s="526"/>
      <c r="D774" s="526"/>
      <c r="E774" s="526"/>
      <c r="F774" s="526"/>
      <c r="G774" s="526"/>
      <c r="H774" s="526"/>
      <c r="I774" s="526"/>
      <c r="J774" s="526"/>
      <c r="K774" s="526"/>
      <c r="L774" s="526"/>
      <c r="M774" s="526"/>
      <c r="N774" s="526"/>
      <c r="O774" s="526"/>
      <c r="P774" s="526"/>
      <c r="Q774" s="526"/>
      <c r="R774" s="526"/>
      <c r="S774" s="526"/>
      <c r="T774" s="526"/>
      <c r="U774" s="526"/>
      <c r="V774" s="526"/>
      <c r="W774" s="526"/>
      <c r="X774" s="526"/>
      <c r="Y774" s="526"/>
      <c r="Z774" s="526"/>
    </row>
    <row r="775" spans="1:26" ht="18.600000000000001" x14ac:dyDescent="0.3">
      <c r="A775" s="526"/>
      <c r="B775" s="526"/>
      <c r="C775" s="526"/>
      <c r="D775" s="526"/>
      <c r="E775" s="526"/>
      <c r="F775" s="526"/>
      <c r="G775" s="526"/>
      <c r="H775" s="526"/>
      <c r="I775" s="526"/>
      <c r="J775" s="526"/>
      <c r="K775" s="526"/>
      <c r="L775" s="526"/>
      <c r="M775" s="526"/>
      <c r="N775" s="526"/>
      <c r="O775" s="526"/>
      <c r="P775" s="526"/>
      <c r="Q775" s="526"/>
      <c r="R775" s="526"/>
      <c r="S775" s="526"/>
      <c r="T775" s="526"/>
      <c r="U775" s="526"/>
      <c r="V775" s="526"/>
      <c r="W775" s="526"/>
      <c r="X775" s="526"/>
      <c r="Y775" s="526"/>
      <c r="Z775" s="526"/>
    </row>
    <row r="776" spans="1:26" ht="18.600000000000001" x14ac:dyDescent="0.3">
      <c r="A776" s="526"/>
      <c r="B776" s="526"/>
      <c r="C776" s="526"/>
      <c r="D776" s="526"/>
      <c r="E776" s="526"/>
      <c r="F776" s="526"/>
      <c r="G776" s="526"/>
      <c r="H776" s="526"/>
      <c r="I776" s="526"/>
      <c r="J776" s="526"/>
      <c r="K776" s="526"/>
      <c r="L776" s="526"/>
      <c r="M776" s="526"/>
      <c r="N776" s="526"/>
      <c r="O776" s="526"/>
      <c r="P776" s="526"/>
      <c r="Q776" s="526"/>
      <c r="R776" s="526"/>
      <c r="S776" s="526"/>
      <c r="T776" s="526"/>
      <c r="U776" s="526"/>
      <c r="V776" s="526"/>
      <c r="W776" s="526"/>
      <c r="X776" s="526"/>
      <c r="Y776" s="526"/>
      <c r="Z776" s="526"/>
    </row>
    <row r="777" spans="1:26" ht="18.600000000000001" x14ac:dyDescent="0.3">
      <c r="A777" s="526"/>
      <c r="B777" s="526"/>
      <c r="C777" s="526"/>
      <c r="D777" s="526"/>
      <c r="E777" s="526"/>
      <c r="F777" s="526"/>
      <c r="G777" s="526"/>
      <c r="H777" s="526"/>
      <c r="I777" s="526"/>
      <c r="J777" s="526"/>
      <c r="K777" s="526"/>
      <c r="L777" s="526"/>
      <c r="M777" s="526"/>
      <c r="N777" s="526"/>
      <c r="O777" s="526"/>
      <c r="P777" s="526"/>
      <c r="Q777" s="526"/>
      <c r="R777" s="526"/>
      <c r="S777" s="526"/>
      <c r="T777" s="526"/>
      <c r="U777" s="526"/>
      <c r="V777" s="526"/>
      <c r="W777" s="526"/>
      <c r="X777" s="526"/>
      <c r="Y777" s="526"/>
      <c r="Z777" s="526"/>
    </row>
    <row r="778" spans="1:26" ht="18.600000000000001" x14ac:dyDescent="0.3">
      <c r="A778" s="526"/>
      <c r="B778" s="526"/>
      <c r="C778" s="526"/>
      <c r="D778" s="526"/>
      <c r="E778" s="526"/>
      <c r="F778" s="526"/>
      <c r="G778" s="526"/>
      <c r="H778" s="526"/>
      <c r="I778" s="526"/>
      <c r="J778" s="526"/>
      <c r="K778" s="526"/>
      <c r="L778" s="526"/>
      <c r="M778" s="526"/>
      <c r="N778" s="526"/>
      <c r="O778" s="526"/>
      <c r="P778" s="526"/>
      <c r="Q778" s="526"/>
      <c r="R778" s="526"/>
      <c r="S778" s="526"/>
      <c r="T778" s="526"/>
      <c r="U778" s="526"/>
      <c r="V778" s="526"/>
      <c r="W778" s="526"/>
      <c r="X778" s="526"/>
      <c r="Y778" s="526"/>
      <c r="Z778" s="526"/>
    </row>
    <row r="779" spans="1:26" ht="18.600000000000001" x14ac:dyDescent="0.3">
      <c r="A779" s="526"/>
      <c r="B779" s="526"/>
      <c r="C779" s="526"/>
      <c r="D779" s="526"/>
      <c r="E779" s="526"/>
      <c r="F779" s="526"/>
      <c r="G779" s="526"/>
      <c r="H779" s="526"/>
      <c r="I779" s="526"/>
      <c r="J779" s="526"/>
      <c r="K779" s="526"/>
      <c r="L779" s="526"/>
      <c r="M779" s="526"/>
      <c r="N779" s="526"/>
      <c r="O779" s="526"/>
      <c r="P779" s="526"/>
      <c r="Q779" s="526"/>
      <c r="R779" s="526"/>
      <c r="S779" s="526"/>
      <c r="T779" s="526"/>
      <c r="U779" s="526"/>
      <c r="V779" s="526"/>
      <c r="W779" s="526"/>
      <c r="X779" s="526"/>
      <c r="Y779" s="526"/>
      <c r="Z779" s="526"/>
    </row>
    <row r="780" spans="1:26" ht="18.600000000000001" x14ac:dyDescent="0.3">
      <c r="A780" s="526"/>
      <c r="B780" s="526"/>
      <c r="C780" s="526"/>
      <c r="D780" s="526"/>
      <c r="E780" s="526"/>
      <c r="F780" s="526"/>
      <c r="G780" s="526"/>
      <c r="H780" s="526"/>
      <c r="I780" s="526"/>
      <c r="J780" s="526"/>
      <c r="K780" s="526"/>
      <c r="L780" s="526"/>
      <c r="M780" s="526"/>
      <c r="N780" s="526"/>
      <c r="O780" s="526"/>
      <c r="P780" s="526"/>
      <c r="Q780" s="526"/>
      <c r="R780" s="526"/>
      <c r="S780" s="526"/>
      <c r="T780" s="526"/>
      <c r="U780" s="526"/>
      <c r="V780" s="526"/>
      <c r="W780" s="526"/>
      <c r="X780" s="526"/>
      <c r="Y780" s="526"/>
      <c r="Z780" s="526"/>
    </row>
    <row r="781" spans="1:26" ht="18.600000000000001" x14ac:dyDescent="0.3">
      <c r="A781" s="526"/>
      <c r="B781" s="526"/>
      <c r="C781" s="526"/>
      <c r="D781" s="526"/>
      <c r="E781" s="526"/>
      <c r="F781" s="526"/>
      <c r="G781" s="526"/>
      <c r="H781" s="526"/>
      <c r="I781" s="526"/>
      <c r="J781" s="526"/>
      <c r="K781" s="526"/>
      <c r="L781" s="526"/>
      <c r="M781" s="526"/>
      <c r="N781" s="526"/>
      <c r="O781" s="526"/>
      <c r="P781" s="526"/>
      <c r="Q781" s="526"/>
      <c r="R781" s="526"/>
      <c r="S781" s="526"/>
      <c r="T781" s="526"/>
      <c r="U781" s="526"/>
      <c r="V781" s="526"/>
      <c r="W781" s="526"/>
      <c r="X781" s="526"/>
      <c r="Y781" s="526"/>
      <c r="Z781" s="526"/>
    </row>
    <row r="782" spans="1:26" ht="18.600000000000001" x14ac:dyDescent="0.3">
      <c r="A782" s="526"/>
      <c r="B782" s="526"/>
      <c r="C782" s="526"/>
      <c r="D782" s="526"/>
      <c r="E782" s="526"/>
      <c r="F782" s="526"/>
      <c r="G782" s="526"/>
      <c r="H782" s="526"/>
      <c r="I782" s="526"/>
      <c r="J782" s="526"/>
      <c r="K782" s="526"/>
      <c r="L782" s="526"/>
      <c r="M782" s="526"/>
      <c r="N782" s="526"/>
      <c r="O782" s="526"/>
      <c r="P782" s="526"/>
      <c r="Q782" s="526"/>
      <c r="R782" s="526"/>
      <c r="S782" s="526"/>
      <c r="T782" s="526"/>
      <c r="U782" s="526"/>
      <c r="V782" s="526"/>
      <c r="W782" s="526"/>
      <c r="X782" s="526"/>
      <c r="Y782" s="526"/>
      <c r="Z782" s="526"/>
    </row>
    <row r="783" spans="1:26" ht="18.600000000000001" x14ac:dyDescent="0.3">
      <c r="A783" s="526"/>
      <c r="B783" s="526"/>
      <c r="C783" s="526"/>
      <c r="D783" s="526"/>
      <c r="E783" s="526"/>
      <c r="F783" s="526"/>
      <c r="G783" s="526"/>
      <c r="H783" s="526"/>
      <c r="I783" s="526"/>
      <c r="J783" s="526"/>
      <c r="K783" s="526"/>
      <c r="L783" s="526"/>
      <c r="M783" s="526"/>
      <c r="N783" s="526"/>
      <c r="O783" s="526"/>
      <c r="P783" s="526"/>
      <c r="Q783" s="526"/>
      <c r="R783" s="526"/>
      <c r="S783" s="526"/>
      <c r="T783" s="526"/>
      <c r="U783" s="526"/>
      <c r="V783" s="526"/>
      <c r="W783" s="526"/>
      <c r="X783" s="526"/>
      <c r="Y783" s="526"/>
      <c r="Z783" s="526"/>
    </row>
    <row r="784" spans="1:26" ht="18.600000000000001" x14ac:dyDescent="0.3">
      <c r="A784" s="526"/>
      <c r="B784" s="526"/>
      <c r="C784" s="526"/>
      <c r="D784" s="526"/>
      <c r="E784" s="526"/>
      <c r="F784" s="526"/>
      <c r="G784" s="526"/>
      <c r="H784" s="526"/>
      <c r="I784" s="526"/>
      <c r="J784" s="526"/>
      <c r="K784" s="526"/>
      <c r="L784" s="526"/>
      <c r="M784" s="526"/>
      <c r="N784" s="526"/>
      <c r="O784" s="526"/>
      <c r="P784" s="526"/>
      <c r="Q784" s="526"/>
      <c r="R784" s="526"/>
      <c r="S784" s="526"/>
      <c r="T784" s="526"/>
      <c r="U784" s="526"/>
      <c r="V784" s="526"/>
      <c r="W784" s="526"/>
      <c r="X784" s="526"/>
      <c r="Y784" s="526"/>
      <c r="Z784" s="526"/>
    </row>
    <row r="785" spans="1:26" ht="18.600000000000001" x14ac:dyDescent="0.3">
      <c r="A785" s="526"/>
      <c r="B785" s="526"/>
      <c r="C785" s="526"/>
      <c r="D785" s="526"/>
      <c r="E785" s="526"/>
      <c r="F785" s="526"/>
      <c r="G785" s="526"/>
      <c r="H785" s="526"/>
      <c r="I785" s="526"/>
      <c r="J785" s="526"/>
      <c r="K785" s="526"/>
      <c r="L785" s="526"/>
      <c r="M785" s="526"/>
      <c r="N785" s="526"/>
      <c r="O785" s="526"/>
      <c r="P785" s="526"/>
      <c r="Q785" s="526"/>
      <c r="R785" s="526"/>
      <c r="S785" s="526"/>
      <c r="T785" s="526"/>
      <c r="U785" s="526"/>
      <c r="V785" s="526"/>
      <c r="W785" s="526"/>
      <c r="X785" s="526"/>
      <c r="Y785" s="526"/>
      <c r="Z785" s="526"/>
    </row>
    <row r="786" spans="1:26" ht="18.600000000000001" x14ac:dyDescent="0.3">
      <c r="A786" s="526"/>
      <c r="B786" s="526"/>
      <c r="C786" s="526"/>
      <c r="D786" s="526"/>
      <c r="E786" s="526"/>
      <c r="F786" s="526"/>
      <c r="G786" s="526"/>
      <c r="H786" s="526"/>
      <c r="I786" s="526"/>
      <c r="J786" s="526"/>
      <c r="K786" s="526"/>
      <c r="L786" s="526"/>
      <c r="M786" s="526"/>
      <c r="N786" s="526"/>
      <c r="O786" s="526"/>
      <c r="P786" s="526"/>
      <c r="Q786" s="526"/>
      <c r="R786" s="526"/>
      <c r="S786" s="526"/>
      <c r="T786" s="526"/>
      <c r="U786" s="526"/>
      <c r="V786" s="526"/>
      <c r="W786" s="526"/>
      <c r="X786" s="526"/>
      <c r="Y786" s="526"/>
      <c r="Z786" s="526"/>
    </row>
    <row r="787" spans="1:26" ht="18.600000000000001" x14ac:dyDescent="0.3">
      <c r="A787" s="526"/>
      <c r="B787" s="526"/>
      <c r="C787" s="526"/>
      <c r="D787" s="526"/>
      <c r="E787" s="526"/>
      <c r="F787" s="526"/>
      <c r="G787" s="526"/>
      <c r="H787" s="526"/>
      <c r="I787" s="526"/>
      <c r="J787" s="526"/>
      <c r="K787" s="526"/>
      <c r="L787" s="526"/>
      <c r="M787" s="526"/>
      <c r="N787" s="526"/>
      <c r="O787" s="526"/>
      <c r="P787" s="526"/>
      <c r="Q787" s="526"/>
      <c r="R787" s="526"/>
      <c r="S787" s="526"/>
      <c r="T787" s="526"/>
      <c r="U787" s="526"/>
      <c r="V787" s="526"/>
      <c r="W787" s="526"/>
      <c r="X787" s="526"/>
      <c r="Y787" s="526"/>
      <c r="Z787" s="526"/>
    </row>
    <row r="788" spans="1:26" ht="18.600000000000001" x14ac:dyDescent="0.3">
      <c r="A788" s="526"/>
      <c r="B788" s="526"/>
      <c r="C788" s="526"/>
      <c r="D788" s="526"/>
      <c r="E788" s="526"/>
      <c r="F788" s="526"/>
      <c r="G788" s="526"/>
      <c r="H788" s="526"/>
      <c r="I788" s="526"/>
      <c r="J788" s="526"/>
      <c r="K788" s="526"/>
      <c r="L788" s="526"/>
      <c r="M788" s="526"/>
      <c r="N788" s="526"/>
      <c r="O788" s="526"/>
      <c r="P788" s="526"/>
      <c r="Q788" s="526"/>
      <c r="R788" s="526"/>
      <c r="S788" s="526"/>
      <c r="T788" s="526"/>
      <c r="U788" s="526"/>
      <c r="V788" s="526"/>
      <c r="W788" s="526"/>
      <c r="X788" s="526"/>
      <c r="Y788" s="526"/>
      <c r="Z788" s="526"/>
    </row>
    <row r="789" spans="1:26" ht="18.600000000000001" x14ac:dyDescent="0.3">
      <c r="A789" s="526"/>
      <c r="B789" s="526"/>
      <c r="C789" s="526"/>
      <c r="D789" s="526"/>
      <c r="E789" s="526"/>
      <c r="F789" s="526"/>
      <c r="G789" s="526"/>
      <c r="H789" s="526"/>
      <c r="I789" s="526"/>
      <c r="J789" s="526"/>
      <c r="K789" s="526"/>
      <c r="L789" s="526"/>
      <c r="M789" s="526"/>
      <c r="N789" s="526"/>
      <c r="O789" s="526"/>
      <c r="P789" s="526"/>
      <c r="Q789" s="526"/>
      <c r="R789" s="526"/>
      <c r="S789" s="526"/>
      <c r="T789" s="526"/>
      <c r="U789" s="526"/>
      <c r="V789" s="526"/>
      <c r="W789" s="526"/>
      <c r="X789" s="526"/>
      <c r="Y789" s="526"/>
      <c r="Z789" s="526"/>
    </row>
    <row r="790" spans="1:26" ht="18.600000000000001" x14ac:dyDescent="0.3">
      <c r="A790" s="526"/>
      <c r="B790" s="526"/>
      <c r="C790" s="526"/>
      <c r="D790" s="526"/>
      <c r="E790" s="526"/>
      <c r="F790" s="526"/>
      <c r="G790" s="526"/>
      <c r="H790" s="526"/>
      <c r="I790" s="526"/>
      <c r="J790" s="526"/>
      <c r="K790" s="526"/>
      <c r="L790" s="526"/>
      <c r="M790" s="526"/>
      <c r="N790" s="526"/>
      <c r="O790" s="526"/>
      <c r="P790" s="526"/>
      <c r="Q790" s="526"/>
      <c r="R790" s="526"/>
      <c r="S790" s="526"/>
      <c r="T790" s="526"/>
      <c r="U790" s="526"/>
      <c r="V790" s="526"/>
      <c r="W790" s="526"/>
      <c r="X790" s="526"/>
      <c r="Y790" s="526"/>
      <c r="Z790" s="526"/>
    </row>
    <row r="791" spans="1:26" ht="18.600000000000001" x14ac:dyDescent="0.3">
      <c r="A791" s="526"/>
      <c r="B791" s="526"/>
      <c r="C791" s="526"/>
      <c r="D791" s="526"/>
      <c r="E791" s="526"/>
      <c r="F791" s="526"/>
      <c r="G791" s="526"/>
      <c r="H791" s="526"/>
      <c r="I791" s="526"/>
      <c r="J791" s="526"/>
      <c r="K791" s="526"/>
      <c r="L791" s="526"/>
      <c r="M791" s="526"/>
      <c r="N791" s="526"/>
      <c r="O791" s="526"/>
      <c r="P791" s="526"/>
      <c r="Q791" s="526"/>
      <c r="R791" s="526"/>
      <c r="S791" s="526"/>
      <c r="T791" s="526"/>
      <c r="U791" s="526"/>
      <c r="V791" s="526"/>
      <c r="W791" s="526"/>
      <c r="X791" s="526"/>
      <c r="Y791" s="526"/>
      <c r="Z791" s="526"/>
    </row>
    <row r="792" spans="1:26" ht="18.600000000000001" x14ac:dyDescent="0.3">
      <c r="A792" s="526"/>
      <c r="B792" s="526"/>
      <c r="C792" s="526"/>
      <c r="D792" s="526"/>
      <c r="E792" s="526"/>
      <c r="F792" s="526"/>
      <c r="G792" s="526"/>
      <c r="H792" s="526"/>
      <c r="I792" s="526"/>
      <c r="J792" s="526"/>
      <c r="K792" s="526"/>
      <c r="L792" s="526"/>
      <c r="M792" s="526"/>
      <c r="N792" s="526"/>
      <c r="O792" s="526"/>
      <c r="P792" s="526"/>
      <c r="Q792" s="526"/>
      <c r="R792" s="526"/>
      <c r="S792" s="526"/>
      <c r="T792" s="526"/>
      <c r="U792" s="526"/>
      <c r="V792" s="526"/>
      <c r="W792" s="526"/>
      <c r="X792" s="526"/>
      <c r="Y792" s="526"/>
      <c r="Z792" s="526"/>
    </row>
    <row r="793" spans="1:26" ht="18.600000000000001" x14ac:dyDescent="0.3">
      <c r="A793" s="526"/>
      <c r="B793" s="526"/>
      <c r="C793" s="526"/>
      <c r="D793" s="526"/>
      <c r="E793" s="526"/>
      <c r="F793" s="526"/>
      <c r="G793" s="526"/>
      <c r="H793" s="526"/>
      <c r="I793" s="526"/>
      <c r="J793" s="526"/>
      <c r="K793" s="526"/>
      <c r="L793" s="526"/>
      <c r="M793" s="526"/>
      <c r="N793" s="526"/>
      <c r="O793" s="526"/>
      <c r="P793" s="526"/>
      <c r="Q793" s="526"/>
      <c r="R793" s="526"/>
      <c r="S793" s="526"/>
      <c r="T793" s="526"/>
      <c r="U793" s="526"/>
      <c r="V793" s="526"/>
      <c r="W793" s="526"/>
      <c r="X793" s="526"/>
      <c r="Y793" s="526"/>
      <c r="Z793" s="526"/>
    </row>
    <row r="794" spans="1:26" ht="18.600000000000001" x14ac:dyDescent="0.3">
      <c r="A794" s="526"/>
      <c r="B794" s="526"/>
      <c r="C794" s="526"/>
      <c r="D794" s="526"/>
      <c r="E794" s="526"/>
      <c r="F794" s="526"/>
      <c r="G794" s="526"/>
      <c r="H794" s="526"/>
      <c r="I794" s="526"/>
      <c r="J794" s="526"/>
      <c r="K794" s="526"/>
      <c r="L794" s="526"/>
      <c r="M794" s="526"/>
      <c r="N794" s="526"/>
      <c r="O794" s="526"/>
      <c r="P794" s="526"/>
      <c r="Q794" s="526"/>
      <c r="R794" s="526"/>
      <c r="S794" s="526"/>
      <c r="T794" s="526"/>
      <c r="U794" s="526"/>
      <c r="V794" s="526"/>
      <c r="W794" s="526"/>
      <c r="X794" s="526"/>
      <c r="Y794" s="526"/>
      <c r="Z794" s="526"/>
    </row>
    <row r="795" spans="1:26" ht="18.600000000000001" x14ac:dyDescent="0.3">
      <c r="A795" s="526"/>
      <c r="B795" s="526"/>
      <c r="C795" s="526"/>
      <c r="D795" s="526"/>
      <c r="E795" s="526"/>
      <c r="F795" s="526"/>
      <c r="G795" s="526"/>
      <c r="H795" s="526"/>
      <c r="I795" s="526"/>
      <c r="J795" s="526"/>
      <c r="K795" s="526"/>
      <c r="L795" s="526"/>
      <c r="M795" s="526"/>
      <c r="N795" s="526"/>
      <c r="O795" s="526"/>
      <c r="P795" s="526"/>
      <c r="Q795" s="526"/>
      <c r="R795" s="526"/>
      <c r="S795" s="526"/>
      <c r="T795" s="526"/>
      <c r="U795" s="526"/>
      <c r="V795" s="526"/>
      <c r="W795" s="526"/>
      <c r="X795" s="526"/>
      <c r="Y795" s="526"/>
      <c r="Z795" s="526"/>
    </row>
    <row r="796" spans="1:26" ht="18.600000000000001" x14ac:dyDescent="0.3">
      <c r="A796" s="526"/>
      <c r="B796" s="526"/>
      <c r="C796" s="526"/>
      <c r="D796" s="526"/>
      <c r="E796" s="526"/>
      <c r="F796" s="526"/>
      <c r="G796" s="526"/>
      <c r="H796" s="526"/>
      <c r="I796" s="526"/>
      <c r="J796" s="526"/>
      <c r="K796" s="526"/>
      <c r="L796" s="526"/>
      <c r="M796" s="526"/>
      <c r="N796" s="526"/>
      <c r="O796" s="526"/>
      <c r="P796" s="526"/>
      <c r="Q796" s="526"/>
      <c r="R796" s="526"/>
      <c r="S796" s="526"/>
      <c r="T796" s="526"/>
      <c r="U796" s="526"/>
      <c r="V796" s="526"/>
      <c r="W796" s="526"/>
      <c r="X796" s="526"/>
      <c r="Y796" s="526"/>
      <c r="Z796" s="526"/>
    </row>
    <row r="797" spans="1:26" ht="18.600000000000001" x14ac:dyDescent="0.3">
      <c r="A797" s="526"/>
      <c r="B797" s="526"/>
      <c r="C797" s="526"/>
      <c r="D797" s="526"/>
      <c r="E797" s="526"/>
      <c r="F797" s="526"/>
      <c r="G797" s="526"/>
      <c r="H797" s="526"/>
      <c r="I797" s="526"/>
      <c r="J797" s="526"/>
      <c r="K797" s="526"/>
      <c r="L797" s="526"/>
      <c r="M797" s="526"/>
      <c r="N797" s="526"/>
      <c r="O797" s="526"/>
      <c r="P797" s="526"/>
      <c r="Q797" s="526"/>
      <c r="R797" s="526"/>
      <c r="S797" s="526"/>
      <c r="T797" s="526"/>
      <c r="U797" s="526"/>
      <c r="V797" s="526"/>
      <c r="W797" s="526"/>
      <c r="X797" s="526"/>
      <c r="Y797" s="526"/>
      <c r="Z797" s="526"/>
    </row>
    <row r="798" spans="1:26" ht="18.600000000000001" x14ac:dyDescent="0.3">
      <c r="A798" s="526"/>
      <c r="B798" s="526"/>
      <c r="C798" s="526"/>
      <c r="D798" s="526"/>
      <c r="E798" s="526"/>
      <c r="F798" s="526"/>
      <c r="G798" s="526"/>
      <c r="H798" s="526"/>
      <c r="I798" s="526"/>
      <c r="J798" s="526"/>
      <c r="K798" s="526"/>
      <c r="L798" s="526"/>
      <c r="M798" s="526"/>
      <c r="N798" s="526"/>
      <c r="O798" s="526"/>
      <c r="P798" s="526"/>
      <c r="Q798" s="526"/>
      <c r="R798" s="526"/>
      <c r="S798" s="526"/>
      <c r="T798" s="526"/>
      <c r="U798" s="526"/>
      <c r="V798" s="526"/>
      <c r="W798" s="526"/>
      <c r="X798" s="526"/>
      <c r="Y798" s="526"/>
      <c r="Z798" s="526"/>
    </row>
    <row r="799" spans="1:26" ht="18.600000000000001" x14ac:dyDescent="0.3">
      <c r="A799" s="526"/>
      <c r="B799" s="526"/>
      <c r="C799" s="526"/>
      <c r="D799" s="526"/>
      <c r="E799" s="526"/>
      <c r="F799" s="526"/>
      <c r="G799" s="526"/>
      <c r="H799" s="526"/>
      <c r="I799" s="526"/>
      <c r="J799" s="526"/>
      <c r="K799" s="526"/>
      <c r="L799" s="526"/>
      <c r="M799" s="526"/>
      <c r="N799" s="526"/>
      <c r="O799" s="526"/>
      <c r="P799" s="526"/>
      <c r="Q799" s="526"/>
      <c r="R799" s="526"/>
      <c r="S799" s="526"/>
      <c r="T799" s="526"/>
      <c r="U799" s="526"/>
      <c r="V799" s="526"/>
      <c r="W799" s="526"/>
      <c r="X799" s="526"/>
      <c r="Y799" s="526"/>
      <c r="Z799" s="526"/>
    </row>
    <row r="800" spans="1:26" ht="18.600000000000001" x14ac:dyDescent="0.3">
      <c r="A800" s="526"/>
      <c r="B800" s="526"/>
      <c r="C800" s="526"/>
      <c r="D800" s="526"/>
      <c r="E800" s="526"/>
      <c r="F800" s="526"/>
      <c r="G800" s="526"/>
      <c r="H800" s="526"/>
      <c r="I800" s="526"/>
      <c r="J800" s="526"/>
      <c r="K800" s="526"/>
      <c r="L800" s="526"/>
      <c r="M800" s="526"/>
      <c r="N800" s="526"/>
      <c r="O800" s="526"/>
      <c r="P800" s="526"/>
      <c r="Q800" s="526"/>
      <c r="R800" s="526"/>
      <c r="S800" s="526"/>
      <c r="T800" s="526"/>
      <c r="U800" s="526"/>
      <c r="V800" s="526"/>
      <c r="W800" s="526"/>
      <c r="X800" s="526"/>
      <c r="Y800" s="526"/>
      <c r="Z800" s="526"/>
    </row>
    <row r="801" spans="1:26" ht="18.600000000000001" x14ac:dyDescent="0.3">
      <c r="A801" s="526"/>
      <c r="B801" s="526"/>
      <c r="C801" s="526"/>
      <c r="D801" s="526"/>
      <c r="E801" s="526"/>
      <c r="F801" s="526"/>
      <c r="G801" s="526"/>
      <c r="H801" s="526"/>
      <c r="I801" s="526"/>
      <c r="J801" s="526"/>
      <c r="K801" s="526"/>
      <c r="L801" s="526"/>
      <c r="M801" s="526"/>
      <c r="N801" s="526"/>
      <c r="O801" s="526"/>
      <c r="P801" s="526"/>
      <c r="Q801" s="526"/>
      <c r="R801" s="526"/>
      <c r="S801" s="526"/>
      <c r="T801" s="526"/>
      <c r="U801" s="526"/>
      <c r="V801" s="526"/>
      <c r="W801" s="526"/>
      <c r="X801" s="526"/>
      <c r="Y801" s="526"/>
      <c r="Z801" s="526"/>
    </row>
    <row r="802" spans="1:26" ht="18.600000000000001" x14ac:dyDescent="0.3">
      <c r="A802" s="526"/>
      <c r="B802" s="526"/>
      <c r="C802" s="526"/>
      <c r="D802" s="526"/>
      <c r="E802" s="526"/>
      <c r="F802" s="526"/>
      <c r="G802" s="526"/>
      <c r="H802" s="526"/>
      <c r="I802" s="526"/>
      <c r="J802" s="526"/>
      <c r="K802" s="526"/>
      <c r="L802" s="526"/>
      <c r="M802" s="526"/>
      <c r="N802" s="526"/>
      <c r="O802" s="526"/>
      <c r="P802" s="526"/>
      <c r="Q802" s="526"/>
      <c r="R802" s="526"/>
      <c r="S802" s="526"/>
      <c r="T802" s="526"/>
      <c r="U802" s="526"/>
      <c r="V802" s="526"/>
      <c r="W802" s="526"/>
      <c r="X802" s="526"/>
      <c r="Y802" s="526"/>
      <c r="Z802" s="526"/>
    </row>
    <row r="803" spans="1:26" ht="18.600000000000001" x14ac:dyDescent="0.3">
      <c r="A803" s="526"/>
      <c r="B803" s="526"/>
      <c r="C803" s="526"/>
      <c r="D803" s="526"/>
      <c r="E803" s="526"/>
      <c r="F803" s="526"/>
      <c r="G803" s="526"/>
      <c r="H803" s="526"/>
      <c r="I803" s="526"/>
      <c r="J803" s="526"/>
      <c r="K803" s="526"/>
      <c r="L803" s="526"/>
      <c r="M803" s="526"/>
      <c r="N803" s="526"/>
      <c r="O803" s="526"/>
      <c r="P803" s="526"/>
      <c r="Q803" s="526"/>
      <c r="R803" s="526"/>
      <c r="S803" s="526"/>
      <c r="T803" s="526"/>
      <c r="U803" s="526"/>
      <c r="V803" s="526"/>
      <c r="W803" s="526"/>
      <c r="X803" s="526"/>
      <c r="Y803" s="526"/>
      <c r="Z803" s="526"/>
    </row>
    <row r="804" spans="1:26" ht="18.600000000000001" x14ac:dyDescent="0.3">
      <c r="A804" s="526"/>
      <c r="B804" s="526"/>
      <c r="C804" s="526"/>
      <c r="D804" s="526"/>
      <c r="E804" s="526"/>
      <c r="F804" s="526"/>
      <c r="G804" s="526"/>
      <c r="H804" s="526"/>
      <c r="I804" s="526"/>
      <c r="J804" s="526"/>
      <c r="K804" s="526"/>
      <c r="L804" s="526"/>
      <c r="M804" s="526"/>
      <c r="N804" s="526"/>
      <c r="O804" s="526"/>
      <c r="P804" s="526"/>
      <c r="Q804" s="526"/>
      <c r="R804" s="526"/>
      <c r="S804" s="526"/>
      <c r="T804" s="526"/>
      <c r="U804" s="526"/>
      <c r="V804" s="526"/>
      <c r="W804" s="526"/>
      <c r="X804" s="526"/>
      <c r="Y804" s="526"/>
      <c r="Z804" s="526"/>
    </row>
    <row r="805" spans="1:26" ht="18.600000000000001" x14ac:dyDescent="0.3">
      <c r="A805" s="526"/>
      <c r="B805" s="526"/>
      <c r="C805" s="526"/>
      <c r="D805" s="526"/>
      <c r="E805" s="526"/>
      <c r="F805" s="526"/>
      <c r="G805" s="526"/>
      <c r="H805" s="526"/>
      <c r="I805" s="526"/>
      <c r="J805" s="526"/>
      <c r="K805" s="526"/>
      <c r="L805" s="526"/>
      <c r="M805" s="526"/>
      <c r="N805" s="526"/>
      <c r="O805" s="526"/>
      <c r="P805" s="526"/>
      <c r="Q805" s="526"/>
      <c r="R805" s="526"/>
      <c r="S805" s="526"/>
      <c r="T805" s="526"/>
      <c r="U805" s="526"/>
      <c r="V805" s="526"/>
      <c r="W805" s="526"/>
      <c r="X805" s="526"/>
      <c r="Y805" s="526"/>
      <c r="Z805" s="526"/>
    </row>
    <row r="806" spans="1:26" ht="18.600000000000001" x14ac:dyDescent="0.3">
      <c r="A806" s="526"/>
      <c r="B806" s="526"/>
      <c r="C806" s="526"/>
      <c r="D806" s="526"/>
      <c r="E806" s="526"/>
      <c r="F806" s="526"/>
      <c r="G806" s="526"/>
      <c r="H806" s="526"/>
      <c r="I806" s="526"/>
      <c r="J806" s="526"/>
      <c r="K806" s="526"/>
      <c r="L806" s="526"/>
      <c r="M806" s="526"/>
      <c r="N806" s="526"/>
      <c r="O806" s="526"/>
      <c r="P806" s="526"/>
      <c r="Q806" s="526"/>
      <c r="R806" s="526"/>
      <c r="S806" s="526"/>
      <c r="T806" s="526"/>
      <c r="U806" s="526"/>
      <c r="V806" s="526"/>
      <c r="W806" s="526"/>
      <c r="X806" s="526"/>
      <c r="Y806" s="526"/>
      <c r="Z806" s="526"/>
    </row>
    <row r="807" spans="1:26" ht="18.600000000000001" x14ac:dyDescent="0.3">
      <c r="A807" s="526"/>
      <c r="B807" s="526"/>
      <c r="C807" s="526"/>
      <c r="D807" s="526"/>
      <c r="E807" s="526"/>
      <c r="F807" s="526"/>
      <c r="G807" s="526"/>
      <c r="H807" s="526"/>
      <c r="I807" s="526"/>
      <c r="J807" s="526"/>
      <c r="K807" s="526"/>
      <c r="L807" s="526"/>
      <c r="M807" s="526"/>
      <c r="N807" s="526"/>
      <c r="O807" s="526"/>
      <c r="P807" s="526"/>
      <c r="Q807" s="526"/>
      <c r="R807" s="526"/>
      <c r="S807" s="526"/>
      <c r="T807" s="526"/>
      <c r="U807" s="526"/>
      <c r="V807" s="526"/>
      <c r="W807" s="526"/>
      <c r="X807" s="526"/>
      <c r="Y807" s="526"/>
      <c r="Z807" s="526"/>
    </row>
    <row r="808" spans="1:26" ht="18.600000000000001" x14ac:dyDescent="0.3">
      <c r="A808" s="526"/>
      <c r="B808" s="526"/>
      <c r="C808" s="526"/>
      <c r="D808" s="526"/>
      <c r="E808" s="526"/>
      <c r="F808" s="526"/>
      <c r="G808" s="526"/>
      <c r="H808" s="526"/>
      <c r="I808" s="526"/>
      <c r="J808" s="526"/>
      <c r="K808" s="526"/>
      <c r="L808" s="526"/>
      <c r="M808" s="526"/>
      <c r="N808" s="526"/>
      <c r="O808" s="526"/>
      <c r="P808" s="526"/>
      <c r="Q808" s="526"/>
      <c r="R808" s="526"/>
      <c r="S808" s="526"/>
      <c r="T808" s="526"/>
      <c r="U808" s="526"/>
      <c r="V808" s="526"/>
      <c r="W808" s="526"/>
      <c r="X808" s="526"/>
      <c r="Y808" s="526"/>
      <c r="Z808" s="526"/>
    </row>
    <row r="809" spans="1:26" ht="18.600000000000001" x14ac:dyDescent="0.3">
      <c r="A809" s="526"/>
      <c r="B809" s="526"/>
      <c r="C809" s="526"/>
      <c r="D809" s="526"/>
      <c r="E809" s="526"/>
      <c r="F809" s="526"/>
      <c r="G809" s="526"/>
      <c r="H809" s="526"/>
      <c r="I809" s="526"/>
      <c r="J809" s="526"/>
      <c r="K809" s="526"/>
      <c r="L809" s="526"/>
      <c r="M809" s="526"/>
      <c r="N809" s="526"/>
      <c r="O809" s="526"/>
      <c r="P809" s="526"/>
      <c r="Q809" s="526"/>
      <c r="R809" s="526"/>
      <c r="S809" s="526"/>
      <c r="T809" s="526"/>
      <c r="U809" s="526"/>
      <c r="V809" s="526"/>
      <c r="W809" s="526"/>
      <c r="X809" s="526"/>
      <c r="Y809" s="526"/>
      <c r="Z809" s="526"/>
    </row>
    <row r="810" spans="1:26" ht="18.600000000000001" x14ac:dyDescent="0.3">
      <c r="A810" s="526"/>
      <c r="B810" s="526"/>
      <c r="C810" s="526"/>
      <c r="D810" s="526"/>
      <c r="E810" s="526"/>
      <c r="F810" s="526"/>
      <c r="G810" s="526"/>
      <c r="H810" s="526"/>
      <c r="I810" s="526"/>
      <c r="J810" s="526"/>
      <c r="K810" s="526"/>
      <c r="L810" s="526"/>
      <c r="M810" s="526"/>
      <c r="N810" s="526"/>
      <c r="O810" s="526"/>
      <c r="P810" s="526"/>
      <c r="Q810" s="526"/>
      <c r="R810" s="526"/>
      <c r="S810" s="526"/>
      <c r="T810" s="526"/>
      <c r="U810" s="526"/>
      <c r="V810" s="526"/>
      <c r="W810" s="526"/>
      <c r="X810" s="526"/>
      <c r="Y810" s="526"/>
      <c r="Z810" s="526"/>
    </row>
    <row r="811" spans="1:26" ht="18.600000000000001" x14ac:dyDescent="0.3">
      <c r="A811" s="526"/>
      <c r="B811" s="526"/>
      <c r="C811" s="526"/>
      <c r="D811" s="526"/>
      <c r="E811" s="526"/>
      <c r="F811" s="526"/>
      <c r="G811" s="526"/>
      <c r="H811" s="526"/>
      <c r="I811" s="526"/>
      <c r="J811" s="526"/>
      <c r="K811" s="526"/>
      <c r="L811" s="526"/>
      <c r="M811" s="526"/>
      <c r="N811" s="526"/>
      <c r="O811" s="526"/>
      <c r="P811" s="526"/>
      <c r="Q811" s="526"/>
      <c r="R811" s="526"/>
      <c r="S811" s="526"/>
      <c r="T811" s="526"/>
      <c r="U811" s="526"/>
      <c r="V811" s="526"/>
      <c r="W811" s="526"/>
      <c r="X811" s="526"/>
      <c r="Y811" s="526"/>
      <c r="Z811" s="526"/>
    </row>
    <row r="812" spans="1:26" ht="18.600000000000001" x14ac:dyDescent="0.3">
      <c r="A812" s="526"/>
      <c r="B812" s="526"/>
      <c r="C812" s="526"/>
      <c r="D812" s="526"/>
      <c r="E812" s="526"/>
      <c r="F812" s="526"/>
      <c r="G812" s="526"/>
      <c r="H812" s="526"/>
      <c r="I812" s="526"/>
      <c r="J812" s="526"/>
      <c r="K812" s="526"/>
      <c r="L812" s="526"/>
      <c r="M812" s="526"/>
      <c r="N812" s="526"/>
      <c r="O812" s="526"/>
      <c r="P812" s="526"/>
      <c r="Q812" s="526"/>
      <c r="R812" s="526"/>
      <c r="S812" s="526"/>
      <c r="T812" s="526"/>
      <c r="U812" s="526"/>
      <c r="V812" s="526"/>
      <c r="W812" s="526"/>
      <c r="X812" s="526"/>
      <c r="Y812" s="526"/>
      <c r="Z812" s="526"/>
    </row>
    <row r="813" spans="1:26" ht="18.600000000000001" x14ac:dyDescent="0.3">
      <c r="A813" s="526"/>
      <c r="B813" s="526"/>
      <c r="C813" s="526"/>
      <c r="D813" s="526"/>
      <c r="E813" s="526"/>
      <c r="F813" s="526"/>
      <c r="G813" s="526"/>
      <c r="H813" s="526"/>
      <c r="I813" s="526"/>
      <c r="J813" s="526"/>
      <c r="K813" s="526"/>
      <c r="L813" s="526"/>
      <c r="M813" s="526"/>
      <c r="N813" s="526"/>
      <c r="O813" s="526"/>
      <c r="P813" s="526"/>
      <c r="Q813" s="526"/>
      <c r="R813" s="526"/>
      <c r="S813" s="526"/>
      <c r="T813" s="526"/>
      <c r="U813" s="526"/>
      <c r="V813" s="526"/>
      <c r="W813" s="526"/>
      <c r="X813" s="526"/>
      <c r="Y813" s="526"/>
      <c r="Z813" s="526"/>
    </row>
    <row r="814" spans="1:26" ht="18.600000000000001" x14ac:dyDescent="0.3">
      <c r="A814" s="526"/>
      <c r="B814" s="526"/>
      <c r="C814" s="526"/>
      <c r="D814" s="526"/>
      <c r="E814" s="526"/>
      <c r="F814" s="526"/>
      <c r="G814" s="526"/>
      <c r="H814" s="526"/>
      <c r="I814" s="526"/>
      <c r="J814" s="526"/>
      <c r="K814" s="526"/>
      <c r="L814" s="526"/>
      <c r="M814" s="526"/>
      <c r="N814" s="526"/>
      <c r="O814" s="526"/>
      <c r="P814" s="526"/>
      <c r="Q814" s="526"/>
      <c r="R814" s="526"/>
      <c r="S814" s="526"/>
      <c r="T814" s="526"/>
      <c r="U814" s="526"/>
      <c r="V814" s="526"/>
      <c r="W814" s="526"/>
      <c r="X814" s="526"/>
      <c r="Y814" s="526"/>
      <c r="Z814" s="526"/>
    </row>
    <row r="815" spans="1:26" ht="18.600000000000001" x14ac:dyDescent="0.3">
      <c r="A815" s="526"/>
      <c r="B815" s="526"/>
      <c r="C815" s="526"/>
      <c r="D815" s="526"/>
      <c r="E815" s="526"/>
      <c r="F815" s="526"/>
      <c r="G815" s="526"/>
      <c r="H815" s="526"/>
      <c r="I815" s="526"/>
      <c r="J815" s="526"/>
      <c r="K815" s="526"/>
      <c r="L815" s="526"/>
      <c r="M815" s="526"/>
      <c r="N815" s="526"/>
      <c r="O815" s="526"/>
      <c r="P815" s="526"/>
      <c r="Q815" s="526"/>
      <c r="R815" s="526"/>
      <c r="S815" s="526"/>
      <c r="T815" s="526"/>
      <c r="U815" s="526"/>
      <c r="V815" s="526"/>
      <c r="W815" s="526"/>
      <c r="X815" s="526"/>
      <c r="Y815" s="526"/>
      <c r="Z815" s="526"/>
    </row>
    <row r="816" spans="1:26" ht="18.600000000000001" x14ac:dyDescent="0.3">
      <c r="A816" s="526"/>
      <c r="B816" s="526"/>
      <c r="C816" s="526"/>
      <c r="D816" s="526"/>
      <c r="E816" s="526"/>
      <c r="F816" s="526"/>
      <c r="G816" s="526"/>
      <c r="H816" s="526"/>
      <c r="I816" s="526"/>
      <c r="J816" s="526"/>
      <c r="K816" s="526"/>
      <c r="L816" s="526"/>
      <c r="M816" s="526"/>
      <c r="N816" s="526"/>
      <c r="O816" s="526"/>
      <c r="P816" s="526"/>
      <c r="Q816" s="526"/>
      <c r="R816" s="526"/>
      <c r="S816" s="526"/>
      <c r="T816" s="526"/>
      <c r="U816" s="526"/>
      <c r="V816" s="526"/>
      <c r="W816" s="526"/>
      <c r="X816" s="526"/>
      <c r="Y816" s="526"/>
      <c r="Z816" s="526"/>
    </row>
    <row r="817" spans="1:26" ht="18.600000000000001" x14ac:dyDescent="0.3">
      <c r="A817" s="526"/>
      <c r="B817" s="526"/>
      <c r="C817" s="526"/>
      <c r="D817" s="526"/>
      <c r="E817" s="526"/>
      <c r="F817" s="526"/>
      <c r="G817" s="526"/>
      <c r="H817" s="526"/>
      <c r="I817" s="526"/>
      <c r="J817" s="526"/>
      <c r="K817" s="526"/>
      <c r="L817" s="526"/>
      <c r="M817" s="526"/>
      <c r="N817" s="526"/>
      <c r="O817" s="526"/>
      <c r="P817" s="526"/>
      <c r="Q817" s="526"/>
      <c r="R817" s="526"/>
      <c r="S817" s="526"/>
      <c r="T817" s="526"/>
      <c r="U817" s="526"/>
      <c r="V817" s="526"/>
      <c r="W817" s="526"/>
      <c r="X817" s="526"/>
      <c r="Y817" s="526"/>
      <c r="Z817" s="526"/>
    </row>
    <row r="818" spans="1:26" ht="18.600000000000001" x14ac:dyDescent="0.3">
      <c r="A818" s="526"/>
      <c r="B818" s="526"/>
      <c r="C818" s="526"/>
      <c r="D818" s="526"/>
      <c r="E818" s="526"/>
      <c r="F818" s="526"/>
      <c r="G818" s="526"/>
      <c r="H818" s="526"/>
      <c r="I818" s="526"/>
      <c r="J818" s="526"/>
      <c r="K818" s="526"/>
      <c r="L818" s="526"/>
      <c r="M818" s="526"/>
      <c r="N818" s="526"/>
      <c r="O818" s="526"/>
      <c r="P818" s="526"/>
      <c r="Q818" s="526"/>
      <c r="R818" s="526"/>
      <c r="S818" s="526"/>
      <c r="T818" s="526"/>
      <c r="U818" s="526"/>
      <c r="V818" s="526"/>
      <c r="W818" s="526"/>
      <c r="X818" s="526"/>
      <c r="Y818" s="526"/>
      <c r="Z818" s="526"/>
    </row>
    <row r="819" spans="1:26" ht="18.600000000000001" x14ac:dyDescent="0.3">
      <c r="A819" s="526"/>
      <c r="B819" s="526"/>
      <c r="C819" s="526"/>
      <c r="D819" s="526"/>
      <c r="E819" s="526"/>
      <c r="F819" s="526"/>
      <c r="G819" s="526"/>
      <c r="H819" s="526"/>
      <c r="I819" s="526"/>
      <c r="J819" s="526"/>
      <c r="K819" s="526"/>
      <c r="L819" s="526"/>
      <c r="M819" s="526"/>
      <c r="N819" s="526"/>
      <c r="O819" s="526"/>
      <c r="P819" s="526"/>
      <c r="Q819" s="526"/>
      <c r="R819" s="526"/>
      <c r="S819" s="526"/>
      <c r="T819" s="526"/>
      <c r="U819" s="526"/>
      <c r="V819" s="526"/>
      <c r="W819" s="526"/>
      <c r="X819" s="526"/>
      <c r="Y819" s="526"/>
      <c r="Z819" s="526"/>
    </row>
    <row r="820" spans="1:26" ht="18.600000000000001" x14ac:dyDescent="0.3">
      <c r="A820" s="526"/>
      <c r="B820" s="526"/>
      <c r="C820" s="526"/>
      <c r="D820" s="526"/>
      <c r="E820" s="526"/>
      <c r="F820" s="526"/>
      <c r="G820" s="526"/>
      <c r="H820" s="526"/>
      <c r="I820" s="526"/>
      <c r="J820" s="526"/>
      <c r="K820" s="526"/>
      <c r="L820" s="526"/>
      <c r="M820" s="526"/>
      <c r="N820" s="526"/>
      <c r="O820" s="526"/>
      <c r="P820" s="526"/>
      <c r="Q820" s="526"/>
      <c r="R820" s="526"/>
      <c r="S820" s="526"/>
      <c r="T820" s="526"/>
      <c r="U820" s="526"/>
      <c r="V820" s="526"/>
      <c r="W820" s="526"/>
      <c r="X820" s="526"/>
      <c r="Y820" s="526"/>
      <c r="Z820" s="526"/>
    </row>
    <row r="821" spans="1:26" ht="18.600000000000001" x14ac:dyDescent="0.3">
      <c r="A821" s="526"/>
      <c r="B821" s="526"/>
      <c r="C821" s="526"/>
      <c r="D821" s="526"/>
      <c r="E821" s="526"/>
      <c r="F821" s="526"/>
      <c r="G821" s="526"/>
      <c r="H821" s="526"/>
      <c r="I821" s="526"/>
      <c r="J821" s="526"/>
      <c r="K821" s="526"/>
      <c r="L821" s="526"/>
      <c r="M821" s="526"/>
      <c r="N821" s="526"/>
      <c r="O821" s="526"/>
      <c r="P821" s="526"/>
      <c r="Q821" s="526"/>
      <c r="R821" s="526"/>
      <c r="S821" s="526"/>
      <c r="T821" s="526"/>
      <c r="U821" s="526"/>
      <c r="V821" s="526"/>
      <c r="W821" s="526"/>
      <c r="X821" s="526"/>
      <c r="Y821" s="526"/>
      <c r="Z821" s="526"/>
    </row>
    <row r="822" spans="1:26" ht="18.600000000000001" x14ac:dyDescent="0.3">
      <c r="A822" s="526"/>
      <c r="B822" s="526"/>
      <c r="C822" s="526"/>
      <c r="D822" s="526"/>
      <c r="E822" s="526"/>
      <c r="F822" s="526"/>
      <c r="G822" s="526"/>
      <c r="H822" s="526"/>
      <c r="I822" s="526"/>
      <c r="J822" s="526"/>
      <c r="K822" s="526"/>
      <c r="L822" s="526"/>
      <c r="M822" s="526"/>
      <c r="N822" s="526"/>
      <c r="O822" s="526"/>
      <c r="P822" s="526"/>
      <c r="Q822" s="526"/>
      <c r="R822" s="526"/>
      <c r="S822" s="526"/>
      <c r="T822" s="526"/>
      <c r="U822" s="526"/>
      <c r="V822" s="526"/>
      <c r="W822" s="526"/>
      <c r="X822" s="526"/>
      <c r="Y822" s="526"/>
      <c r="Z822" s="526"/>
    </row>
    <row r="823" spans="1:26" ht="18.600000000000001" x14ac:dyDescent="0.3">
      <c r="A823" s="526"/>
      <c r="B823" s="526"/>
      <c r="C823" s="526"/>
      <c r="D823" s="526"/>
      <c r="E823" s="526"/>
      <c r="F823" s="526"/>
      <c r="G823" s="526"/>
      <c r="H823" s="526"/>
      <c r="I823" s="526"/>
      <c r="J823" s="526"/>
      <c r="K823" s="526"/>
      <c r="L823" s="526"/>
      <c r="M823" s="526"/>
      <c r="N823" s="526"/>
      <c r="O823" s="526"/>
      <c r="P823" s="526"/>
      <c r="Q823" s="526"/>
      <c r="R823" s="526"/>
      <c r="S823" s="526"/>
      <c r="T823" s="526"/>
      <c r="U823" s="526"/>
      <c r="V823" s="526"/>
      <c r="W823" s="526"/>
      <c r="X823" s="526"/>
      <c r="Y823" s="526"/>
      <c r="Z823" s="526"/>
    </row>
    <row r="824" spans="1:26" ht="18.600000000000001" x14ac:dyDescent="0.3">
      <c r="A824" s="526"/>
      <c r="B824" s="526"/>
      <c r="C824" s="526"/>
      <c r="D824" s="526"/>
      <c r="E824" s="526"/>
      <c r="F824" s="526"/>
      <c r="G824" s="526"/>
      <c r="H824" s="526"/>
      <c r="I824" s="526"/>
      <c r="J824" s="526"/>
      <c r="K824" s="526"/>
      <c r="L824" s="526"/>
      <c r="M824" s="526"/>
      <c r="N824" s="526"/>
      <c r="O824" s="526"/>
      <c r="P824" s="526"/>
      <c r="Q824" s="526"/>
      <c r="R824" s="526"/>
      <c r="S824" s="526"/>
      <c r="T824" s="526"/>
      <c r="U824" s="526"/>
      <c r="V824" s="526"/>
      <c r="W824" s="526"/>
      <c r="X824" s="526"/>
      <c r="Y824" s="526"/>
      <c r="Z824" s="526"/>
    </row>
    <row r="825" spans="1:26" ht="18.600000000000001" x14ac:dyDescent="0.3">
      <c r="A825" s="526"/>
      <c r="B825" s="526"/>
      <c r="C825" s="526"/>
      <c r="D825" s="526"/>
      <c r="E825" s="526"/>
      <c r="F825" s="526"/>
      <c r="G825" s="526"/>
      <c r="H825" s="526"/>
      <c r="I825" s="526"/>
      <c r="J825" s="526"/>
      <c r="K825" s="526"/>
      <c r="L825" s="526"/>
      <c r="M825" s="526"/>
      <c r="N825" s="526"/>
      <c r="O825" s="526"/>
      <c r="P825" s="526"/>
      <c r="Q825" s="526"/>
      <c r="R825" s="526"/>
      <c r="S825" s="526"/>
      <c r="T825" s="526"/>
      <c r="U825" s="526"/>
      <c r="V825" s="526"/>
      <c r="W825" s="526"/>
      <c r="X825" s="526"/>
      <c r="Y825" s="526"/>
      <c r="Z825" s="526"/>
    </row>
    <row r="826" spans="1:26" ht="18.600000000000001" x14ac:dyDescent="0.3">
      <c r="A826" s="526"/>
      <c r="B826" s="526"/>
      <c r="C826" s="526"/>
      <c r="D826" s="526"/>
      <c r="E826" s="526"/>
      <c r="F826" s="526"/>
      <c r="G826" s="526"/>
      <c r="H826" s="526"/>
      <c r="I826" s="526"/>
      <c r="J826" s="526"/>
      <c r="K826" s="526"/>
      <c r="L826" s="526"/>
      <c r="M826" s="526"/>
      <c r="N826" s="526"/>
      <c r="O826" s="526"/>
      <c r="P826" s="526"/>
      <c r="Q826" s="526"/>
      <c r="R826" s="526"/>
      <c r="S826" s="526"/>
      <c r="T826" s="526"/>
      <c r="U826" s="526"/>
      <c r="V826" s="526"/>
      <c r="W826" s="526"/>
      <c r="X826" s="526"/>
      <c r="Y826" s="526"/>
      <c r="Z826" s="526"/>
    </row>
    <row r="827" spans="1:26" ht="18.600000000000001" x14ac:dyDescent="0.3">
      <c r="A827" s="526"/>
      <c r="B827" s="526"/>
      <c r="C827" s="526"/>
      <c r="D827" s="526"/>
      <c r="E827" s="526"/>
      <c r="F827" s="526"/>
      <c r="G827" s="526"/>
      <c r="H827" s="526"/>
      <c r="I827" s="526"/>
      <c r="J827" s="526"/>
      <c r="K827" s="526"/>
      <c r="L827" s="526"/>
      <c r="M827" s="526"/>
      <c r="N827" s="526"/>
      <c r="O827" s="526"/>
      <c r="P827" s="526"/>
      <c r="Q827" s="526"/>
      <c r="R827" s="526"/>
      <c r="S827" s="526"/>
      <c r="T827" s="526"/>
      <c r="U827" s="526"/>
      <c r="V827" s="526"/>
      <c r="W827" s="526"/>
      <c r="X827" s="526"/>
      <c r="Y827" s="526"/>
      <c r="Z827" s="526"/>
    </row>
    <row r="828" spans="1:26" ht="18.600000000000001" x14ac:dyDescent="0.3">
      <c r="A828" s="526"/>
      <c r="B828" s="526"/>
      <c r="C828" s="526"/>
      <c r="D828" s="526"/>
      <c r="E828" s="526"/>
      <c r="F828" s="526"/>
      <c r="G828" s="526"/>
      <c r="H828" s="526"/>
      <c r="I828" s="526"/>
      <c r="J828" s="526"/>
      <c r="K828" s="526"/>
      <c r="L828" s="526"/>
      <c r="M828" s="526"/>
      <c r="N828" s="526"/>
      <c r="O828" s="526"/>
      <c r="P828" s="526"/>
      <c r="Q828" s="526"/>
      <c r="R828" s="526"/>
      <c r="S828" s="526"/>
      <c r="T828" s="526"/>
      <c r="U828" s="526"/>
      <c r="V828" s="526"/>
      <c r="W828" s="526"/>
      <c r="X828" s="526"/>
      <c r="Y828" s="526"/>
      <c r="Z828" s="526"/>
    </row>
    <row r="829" spans="1:26" ht="18.600000000000001" x14ac:dyDescent="0.3">
      <c r="A829" s="526"/>
      <c r="B829" s="526"/>
      <c r="C829" s="526"/>
      <c r="D829" s="526"/>
      <c r="E829" s="526"/>
      <c r="F829" s="526"/>
      <c r="G829" s="526"/>
      <c r="H829" s="526"/>
      <c r="I829" s="526"/>
      <c r="J829" s="526"/>
      <c r="K829" s="526"/>
      <c r="L829" s="526"/>
      <c r="M829" s="526"/>
      <c r="N829" s="526"/>
      <c r="O829" s="526"/>
      <c r="P829" s="526"/>
      <c r="Q829" s="526"/>
      <c r="R829" s="526"/>
      <c r="S829" s="526"/>
      <c r="T829" s="526"/>
      <c r="U829" s="526"/>
      <c r="V829" s="526"/>
      <c r="W829" s="526"/>
      <c r="X829" s="526"/>
      <c r="Y829" s="526"/>
      <c r="Z829" s="526"/>
    </row>
    <row r="830" spans="1:26" ht="18.600000000000001" x14ac:dyDescent="0.3">
      <c r="A830" s="526"/>
      <c r="B830" s="526"/>
      <c r="C830" s="526"/>
      <c r="D830" s="526"/>
      <c r="E830" s="526"/>
      <c r="F830" s="526"/>
      <c r="G830" s="526"/>
      <c r="H830" s="526"/>
      <c r="I830" s="526"/>
      <c r="J830" s="526"/>
      <c r="K830" s="526"/>
      <c r="L830" s="526"/>
      <c r="M830" s="526"/>
      <c r="N830" s="526"/>
      <c r="O830" s="526"/>
      <c r="P830" s="526"/>
      <c r="Q830" s="526"/>
      <c r="R830" s="526"/>
      <c r="S830" s="526"/>
      <c r="T830" s="526"/>
      <c r="U830" s="526"/>
      <c r="V830" s="526"/>
      <c r="W830" s="526"/>
      <c r="X830" s="526"/>
      <c r="Y830" s="526"/>
      <c r="Z830" s="526"/>
    </row>
    <row r="831" spans="1:26" ht="18.600000000000001" x14ac:dyDescent="0.3">
      <c r="A831" s="526"/>
      <c r="B831" s="526"/>
      <c r="C831" s="526"/>
      <c r="D831" s="526"/>
      <c r="E831" s="526"/>
      <c r="F831" s="526"/>
      <c r="G831" s="526"/>
      <c r="H831" s="526"/>
      <c r="I831" s="526"/>
      <c r="J831" s="526"/>
      <c r="K831" s="526"/>
      <c r="L831" s="526"/>
      <c r="M831" s="526"/>
      <c r="N831" s="526"/>
      <c r="O831" s="526"/>
      <c r="P831" s="526"/>
      <c r="Q831" s="526"/>
      <c r="R831" s="526"/>
      <c r="S831" s="526"/>
      <c r="T831" s="526"/>
      <c r="U831" s="526"/>
      <c r="V831" s="526"/>
      <c r="W831" s="526"/>
      <c r="X831" s="526"/>
      <c r="Y831" s="526"/>
      <c r="Z831" s="526"/>
    </row>
    <row r="832" spans="1:26" ht="18.600000000000001" x14ac:dyDescent="0.3">
      <c r="A832" s="526"/>
      <c r="B832" s="526"/>
      <c r="C832" s="526"/>
      <c r="D832" s="526"/>
      <c r="E832" s="526"/>
      <c r="F832" s="526"/>
      <c r="G832" s="526"/>
      <c r="H832" s="526"/>
      <c r="I832" s="526"/>
      <c r="J832" s="526"/>
      <c r="K832" s="526"/>
      <c r="L832" s="526"/>
      <c r="M832" s="526"/>
      <c r="N832" s="526"/>
      <c r="O832" s="526"/>
      <c r="P832" s="526"/>
      <c r="Q832" s="526"/>
      <c r="R832" s="526"/>
      <c r="S832" s="526"/>
      <c r="T832" s="526"/>
      <c r="U832" s="526"/>
      <c r="V832" s="526"/>
      <c r="W832" s="526"/>
      <c r="X832" s="526"/>
      <c r="Y832" s="526"/>
      <c r="Z832" s="526"/>
    </row>
    <row r="833" spans="1:26" ht="18.600000000000001" x14ac:dyDescent="0.3">
      <c r="A833" s="526"/>
      <c r="B833" s="526"/>
      <c r="C833" s="526"/>
      <c r="D833" s="526"/>
      <c r="E833" s="526"/>
      <c r="F833" s="526"/>
      <c r="G833" s="526"/>
      <c r="H833" s="526"/>
      <c r="I833" s="526"/>
      <c r="J833" s="526"/>
      <c r="K833" s="526"/>
      <c r="L833" s="526"/>
      <c r="M833" s="526"/>
      <c r="N833" s="526"/>
      <c r="O833" s="526"/>
      <c r="P833" s="526"/>
      <c r="Q833" s="526"/>
      <c r="R833" s="526"/>
      <c r="S833" s="526"/>
      <c r="T833" s="526"/>
      <c r="U833" s="526"/>
      <c r="V833" s="526"/>
      <c r="W833" s="526"/>
      <c r="X833" s="526"/>
      <c r="Y833" s="526"/>
      <c r="Z833" s="526"/>
    </row>
    <row r="834" spans="1:26" ht="18.600000000000001" x14ac:dyDescent="0.3">
      <c r="A834" s="526"/>
      <c r="B834" s="526"/>
      <c r="C834" s="526"/>
      <c r="D834" s="526"/>
      <c r="E834" s="526"/>
      <c r="F834" s="526"/>
      <c r="G834" s="526"/>
      <c r="H834" s="526"/>
      <c r="I834" s="526"/>
      <c r="J834" s="526"/>
      <c r="K834" s="526"/>
      <c r="L834" s="526"/>
      <c r="M834" s="526"/>
      <c r="N834" s="526"/>
      <c r="O834" s="526"/>
      <c r="P834" s="526"/>
      <c r="Q834" s="526"/>
      <c r="R834" s="526"/>
      <c r="S834" s="526"/>
      <c r="T834" s="526"/>
      <c r="U834" s="526"/>
      <c r="V834" s="526"/>
      <c r="W834" s="526"/>
      <c r="X834" s="526"/>
      <c r="Y834" s="526"/>
      <c r="Z834" s="526"/>
    </row>
    <row r="835" spans="1:26" ht="18.600000000000001" x14ac:dyDescent="0.3">
      <c r="A835" s="526"/>
      <c r="B835" s="526"/>
      <c r="C835" s="526"/>
      <c r="D835" s="526"/>
      <c r="E835" s="526"/>
      <c r="F835" s="526"/>
      <c r="G835" s="526"/>
      <c r="H835" s="526"/>
      <c r="I835" s="526"/>
      <c r="J835" s="526"/>
      <c r="K835" s="526"/>
      <c r="L835" s="526"/>
      <c r="M835" s="526"/>
      <c r="N835" s="526"/>
      <c r="O835" s="526"/>
      <c r="P835" s="526"/>
      <c r="Q835" s="526"/>
      <c r="R835" s="526"/>
      <c r="S835" s="526"/>
      <c r="T835" s="526"/>
      <c r="U835" s="526"/>
      <c r="V835" s="526"/>
      <c r="W835" s="526"/>
      <c r="X835" s="526"/>
      <c r="Y835" s="526"/>
      <c r="Z835" s="526"/>
    </row>
    <row r="836" spans="1:26" ht="18.600000000000001" x14ac:dyDescent="0.3">
      <c r="A836" s="526"/>
      <c r="B836" s="526"/>
      <c r="C836" s="526"/>
      <c r="D836" s="526"/>
      <c r="E836" s="526"/>
      <c r="F836" s="526"/>
      <c r="G836" s="526"/>
      <c r="H836" s="526"/>
      <c r="I836" s="526"/>
      <c r="J836" s="526"/>
      <c r="K836" s="526"/>
      <c r="L836" s="526"/>
      <c r="M836" s="526"/>
      <c r="N836" s="526"/>
      <c r="O836" s="526"/>
      <c r="P836" s="526"/>
      <c r="Q836" s="526"/>
      <c r="R836" s="526"/>
      <c r="S836" s="526"/>
      <c r="T836" s="526"/>
      <c r="U836" s="526"/>
      <c r="V836" s="526"/>
      <c r="W836" s="526"/>
      <c r="X836" s="526"/>
      <c r="Y836" s="526"/>
      <c r="Z836" s="526"/>
    </row>
    <row r="837" spans="1:26" ht="18.600000000000001" x14ac:dyDescent="0.3">
      <c r="A837" s="526"/>
      <c r="B837" s="526"/>
      <c r="C837" s="526"/>
      <c r="D837" s="526"/>
      <c r="E837" s="526"/>
      <c r="F837" s="526"/>
      <c r="G837" s="526"/>
      <c r="H837" s="526"/>
      <c r="I837" s="526"/>
      <c r="J837" s="526"/>
      <c r="K837" s="526"/>
      <c r="L837" s="526"/>
      <c r="M837" s="526"/>
      <c r="N837" s="526"/>
      <c r="O837" s="526"/>
      <c r="P837" s="526"/>
      <c r="Q837" s="526"/>
      <c r="R837" s="526"/>
      <c r="S837" s="526"/>
      <c r="T837" s="526"/>
      <c r="U837" s="526"/>
      <c r="V837" s="526"/>
      <c r="W837" s="526"/>
      <c r="X837" s="526"/>
      <c r="Y837" s="526"/>
      <c r="Z837" s="526"/>
    </row>
    <row r="838" spans="1:26" ht="18.600000000000001" x14ac:dyDescent="0.3">
      <c r="A838" s="526"/>
      <c r="B838" s="526"/>
      <c r="C838" s="526"/>
      <c r="D838" s="526"/>
      <c r="E838" s="526"/>
      <c r="F838" s="526"/>
      <c r="G838" s="526"/>
      <c r="H838" s="526"/>
      <c r="I838" s="526"/>
      <c r="J838" s="526"/>
      <c r="K838" s="526"/>
      <c r="L838" s="526"/>
      <c r="M838" s="526"/>
      <c r="N838" s="526"/>
      <c r="O838" s="526"/>
      <c r="P838" s="526"/>
      <c r="Q838" s="526"/>
      <c r="R838" s="526"/>
      <c r="S838" s="526"/>
      <c r="T838" s="526"/>
      <c r="U838" s="526"/>
      <c r="V838" s="526"/>
      <c r="W838" s="526"/>
      <c r="X838" s="526"/>
      <c r="Y838" s="526"/>
      <c r="Z838" s="526"/>
    </row>
    <row r="839" spans="1:26" ht="18.600000000000001" x14ac:dyDescent="0.3">
      <c r="A839" s="526"/>
      <c r="B839" s="526"/>
      <c r="C839" s="526"/>
      <c r="D839" s="526"/>
      <c r="E839" s="526"/>
      <c r="F839" s="526"/>
      <c r="G839" s="526"/>
      <c r="H839" s="526"/>
      <c r="I839" s="526"/>
      <c r="J839" s="526"/>
      <c r="K839" s="526"/>
      <c r="L839" s="526"/>
      <c r="M839" s="526"/>
      <c r="N839" s="526"/>
      <c r="O839" s="526"/>
      <c r="P839" s="526"/>
      <c r="Q839" s="526"/>
      <c r="R839" s="526"/>
      <c r="S839" s="526"/>
      <c r="T839" s="526"/>
      <c r="U839" s="526"/>
      <c r="V839" s="526"/>
      <c r="W839" s="526"/>
      <c r="X839" s="526"/>
      <c r="Y839" s="526"/>
      <c r="Z839" s="526"/>
    </row>
    <row r="840" spans="1:26" ht="18.600000000000001" x14ac:dyDescent="0.3">
      <c r="A840" s="526"/>
      <c r="B840" s="526"/>
      <c r="C840" s="526"/>
      <c r="D840" s="526"/>
      <c r="E840" s="526"/>
      <c r="F840" s="526"/>
      <c r="G840" s="526"/>
      <c r="H840" s="526"/>
      <c r="I840" s="526"/>
      <c r="J840" s="526"/>
      <c r="K840" s="526"/>
      <c r="L840" s="526"/>
      <c r="M840" s="526"/>
      <c r="N840" s="526"/>
      <c r="O840" s="526"/>
      <c r="P840" s="526"/>
      <c r="Q840" s="526"/>
      <c r="R840" s="526"/>
      <c r="S840" s="526"/>
      <c r="T840" s="526"/>
      <c r="U840" s="526"/>
      <c r="V840" s="526"/>
      <c r="W840" s="526"/>
      <c r="X840" s="526"/>
      <c r="Y840" s="526"/>
      <c r="Z840" s="526"/>
    </row>
    <row r="841" spans="1:26" ht="18.600000000000001" x14ac:dyDescent="0.3">
      <c r="A841" s="526"/>
      <c r="B841" s="526"/>
      <c r="C841" s="526"/>
      <c r="D841" s="526"/>
      <c r="E841" s="526"/>
      <c r="F841" s="526"/>
      <c r="G841" s="526"/>
      <c r="H841" s="526"/>
      <c r="I841" s="526"/>
      <c r="J841" s="526"/>
      <c r="K841" s="526"/>
      <c r="L841" s="526"/>
      <c r="M841" s="526"/>
      <c r="N841" s="526"/>
      <c r="O841" s="526"/>
      <c r="P841" s="526"/>
      <c r="Q841" s="526"/>
      <c r="R841" s="526"/>
      <c r="S841" s="526"/>
      <c r="T841" s="526"/>
      <c r="U841" s="526"/>
      <c r="V841" s="526"/>
      <c r="W841" s="526"/>
      <c r="X841" s="526"/>
      <c r="Y841" s="526"/>
      <c r="Z841" s="526"/>
    </row>
    <row r="842" spans="1:26" ht="18.600000000000001" x14ac:dyDescent="0.3">
      <c r="A842" s="526"/>
      <c r="B842" s="526"/>
      <c r="C842" s="526"/>
      <c r="D842" s="526"/>
      <c r="E842" s="526"/>
      <c r="F842" s="526"/>
      <c r="G842" s="526"/>
      <c r="H842" s="526"/>
      <c r="I842" s="526"/>
      <c r="J842" s="526"/>
      <c r="K842" s="526"/>
      <c r="L842" s="526"/>
      <c r="M842" s="526"/>
      <c r="N842" s="526"/>
      <c r="O842" s="526"/>
      <c r="P842" s="526"/>
      <c r="Q842" s="526"/>
      <c r="R842" s="526"/>
      <c r="S842" s="526"/>
      <c r="T842" s="526"/>
      <c r="U842" s="526"/>
      <c r="V842" s="526"/>
      <c r="W842" s="526"/>
      <c r="X842" s="526"/>
      <c r="Y842" s="526"/>
      <c r="Z842" s="526"/>
    </row>
    <row r="843" spans="1:26" ht="18.600000000000001" x14ac:dyDescent="0.3">
      <c r="A843" s="526"/>
      <c r="B843" s="526"/>
      <c r="C843" s="526"/>
      <c r="D843" s="526"/>
      <c r="E843" s="526"/>
      <c r="F843" s="526"/>
      <c r="G843" s="526"/>
      <c r="H843" s="526"/>
      <c r="I843" s="526"/>
      <c r="J843" s="526"/>
      <c r="K843" s="526"/>
      <c r="L843" s="526"/>
      <c r="M843" s="526"/>
      <c r="N843" s="526"/>
      <c r="O843" s="526"/>
      <c r="P843" s="526"/>
      <c r="Q843" s="526"/>
      <c r="R843" s="526"/>
      <c r="S843" s="526"/>
      <c r="T843" s="526"/>
      <c r="U843" s="526"/>
      <c r="V843" s="526"/>
      <c r="W843" s="526"/>
      <c r="X843" s="526"/>
      <c r="Y843" s="526"/>
      <c r="Z843" s="526"/>
    </row>
    <row r="844" spans="1:26" ht="18.600000000000001" x14ac:dyDescent="0.3">
      <c r="A844" s="526"/>
      <c r="B844" s="526"/>
      <c r="C844" s="526"/>
      <c r="D844" s="526"/>
      <c r="E844" s="526"/>
      <c r="F844" s="526"/>
      <c r="G844" s="526"/>
      <c r="H844" s="526"/>
      <c r="I844" s="526"/>
      <c r="J844" s="526"/>
      <c r="K844" s="526"/>
      <c r="L844" s="526"/>
      <c r="M844" s="526"/>
      <c r="N844" s="526"/>
      <c r="O844" s="526"/>
      <c r="P844" s="526"/>
      <c r="Q844" s="526"/>
      <c r="R844" s="526"/>
      <c r="S844" s="526"/>
      <c r="T844" s="526"/>
      <c r="U844" s="526"/>
      <c r="V844" s="526"/>
      <c r="W844" s="526"/>
      <c r="X844" s="526"/>
      <c r="Y844" s="526"/>
      <c r="Z844" s="526"/>
    </row>
    <row r="845" spans="1:26" ht="18.600000000000001" x14ac:dyDescent="0.3">
      <c r="A845" s="526"/>
      <c r="B845" s="526"/>
      <c r="C845" s="526"/>
      <c r="D845" s="526"/>
      <c r="E845" s="526"/>
      <c r="F845" s="526"/>
      <c r="G845" s="526"/>
      <c r="H845" s="526"/>
      <c r="I845" s="526"/>
      <c r="J845" s="526"/>
      <c r="K845" s="526"/>
      <c r="L845" s="526"/>
      <c r="M845" s="526"/>
      <c r="N845" s="526"/>
      <c r="O845" s="526"/>
      <c r="P845" s="526"/>
      <c r="Q845" s="526"/>
      <c r="R845" s="526"/>
      <c r="S845" s="526"/>
      <c r="T845" s="526"/>
      <c r="U845" s="526"/>
      <c r="V845" s="526"/>
      <c r="W845" s="526"/>
      <c r="X845" s="526"/>
      <c r="Y845" s="526"/>
      <c r="Z845" s="526"/>
    </row>
    <row r="846" spans="1:26" ht="18.600000000000001" x14ac:dyDescent="0.3">
      <c r="A846" s="526"/>
      <c r="B846" s="526"/>
      <c r="C846" s="526"/>
      <c r="D846" s="526"/>
      <c r="E846" s="526"/>
      <c r="F846" s="526"/>
      <c r="G846" s="526"/>
      <c r="H846" s="526"/>
      <c r="I846" s="526"/>
      <c r="J846" s="526"/>
      <c r="K846" s="526"/>
      <c r="L846" s="526"/>
      <c r="M846" s="526"/>
      <c r="N846" s="526"/>
      <c r="O846" s="526"/>
      <c r="P846" s="526"/>
      <c r="Q846" s="526"/>
      <c r="R846" s="526"/>
      <c r="S846" s="526"/>
      <c r="T846" s="526"/>
      <c r="U846" s="526"/>
      <c r="V846" s="526"/>
      <c r="W846" s="526"/>
      <c r="X846" s="526"/>
      <c r="Y846" s="526"/>
      <c r="Z846" s="526"/>
    </row>
    <row r="847" spans="1:26" ht="18.600000000000001" x14ac:dyDescent="0.3">
      <c r="A847" s="526"/>
      <c r="B847" s="526"/>
      <c r="C847" s="526"/>
      <c r="D847" s="526"/>
      <c r="E847" s="526"/>
      <c r="F847" s="526"/>
      <c r="G847" s="526"/>
      <c r="H847" s="526"/>
      <c r="I847" s="526"/>
      <c r="J847" s="526"/>
      <c r="K847" s="526"/>
      <c r="L847" s="526"/>
      <c r="M847" s="526"/>
      <c r="N847" s="526"/>
      <c r="O847" s="526"/>
      <c r="P847" s="526"/>
      <c r="Q847" s="526"/>
      <c r="R847" s="526"/>
      <c r="S847" s="526"/>
      <c r="T847" s="526"/>
      <c r="U847" s="526"/>
      <c r="V847" s="526"/>
      <c r="W847" s="526"/>
      <c r="X847" s="526"/>
      <c r="Y847" s="526"/>
      <c r="Z847" s="526"/>
    </row>
    <row r="848" spans="1:26" ht="18.600000000000001" x14ac:dyDescent="0.3">
      <c r="A848" s="526"/>
      <c r="B848" s="526"/>
      <c r="C848" s="526"/>
      <c r="D848" s="526"/>
      <c r="E848" s="526"/>
      <c r="F848" s="526"/>
      <c r="G848" s="526"/>
      <c r="H848" s="526"/>
      <c r="I848" s="526"/>
      <c r="J848" s="526"/>
      <c r="K848" s="526"/>
      <c r="L848" s="526"/>
      <c r="M848" s="526"/>
      <c r="N848" s="526"/>
      <c r="O848" s="526"/>
      <c r="P848" s="526"/>
      <c r="Q848" s="526"/>
      <c r="R848" s="526"/>
      <c r="S848" s="526"/>
      <c r="T848" s="526"/>
      <c r="U848" s="526"/>
      <c r="V848" s="526"/>
      <c r="W848" s="526"/>
      <c r="X848" s="526"/>
      <c r="Y848" s="526"/>
      <c r="Z848" s="526"/>
    </row>
    <row r="849" spans="1:26" ht="18.600000000000001" x14ac:dyDescent="0.3">
      <c r="A849" s="526"/>
      <c r="B849" s="526"/>
      <c r="C849" s="526"/>
      <c r="D849" s="526"/>
      <c r="E849" s="526"/>
      <c r="F849" s="526"/>
      <c r="G849" s="526"/>
      <c r="H849" s="526"/>
      <c r="I849" s="526"/>
      <c r="J849" s="526"/>
      <c r="K849" s="526"/>
      <c r="L849" s="526"/>
      <c r="M849" s="526"/>
      <c r="N849" s="526"/>
      <c r="O849" s="526"/>
      <c r="P849" s="526"/>
      <c r="Q849" s="526"/>
      <c r="R849" s="526"/>
      <c r="S849" s="526"/>
      <c r="T849" s="526"/>
      <c r="U849" s="526"/>
      <c r="V849" s="526"/>
      <c r="W849" s="526"/>
      <c r="X849" s="526"/>
      <c r="Y849" s="526"/>
      <c r="Z849" s="526"/>
    </row>
    <row r="850" spans="1:26" ht="18.600000000000001" x14ac:dyDescent="0.3">
      <c r="A850" s="526"/>
      <c r="B850" s="526"/>
      <c r="C850" s="526"/>
      <c r="D850" s="526"/>
      <c r="E850" s="526"/>
      <c r="F850" s="526"/>
      <c r="G850" s="526"/>
      <c r="H850" s="526"/>
      <c r="I850" s="526"/>
      <c r="J850" s="526"/>
      <c r="K850" s="526"/>
      <c r="L850" s="526"/>
      <c r="M850" s="526"/>
      <c r="N850" s="526"/>
      <c r="O850" s="526"/>
      <c r="P850" s="526"/>
      <c r="Q850" s="526"/>
      <c r="R850" s="526"/>
      <c r="S850" s="526"/>
      <c r="T850" s="526"/>
      <c r="U850" s="526"/>
      <c r="V850" s="526"/>
      <c r="W850" s="526"/>
      <c r="X850" s="526"/>
      <c r="Y850" s="526"/>
      <c r="Z850" s="526"/>
    </row>
    <row r="851" spans="1:26" ht="18.600000000000001" x14ac:dyDescent="0.3">
      <c r="A851" s="526"/>
      <c r="B851" s="526"/>
      <c r="C851" s="526"/>
      <c r="D851" s="526"/>
      <c r="E851" s="526"/>
      <c r="F851" s="526"/>
      <c r="G851" s="526"/>
      <c r="H851" s="526"/>
      <c r="I851" s="526"/>
      <c r="J851" s="526"/>
      <c r="K851" s="526"/>
      <c r="L851" s="526"/>
      <c r="M851" s="526"/>
      <c r="N851" s="526"/>
      <c r="O851" s="526"/>
      <c r="P851" s="526"/>
      <c r="Q851" s="526"/>
      <c r="R851" s="526"/>
      <c r="S851" s="526"/>
      <c r="T851" s="526"/>
      <c r="U851" s="526"/>
      <c r="V851" s="526"/>
      <c r="W851" s="526"/>
      <c r="X851" s="526"/>
      <c r="Y851" s="526"/>
      <c r="Z851" s="526"/>
    </row>
    <row r="852" spans="1:26" ht="18.600000000000001" x14ac:dyDescent="0.3">
      <c r="A852" s="526"/>
      <c r="B852" s="526"/>
      <c r="C852" s="526"/>
      <c r="D852" s="526"/>
      <c r="E852" s="526"/>
      <c r="F852" s="526"/>
      <c r="G852" s="526"/>
      <c r="H852" s="526"/>
      <c r="I852" s="526"/>
      <c r="J852" s="526"/>
      <c r="K852" s="526"/>
      <c r="L852" s="526"/>
      <c r="M852" s="526"/>
      <c r="N852" s="526"/>
      <c r="O852" s="526"/>
      <c r="P852" s="526"/>
      <c r="Q852" s="526"/>
      <c r="R852" s="526"/>
      <c r="S852" s="526"/>
      <c r="T852" s="526"/>
      <c r="U852" s="526"/>
      <c r="V852" s="526"/>
      <c r="W852" s="526"/>
      <c r="X852" s="526"/>
      <c r="Y852" s="526"/>
      <c r="Z852" s="526"/>
    </row>
    <row r="853" spans="1:26" ht="18.600000000000001" x14ac:dyDescent="0.3">
      <c r="A853" s="526"/>
      <c r="B853" s="526"/>
      <c r="C853" s="526"/>
      <c r="D853" s="526"/>
      <c r="E853" s="526"/>
      <c r="F853" s="526"/>
      <c r="G853" s="526"/>
      <c r="H853" s="526"/>
      <c r="I853" s="526"/>
      <c r="J853" s="526"/>
      <c r="K853" s="526"/>
      <c r="L853" s="526"/>
      <c r="M853" s="526"/>
      <c r="N853" s="526"/>
      <c r="O853" s="526"/>
      <c r="P853" s="526"/>
      <c r="Q853" s="526"/>
      <c r="R853" s="526"/>
      <c r="S853" s="526"/>
      <c r="T853" s="526"/>
      <c r="U853" s="526"/>
      <c r="V853" s="526"/>
      <c r="W853" s="526"/>
      <c r="X853" s="526"/>
      <c r="Y853" s="526"/>
      <c r="Z853" s="526"/>
    </row>
    <row r="854" spans="1:26" ht="18.600000000000001" x14ac:dyDescent="0.3">
      <c r="A854" s="526"/>
      <c r="B854" s="526"/>
      <c r="C854" s="526"/>
      <c r="D854" s="526"/>
      <c r="E854" s="526"/>
      <c r="F854" s="526"/>
      <c r="G854" s="526"/>
      <c r="H854" s="526"/>
      <c r="I854" s="526"/>
      <c r="J854" s="526"/>
      <c r="K854" s="526"/>
      <c r="L854" s="526"/>
      <c r="M854" s="526"/>
      <c r="N854" s="526"/>
      <c r="O854" s="526"/>
      <c r="P854" s="526"/>
      <c r="Q854" s="526"/>
      <c r="R854" s="526"/>
      <c r="S854" s="526"/>
      <c r="T854" s="526"/>
      <c r="U854" s="526"/>
      <c r="V854" s="526"/>
      <c r="W854" s="526"/>
      <c r="X854" s="526"/>
      <c r="Y854" s="526"/>
      <c r="Z854" s="526"/>
    </row>
    <row r="855" spans="1:26" ht="18.600000000000001" x14ac:dyDescent="0.3">
      <c r="A855" s="526"/>
      <c r="B855" s="526"/>
      <c r="C855" s="526"/>
      <c r="D855" s="526"/>
      <c r="E855" s="526"/>
      <c r="F855" s="526"/>
      <c r="G855" s="526"/>
      <c r="H855" s="526"/>
      <c r="I855" s="526"/>
      <c r="J855" s="526"/>
      <c r="K855" s="526"/>
      <c r="L855" s="526"/>
      <c r="M855" s="526"/>
      <c r="N855" s="526"/>
      <c r="O855" s="526"/>
      <c r="P855" s="526"/>
      <c r="Q855" s="526"/>
      <c r="R855" s="526"/>
      <c r="S855" s="526"/>
      <c r="T855" s="526"/>
      <c r="U855" s="526"/>
      <c r="V855" s="526"/>
      <c r="W855" s="526"/>
      <c r="X855" s="526"/>
      <c r="Y855" s="526"/>
      <c r="Z855" s="526"/>
    </row>
    <row r="856" spans="1:26" ht="18.600000000000001" x14ac:dyDescent="0.3">
      <c r="A856" s="526"/>
      <c r="B856" s="526"/>
      <c r="C856" s="526"/>
      <c r="D856" s="526"/>
      <c r="E856" s="526"/>
      <c r="F856" s="526"/>
      <c r="G856" s="526"/>
      <c r="H856" s="526"/>
      <c r="I856" s="526"/>
      <c r="J856" s="526"/>
      <c r="K856" s="526"/>
      <c r="L856" s="526"/>
      <c r="M856" s="526"/>
      <c r="N856" s="526"/>
      <c r="O856" s="526"/>
      <c r="P856" s="526"/>
      <c r="Q856" s="526"/>
      <c r="R856" s="526"/>
      <c r="S856" s="526"/>
      <c r="T856" s="526"/>
      <c r="U856" s="526"/>
      <c r="V856" s="526"/>
      <c r="W856" s="526"/>
      <c r="X856" s="526"/>
      <c r="Y856" s="526"/>
      <c r="Z856" s="526"/>
    </row>
    <row r="857" spans="1:26" ht="18.600000000000001" x14ac:dyDescent="0.3">
      <c r="A857" s="526"/>
      <c r="B857" s="526"/>
      <c r="C857" s="526"/>
      <c r="D857" s="526"/>
      <c r="E857" s="526"/>
      <c r="F857" s="526"/>
      <c r="G857" s="526"/>
      <c r="H857" s="526"/>
      <c r="I857" s="526"/>
      <c r="J857" s="526"/>
      <c r="K857" s="526"/>
      <c r="L857" s="526"/>
      <c r="M857" s="526"/>
      <c r="N857" s="526"/>
      <c r="O857" s="526"/>
      <c r="P857" s="526"/>
      <c r="Q857" s="526"/>
      <c r="R857" s="526"/>
      <c r="S857" s="526"/>
      <c r="T857" s="526"/>
      <c r="U857" s="526"/>
      <c r="V857" s="526"/>
      <c r="W857" s="526"/>
      <c r="X857" s="526"/>
      <c r="Y857" s="526"/>
      <c r="Z857" s="526"/>
    </row>
    <row r="858" spans="1:26" ht="18.600000000000001" x14ac:dyDescent="0.3">
      <c r="A858" s="526"/>
      <c r="B858" s="526"/>
      <c r="C858" s="526"/>
      <c r="D858" s="526"/>
      <c r="E858" s="526"/>
      <c r="F858" s="526"/>
      <c r="G858" s="526"/>
      <c r="H858" s="526"/>
      <c r="I858" s="526"/>
      <c r="J858" s="526"/>
      <c r="K858" s="526"/>
      <c r="L858" s="526"/>
      <c r="M858" s="526"/>
      <c r="N858" s="526"/>
      <c r="O858" s="526"/>
      <c r="P858" s="526"/>
      <c r="Q858" s="526"/>
      <c r="R858" s="526"/>
      <c r="S858" s="526"/>
      <c r="T858" s="526"/>
      <c r="U858" s="526"/>
      <c r="V858" s="526"/>
      <c r="W858" s="526"/>
      <c r="X858" s="526"/>
      <c r="Y858" s="526"/>
      <c r="Z858" s="526"/>
    </row>
    <row r="859" spans="1:26" ht="18.600000000000001" x14ac:dyDescent="0.3">
      <c r="A859" s="526"/>
      <c r="B859" s="526"/>
      <c r="C859" s="526"/>
      <c r="D859" s="526"/>
      <c r="E859" s="526"/>
      <c r="F859" s="526"/>
      <c r="G859" s="526"/>
      <c r="H859" s="526"/>
      <c r="I859" s="526"/>
      <c r="J859" s="526"/>
      <c r="K859" s="526"/>
      <c r="L859" s="526"/>
      <c r="M859" s="526"/>
      <c r="N859" s="526"/>
      <c r="O859" s="526"/>
      <c r="P859" s="526"/>
      <c r="Q859" s="526"/>
      <c r="R859" s="526"/>
      <c r="S859" s="526"/>
      <c r="T859" s="526"/>
      <c r="U859" s="526"/>
      <c r="V859" s="526"/>
      <c r="W859" s="526"/>
      <c r="X859" s="526"/>
      <c r="Y859" s="526"/>
      <c r="Z859" s="526"/>
    </row>
    <row r="860" spans="1:26" ht="18.600000000000001" x14ac:dyDescent="0.3">
      <c r="A860" s="526"/>
      <c r="B860" s="526"/>
      <c r="C860" s="526"/>
      <c r="D860" s="526"/>
      <c r="E860" s="526"/>
      <c r="F860" s="526"/>
      <c r="G860" s="526"/>
      <c r="H860" s="526"/>
      <c r="I860" s="526"/>
      <c r="J860" s="526"/>
      <c r="K860" s="526"/>
      <c r="L860" s="526"/>
      <c r="M860" s="526"/>
      <c r="N860" s="526"/>
      <c r="O860" s="526"/>
      <c r="P860" s="526"/>
      <c r="Q860" s="526"/>
      <c r="R860" s="526"/>
      <c r="S860" s="526"/>
      <c r="T860" s="526"/>
      <c r="U860" s="526"/>
      <c r="V860" s="526"/>
      <c r="W860" s="526"/>
      <c r="X860" s="526"/>
      <c r="Y860" s="526"/>
      <c r="Z860" s="526"/>
    </row>
    <row r="861" spans="1:26" ht="18.600000000000001" x14ac:dyDescent="0.3">
      <c r="A861" s="526"/>
      <c r="B861" s="526"/>
      <c r="C861" s="526"/>
      <c r="D861" s="526"/>
      <c r="E861" s="526"/>
      <c r="F861" s="526"/>
      <c r="G861" s="526"/>
      <c r="H861" s="526"/>
      <c r="I861" s="526"/>
      <c r="J861" s="526"/>
      <c r="K861" s="526"/>
      <c r="L861" s="526"/>
      <c r="M861" s="526"/>
      <c r="N861" s="526"/>
      <c r="O861" s="526"/>
      <c r="P861" s="526"/>
      <c r="Q861" s="526"/>
      <c r="R861" s="526"/>
      <c r="S861" s="526"/>
      <c r="T861" s="526"/>
      <c r="U861" s="526"/>
      <c r="V861" s="526"/>
      <c r="W861" s="526"/>
      <c r="X861" s="526"/>
      <c r="Y861" s="526"/>
      <c r="Z861" s="526"/>
    </row>
    <row r="862" spans="1:26" ht="18.600000000000001" x14ac:dyDescent="0.3">
      <c r="A862" s="526"/>
      <c r="B862" s="526"/>
      <c r="C862" s="526"/>
      <c r="D862" s="526"/>
      <c r="E862" s="526"/>
      <c r="F862" s="526"/>
      <c r="G862" s="526"/>
      <c r="H862" s="526"/>
      <c r="I862" s="526"/>
      <c r="J862" s="526"/>
      <c r="K862" s="526"/>
      <c r="L862" s="526"/>
      <c r="M862" s="526"/>
      <c r="N862" s="526"/>
      <c r="O862" s="526"/>
      <c r="P862" s="526"/>
      <c r="Q862" s="526"/>
      <c r="R862" s="526"/>
      <c r="S862" s="526"/>
      <c r="T862" s="526"/>
      <c r="U862" s="526"/>
      <c r="V862" s="526"/>
      <c r="W862" s="526"/>
      <c r="X862" s="526"/>
      <c r="Y862" s="526"/>
      <c r="Z862" s="526"/>
    </row>
    <row r="863" spans="1:26" ht="18.600000000000001" x14ac:dyDescent="0.3">
      <c r="A863" s="526"/>
      <c r="B863" s="526"/>
      <c r="C863" s="526"/>
      <c r="D863" s="526"/>
      <c r="E863" s="526"/>
      <c r="F863" s="526"/>
      <c r="G863" s="526"/>
      <c r="H863" s="526"/>
      <c r="I863" s="526"/>
      <c r="J863" s="526"/>
      <c r="K863" s="526"/>
      <c r="L863" s="526"/>
      <c r="M863" s="526"/>
      <c r="N863" s="526"/>
      <c r="O863" s="526"/>
      <c r="P863" s="526"/>
      <c r="Q863" s="526"/>
      <c r="R863" s="526"/>
      <c r="S863" s="526"/>
      <c r="T863" s="526"/>
      <c r="U863" s="526"/>
      <c r="V863" s="526"/>
      <c r="W863" s="526"/>
      <c r="X863" s="526"/>
      <c r="Y863" s="526"/>
      <c r="Z863" s="526"/>
    </row>
    <row r="864" spans="1:26" ht="18.600000000000001" x14ac:dyDescent="0.3">
      <c r="A864" s="526"/>
      <c r="B864" s="526"/>
      <c r="C864" s="526"/>
      <c r="D864" s="526"/>
      <c r="E864" s="526"/>
      <c r="F864" s="526"/>
      <c r="G864" s="526"/>
      <c r="H864" s="526"/>
      <c r="I864" s="526"/>
      <c r="J864" s="526"/>
      <c r="K864" s="526"/>
      <c r="L864" s="526"/>
      <c r="M864" s="526"/>
      <c r="N864" s="526"/>
      <c r="O864" s="526"/>
      <c r="P864" s="526"/>
      <c r="Q864" s="526"/>
      <c r="R864" s="526"/>
      <c r="S864" s="526"/>
      <c r="T864" s="526"/>
      <c r="U864" s="526"/>
      <c r="V864" s="526"/>
      <c r="W864" s="526"/>
      <c r="X864" s="526"/>
      <c r="Y864" s="526"/>
      <c r="Z864" s="526"/>
    </row>
    <row r="865" spans="1:26" ht="18.600000000000001" x14ac:dyDescent="0.3">
      <c r="A865" s="526"/>
      <c r="B865" s="526"/>
      <c r="C865" s="526"/>
      <c r="D865" s="526"/>
      <c r="E865" s="526"/>
      <c r="F865" s="526"/>
      <c r="G865" s="526"/>
      <c r="H865" s="526"/>
      <c r="I865" s="526"/>
      <c r="J865" s="526"/>
      <c r="K865" s="526"/>
      <c r="L865" s="526"/>
      <c r="M865" s="526"/>
      <c r="N865" s="526"/>
      <c r="O865" s="526"/>
      <c r="P865" s="526"/>
      <c r="Q865" s="526"/>
      <c r="R865" s="526"/>
      <c r="S865" s="526"/>
      <c r="T865" s="526"/>
      <c r="U865" s="526"/>
      <c r="V865" s="526"/>
      <c r="W865" s="526"/>
      <c r="X865" s="526"/>
      <c r="Y865" s="526"/>
      <c r="Z865" s="526"/>
    </row>
    <row r="866" spans="1:26" ht="18.600000000000001" x14ac:dyDescent="0.3">
      <c r="A866" s="526"/>
      <c r="B866" s="526"/>
      <c r="C866" s="526"/>
      <c r="D866" s="526"/>
      <c r="E866" s="526"/>
      <c r="F866" s="526"/>
      <c r="G866" s="526"/>
      <c r="H866" s="526"/>
      <c r="I866" s="526"/>
      <c r="J866" s="526"/>
      <c r="K866" s="526"/>
      <c r="L866" s="526"/>
      <c r="M866" s="526"/>
      <c r="N866" s="526"/>
      <c r="O866" s="526"/>
      <c r="P866" s="526"/>
      <c r="Q866" s="526"/>
      <c r="R866" s="526"/>
      <c r="S866" s="526"/>
      <c r="T866" s="526"/>
      <c r="U866" s="526"/>
      <c r="V866" s="526"/>
      <c r="W866" s="526"/>
      <c r="X866" s="526"/>
      <c r="Y866" s="526"/>
      <c r="Z866" s="526"/>
    </row>
    <row r="867" spans="1:26" ht="18.600000000000001" x14ac:dyDescent="0.3">
      <c r="A867" s="526"/>
      <c r="B867" s="526"/>
      <c r="C867" s="526"/>
      <c r="D867" s="526"/>
      <c r="E867" s="526"/>
      <c r="F867" s="526"/>
      <c r="G867" s="526"/>
      <c r="H867" s="526"/>
      <c r="I867" s="526"/>
      <c r="J867" s="526"/>
      <c r="K867" s="526"/>
      <c r="L867" s="526"/>
      <c r="M867" s="526"/>
      <c r="N867" s="526"/>
      <c r="O867" s="526"/>
      <c r="P867" s="526"/>
      <c r="Q867" s="526"/>
      <c r="R867" s="526"/>
      <c r="S867" s="526"/>
      <c r="T867" s="526"/>
      <c r="U867" s="526"/>
      <c r="V867" s="526"/>
      <c r="W867" s="526"/>
      <c r="X867" s="526"/>
      <c r="Y867" s="526"/>
      <c r="Z867" s="526"/>
    </row>
    <row r="868" spans="1:26" ht="18.600000000000001" x14ac:dyDescent="0.3">
      <c r="A868" s="526"/>
      <c r="B868" s="526"/>
      <c r="C868" s="526"/>
      <c r="D868" s="526"/>
      <c r="E868" s="526"/>
      <c r="F868" s="526"/>
      <c r="G868" s="526"/>
      <c r="H868" s="526"/>
      <c r="I868" s="526"/>
      <c r="J868" s="526"/>
      <c r="K868" s="526"/>
      <c r="L868" s="526"/>
      <c r="M868" s="526"/>
      <c r="N868" s="526"/>
      <c r="O868" s="526"/>
      <c r="P868" s="526"/>
      <c r="Q868" s="526"/>
      <c r="R868" s="526"/>
      <c r="S868" s="526"/>
      <c r="T868" s="526"/>
      <c r="U868" s="526"/>
      <c r="V868" s="526"/>
      <c r="W868" s="526"/>
      <c r="X868" s="526"/>
      <c r="Y868" s="526"/>
      <c r="Z868" s="526"/>
    </row>
    <row r="869" spans="1:26" ht="18.600000000000001" x14ac:dyDescent="0.3">
      <c r="A869" s="526"/>
      <c r="B869" s="526"/>
      <c r="C869" s="526"/>
      <c r="D869" s="526"/>
      <c r="E869" s="526"/>
      <c r="F869" s="526"/>
      <c r="G869" s="526"/>
      <c r="H869" s="526"/>
      <c r="I869" s="526"/>
      <c r="J869" s="526"/>
      <c r="K869" s="526"/>
      <c r="L869" s="526"/>
      <c r="M869" s="526"/>
      <c r="N869" s="526"/>
      <c r="O869" s="526"/>
      <c r="P869" s="526"/>
      <c r="Q869" s="526"/>
      <c r="R869" s="526"/>
      <c r="S869" s="526"/>
      <c r="T869" s="526"/>
      <c r="U869" s="526"/>
      <c r="V869" s="526"/>
      <c r="W869" s="526"/>
      <c r="X869" s="526"/>
      <c r="Y869" s="526"/>
      <c r="Z869" s="526"/>
    </row>
    <row r="870" spans="1:26" ht="18.600000000000001" x14ac:dyDescent="0.3">
      <c r="A870" s="526"/>
      <c r="B870" s="526"/>
      <c r="C870" s="526"/>
      <c r="D870" s="526"/>
      <c r="E870" s="526"/>
      <c r="F870" s="526"/>
      <c r="G870" s="526"/>
      <c r="H870" s="526"/>
      <c r="I870" s="526"/>
      <c r="J870" s="526"/>
      <c r="K870" s="526"/>
      <c r="L870" s="526"/>
      <c r="M870" s="526"/>
      <c r="N870" s="526"/>
      <c r="O870" s="526"/>
      <c r="P870" s="526"/>
      <c r="Q870" s="526"/>
      <c r="R870" s="526"/>
      <c r="S870" s="526"/>
      <c r="T870" s="526"/>
      <c r="U870" s="526"/>
      <c r="V870" s="526"/>
      <c r="W870" s="526"/>
      <c r="X870" s="526"/>
      <c r="Y870" s="526"/>
      <c r="Z870" s="526"/>
    </row>
    <row r="871" spans="1:26" ht="18.600000000000001" x14ac:dyDescent="0.3">
      <c r="A871" s="526"/>
      <c r="B871" s="526"/>
      <c r="C871" s="526"/>
      <c r="D871" s="526"/>
      <c r="E871" s="526"/>
      <c r="F871" s="526"/>
      <c r="G871" s="526"/>
      <c r="H871" s="526"/>
      <c r="I871" s="526"/>
      <c r="J871" s="526"/>
      <c r="K871" s="526"/>
      <c r="L871" s="526"/>
      <c r="M871" s="526"/>
      <c r="N871" s="526"/>
      <c r="O871" s="526"/>
      <c r="P871" s="526"/>
      <c r="Q871" s="526"/>
      <c r="R871" s="526"/>
      <c r="S871" s="526"/>
      <c r="T871" s="526"/>
      <c r="U871" s="526"/>
      <c r="V871" s="526"/>
      <c r="W871" s="526"/>
      <c r="X871" s="526"/>
      <c r="Y871" s="526"/>
      <c r="Z871" s="526"/>
    </row>
    <row r="872" spans="1:26" ht="18.600000000000001" x14ac:dyDescent="0.3">
      <c r="A872" s="526"/>
      <c r="B872" s="526"/>
      <c r="C872" s="526"/>
      <c r="D872" s="526"/>
      <c r="E872" s="526"/>
      <c r="F872" s="526"/>
      <c r="G872" s="526"/>
      <c r="H872" s="526"/>
      <c r="I872" s="526"/>
      <c r="J872" s="526"/>
      <c r="K872" s="526"/>
      <c r="L872" s="526"/>
      <c r="M872" s="526"/>
      <c r="N872" s="526"/>
      <c r="O872" s="526"/>
      <c r="P872" s="526"/>
      <c r="Q872" s="526"/>
      <c r="R872" s="526"/>
      <c r="S872" s="526"/>
      <c r="T872" s="526"/>
      <c r="U872" s="526"/>
      <c r="V872" s="526"/>
      <c r="W872" s="526"/>
      <c r="X872" s="526"/>
      <c r="Y872" s="526"/>
      <c r="Z872" s="526"/>
    </row>
    <row r="873" spans="1:26" ht="18.600000000000001" x14ac:dyDescent="0.3">
      <c r="A873" s="526"/>
      <c r="B873" s="526"/>
      <c r="C873" s="526"/>
      <c r="D873" s="526"/>
      <c r="E873" s="526"/>
      <c r="F873" s="526"/>
      <c r="G873" s="526"/>
      <c r="H873" s="526"/>
      <c r="I873" s="526"/>
      <c r="J873" s="526"/>
      <c r="K873" s="526"/>
      <c r="L873" s="526"/>
      <c r="M873" s="526"/>
      <c r="N873" s="526"/>
      <c r="O873" s="526"/>
      <c r="P873" s="526"/>
      <c r="Q873" s="526"/>
      <c r="R873" s="526"/>
      <c r="S873" s="526"/>
      <c r="T873" s="526"/>
      <c r="U873" s="526"/>
      <c r="V873" s="526"/>
      <c r="W873" s="526"/>
      <c r="X873" s="526"/>
      <c r="Y873" s="526"/>
      <c r="Z873" s="526"/>
    </row>
    <row r="874" spans="1:26" ht="18.600000000000001" x14ac:dyDescent="0.3">
      <c r="A874" s="526"/>
      <c r="B874" s="526"/>
      <c r="C874" s="526"/>
      <c r="D874" s="526"/>
      <c r="E874" s="526"/>
      <c r="F874" s="526"/>
      <c r="G874" s="526"/>
      <c r="H874" s="526"/>
      <c r="I874" s="526"/>
      <c r="J874" s="526"/>
      <c r="K874" s="526"/>
      <c r="L874" s="526"/>
      <c r="M874" s="526"/>
      <c r="N874" s="526"/>
      <c r="O874" s="526"/>
      <c r="P874" s="526"/>
      <c r="Q874" s="526"/>
      <c r="R874" s="526"/>
      <c r="S874" s="526"/>
      <c r="T874" s="526"/>
      <c r="U874" s="526"/>
      <c r="V874" s="526"/>
      <c r="W874" s="526"/>
      <c r="X874" s="526"/>
      <c r="Y874" s="526"/>
      <c r="Z874" s="526"/>
    </row>
    <row r="875" spans="1:26" ht="18.600000000000001" x14ac:dyDescent="0.3">
      <c r="A875" s="526"/>
      <c r="B875" s="526"/>
      <c r="C875" s="526"/>
      <c r="D875" s="526"/>
      <c r="E875" s="526"/>
      <c r="F875" s="526"/>
      <c r="G875" s="526"/>
      <c r="H875" s="526"/>
      <c r="I875" s="526"/>
      <c r="J875" s="526"/>
      <c r="K875" s="526"/>
      <c r="L875" s="526"/>
      <c r="M875" s="526"/>
      <c r="N875" s="526"/>
      <c r="O875" s="526"/>
      <c r="P875" s="526"/>
      <c r="Q875" s="526"/>
      <c r="R875" s="526"/>
      <c r="S875" s="526"/>
      <c r="T875" s="526"/>
      <c r="U875" s="526"/>
      <c r="V875" s="526"/>
      <c r="W875" s="526"/>
      <c r="X875" s="526"/>
      <c r="Y875" s="526"/>
      <c r="Z875" s="526"/>
    </row>
    <row r="876" spans="1:26" ht="18.600000000000001" x14ac:dyDescent="0.3">
      <c r="A876" s="526"/>
      <c r="B876" s="526"/>
      <c r="C876" s="526"/>
      <c r="D876" s="526"/>
      <c r="E876" s="526"/>
      <c r="F876" s="526"/>
      <c r="G876" s="526"/>
      <c r="H876" s="526"/>
      <c r="I876" s="526"/>
      <c r="J876" s="526"/>
      <c r="K876" s="526"/>
      <c r="L876" s="526"/>
      <c r="M876" s="526"/>
      <c r="N876" s="526"/>
      <c r="O876" s="526"/>
      <c r="P876" s="526"/>
      <c r="Q876" s="526"/>
      <c r="R876" s="526"/>
      <c r="S876" s="526"/>
      <c r="T876" s="526"/>
      <c r="U876" s="526"/>
      <c r="V876" s="526"/>
      <c r="W876" s="526"/>
      <c r="X876" s="526"/>
      <c r="Y876" s="526"/>
      <c r="Z876" s="526"/>
    </row>
    <row r="877" spans="1:26" ht="18.600000000000001" x14ac:dyDescent="0.3">
      <c r="A877" s="526"/>
      <c r="B877" s="526"/>
      <c r="C877" s="526"/>
      <c r="D877" s="526"/>
      <c r="E877" s="526"/>
      <c r="F877" s="526"/>
      <c r="G877" s="526"/>
      <c r="H877" s="526"/>
      <c r="I877" s="526"/>
      <c r="J877" s="526"/>
      <c r="K877" s="526"/>
      <c r="L877" s="526"/>
      <c r="M877" s="526"/>
      <c r="N877" s="526"/>
      <c r="O877" s="526"/>
      <c r="P877" s="526"/>
      <c r="Q877" s="526"/>
      <c r="R877" s="526"/>
      <c r="S877" s="526"/>
      <c r="T877" s="526"/>
      <c r="U877" s="526"/>
      <c r="V877" s="526"/>
      <c r="W877" s="526"/>
      <c r="X877" s="526"/>
      <c r="Y877" s="526"/>
      <c r="Z877" s="526"/>
    </row>
    <row r="878" spans="1:26" ht="18.600000000000001" x14ac:dyDescent="0.3">
      <c r="A878" s="526"/>
      <c r="B878" s="526"/>
      <c r="C878" s="526"/>
      <c r="D878" s="526"/>
      <c r="E878" s="526"/>
      <c r="F878" s="526"/>
      <c r="G878" s="526"/>
      <c r="H878" s="526"/>
      <c r="I878" s="526"/>
      <c r="J878" s="526"/>
      <c r="K878" s="526"/>
      <c r="L878" s="526"/>
      <c r="M878" s="526"/>
      <c r="N878" s="526"/>
      <c r="O878" s="526"/>
      <c r="P878" s="526"/>
      <c r="Q878" s="526"/>
      <c r="R878" s="526"/>
      <c r="S878" s="526"/>
      <c r="T878" s="526"/>
      <c r="U878" s="526"/>
      <c r="V878" s="526"/>
      <c r="W878" s="526"/>
      <c r="X878" s="526"/>
      <c r="Y878" s="526"/>
      <c r="Z878" s="526"/>
    </row>
    <row r="879" spans="1:26" ht="18.600000000000001" x14ac:dyDescent="0.3">
      <c r="A879" s="526"/>
      <c r="B879" s="526"/>
      <c r="C879" s="526"/>
      <c r="D879" s="526"/>
      <c r="E879" s="526"/>
      <c r="F879" s="526"/>
      <c r="G879" s="526"/>
      <c r="H879" s="526"/>
      <c r="I879" s="526"/>
      <c r="J879" s="526"/>
      <c r="K879" s="526"/>
      <c r="L879" s="526"/>
      <c r="M879" s="526"/>
      <c r="N879" s="526"/>
      <c r="O879" s="526"/>
      <c r="P879" s="526"/>
      <c r="Q879" s="526"/>
      <c r="R879" s="526"/>
      <c r="S879" s="526"/>
      <c r="T879" s="526"/>
      <c r="U879" s="526"/>
      <c r="V879" s="526"/>
      <c r="W879" s="526"/>
      <c r="X879" s="526"/>
      <c r="Y879" s="526"/>
      <c r="Z879" s="526"/>
    </row>
    <row r="880" spans="1:26" ht="18.600000000000001" x14ac:dyDescent="0.3">
      <c r="A880" s="526"/>
      <c r="B880" s="526"/>
      <c r="C880" s="526"/>
      <c r="D880" s="526"/>
      <c r="E880" s="526"/>
      <c r="F880" s="526"/>
      <c r="G880" s="526"/>
      <c r="H880" s="526"/>
      <c r="I880" s="526"/>
      <c r="J880" s="526"/>
      <c r="K880" s="526"/>
      <c r="L880" s="526"/>
      <c r="M880" s="526"/>
      <c r="N880" s="526"/>
      <c r="O880" s="526"/>
      <c r="P880" s="526"/>
      <c r="Q880" s="526"/>
      <c r="R880" s="526"/>
      <c r="S880" s="526"/>
      <c r="T880" s="526"/>
      <c r="U880" s="526"/>
      <c r="V880" s="526"/>
      <c r="W880" s="526"/>
      <c r="X880" s="526"/>
      <c r="Y880" s="526"/>
      <c r="Z880" s="526"/>
    </row>
    <row r="881" spans="1:26" ht="18.600000000000001" x14ac:dyDescent="0.3">
      <c r="A881" s="526"/>
      <c r="B881" s="526"/>
      <c r="C881" s="526"/>
      <c r="D881" s="526"/>
      <c r="E881" s="526"/>
      <c r="F881" s="526"/>
      <c r="G881" s="526"/>
      <c r="H881" s="526"/>
      <c r="I881" s="526"/>
      <c r="J881" s="526"/>
      <c r="K881" s="526"/>
      <c r="L881" s="526"/>
      <c r="M881" s="526"/>
      <c r="N881" s="526"/>
      <c r="O881" s="526"/>
      <c r="P881" s="526"/>
      <c r="Q881" s="526"/>
      <c r="R881" s="526"/>
      <c r="S881" s="526"/>
      <c r="T881" s="526"/>
      <c r="U881" s="526"/>
      <c r="V881" s="526"/>
      <c r="W881" s="526"/>
      <c r="X881" s="526"/>
      <c r="Y881" s="526"/>
      <c r="Z881" s="526"/>
    </row>
    <row r="882" spans="1:26" ht="18.600000000000001" x14ac:dyDescent="0.3">
      <c r="A882" s="526"/>
      <c r="B882" s="526"/>
      <c r="C882" s="526"/>
      <c r="D882" s="526"/>
      <c r="E882" s="526"/>
      <c r="F882" s="526"/>
      <c r="G882" s="526"/>
      <c r="H882" s="526"/>
      <c r="I882" s="526"/>
      <c r="J882" s="526"/>
      <c r="K882" s="526"/>
      <c r="L882" s="526"/>
      <c r="M882" s="526"/>
      <c r="N882" s="526"/>
      <c r="O882" s="526"/>
      <c r="P882" s="526"/>
      <c r="Q882" s="526"/>
      <c r="R882" s="526"/>
      <c r="S882" s="526"/>
      <c r="T882" s="526"/>
      <c r="U882" s="526"/>
      <c r="V882" s="526"/>
      <c r="W882" s="526"/>
      <c r="X882" s="526"/>
      <c r="Y882" s="526"/>
      <c r="Z882" s="526"/>
    </row>
    <row r="883" spans="1:26" ht="18.600000000000001" x14ac:dyDescent="0.3">
      <c r="A883" s="526"/>
      <c r="B883" s="526"/>
      <c r="C883" s="526"/>
      <c r="D883" s="526"/>
      <c r="E883" s="526"/>
      <c r="F883" s="526"/>
      <c r="G883" s="526"/>
      <c r="H883" s="526"/>
      <c r="I883" s="526"/>
      <c r="J883" s="526"/>
      <c r="K883" s="526"/>
      <c r="L883" s="526"/>
      <c r="M883" s="526"/>
      <c r="N883" s="526"/>
      <c r="O883" s="526"/>
      <c r="P883" s="526"/>
      <c r="Q883" s="526"/>
      <c r="R883" s="526"/>
      <c r="S883" s="526"/>
      <c r="T883" s="526"/>
      <c r="U883" s="526"/>
      <c r="V883" s="526"/>
      <c r="W883" s="526"/>
      <c r="X883" s="526"/>
      <c r="Y883" s="526"/>
      <c r="Z883" s="526"/>
    </row>
    <row r="884" spans="1:26" ht="18.600000000000001" x14ac:dyDescent="0.3">
      <c r="A884" s="526"/>
      <c r="B884" s="526"/>
      <c r="C884" s="526"/>
      <c r="D884" s="526"/>
      <c r="E884" s="526"/>
      <c r="F884" s="526"/>
      <c r="G884" s="526"/>
      <c r="H884" s="526"/>
      <c r="I884" s="526"/>
      <c r="J884" s="526"/>
      <c r="K884" s="526"/>
      <c r="L884" s="526"/>
      <c r="M884" s="526"/>
      <c r="N884" s="526"/>
      <c r="O884" s="526"/>
      <c r="P884" s="526"/>
      <c r="Q884" s="526"/>
      <c r="R884" s="526"/>
      <c r="S884" s="526"/>
      <c r="T884" s="526"/>
      <c r="U884" s="526"/>
      <c r="V884" s="526"/>
      <c r="W884" s="526"/>
      <c r="X884" s="526"/>
      <c r="Y884" s="526"/>
      <c r="Z884" s="526"/>
    </row>
    <row r="885" spans="1:26" ht="18.600000000000001" x14ac:dyDescent="0.3">
      <c r="A885" s="526"/>
      <c r="B885" s="526"/>
      <c r="C885" s="526"/>
      <c r="D885" s="526"/>
      <c r="E885" s="526"/>
      <c r="F885" s="526"/>
      <c r="G885" s="526"/>
      <c r="H885" s="526"/>
      <c r="I885" s="526"/>
      <c r="J885" s="526"/>
      <c r="K885" s="526"/>
      <c r="L885" s="526"/>
      <c r="M885" s="526"/>
      <c r="N885" s="526"/>
      <c r="O885" s="526"/>
      <c r="P885" s="526"/>
      <c r="Q885" s="526"/>
      <c r="R885" s="526"/>
      <c r="S885" s="526"/>
      <c r="T885" s="526"/>
      <c r="U885" s="526"/>
      <c r="V885" s="526"/>
      <c r="W885" s="526"/>
      <c r="X885" s="526"/>
      <c r="Y885" s="526"/>
      <c r="Z885" s="526"/>
    </row>
    <row r="886" spans="1:26" ht="18.600000000000001" x14ac:dyDescent="0.3">
      <c r="A886" s="526"/>
      <c r="B886" s="526"/>
      <c r="C886" s="526"/>
      <c r="D886" s="526"/>
      <c r="E886" s="526"/>
      <c r="F886" s="526"/>
      <c r="G886" s="526"/>
      <c r="H886" s="526"/>
      <c r="I886" s="526"/>
      <c r="J886" s="526"/>
      <c r="K886" s="526"/>
      <c r="L886" s="526"/>
      <c r="M886" s="526"/>
      <c r="N886" s="526"/>
      <c r="O886" s="526"/>
      <c r="P886" s="526"/>
      <c r="Q886" s="526"/>
      <c r="R886" s="526"/>
      <c r="S886" s="526"/>
      <c r="T886" s="526"/>
      <c r="U886" s="526"/>
      <c r="V886" s="526"/>
      <c r="W886" s="526"/>
      <c r="X886" s="526"/>
      <c r="Y886" s="526"/>
      <c r="Z886" s="526"/>
    </row>
    <row r="887" spans="1:26" ht="18.600000000000001" x14ac:dyDescent="0.3">
      <c r="A887" s="526"/>
      <c r="B887" s="526"/>
      <c r="C887" s="526"/>
      <c r="D887" s="526"/>
      <c r="E887" s="526"/>
      <c r="F887" s="526"/>
      <c r="G887" s="526"/>
      <c r="H887" s="526"/>
      <c r="I887" s="526"/>
      <c r="J887" s="526"/>
      <c r="K887" s="526"/>
      <c r="L887" s="526"/>
      <c r="M887" s="526"/>
      <c r="N887" s="526"/>
      <c r="O887" s="526"/>
      <c r="P887" s="526"/>
      <c r="Q887" s="526"/>
      <c r="R887" s="526"/>
      <c r="S887" s="526"/>
      <c r="T887" s="526"/>
      <c r="U887" s="526"/>
      <c r="V887" s="526"/>
      <c r="W887" s="526"/>
      <c r="X887" s="526"/>
      <c r="Y887" s="526"/>
      <c r="Z887" s="526"/>
    </row>
    <row r="888" spans="1:26" ht="18.600000000000001" x14ac:dyDescent="0.3">
      <c r="A888" s="526"/>
      <c r="B888" s="526"/>
      <c r="C888" s="526"/>
      <c r="D888" s="526"/>
      <c r="E888" s="526"/>
      <c r="F888" s="526"/>
      <c r="G888" s="526"/>
      <c r="H888" s="526"/>
      <c r="I888" s="526"/>
      <c r="J888" s="526"/>
      <c r="K888" s="526"/>
      <c r="L888" s="526"/>
      <c r="M888" s="526"/>
      <c r="N888" s="526"/>
      <c r="O888" s="526"/>
      <c r="P888" s="526"/>
      <c r="Q888" s="526"/>
      <c r="R888" s="526"/>
      <c r="S888" s="526"/>
      <c r="T888" s="526"/>
      <c r="U888" s="526"/>
      <c r="V888" s="526"/>
      <c r="W888" s="526"/>
      <c r="X888" s="526"/>
      <c r="Y888" s="526"/>
      <c r="Z888" s="526"/>
    </row>
    <row r="889" spans="1:26" ht="18.600000000000001" x14ac:dyDescent="0.3">
      <c r="A889" s="526"/>
      <c r="B889" s="526"/>
      <c r="C889" s="526"/>
      <c r="D889" s="526"/>
      <c r="E889" s="526"/>
      <c r="F889" s="526"/>
      <c r="G889" s="526"/>
      <c r="H889" s="526"/>
      <c r="I889" s="526"/>
      <c r="J889" s="526"/>
      <c r="K889" s="526"/>
      <c r="L889" s="526"/>
      <c r="M889" s="526"/>
      <c r="N889" s="526"/>
      <c r="O889" s="526"/>
      <c r="P889" s="526"/>
      <c r="Q889" s="526"/>
      <c r="R889" s="526"/>
      <c r="S889" s="526"/>
      <c r="T889" s="526"/>
      <c r="U889" s="526"/>
      <c r="V889" s="526"/>
      <c r="W889" s="526"/>
      <c r="X889" s="526"/>
      <c r="Y889" s="526"/>
      <c r="Z889" s="526"/>
    </row>
    <row r="890" spans="1:26" ht="18.600000000000001" x14ac:dyDescent="0.3">
      <c r="A890" s="526"/>
      <c r="B890" s="526"/>
      <c r="C890" s="526"/>
      <c r="D890" s="526"/>
      <c r="E890" s="526"/>
      <c r="F890" s="526"/>
      <c r="G890" s="526"/>
      <c r="H890" s="526"/>
      <c r="I890" s="526"/>
      <c r="J890" s="526"/>
      <c r="K890" s="526"/>
      <c r="L890" s="526"/>
      <c r="M890" s="526"/>
      <c r="N890" s="526"/>
      <c r="O890" s="526"/>
      <c r="P890" s="526"/>
      <c r="Q890" s="526"/>
      <c r="R890" s="526"/>
      <c r="S890" s="526"/>
      <c r="T890" s="526"/>
      <c r="U890" s="526"/>
      <c r="V890" s="526"/>
      <c r="W890" s="526"/>
      <c r="X890" s="526"/>
      <c r="Y890" s="526"/>
      <c r="Z890" s="526"/>
    </row>
    <row r="891" spans="1:26" ht="18.600000000000001" x14ac:dyDescent="0.3">
      <c r="A891" s="526"/>
      <c r="B891" s="526"/>
      <c r="C891" s="526"/>
      <c r="D891" s="526"/>
      <c r="E891" s="526"/>
      <c r="F891" s="526"/>
      <c r="G891" s="526"/>
      <c r="H891" s="526"/>
      <c r="I891" s="526"/>
      <c r="J891" s="526"/>
      <c r="K891" s="526"/>
      <c r="L891" s="526"/>
      <c r="M891" s="526"/>
      <c r="N891" s="526"/>
      <c r="O891" s="526"/>
      <c r="P891" s="526"/>
      <c r="Q891" s="526"/>
      <c r="R891" s="526"/>
      <c r="S891" s="526"/>
      <c r="T891" s="526"/>
      <c r="U891" s="526"/>
      <c r="V891" s="526"/>
      <c r="W891" s="526"/>
      <c r="X891" s="526"/>
      <c r="Y891" s="526"/>
      <c r="Z891" s="526"/>
    </row>
    <row r="892" spans="1:26" ht="18.600000000000001" x14ac:dyDescent="0.3">
      <c r="A892" s="526"/>
      <c r="B892" s="526"/>
      <c r="C892" s="526"/>
      <c r="D892" s="526"/>
      <c r="E892" s="526"/>
      <c r="F892" s="526"/>
      <c r="G892" s="526"/>
      <c r="H892" s="526"/>
      <c r="I892" s="526"/>
      <c r="J892" s="526"/>
      <c r="K892" s="526"/>
      <c r="L892" s="526"/>
      <c r="M892" s="526"/>
      <c r="N892" s="526"/>
      <c r="O892" s="526"/>
      <c r="P892" s="526"/>
      <c r="Q892" s="526"/>
      <c r="R892" s="526"/>
      <c r="S892" s="526"/>
      <c r="T892" s="526"/>
      <c r="U892" s="526"/>
      <c r="V892" s="526"/>
      <c r="W892" s="526"/>
      <c r="X892" s="526"/>
      <c r="Y892" s="526"/>
      <c r="Z892" s="526"/>
    </row>
    <row r="893" spans="1:26" ht="18.600000000000001" x14ac:dyDescent="0.3">
      <c r="A893" s="526"/>
      <c r="B893" s="526"/>
      <c r="C893" s="526"/>
      <c r="D893" s="526"/>
      <c r="E893" s="526"/>
      <c r="F893" s="526"/>
      <c r="G893" s="526"/>
      <c r="H893" s="526"/>
      <c r="I893" s="526"/>
      <c r="J893" s="526"/>
      <c r="K893" s="526"/>
      <c r="L893" s="526"/>
      <c r="M893" s="526"/>
      <c r="N893" s="526"/>
      <c r="O893" s="526"/>
      <c r="P893" s="526"/>
      <c r="Q893" s="526"/>
      <c r="R893" s="526"/>
      <c r="S893" s="526"/>
      <c r="T893" s="526"/>
      <c r="U893" s="526"/>
      <c r="V893" s="526"/>
      <c r="W893" s="526"/>
      <c r="X893" s="526"/>
      <c r="Y893" s="526"/>
      <c r="Z893" s="526"/>
    </row>
    <row r="894" spans="1:26" ht="18.600000000000001" x14ac:dyDescent="0.3">
      <c r="A894" s="526"/>
      <c r="B894" s="526"/>
      <c r="C894" s="526"/>
      <c r="D894" s="526"/>
      <c r="E894" s="526"/>
      <c r="F894" s="526"/>
      <c r="G894" s="526"/>
      <c r="H894" s="526"/>
      <c r="I894" s="526"/>
      <c r="J894" s="526"/>
      <c r="K894" s="526"/>
      <c r="L894" s="526"/>
      <c r="M894" s="526"/>
      <c r="N894" s="526"/>
      <c r="O894" s="526"/>
      <c r="P894" s="526"/>
      <c r="Q894" s="526"/>
      <c r="R894" s="526"/>
      <c r="S894" s="526"/>
      <c r="T894" s="526"/>
      <c r="U894" s="526"/>
      <c r="V894" s="526"/>
      <c r="W894" s="526"/>
      <c r="X894" s="526"/>
      <c r="Y894" s="526"/>
      <c r="Z894" s="526"/>
    </row>
    <row r="895" spans="1:26" ht="18.600000000000001" x14ac:dyDescent="0.3">
      <c r="A895" s="526"/>
      <c r="B895" s="526"/>
      <c r="C895" s="526"/>
      <c r="D895" s="526"/>
      <c r="E895" s="526"/>
      <c r="F895" s="526"/>
      <c r="G895" s="526"/>
      <c r="H895" s="526"/>
      <c r="I895" s="526"/>
      <c r="J895" s="526"/>
      <c r="K895" s="526"/>
      <c r="L895" s="526"/>
      <c r="M895" s="526"/>
      <c r="N895" s="526"/>
      <c r="O895" s="526"/>
      <c r="P895" s="526"/>
      <c r="Q895" s="526"/>
      <c r="R895" s="526"/>
      <c r="S895" s="526"/>
      <c r="T895" s="526"/>
      <c r="U895" s="526"/>
      <c r="V895" s="526"/>
      <c r="W895" s="526"/>
      <c r="X895" s="526"/>
      <c r="Y895" s="526"/>
      <c r="Z895" s="526"/>
    </row>
    <row r="896" spans="1:26" ht="18.600000000000001" x14ac:dyDescent="0.3">
      <c r="A896" s="526"/>
      <c r="B896" s="526"/>
      <c r="C896" s="526"/>
      <c r="D896" s="526"/>
      <c r="E896" s="526"/>
      <c r="F896" s="526"/>
      <c r="G896" s="526"/>
      <c r="H896" s="526"/>
      <c r="I896" s="526"/>
      <c r="J896" s="526"/>
      <c r="K896" s="526"/>
      <c r="L896" s="526"/>
      <c r="M896" s="526"/>
      <c r="N896" s="526"/>
      <c r="O896" s="526"/>
      <c r="P896" s="526"/>
      <c r="Q896" s="526"/>
      <c r="R896" s="526"/>
      <c r="S896" s="526"/>
      <c r="T896" s="526"/>
      <c r="U896" s="526"/>
      <c r="V896" s="526"/>
      <c r="W896" s="526"/>
      <c r="X896" s="526"/>
      <c r="Y896" s="526"/>
      <c r="Z896" s="526"/>
    </row>
    <row r="897" spans="1:26" ht="18.600000000000001" x14ac:dyDescent="0.3">
      <c r="A897" s="526"/>
      <c r="B897" s="526"/>
      <c r="C897" s="526"/>
      <c r="D897" s="526"/>
      <c r="E897" s="526"/>
      <c r="F897" s="526"/>
      <c r="G897" s="526"/>
      <c r="H897" s="526"/>
      <c r="I897" s="526"/>
      <c r="J897" s="526"/>
      <c r="K897" s="526"/>
      <c r="L897" s="526"/>
      <c r="M897" s="526"/>
      <c r="N897" s="526"/>
      <c r="O897" s="526"/>
      <c r="P897" s="526"/>
      <c r="Q897" s="526"/>
      <c r="R897" s="526"/>
      <c r="S897" s="526"/>
      <c r="T897" s="526"/>
      <c r="U897" s="526"/>
      <c r="V897" s="526"/>
      <c r="W897" s="526"/>
      <c r="X897" s="526"/>
      <c r="Y897" s="526"/>
      <c r="Z897" s="526"/>
    </row>
    <row r="898" spans="1:26" ht="18.600000000000001" x14ac:dyDescent="0.3">
      <c r="A898" s="526"/>
      <c r="B898" s="526"/>
      <c r="C898" s="526"/>
      <c r="D898" s="526"/>
      <c r="E898" s="526"/>
      <c r="F898" s="526"/>
      <c r="G898" s="526"/>
      <c r="H898" s="526"/>
      <c r="I898" s="526"/>
      <c r="J898" s="526"/>
      <c r="K898" s="526"/>
      <c r="L898" s="526"/>
      <c r="M898" s="526"/>
      <c r="N898" s="526"/>
      <c r="O898" s="526"/>
      <c r="P898" s="526"/>
      <c r="Q898" s="526"/>
      <c r="R898" s="526"/>
      <c r="S898" s="526"/>
      <c r="T898" s="526"/>
      <c r="U898" s="526"/>
      <c r="V898" s="526"/>
      <c r="W898" s="526"/>
      <c r="X898" s="526"/>
      <c r="Y898" s="526"/>
      <c r="Z898" s="526"/>
    </row>
    <row r="899" spans="1:26" ht="18.600000000000001" x14ac:dyDescent="0.3">
      <c r="A899" s="526"/>
      <c r="B899" s="526"/>
      <c r="C899" s="526"/>
      <c r="D899" s="526"/>
      <c r="E899" s="526"/>
      <c r="F899" s="526"/>
      <c r="G899" s="526"/>
      <c r="H899" s="526"/>
      <c r="I899" s="526"/>
      <c r="J899" s="526"/>
      <c r="K899" s="526"/>
      <c r="L899" s="526"/>
      <c r="M899" s="526"/>
      <c r="N899" s="526"/>
      <c r="O899" s="526"/>
      <c r="P899" s="526"/>
      <c r="Q899" s="526"/>
      <c r="R899" s="526"/>
      <c r="S899" s="526"/>
      <c r="T899" s="526"/>
      <c r="U899" s="526"/>
      <c r="V899" s="526"/>
      <c r="W899" s="526"/>
      <c r="X899" s="526"/>
      <c r="Y899" s="526"/>
      <c r="Z899" s="526"/>
    </row>
    <row r="900" spans="1:26" ht="18.600000000000001" x14ac:dyDescent="0.3">
      <c r="A900" s="526"/>
      <c r="B900" s="526"/>
      <c r="C900" s="526"/>
      <c r="D900" s="526"/>
      <c r="E900" s="526"/>
      <c r="F900" s="526"/>
      <c r="G900" s="526"/>
      <c r="H900" s="526"/>
      <c r="I900" s="526"/>
      <c r="J900" s="526"/>
      <c r="K900" s="526"/>
      <c r="L900" s="526"/>
      <c r="M900" s="526"/>
      <c r="N900" s="526"/>
      <c r="O900" s="526"/>
      <c r="P900" s="526"/>
      <c r="Q900" s="526"/>
      <c r="R900" s="526"/>
      <c r="S900" s="526"/>
      <c r="T900" s="526"/>
      <c r="U900" s="526"/>
      <c r="V900" s="526"/>
      <c r="W900" s="526"/>
      <c r="X900" s="526"/>
      <c r="Y900" s="526"/>
      <c r="Z900" s="526"/>
    </row>
    <row r="901" spans="1:26" ht="18.600000000000001" x14ac:dyDescent="0.3">
      <c r="A901" s="526"/>
      <c r="B901" s="526"/>
      <c r="C901" s="526"/>
      <c r="D901" s="526"/>
      <c r="E901" s="526"/>
      <c r="F901" s="526"/>
      <c r="G901" s="526"/>
      <c r="H901" s="526"/>
      <c r="I901" s="526"/>
      <c r="J901" s="526"/>
      <c r="K901" s="526"/>
      <c r="L901" s="526"/>
      <c r="M901" s="526"/>
      <c r="N901" s="526"/>
      <c r="O901" s="526"/>
      <c r="P901" s="526"/>
      <c r="Q901" s="526"/>
      <c r="R901" s="526"/>
      <c r="S901" s="526"/>
      <c r="T901" s="526"/>
      <c r="U901" s="526"/>
      <c r="V901" s="526"/>
      <c r="W901" s="526"/>
      <c r="X901" s="526"/>
      <c r="Y901" s="526"/>
      <c r="Z901" s="526"/>
    </row>
    <row r="902" spans="1:26" ht="18.600000000000001" x14ac:dyDescent="0.3">
      <c r="A902" s="526"/>
      <c r="B902" s="526"/>
      <c r="C902" s="526"/>
      <c r="D902" s="526"/>
      <c r="E902" s="526"/>
      <c r="F902" s="526"/>
      <c r="G902" s="526"/>
      <c r="H902" s="526"/>
      <c r="I902" s="526"/>
      <c r="J902" s="526"/>
      <c r="K902" s="526"/>
      <c r="L902" s="526"/>
      <c r="M902" s="526"/>
      <c r="N902" s="526"/>
      <c r="O902" s="526"/>
      <c r="P902" s="526"/>
      <c r="Q902" s="526"/>
      <c r="R902" s="526"/>
      <c r="S902" s="526"/>
      <c r="T902" s="526"/>
      <c r="U902" s="526"/>
      <c r="V902" s="526"/>
      <c r="W902" s="526"/>
      <c r="X902" s="526"/>
      <c r="Y902" s="526"/>
      <c r="Z902" s="526"/>
    </row>
    <row r="903" spans="1:26" ht="18.600000000000001" x14ac:dyDescent="0.3">
      <c r="A903" s="526"/>
      <c r="B903" s="526"/>
      <c r="C903" s="526"/>
      <c r="D903" s="526"/>
      <c r="E903" s="526"/>
      <c r="F903" s="526"/>
      <c r="G903" s="526"/>
      <c r="H903" s="526"/>
      <c r="I903" s="526"/>
      <c r="J903" s="526"/>
      <c r="K903" s="526"/>
      <c r="L903" s="526"/>
      <c r="M903" s="526"/>
      <c r="N903" s="526"/>
      <c r="O903" s="526"/>
      <c r="P903" s="526"/>
      <c r="Q903" s="526"/>
      <c r="R903" s="526"/>
      <c r="S903" s="526"/>
      <c r="T903" s="526"/>
      <c r="U903" s="526"/>
      <c r="V903" s="526"/>
      <c r="W903" s="526"/>
      <c r="X903" s="526"/>
      <c r="Y903" s="526"/>
      <c r="Z903" s="526"/>
    </row>
    <row r="904" spans="1:26" ht="18.600000000000001" x14ac:dyDescent="0.3">
      <c r="A904" s="526"/>
      <c r="B904" s="526"/>
      <c r="C904" s="526"/>
      <c r="D904" s="526"/>
      <c r="E904" s="526"/>
      <c r="F904" s="526"/>
      <c r="G904" s="526"/>
      <c r="H904" s="526"/>
      <c r="I904" s="526"/>
      <c r="J904" s="526"/>
      <c r="K904" s="526"/>
      <c r="L904" s="526"/>
      <c r="M904" s="526"/>
      <c r="N904" s="526"/>
      <c r="O904" s="526"/>
      <c r="P904" s="526"/>
      <c r="Q904" s="526"/>
      <c r="R904" s="526"/>
      <c r="S904" s="526"/>
      <c r="T904" s="526"/>
      <c r="U904" s="526"/>
      <c r="V904" s="526"/>
      <c r="W904" s="526"/>
      <c r="X904" s="526"/>
      <c r="Y904" s="526"/>
      <c r="Z904" s="526"/>
    </row>
    <row r="905" spans="1:26" ht="18.600000000000001" x14ac:dyDescent="0.3">
      <c r="A905" s="526"/>
      <c r="B905" s="526"/>
      <c r="C905" s="526"/>
      <c r="D905" s="526"/>
      <c r="E905" s="526"/>
      <c r="F905" s="526"/>
      <c r="G905" s="526"/>
      <c r="H905" s="526"/>
      <c r="I905" s="526"/>
      <c r="J905" s="526"/>
      <c r="K905" s="526"/>
      <c r="L905" s="526"/>
      <c r="M905" s="526"/>
      <c r="N905" s="526"/>
      <c r="O905" s="526"/>
      <c r="P905" s="526"/>
      <c r="Q905" s="526"/>
      <c r="R905" s="526"/>
      <c r="S905" s="526"/>
      <c r="T905" s="526"/>
      <c r="U905" s="526"/>
      <c r="V905" s="526"/>
      <c r="W905" s="526"/>
      <c r="X905" s="526"/>
      <c r="Y905" s="526"/>
      <c r="Z905" s="526"/>
    </row>
    <row r="906" spans="1:26" ht="18.600000000000001" x14ac:dyDescent="0.3">
      <c r="A906" s="526"/>
      <c r="B906" s="526"/>
      <c r="C906" s="526"/>
      <c r="D906" s="526"/>
      <c r="E906" s="526"/>
      <c r="F906" s="526"/>
      <c r="G906" s="526"/>
      <c r="H906" s="526"/>
      <c r="I906" s="526"/>
      <c r="J906" s="526"/>
      <c r="K906" s="526"/>
      <c r="L906" s="526"/>
      <c r="M906" s="526"/>
      <c r="N906" s="526"/>
      <c r="O906" s="526"/>
      <c r="P906" s="526"/>
      <c r="Q906" s="526"/>
      <c r="R906" s="526"/>
      <c r="S906" s="526"/>
      <c r="T906" s="526"/>
      <c r="U906" s="526"/>
      <c r="V906" s="526"/>
      <c r="W906" s="526"/>
      <c r="X906" s="526"/>
      <c r="Y906" s="526"/>
      <c r="Z906" s="526"/>
    </row>
    <row r="907" spans="1:26" ht="18.600000000000001" x14ac:dyDescent="0.3">
      <c r="A907" s="526"/>
      <c r="B907" s="526"/>
      <c r="C907" s="526"/>
      <c r="D907" s="526"/>
      <c r="E907" s="526"/>
      <c r="F907" s="526"/>
      <c r="G907" s="526"/>
      <c r="H907" s="526"/>
      <c r="I907" s="526"/>
      <c r="J907" s="526"/>
      <c r="K907" s="526"/>
      <c r="L907" s="526"/>
      <c r="M907" s="526"/>
      <c r="N907" s="526"/>
      <c r="O907" s="526"/>
      <c r="P907" s="526"/>
      <c r="Q907" s="526"/>
      <c r="R907" s="526"/>
      <c r="S907" s="526"/>
      <c r="T907" s="526"/>
      <c r="U907" s="526"/>
      <c r="V907" s="526"/>
      <c r="W907" s="526"/>
      <c r="X907" s="526"/>
      <c r="Y907" s="526"/>
      <c r="Z907" s="526"/>
    </row>
    <row r="908" spans="1:26" ht="18.600000000000001" x14ac:dyDescent="0.3">
      <c r="A908" s="526"/>
      <c r="B908" s="526"/>
      <c r="C908" s="526"/>
      <c r="D908" s="526"/>
      <c r="E908" s="526"/>
      <c r="F908" s="526"/>
      <c r="G908" s="526"/>
      <c r="H908" s="526"/>
      <c r="I908" s="526"/>
      <c r="J908" s="526"/>
      <c r="K908" s="526"/>
      <c r="L908" s="526"/>
      <c r="M908" s="526"/>
      <c r="N908" s="526"/>
      <c r="O908" s="526"/>
      <c r="P908" s="526"/>
      <c r="Q908" s="526"/>
      <c r="R908" s="526"/>
      <c r="S908" s="526"/>
      <c r="T908" s="526"/>
      <c r="U908" s="526"/>
      <c r="V908" s="526"/>
      <c r="W908" s="526"/>
      <c r="X908" s="526"/>
      <c r="Y908" s="526"/>
      <c r="Z908" s="526"/>
    </row>
    <row r="909" spans="1:26" ht="18.600000000000001" x14ac:dyDescent="0.3">
      <c r="A909" s="526"/>
      <c r="B909" s="526"/>
      <c r="C909" s="526"/>
      <c r="D909" s="526"/>
      <c r="E909" s="526"/>
      <c r="F909" s="526"/>
      <c r="G909" s="526"/>
      <c r="H909" s="526"/>
      <c r="I909" s="526"/>
      <c r="J909" s="526"/>
      <c r="K909" s="526"/>
      <c r="L909" s="526"/>
      <c r="M909" s="526"/>
      <c r="N909" s="526"/>
      <c r="O909" s="526"/>
      <c r="P909" s="526"/>
      <c r="Q909" s="526"/>
      <c r="R909" s="526"/>
      <c r="S909" s="526"/>
      <c r="T909" s="526"/>
      <c r="U909" s="526"/>
      <c r="V909" s="526"/>
      <c r="W909" s="526"/>
      <c r="X909" s="526"/>
      <c r="Y909" s="526"/>
      <c r="Z909" s="526"/>
    </row>
    <row r="910" spans="1:26" ht="18.600000000000001" x14ac:dyDescent="0.3">
      <c r="A910" s="526"/>
      <c r="B910" s="526"/>
      <c r="C910" s="526"/>
      <c r="D910" s="526"/>
      <c r="E910" s="526"/>
      <c r="F910" s="526"/>
      <c r="G910" s="526"/>
      <c r="H910" s="526"/>
      <c r="I910" s="526"/>
      <c r="J910" s="526"/>
      <c r="K910" s="526"/>
      <c r="L910" s="526"/>
      <c r="M910" s="526"/>
      <c r="N910" s="526"/>
      <c r="O910" s="526"/>
      <c r="P910" s="526"/>
      <c r="Q910" s="526"/>
      <c r="R910" s="526"/>
      <c r="S910" s="526"/>
      <c r="T910" s="526"/>
      <c r="U910" s="526"/>
      <c r="V910" s="526"/>
      <c r="W910" s="526"/>
      <c r="X910" s="526"/>
      <c r="Y910" s="526"/>
      <c r="Z910" s="526"/>
    </row>
    <row r="911" spans="1:26" ht="18.600000000000001" x14ac:dyDescent="0.3">
      <c r="A911" s="526"/>
      <c r="B911" s="526"/>
      <c r="C911" s="526"/>
      <c r="D911" s="526"/>
      <c r="E911" s="526"/>
      <c r="F911" s="526"/>
      <c r="G911" s="526"/>
      <c r="H911" s="526"/>
      <c r="I911" s="526"/>
      <c r="J911" s="526"/>
      <c r="K911" s="526"/>
      <c r="L911" s="526"/>
      <c r="M911" s="526"/>
      <c r="N911" s="526"/>
      <c r="O911" s="526"/>
      <c r="P911" s="526"/>
      <c r="Q911" s="526"/>
      <c r="R911" s="526"/>
      <c r="S911" s="526"/>
      <c r="T911" s="526"/>
      <c r="U911" s="526"/>
      <c r="V911" s="526"/>
      <c r="W911" s="526"/>
      <c r="X911" s="526"/>
      <c r="Y911" s="526"/>
      <c r="Z911" s="526"/>
    </row>
    <row r="912" spans="1:26" ht="18.600000000000001" x14ac:dyDescent="0.3">
      <c r="A912" s="526"/>
      <c r="B912" s="526"/>
      <c r="C912" s="526"/>
      <c r="D912" s="526"/>
      <c r="E912" s="526"/>
      <c r="F912" s="526"/>
      <c r="G912" s="526"/>
      <c r="H912" s="526"/>
      <c r="I912" s="526"/>
      <c r="J912" s="526"/>
      <c r="K912" s="526"/>
      <c r="L912" s="526"/>
      <c r="M912" s="526"/>
      <c r="N912" s="526"/>
      <c r="O912" s="526"/>
      <c r="P912" s="526"/>
      <c r="Q912" s="526"/>
      <c r="R912" s="526"/>
      <c r="S912" s="526"/>
      <c r="T912" s="526"/>
      <c r="U912" s="526"/>
      <c r="V912" s="526"/>
      <c r="W912" s="526"/>
      <c r="X912" s="526"/>
      <c r="Y912" s="526"/>
      <c r="Z912" s="526"/>
    </row>
    <row r="913" spans="1:26" ht="18.600000000000001" x14ac:dyDescent="0.3">
      <c r="A913" s="526"/>
      <c r="B913" s="526"/>
      <c r="C913" s="526"/>
      <c r="D913" s="526"/>
      <c r="E913" s="526"/>
      <c r="F913" s="526"/>
      <c r="G913" s="526"/>
      <c r="H913" s="526"/>
      <c r="I913" s="526"/>
      <c r="J913" s="526"/>
      <c r="K913" s="526"/>
      <c r="L913" s="526"/>
      <c r="M913" s="526"/>
      <c r="N913" s="526"/>
      <c r="O913" s="526"/>
      <c r="P913" s="526"/>
      <c r="Q913" s="526"/>
      <c r="R913" s="526"/>
      <c r="S913" s="526"/>
      <c r="T913" s="526"/>
      <c r="U913" s="526"/>
      <c r="V913" s="526"/>
      <c r="W913" s="526"/>
      <c r="X913" s="526"/>
      <c r="Y913" s="526"/>
      <c r="Z913" s="526"/>
    </row>
    <row r="914" spans="1:26" ht="18.600000000000001" x14ac:dyDescent="0.3">
      <c r="A914" s="526"/>
      <c r="B914" s="526"/>
      <c r="C914" s="526"/>
      <c r="D914" s="526"/>
      <c r="E914" s="526"/>
      <c r="F914" s="526"/>
      <c r="G914" s="526"/>
      <c r="H914" s="526"/>
      <c r="I914" s="526"/>
      <c r="J914" s="526"/>
      <c r="K914" s="526"/>
      <c r="L914" s="526"/>
      <c r="M914" s="526"/>
      <c r="N914" s="526"/>
      <c r="O914" s="526"/>
      <c r="P914" s="526"/>
      <c r="Q914" s="526"/>
      <c r="R914" s="526"/>
      <c r="S914" s="526"/>
      <c r="T914" s="526"/>
      <c r="U914" s="526"/>
      <c r="V914" s="526"/>
      <c r="W914" s="526"/>
      <c r="X914" s="526"/>
      <c r="Y914" s="526"/>
      <c r="Z914" s="526"/>
    </row>
    <row r="915" spans="1:26" ht="18.600000000000001" x14ac:dyDescent="0.3">
      <c r="A915" s="526"/>
      <c r="B915" s="526"/>
      <c r="C915" s="526"/>
      <c r="D915" s="526"/>
      <c r="E915" s="526"/>
      <c r="F915" s="526"/>
      <c r="G915" s="526"/>
      <c r="H915" s="526"/>
      <c r="I915" s="526"/>
      <c r="J915" s="526"/>
      <c r="K915" s="526"/>
      <c r="L915" s="526"/>
      <c r="M915" s="526"/>
      <c r="N915" s="526"/>
      <c r="O915" s="526"/>
      <c r="P915" s="526"/>
      <c r="Q915" s="526"/>
      <c r="R915" s="526"/>
      <c r="S915" s="526"/>
      <c r="T915" s="526"/>
      <c r="U915" s="526"/>
      <c r="V915" s="526"/>
      <c r="W915" s="526"/>
      <c r="X915" s="526"/>
      <c r="Y915" s="526"/>
      <c r="Z915" s="526"/>
    </row>
    <row r="916" spans="1:26" ht="18.600000000000001" x14ac:dyDescent="0.3">
      <c r="A916" s="526"/>
      <c r="B916" s="526"/>
      <c r="C916" s="526"/>
      <c r="D916" s="526"/>
      <c r="E916" s="526"/>
      <c r="F916" s="526"/>
      <c r="G916" s="526"/>
      <c r="H916" s="526"/>
      <c r="I916" s="526"/>
      <c r="J916" s="526"/>
      <c r="K916" s="526"/>
      <c r="L916" s="526"/>
      <c r="M916" s="526"/>
      <c r="N916" s="526"/>
      <c r="O916" s="526"/>
      <c r="P916" s="526"/>
      <c r="Q916" s="526"/>
      <c r="R916" s="526"/>
      <c r="S916" s="526"/>
      <c r="T916" s="526"/>
      <c r="U916" s="526"/>
      <c r="V916" s="526"/>
      <c r="W916" s="526"/>
      <c r="X916" s="526"/>
      <c r="Y916" s="526"/>
      <c r="Z916" s="526"/>
    </row>
    <row r="917" spans="1:26" ht="18.600000000000001" x14ac:dyDescent="0.3">
      <c r="A917" s="526"/>
      <c r="B917" s="526"/>
      <c r="C917" s="526"/>
      <c r="D917" s="526"/>
      <c r="E917" s="526"/>
      <c r="F917" s="526"/>
      <c r="G917" s="526"/>
      <c r="H917" s="526"/>
      <c r="I917" s="526"/>
      <c r="J917" s="526"/>
      <c r="K917" s="526"/>
      <c r="L917" s="526"/>
      <c r="M917" s="526"/>
      <c r="N917" s="526"/>
      <c r="O917" s="526"/>
      <c r="P917" s="526"/>
      <c r="Q917" s="526"/>
      <c r="R917" s="526"/>
      <c r="S917" s="526"/>
      <c r="T917" s="526"/>
      <c r="U917" s="526"/>
      <c r="V917" s="526"/>
      <c r="W917" s="526"/>
      <c r="X917" s="526"/>
      <c r="Y917" s="526"/>
      <c r="Z917" s="526"/>
    </row>
    <row r="918" spans="1:26" ht="18.600000000000001" x14ac:dyDescent="0.3">
      <c r="A918" s="526"/>
      <c r="B918" s="526"/>
      <c r="C918" s="526"/>
      <c r="D918" s="526"/>
      <c r="E918" s="526"/>
      <c r="F918" s="526"/>
      <c r="G918" s="526"/>
      <c r="H918" s="526"/>
      <c r="I918" s="526"/>
      <c r="J918" s="526"/>
      <c r="K918" s="526"/>
      <c r="L918" s="526"/>
      <c r="M918" s="526"/>
      <c r="N918" s="526"/>
      <c r="O918" s="526"/>
      <c r="P918" s="526"/>
      <c r="Q918" s="526"/>
      <c r="R918" s="526"/>
      <c r="S918" s="526"/>
      <c r="T918" s="526"/>
      <c r="U918" s="526"/>
      <c r="V918" s="526"/>
      <c r="W918" s="526"/>
      <c r="X918" s="526"/>
      <c r="Y918" s="526"/>
      <c r="Z918" s="526"/>
    </row>
    <row r="919" spans="1:26" ht="18.600000000000001" x14ac:dyDescent="0.3">
      <c r="A919" s="526"/>
      <c r="B919" s="526"/>
      <c r="C919" s="526"/>
      <c r="D919" s="526"/>
      <c r="E919" s="526"/>
      <c r="F919" s="526"/>
      <c r="G919" s="526"/>
      <c r="H919" s="526"/>
      <c r="I919" s="526"/>
      <c r="J919" s="526"/>
      <c r="K919" s="526"/>
      <c r="L919" s="526"/>
      <c r="M919" s="526"/>
      <c r="N919" s="526"/>
      <c r="O919" s="526"/>
      <c r="P919" s="526"/>
      <c r="Q919" s="526"/>
      <c r="R919" s="526"/>
      <c r="S919" s="526"/>
      <c r="T919" s="526"/>
      <c r="U919" s="526"/>
      <c r="V919" s="526"/>
      <c r="W919" s="526"/>
      <c r="X919" s="526"/>
      <c r="Y919" s="526"/>
      <c r="Z919" s="526"/>
    </row>
    <row r="920" spans="1:26" ht="18.600000000000001" x14ac:dyDescent="0.3">
      <c r="A920" s="526"/>
      <c r="B920" s="526"/>
      <c r="C920" s="526"/>
      <c r="D920" s="526"/>
      <c r="E920" s="526"/>
      <c r="F920" s="526"/>
      <c r="G920" s="526"/>
      <c r="H920" s="526"/>
      <c r="I920" s="526"/>
      <c r="J920" s="526"/>
      <c r="K920" s="526"/>
      <c r="L920" s="526"/>
      <c r="M920" s="526"/>
      <c r="N920" s="526"/>
      <c r="O920" s="526"/>
      <c r="P920" s="526"/>
      <c r="Q920" s="526"/>
      <c r="R920" s="526"/>
      <c r="S920" s="526"/>
      <c r="T920" s="526"/>
      <c r="U920" s="526"/>
      <c r="V920" s="526"/>
      <c r="W920" s="526"/>
      <c r="X920" s="526"/>
      <c r="Y920" s="526"/>
      <c r="Z920" s="526"/>
    </row>
    <row r="921" spans="1:26" ht="18.600000000000001" x14ac:dyDescent="0.3">
      <c r="A921" s="526"/>
      <c r="B921" s="526"/>
      <c r="C921" s="526"/>
      <c r="D921" s="526"/>
      <c r="E921" s="526"/>
      <c r="F921" s="526"/>
      <c r="G921" s="526"/>
      <c r="H921" s="526"/>
      <c r="I921" s="526"/>
      <c r="J921" s="526"/>
      <c r="K921" s="526"/>
      <c r="L921" s="526"/>
      <c r="M921" s="526"/>
      <c r="N921" s="526"/>
      <c r="O921" s="526"/>
      <c r="P921" s="526"/>
      <c r="Q921" s="526"/>
      <c r="R921" s="526"/>
      <c r="S921" s="526"/>
      <c r="T921" s="526"/>
      <c r="U921" s="526"/>
      <c r="V921" s="526"/>
      <c r="W921" s="526"/>
      <c r="X921" s="526"/>
      <c r="Y921" s="526"/>
      <c r="Z921" s="526"/>
    </row>
    <row r="922" spans="1:26" ht="18.600000000000001" x14ac:dyDescent="0.3">
      <c r="A922" s="526"/>
      <c r="B922" s="526"/>
      <c r="C922" s="526"/>
      <c r="D922" s="526"/>
      <c r="E922" s="526"/>
      <c r="F922" s="526"/>
      <c r="G922" s="526"/>
      <c r="H922" s="526"/>
      <c r="I922" s="526"/>
      <c r="J922" s="526"/>
      <c r="K922" s="526"/>
      <c r="L922" s="526"/>
      <c r="M922" s="526"/>
      <c r="N922" s="526"/>
      <c r="O922" s="526"/>
      <c r="P922" s="526"/>
      <c r="Q922" s="526"/>
      <c r="R922" s="526"/>
      <c r="S922" s="526"/>
      <c r="T922" s="526"/>
      <c r="U922" s="526"/>
      <c r="V922" s="526"/>
      <c r="W922" s="526"/>
      <c r="X922" s="526"/>
      <c r="Y922" s="526"/>
      <c r="Z922" s="526"/>
    </row>
    <row r="923" spans="1:26" ht="18.600000000000001" x14ac:dyDescent="0.3">
      <c r="A923" s="526"/>
      <c r="B923" s="526"/>
      <c r="C923" s="526"/>
      <c r="D923" s="526"/>
      <c r="E923" s="526"/>
      <c r="F923" s="526"/>
      <c r="G923" s="526"/>
      <c r="H923" s="526"/>
      <c r="I923" s="526"/>
      <c r="J923" s="526"/>
      <c r="K923" s="526"/>
      <c r="L923" s="526"/>
      <c r="M923" s="526"/>
      <c r="N923" s="526"/>
      <c r="O923" s="526"/>
      <c r="P923" s="526"/>
      <c r="Q923" s="526"/>
      <c r="R923" s="526"/>
      <c r="S923" s="526"/>
      <c r="T923" s="526"/>
      <c r="U923" s="526"/>
      <c r="V923" s="526"/>
      <c r="W923" s="526"/>
      <c r="X923" s="526"/>
      <c r="Y923" s="526"/>
      <c r="Z923" s="526"/>
    </row>
    <row r="924" spans="1:26" ht="18.600000000000001" x14ac:dyDescent="0.3">
      <c r="A924" s="526"/>
      <c r="B924" s="526"/>
      <c r="C924" s="526"/>
      <c r="D924" s="526"/>
      <c r="E924" s="526"/>
      <c r="F924" s="526"/>
      <c r="G924" s="526"/>
      <c r="H924" s="526"/>
      <c r="I924" s="526"/>
      <c r="J924" s="526"/>
      <c r="K924" s="526"/>
      <c r="L924" s="526"/>
      <c r="M924" s="526"/>
      <c r="N924" s="526"/>
      <c r="O924" s="526"/>
      <c r="P924" s="526"/>
      <c r="Q924" s="526"/>
      <c r="R924" s="526"/>
      <c r="S924" s="526"/>
      <c r="T924" s="526"/>
      <c r="U924" s="526"/>
      <c r="V924" s="526"/>
      <c r="W924" s="526"/>
      <c r="X924" s="526"/>
      <c r="Y924" s="526"/>
      <c r="Z924" s="526"/>
    </row>
    <row r="925" spans="1:26" ht="18.600000000000001" x14ac:dyDescent="0.3">
      <c r="A925" s="526"/>
      <c r="B925" s="526"/>
      <c r="C925" s="526"/>
      <c r="D925" s="526"/>
      <c r="E925" s="526"/>
      <c r="F925" s="526"/>
      <c r="G925" s="526"/>
      <c r="H925" s="526"/>
      <c r="I925" s="526"/>
      <c r="J925" s="526"/>
      <c r="K925" s="526"/>
      <c r="L925" s="526"/>
      <c r="M925" s="526"/>
      <c r="N925" s="526"/>
      <c r="O925" s="526"/>
      <c r="P925" s="526"/>
      <c r="Q925" s="526"/>
      <c r="R925" s="526"/>
      <c r="S925" s="526"/>
      <c r="T925" s="526"/>
      <c r="U925" s="526"/>
      <c r="V925" s="526"/>
      <c r="W925" s="526"/>
      <c r="X925" s="526"/>
      <c r="Y925" s="526"/>
      <c r="Z925" s="526"/>
    </row>
    <row r="926" spans="1:26" ht="18.600000000000001" x14ac:dyDescent="0.3">
      <c r="A926" s="526"/>
      <c r="B926" s="526"/>
      <c r="C926" s="526"/>
      <c r="D926" s="526"/>
      <c r="E926" s="526"/>
      <c r="F926" s="526"/>
      <c r="G926" s="526"/>
      <c r="H926" s="526"/>
      <c r="I926" s="526"/>
      <c r="J926" s="526"/>
      <c r="K926" s="526"/>
      <c r="L926" s="526"/>
      <c r="M926" s="526"/>
      <c r="N926" s="526"/>
      <c r="O926" s="526"/>
      <c r="P926" s="526"/>
      <c r="Q926" s="526"/>
      <c r="R926" s="526"/>
      <c r="S926" s="526"/>
      <c r="T926" s="526"/>
      <c r="U926" s="526"/>
      <c r="V926" s="526"/>
      <c r="W926" s="526"/>
      <c r="X926" s="526"/>
      <c r="Y926" s="526"/>
      <c r="Z926" s="526"/>
    </row>
    <row r="927" spans="1:26" ht="18.600000000000001" x14ac:dyDescent="0.3">
      <c r="A927" s="526"/>
      <c r="B927" s="526"/>
      <c r="C927" s="526"/>
      <c r="D927" s="526"/>
      <c r="E927" s="526"/>
      <c r="F927" s="526"/>
      <c r="G927" s="526"/>
      <c r="H927" s="526"/>
      <c r="I927" s="526"/>
      <c r="J927" s="526"/>
      <c r="K927" s="526"/>
      <c r="L927" s="526"/>
      <c r="M927" s="526"/>
      <c r="N927" s="526"/>
      <c r="O927" s="526"/>
      <c r="P927" s="526"/>
      <c r="Q927" s="526"/>
      <c r="R927" s="526"/>
      <c r="S927" s="526"/>
      <c r="T927" s="526"/>
      <c r="U927" s="526"/>
      <c r="V927" s="526"/>
      <c r="W927" s="526"/>
      <c r="X927" s="526"/>
      <c r="Y927" s="526"/>
      <c r="Z927" s="526"/>
    </row>
    <row r="928" spans="1:26" ht="18.600000000000001" x14ac:dyDescent="0.3">
      <c r="A928" s="526"/>
      <c r="B928" s="526"/>
      <c r="C928" s="526"/>
      <c r="D928" s="526"/>
      <c r="E928" s="526"/>
      <c r="F928" s="526"/>
      <c r="G928" s="526"/>
      <c r="H928" s="526"/>
      <c r="I928" s="526"/>
      <c r="J928" s="526"/>
      <c r="K928" s="526"/>
      <c r="L928" s="526"/>
      <c r="M928" s="526"/>
      <c r="N928" s="526"/>
      <c r="O928" s="526"/>
      <c r="P928" s="526"/>
      <c r="Q928" s="526"/>
      <c r="R928" s="526"/>
      <c r="S928" s="526"/>
      <c r="T928" s="526"/>
      <c r="U928" s="526"/>
      <c r="V928" s="526"/>
      <c r="W928" s="526"/>
      <c r="X928" s="526"/>
      <c r="Y928" s="526"/>
      <c r="Z928" s="526"/>
    </row>
    <row r="929" spans="1:26" ht="18.600000000000001" x14ac:dyDescent="0.3">
      <c r="A929" s="526"/>
      <c r="B929" s="526"/>
      <c r="C929" s="526"/>
      <c r="D929" s="526"/>
      <c r="E929" s="526"/>
      <c r="F929" s="526"/>
      <c r="G929" s="526"/>
      <c r="H929" s="526"/>
      <c r="I929" s="526"/>
      <c r="J929" s="526"/>
      <c r="K929" s="526"/>
      <c r="L929" s="526"/>
      <c r="M929" s="526"/>
      <c r="N929" s="526"/>
      <c r="O929" s="526"/>
      <c r="P929" s="526"/>
      <c r="Q929" s="526"/>
      <c r="R929" s="526"/>
      <c r="S929" s="526"/>
      <c r="T929" s="526"/>
      <c r="U929" s="526"/>
      <c r="V929" s="526"/>
      <c r="W929" s="526"/>
      <c r="X929" s="526"/>
      <c r="Y929" s="526"/>
      <c r="Z929" s="526"/>
    </row>
    <row r="930" spans="1:26" ht="18.600000000000001" x14ac:dyDescent="0.3">
      <c r="A930" s="526"/>
      <c r="B930" s="526"/>
      <c r="C930" s="526"/>
      <c r="D930" s="526"/>
      <c r="E930" s="526"/>
      <c r="F930" s="526"/>
      <c r="G930" s="526"/>
      <c r="H930" s="526"/>
      <c r="I930" s="526"/>
      <c r="J930" s="526"/>
      <c r="K930" s="526"/>
      <c r="L930" s="526"/>
      <c r="M930" s="526"/>
      <c r="N930" s="526"/>
      <c r="O930" s="526"/>
      <c r="P930" s="526"/>
      <c r="Q930" s="526"/>
      <c r="R930" s="526"/>
      <c r="S930" s="526"/>
      <c r="T930" s="526"/>
      <c r="U930" s="526"/>
      <c r="V930" s="526"/>
      <c r="W930" s="526"/>
      <c r="X930" s="526"/>
      <c r="Y930" s="526"/>
      <c r="Z930" s="526"/>
    </row>
    <row r="931" spans="1:26" ht="18.600000000000001" x14ac:dyDescent="0.3">
      <c r="A931" s="526"/>
      <c r="B931" s="526"/>
      <c r="C931" s="526"/>
      <c r="D931" s="526"/>
      <c r="E931" s="526"/>
      <c r="F931" s="526"/>
      <c r="G931" s="526"/>
      <c r="H931" s="526"/>
      <c r="I931" s="526"/>
      <c r="J931" s="526"/>
      <c r="K931" s="526"/>
      <c r="L931" s="526"/>
      <c r="M931" s="526"/>
      <c r="N931" s="526"/>
      <c r="O931" s="526"/>
      <c r="P931" s="526"/>
      <c r="Q931" s="526"/>
      <c r="R931" s="526"/>
      <c r="S931" s="526"/>
      <c r="T931" s="526"/>
      <c r="U931" s="526"/>
      <c r="V931" s="526"/>
      <c r="W931" s="526"/>
      <c r="X931" s="526"/>
      <c r="Y931" s="526"/>
      <c r="Z931" s="526"/>
    </row>
    <row r="932" spans="1:26" ht="18.600000000000001" x14ac:dyDescent="0.3">
      <c r="A932" s="526"/>
      <c r="B932" s="526"/>
      <c r="C932" s="526"/>
      <c r="D932" s="526"/>
      <c r="E932" s="526"/>
      <c r="F932" s="526"/>
      <c r="G932" s="526"/>
      <c r="H932" s="526"/>
      <c r="I932" s="526"/>
      <c r="J932" s="526"/>
      <c r="K932" s="526"/>
      <c r="L932" s="526"/>
      <c r="M932" s="526"/>
      <c r="N932" s="526"/>
      <c r="O932" s="526"/>
      <c r="P932" s="526"/>
      <c r="Q932" s="526"/>
      <c r="R932" s="526"/>
      <c r="S932" s="526"/>
      <c r="T932" s="526"/>
      <c r="U932" s="526"/>
      <c r="V932" s="526"/>
      <c r="W932" s="526"/>
      <c r="X932" s="526"/>
      <c r="Y932" s="526"/>
      <c r="Z932" s="526"/>
    </row>
    <row r="933" spans="1:26" ht="18.600000000000001" x14ac:dyDescent="0.3">
      <c r="A933" s="526"/>
      <c r="B933" s="526"/>
      <c r="C933" s="526"/>
      <c r="D933" s="526"/>
      <c r="E933" s="526"/>
      <c r="F933" s="526"/>
      <c r="G933" s="526"/>
      <c r="H933" s="526"/>
      <c r="I933" s="526"/>
      <c r="J933" s="526"/>
      <c r="K933" s="526"/>
      <c r="L933" s="526"/>
      <c r="M933" s="526"/>
      <c r="N933" s="526"/>
      <c r="O933" s="526"/>
      <c r="P933" s="526"/>
      <c r="Q933" s="526"/>
      <c r="R933" s="526"/>
      <c r="S933" s="526"/>
      <c r="T933" s="526"/>
      <c r="U933" s="526"/>
      <c r="V933" s="526"/>
      <c r="W933" s="526"/>
      <c r="X933" s="526"/>
      <c r="Y933" s="526"/>
      <c r="Z933" s="526"/>
    </row>
    <row r="934" spans="1:26" ht="18.600000000000001" x14ac:dyDescent="0.3">
      <c r="A934" s="526"/>
      <c r="B934" s="526"/>
      <c r="C934" s="526"/>
      <c r="D934" s="526"/>
      <c r="E934" s="526"/>
      <c r="F934" s="526"/>
      <c r="G934" s="526"/>
      <c r="H934" s="526"/>
      <c r="I934" s="526"/>
      <c r="J934" s="526"/>
      <c r="K934" s="526"/>
      <c r="L934" s="526"/>
      <c r="M934" s="526"/>
      <c r="N934" s="526"/>
      <c r="O934" s="526"/>
      <c r="P934" s="526"/>
      <c r="Q934" s="526"/>
      <c r="R934" s="526"/>
      <c r="S934" s="526"/>
      <c r="T934" s="526"/>
      <c r="U934" s="526"/>
      <c r="V934" s="526"/>
      <c r="W934" s="526"/>
      <c r="X934" s="526"/>
      <c r="Y934" s="526"/>
      <c r="Z934" s="526"/>
    </row>
    <row r="935" spans="1:26" ht="18.600000000000001" x14ac:dyDescent="0.3">
      <c r="A935" s="526"/>
      <c r="B935" s="526"/>
      <c r="C935" s="526"/>
      <c r="D935" s="526"/>
      <c r="E935" s="526"/>
      <c r="F935" s="526"/>
      <c r="G935" s="526"/>
      <c r="H935" s="526"/>
      <c r="I935" s="526"/>
      <c r="J935" s="526"/>
      <c r="K935" s="526"/>
      <c r="L935" s="526"/>
      <c r="M935" s="526"/>
      <c r="N935" s="526"/>
      <c r="O935" s="526"/>
      <c r="P935" s="526"/>
      <c r="Q935" s="526"/>
      <c r="R935" s="526"/>
      <c r="S935" s="526"/>
      <c r="T935" s="526"/>
      <c r="U935" s="526"/>
      <c r="V935" s="526"/>
      <c r="W935" s="526"/>
      <c r="X935" s="526"/>
      <c r="Y935" s="526"/>
      <c r="Z935" s="526"/>
    </row>
    <row r="936" spans="1:26" ht="18.600000000000001" x14ac:dyDescent="0.3">
      <c r="A936" s="526"/>
      <c r="B936" s="526"/>
      <c r="C936" s="526"/>
      <c r="D936" s="526"/>
      <c r="E936" s="526"/>
      <c r="F936" s="526"/>
      <c r="G936" s="526"/>
      <c r="H936" s="526"/>
      <c r="I936" s="526"/>
      <c r="J936" s="526"/>
      <c r="K936" s="526"/>
      <c r="L936" s="526"/>
      <c r="M936" s="526"/>
      <c r="N936" s="526"/>
      <c r="O936" s="526"/>
      <c r="P936" s="526"/>
      <c r="Q936" s="526"/>
      <c r="R936" s="526"/>
      <c r="S936" s="526"/>
      <c r="T936" s="526"/>
      <c r="U936" s="526"/>
      <c r="V936" s="526"/>
      <c r="W936" s="526"/>
      <c r="X936" s="526"/>
      <c r="Y936" s="526"/>
      <c r="Z936" s="526"/>
    </row>
    <row r="937" spans="1:26" ht="18.600000000000001" x14ac:dyDescent="0.3">
      <c r="A937" s="526"/>
      <c r="B937" s="526"/>
      <c r="C937" s="526"/>
      <c r="D937" s="526"/>
      <c r="E937" s="526"/>
      <c r="F937" s="526"/>
      <c r="G937" s="526"/>
      <c r="H937" s="526"/>
      <c r="I937" s="526"/>
      <c r="J937" s="526"/>
      <c r="K937" s="526"/>
      <c r="L937" s="526"/>
      <c r="M937" s="526"/>
      <c r="N937" s="526"/>
      <c r="O937" s="526"/>
      <c r="P937" s="526"/>
      <c r="Q937" s="526"/>
      <c r="R937" s="526"/>
      <c r="S937" s="526"/>
      <c r="T937" s="526"/>
      <c r="U937" s="526"/>
      <c r="V937" s="526"/>
      <c r="W937" s="526"/>
      <c r="X937" s="526"/>
      <c r="Y937" s="526"/>
      <c r="Z937" s="526"/>
    </row>
    <row r="938" spans="1:26" ht="18.600000000000001" x14ac:dyDescent="0.3">
      <c r="A938" s="526"/>
      <c r="B938" s="526"/>
      <c r="C938" s="526"/>
      <c r="D938" s="526"/>
      <c r="E938" s="526"/>
      <c r="F938" s="526"/>
      <c r="G938" s="526"/>
      <c r="H938" s="526"/>
      <c r="I938" s="526"/>
      <c r="J938" s="526"/>
      <c r="K938" s="526"/>
      <c r="L938" s="526"/>
      <c r="M938" s="526"/>
      <c r="N938" s="526"/>
      <c r="O938" s="526"/>
      <c r="P938" s="526"/>
      <c r="Q938" s="526"/>
      <c r="R938" s="526"/>
      <c r="S938" s="526"/>
      <c r="T938" s="526"/>
      <c r="U938" s="526"/>
      <c r="V938" s="526"/>
      <c r="W938" s="526"/>
      <c r="X938" s="526"/>
      <c r="Y938" s="526"/>
      <c r="Z938" s="526"/>
    </row>
    <row r="939" spans="1:26" ht="18.600000000000001" x14ac:dyDescent="0.3">
      <c r="A939" s="526"/>
      <c r="B939" s="526"/>
      <c r="C939" s="526"/>
      <c r="D939" s="526"/>
      <c r="E939" s="526"/>
      <c r="F939" s="526"/>
      <c r="G939" s="526"/>
      <c r="H939" s="526"/>
      <c r="I939" s="526"/>
      <c r="J939" s="526"/>
      <c r="K939" s="526"/>
      <c r="L939" s="526"/>
      <c r="M939" s="526"/>
      <c r="N939" s="526"/>
      <c r="O939" s="526"/>
      <c r="P939" s="526"/>
      <c r="Q939" s="526"/>
      <c r="R939" s="526"/>
      <c r="S939" s="526"/>
      <c r="T939" s="526"/>
      <c r="U939" s="526"/>
      <c r="V939" s="526"/>
      <c r="W939" s="526"/>
      <c r="X939" s="526"/>
      <c r="Y939" s="526"/>
      <c r="Z939" s="526"/>
    </row>
    <row r="940" spans="1:26" ht="18.600000000000001" x14ac:dyDescent="0.3">
      <c r="A940" s="526"/>
      <c r="B940" s="526"/>
      <c r="C940" s="526"/>
      <c r="D940" s="526"/>
      <c r="E940" s="526"/>
      <c r="F940" s="526"/>
      <c r="G940" s="526"/>
      <c r="H940" s="526"/>
      <c r="I940" s="526"/>
      <c r="J940" s="526"/>
      <c r="K940" s="526"/>
      <c r="L940" s="526"/>
      <c r="M940" s="526"/>
      <c r="N940" s="526"/>
      <c r="O940" s="526"/>
      <c r="P940" s="526"/>
      <c r="Q940" s="526"/>
      <c r="R940" s="526"/>
      <c r="S940" s="526"/>
      <c r="T940" s="526"/>
      <c r="U940" s="526"/>
      <c r="V940" s="526"/>
      <c r="W940" s="526"/>
      <c r="X940" s="526"/>
      <c r="Y940" s="526"/>
      <c r="Z940" s="526"/>
    </row>
    <row r="941" spans="1:26" ht="18.600000000000001" x14ac:dyDescent="0.3">
      <c r="A941" s="526"/>
      <c r="B941" s="526"/>
      <c r="C941" s="526"/>
      <c r="D941" s="526"/>
      <c r="E941" s="526"/>
      <c r="F941" s="526"/>
      <c r="G941" s="526"/>
      <c r="H941" s="526"/>
      <c r="I941" s="526"/>
      <c r="J941" s="526"/>
      <c r="K941" s="526"/>
      <c r="L941" s="526"/>
      <c r="M941" s="526"/>
      <c r="N941" s="526"/>
      <c r="O941" s="526"/>
      <c r="P941" s="526"/>
      <c r="Q941" s="526"/>
      <c r="R941" s="526"/>
      <c r="S941" s="526"/>
      <c r="T941" s="526"/>
      <c r="U941" s="526"/>
      <c r="V941" s="526"/>
      <c r="W941" s="526"/>
      <c r="X941" s="526"/>
      <c r="Y941" s="526"/>
      <c r="Z941" s="526"/>
    </row>
    <row r="942" spans="1:26" ht="18.600000000000001" x14ac:dyDescent="0.3">
      <c r="A942" s="526"/>
      <c r="B942" s="526"/>
      <c r="C942" s="526"/>
      <c r="D942" s="526"/>
      <c r="E942" s="526"/>
      <c r="F942" s="526"/>
      <c r="G942" s="526"/>
      <c r="H942" s="526"/>
      <c r="I942" s="526"/>
      <c r="J942" s="526"/>
      <c r="K942" s="526"/>
      <c r="L942" s="526"/>
      <c r="M942" s="526"/>
      <c r="N942" s="526"/>
      <c r="O942" s="526"/>
      <c r="P942" s="526"/>
      <c r="Q942" s="526"/>
      <c r="R942" s="526"/>
      <c r="S942" s="526"/>
      <c r="T942" s="526"/>
      <c r="U942" s="526"/>
      <c r="V942" s="526"/>
      <c r="W942" s="526"/>
      <c r="X942" s="526"/>
      <c r="Y942" s="526"/>
      <c r="Z942" s="526"/>
    </row>
    <row r="943" spans="1:26" ht="18.600000000000001" x14ac:dyDescent="0.3">
      <c r="A943" s="526"/>
      <c r="B943" s="526"/>
      <c r="C943" s="526"/>
      <c r="D943" s="526"/>
      <c r="E943" s="526"/>
      <c r="F943" s="526"/>
      <c r="G943" s="526"/>
      <c r="H943" s="526"/>
      <c r="I943" s="526"/>
      <c r="J943" s="526"/>
      <c r="K943" s="526"/>
      <c r="L943" s="526"/>
      <c r="M943" s="526"/>
      <c r="N943" s="526"/>
      <c r="O943" s="526"/>
      <c r="P943" s="526"/>
      <c r="Q943" s="526"/>
      <c r="R943" s="526"/>
      <c r="S943" s="526"/>
      <c r="T943" s="526"/>
      <c r="U943" s="526"/>
      <c r="V943" s="526"/>
      <c r="W943" s="526"/>
      <c r="X943" s="526"/>
      <c r="Y943" s="526"/>
      <c r="Z943" s="526"/>
    </row>
    <row r="944" spans="1:26" ht="18.600000000000001" x14ac:dyDescent="0.3">
      <c r="A944" s="526"/>
      <c r="B944" s="526"/>
      <c r="C944" s="526"/>
      <c r="D944" s="526"/>
      <c r="E944" s="526"/>
      <c r="F944" s="526"/>
      <c r="G944" s="526"/>
      <c r="H944" s="526"/>
      <c r="I944" s="526"/>
      <c r="J944" s="526"/>
      <c r="K944" s="526"/>
      <c r="L944" s="526"/>
      <c r="M944" s="526"/>
      <c r="N944" s="526"/>
      <c r="O944" s="526"/>
      <c r="P944" s="526"/>
      <c r="Q944" s="526"/>
      <c r="R944" s="526"/>
      <c r="S944" s="526"/>
      <c r="T944" s="526"/>
      <c r="U944" s="526"/>
      <c r="V944" s="526"/>
      <c r="W944" s="526"/>
      <c r="X944" s="526"/>
      <c r="Y944" s="526"/>
      <c r="Z944" s="526"/>
    </row>
    <row r="945" spans="1:26" ht="18.600000000000001" x14ac:dyDescent="0.3">
      <c r="A945" s="526"/>
      <c r="B945" s="526"/>
      <c r="C945" s="526"/>
      <c r="D945" s="526"/>
      <c r="E945" s="526"/>
      <c r="F945" s="526"/>
      <c r="G945" s="526"/>
      <c r="H945" s="526"/>
      <c r="I945" s="526"/>
      <c r="J945" s="526"/>
      <c r="K945" s="526"/>
      <c r="L945" s="526"/>
      <c r="M945" s="526"/>
      <c r="N945" s="526"/>
      <c r="O945" s="526"/>
      <c r="P945" s="526"/>
      <c r="Q945" s="526"/>
      <c r="R945" s="526"/>
      <c r="S945" s="526"/>
      <c r="T945" s="526"/>
      <c r="U945" s="526"/>
      <c r="V945" s="526"/>
      <c r="W945" s="526"/>
      <c r="X945" s="526"/>
      <c r="Y945" s="526"/>
      <c r="Z945" s="526"/>
    </row>
    <row r="946" spans="1:26" ht="18.600000000000001" x14ac:dyDescent="0.3">
      <c r="A946" s="526"/>
      <c r="B946" s="526"/>
      <c r="C946" s="526"/>
      <c r="D946" s="526"/>
      <c r="E946" s="526"/>
      <c r="F946" s="526"/>
      <c r="G946" s="526"/>
      <c r="H946" s="526"/>
      <c r="I946" s="526"/>
      <c r="J946" s="526"/>
      <c r="K946" s="526"/>
      <c r="L946" s="526"/>
      <c r="M946" s="526"/>
      <c r="N946" s="526"/>
      <c r="O946" s="526"/>
      <c r="P946" s="526"/>
      <c r="Q946" s="526"/>
      <c r="R946" s="526"/>
      <c r="S946" s="526"/>
      <c r="T946" s="526"/>
      <c r="U946" s="526"/>
      <c r="V946" s="526"/>
      <c r="W946" s="526"/>
      <c r="X946" s="526"/>
      <c r="Y946" s="526"/>
      <c r="Z946" s="526"/>
    </row>
    <row r="947" spans="1:26" ht="18.600000000000001" x14ac:dyDescent="0.3">
      <c r="A947" s="526"/>
      <c r="B947" s="526"/>
      <c r="C947" s="526"/>
      <c r="D947" s="526"/>
      <c r="E947" s="526"/>
      <c r="F947" s="526"/>
      <c r="G947" s="526"/>
      <c r="H947" s="526"/>
      <c r="I947" s="526"/>
      <c r="J947" s="526"/>
      <c r="K947" s="526"/>
      <c r="L947" s="526"/>
      <c r="M947" s="526"/>
      <c r="N947" s="526"/>
      <c r="O947" s="526"/>
      <c r="P947" s="526"/>
      <c r="Q947" s="526"/>
      <c r="R947" s="526"/>
      <c r="S947" s="526"/>
      <c r="T947" s="526"/>
      <c r="U947" s="526"/>
      <c r="V947" s="526"/>
      <c r="W947" s="526"/>
      <c r="X947" s="526"/>
      <c r="Y947" s="526"/>
      <c r="Z947" s="526"/>
    </row>
    <row r="948" spans="1:26" ht="18.600000000000001" x14ac:dyDescent="0.3">
      <c r="A948" s="526"/>
      <c r="B948" s="526"/>
      <c r="C948" s="526"/>
      <c r="D948" s="526"/>
      <c r="E948" s="526"/>
      <c r="F948" s="526"/>
      <c r="G948" s="526"/>
      <c r="H948" s="526"/>
      <c r="I948" s="526"/>
      <c r="J948" s="526"/>
      <c r="K948" s="526"/>
      <c r="L948" s="526"/>
      <c r="M948" s="526"/>
      <c r="N948" s="526"/>
      <c r="O948" s="526"/>
      <c r="P948" s="526"/>
      <c r="Q948" s="526"/>
      <c r="R948" s="526"/>
      <c r="S948" s="526"/>
      <c r="T948" s="526"/>
      <c r="U948" s="526"/>
      <c r="V948" s="526"/>
      <c r="W948" s="526"/>
      <c r="X948" s="526"/>
      <c r="Y948" s="526"/>
      <c r="Z948" s="526"/>
    </row>
    <row r="949" spans="1:26" ht="18.600000000000001" x14ac:dyDescent="0.3">
      <c r="A949" s="526"/>
      <c r="B949" s="526"/>
      <c r="C949" s="526"/>
      <c r="D949" s="526"/>
      <c r="E949" s="526"/>
      <c r="F949" s="526"/>
      <c r="G949" s="526"/>
      <c r="H949" s="526"/>
      <c r="I949" s="526"/>
      <c r="J949" s="526"/>
      <c r="K949" s="526"/>
      <c r="L949" s="526"/>
      <c r="M949" s="526"/>
      <c r="N949" s="526"/>
      <c r="O949" s="526"/>
      <c r="P949" s="526"/>
      <c r="Q949" s="526"/>
      <c r="R949" s="526"/>
      <c r="S949" s="526"/>
      <c r="T949" s="526"/>
      <c r="U949" s="526"/>
      <c r="V949" s="526"/>
      <c r="W949" s="526"/>
      <c r="X949" s="526"/>
      <c r="Y949" s="526"/>
      <c r="Z949" s="526"/>
    </row>
    <row r="950" spans="1:26" ht="18.600000000000001" x14ac:dyDescent="0.3">
      <c r="A950" s="526"/>
      <c r="B950" s="526"/>
      <c r="C950" s="526"/>
      <c r="D950" s="526"/>
      <c r="E950" s="526"/>
      <c r="F950" s="526"/>
      <c r="G950" s="526"/>
      <c r="H950" s="526"/>
      <c r="I950" s="526"/>
      <c r="J950" s="526"/>
      <c r="K950" s="526"/>
      <c r="L950" s="526"/>
      <c r="M950" s="526"/>
      <c r="N950" s="526"/>
      <c r="O950" s="526"/>
      <c r="P950" s="526"/>
      <c r="Q950" s="526"/>
      <c r="R950" s="526"/>
      <c r="S950" s="526"/>
      <c r="T950" s="526"/>
      <c r="U950" s="526"/>
      <c r="V950" s="526"/>
      <c r="W950" s="526"/>
      <c r="X950" s="526"/>
      <c r="Y950" s="526"/>
      <c r="Z950" s="526"/>
    </row>
    <row r="951" spans="1:26" ht="18.600000000000001" x14ac:dyDescent="0.3">
      <c r="A951" s="526"/>
      <c r="B951" s="526"/>
      <c r="C951" s="526"/>
      <c r="D951" s="526"/>
      <c r="E951" s="526"/>
      <c r="F951" s="526"/>
      <c r="G951" s="526"/>
      <c r="H951" s="526"/>
      <c r="I951" s="526"/>
      <c r="J951" s="526"/>
      <c r="K951" s="526"/>
      <c r="L951" s="526"/>
      <c r="M951" s="526"/>
      <c r="N951" s="526"/>
      <c r="O951" s="526"/>
      <c r="P951" s="526"/>
      <c r="Q951" s="526"/>
      <c r="R951" s="526"/>
      <c r="S951" s="526"/>
      <c r="T951" s="526"/>
      <c r="U951" s="526"/>
      <c r="V951" s="526"/>
      <c r="W951" s="526"/>
      <c r="X951" s="526"/>
      <c r="Y951" s="526"/>
      <c r="Z951" s="526"/>
    </row>
    <row r="952" spans="1:26" ht="18.600000000000001" x14ac:dyDescent="0.3">
      <c r="A952" s="526"/>
      <c r="B952" s="526"/>
      <c r="C952" s="526"/>
      <c r="D952" s="526"/>
      <c r="E952" s="526"/>
      <c r="F952" s="526"/>
      <c r="G952" s="526"/>
      <c r="H952" s="526"/>
      <c r="I952" s="526"/>
      <c r="J952" s="526"/>
      <c r="K952" s="526"/>
      <c r="L952" s="526"/>
      <c r="M952" s="526"/>
      <c r="N952" s="526"/>
      <c r="O952" s="526"/>
      <c r="P952" s="526"/>
      <c r="Q952" s="526"/>
      <c r="R952" s="526"/>
      <c r="S952" s="526"/>
      <c r="T952" s="526"/>
      <c r="U952" s="526"/>
      <c r="V952" s="526"/>
      <c r="W952" s="526"/>
      <c r="X952" s="526"/>
      <c r="Y952" s="526"/>
      <c r="Z952" s="526"/>
    </row>
    <row r="953" spans="1:26" ht="18.600000000000001" x14ac:dyDescent="0.3">
      <c r="A953" s="526"/>
      <c r="B953" s="526"/>
      <c r="C953" s="526"/>
      <c r="D953" s="526"/>
      <c r="E953" s="526"/>
      <c r="F953" s="526"/>
      <c r="G953" s="526"/>
      <c r="H953" s="526"/>
      <c r="I953" s="526"/>
      <c r="J953" s="526"/>
      <c r="K953" s="526"/>
      <c r="L953" s="526"/>
      <c r="M953" s="526"/>
      <c r="N953" s="526"/>
      <c r="O953" s="526"/>
      <c r="P953" s="526"/>
      <c r="Q953" s="526"/>
      <c r="R953" s="526"/>
      <c r="S953" s="526"/>
      <c r="T953" s="526"/>
      <c r="U953" s="526"/>
      <c r="V953" s="526"/>
      <c r="W953" s="526"/>
      <c r="X953" s="526"/>
      <c r="Y953" s="526"/>
      <c r="Z953" s="526"/>
    </row>
    <row r="954" spans="1:26" ht="18.600000000000001" x14ac:dyDescent="0.3">
      <c r="A954" s="526"/>
      <c r="B954" s="526"/>
      <c r="C954" s="526"/>
      <c r="D954" s="526"/>
      <c r="E954" s="526"/>
      <c r="F954" s="526"/>
      <c r="G954" s="526"/>
      <c r="H954" s="526"/>
      <c r="I954" s="526"/>
      <c r="J954" s="526"/>
      <c r="K954" s="526"/>
      <c r="L954" s="526"/>
      <c r="M954" s="526"/>
      <c r="N954" s="526"/>
      <c r="O954" s="526"/>
      <c r="P954" s="526"/>
      <c r="Q954" s="526"/>
      <c r="R954" s="526"/>
      <c r="S954" s="526"/>
      <c r="T954" s="526"/>
      <c r="U954" s="526"/>
      <c r="V954" s="526"/>
      <c r="W954" s="526"/>
      <c r="X954" s="526"/>
      <c r="Y954" s="526"/>
      <c r="Z954" s="526"/>
    </row>
    <row r="955" spans="1:26" ht="18.600000000000001" x14ac:dyDescent="0.3">
      <c r="A955" s="526"/>
      <c r="B955" s="526"/>
      <c r="C955" s="526"/>
      <c r="D955" s="526"/>
      <c r="E955" s="526"/>
      <c r="F955" s="526"/>
      <c r="G955" s="526"/>
      <c r="H955" s="526"/>
      <c r="I955" s="526"/>
      <c r="J955" s="526"/>
      <c r="K955" s="526"/>
      <c r="L955" s="526"/>
      <c r="M955" s="526"/>
      <c r="N955" s="526"/>
      <c r="O955" s="526"/>
      <c r="P955" s="526"/>
      <c r="Q955" s="526"/>
      <c r="R955" s="526"/>
      <c r="S955" s="526"/>
      <c r="T955" s="526"/>
      <c r="U955" s="526"/>
      <c r="V955" s="526"/>
      <c r="W955" s="526"/>
      <c r="X955" s="526"/>
      <c r="Y955" s="526"/>
      <c r="Z955" s="526"/>
    </row>
    <row r="956" spans="1:26" ht="18.600000000000001" x14ac:dyDescent="0.3">
      <c r="A956" s="526"/>
      <c r="B956" s="526"/>
      <c r="C956" s="526"/>
      <c r="D956" s="526"/>
      <c r="E956" s="526"/>
      <c r="F956" s="526"/>
      <c r="G956" s="526"/>
      <c r="H956" s="526"/>
      <c r="I956" s="526"/>
      <c r="J956" s="526"/>
      <c r="K956" s="526"/>
      <c r="L956" s="526"/>
      <c r="M956" s="526"/>
      <c r="N956" s="526"/>
      <c r="O956" s="526"/>
      <c r="P956" s="526"/>
      <c r="Q956" s="526"/>
      <c r="R956" s="526"/>
      <c r="S956" s="526"/>
      <c r="T956" s="526"/>
      <c r="U956" s="526"/>
      <c r="V956" s="526"/>
      <c r="W956" s="526"/>
      <c r="X956" s="526"/>
      <c r="Y956" s="526"/>
      <c r="Z956" s="526"/>
    </row>
    <row r="957" spans="1:26" ht="18.600000000000001" x14ac:dyDescent="0.3">
      <c r="A957" s="526"/>
      <c r="B957" s="526"/>
      <c r="C957" s="526"/>
      <c r="D957" s="526"/>
      <c r="E957" s="526"/>
      <c r="F957" s="526"/>
      <c r="G957" s="526"/>
      <c r="H957" s="526"/>
      <c r="I957" s="526"/>
      <c r="J957" s="526"/>
      <c r="K957" s="526"/>
      <c r="L957" s="526"/>
      <c r="M957" s="526"/>
      <c r="N957" s="526"/>
      <c r="O957" s="526"/>
      <c r="P957" s="526"/>
      <c r="Q957" s="526"/>
      <c r="R957" s="526"/>
      <c r="S957" s="526"/>
      <c r="T957" s="526"/>
      <c r="U957" s="526"/>
      <c r="V957" s="526"/>
      <c r="W957" s="526"/>
      <c r="X957" s="526"/>
      <c r="Y957" s="526"/>
      <c r="Z957" s="526"/>
    </row>
    <row r="958" spans="1:26" ht="18.600000000000001" x14ac:dyDescent="0.3">
      <c r="A958" s="526"/>
      <c r="B958" s="526"/>
      <c r="C958" s="526"/>
      <c r="D958" s="526"/>
      <c r="E958" s="526"/>
      <c r="F958" s="526"/>
      <c r="G958" s="526"/>
      <c r="H958" s="526"/>
      <c r="I958" s="526"/>
      <c r="J958" s="526"/>
      <c r="K958" s="526"/>
      <c r="L958" s="526"/>
      <c r="M958" s="526"/>
      <c r="N958" s="526"/>
      <c r="O958" s="526"/>
      <c r="P958" s="526"/>
      <c r="Q958" s="526"/>
      <c r="R958" s="526"/>
      <c r="S958" s="526"/>
      <c r="T958" s="526"/>
      <c r="U958" s="526"/>
      <c r="V958" s="526"/>
      <c r="W958" s="526"/>
      <c r="X958" s="526"/>
      <c r="Y958" s="526"/>
      <c r="Z958" s="526"/>
    </row>
    <row r="959" spans="1:26" ht="18.600000000000001" x14ac:dyDescent="0.3">
      <c r="A959" s="526"/>
      <c r="B959" s="526"/>
      <c r="C959" s="526"/>
      <c r="D959" s="526"/>
      <c r="E959" s="526"/>
      <c r="F959" s="526"/>
      <c r="G959" s="526"/>
      <c r="H959" s="526"/>
      <c r="I959" s="526"/>
      <c r="J959" s="526"/>
      <c r="K959" s="526"/>
      <c r="L959" s="526"/>
      <c r="M959" s="526"/>
      <c r="N959" s="526"/>
      <c r="O959" s="526"/>
      <c r="P959" s="526"/>
      <c r="Q959" s="526"/>
      <c r="R959" s="526"/>
      <c r="S959" s="526"/>
      <c r="T959" s="526"/>
      <c r="U959" s="526"/>
      <c r="V959" s="526"/>
      <c r="W959" s="526"/>
      <c r="X959" s="526"/>
      <c r="Y959" s="526"/>
      <c r="Z959" s="526"/>
    </row>
    <row r="960" spans="1:26" ht="18.600000000000001" x14ac:dyDescent="0.3">
      <c r="A960" s="526"/>
      <c r="B960" s="526"/>
      <c r="C960" s="526"/>
      <c r="D960" s="526"/>
      <c r="E960" s="526"/>
      <c r="F960" s="526"/>
      <c r="G960" s="526"/>
      <c r="H960" s="526"/>
      <c r="I960" s="526"/>
      <c r="J960" s="526"/>
      <c r="K960" s="526"/>
      <c r="L960" s="526"/>
      <c r="M960" s="526"/>
      <c r="N960" s="526"/>
      <c r="O960" s="526"/>
      <c r="P960" s="526"/>
      <c r="Q960" s="526"/>
      <c r="R960" s="526"/>
      <c r="S960" s="526"/>
      <c r="T960" s="526"/>
      <c r="U960" s="526"/>
      <c r="V960" s="526"/>
      <c r="W960" s="526"/>
      <c r="X960" s="526"/>
      <c r="Y960" s="526"/>
      <c r="Z960" s="526"/>
    </row>
    <row r="961" spans="1:26" ht="18.600000000000001" x14ac:dyDescent="0.3">
      <c r="A961" s="526"/>
      <c r="B961" s="526"/>
      <c r="C961" s="526"/>
      <c r="D961" s="526"/>
      <c r="E961" s="526"/>
      <c r="F961" s="526"/>
      <c r="G961" s="526"/>
      <c r="H961" s="526"/>
      <c r="I961" s="526"/>
      <c r="J961" s="526"/>
      <c r="K961" s="526"/>
      <c r="L961" s="526"/>
      <c r="M961" s="526"/>
      <c r="N961" s="526"/>
      <c r="O961" s="526"/>
      <c r="P961" s="526"/>
      <c r="Q961" s="526"/>
      <c r="R961" s="526"/>
      <c r="S961" s="526"/>
      <c r="T961" s="526"/>
      <c r="U961" s="526"/>
      <c r="V961" s="526"/>
      <c r="W961" s="526"/>
      <c r="X961" s="526"/>
      <c r="Y961" s="526"/>
      <c r="Z961" s="526"/>
    </row>
    <row r="962" spans="1:26" ht="18.600000000000001" x14ac:dyDescent="0.3">
      <c r="A962" s="526"/>
      <c r="B962" s="526"/>
      <c r="C962" s="526"/>
      <c r="D962" s="526"/>
      <c r="E962" s="526"/>
      <c r="F962" s="526"/>
      <c r="G962" s="526"/>
      <c r="H962" s="526"/>
      <c r="I962" s="526"/>
      <c r="J962" s="526"/>
      <c r="K962" s="526"/>
      <c r="L962" s="526"/>
      <c r="M962" s="526"/>
      <c r="N962" s="526"/>
      <c r="O962" s="526"/>
      <c r="P962" s="526"/>
      <c r="Q962" s="526"/>
      <c r="R962" s="526"/>
      <c r="S962" s="526"/>
      <c r="T962" s="526"/>
      <c r="U962" s="526"/>
      <c r="V962" s="526"/>
      <c r="W962" s="526"/>
      <c r="X962" s="526"/>
      <c r="Y962" s="526"/>
      <c r="Z962" s="526"/>
    </row>
    <row r="963" spans="1:26" ht="18.600000000000001" x14ac:dyDescent="0.3">
      <c r="A963" s="526"/>
      <c r="B963" s="526"/>
      <c r="C963" s="526"/>
      <c r="D963" s="526"/>
      <c r="E963" s="526"/>
      <c r="F963" s="526"/>
      <c r="G963" s="526"/>
      <c r="H963" s="526"/>
      <c r="I963" s="526"/>
      <c r="J963" s="526"/>
      <c r="K963" s="526"/>
      <c r="L963" s="526"/>
      <c r="M963" s="526"/>
      <c r="N963" s="526"/>
      <c r="O963" s="526"/>
      <c r="P963" s="526"/>
      <c r="Q963" s="526"/>
      <c r="R963" s="526"/>
      <c r="S963" s="526"/>
      <c r="T963" s="526"/>
      <c r="U963" s="526"/>
      <c r="V963" s="526"/>
      <c r="W963" s="526"/>
      <c r="X963" s="526"/>
      <c r="Y963" s="526"/>
      <c r="Z963" s="526"/>
    </row>
    <row r="964" spans="1:26" ht="18.600000000000001" x14ac:dyDescent="0.3">
      <c r="A964" s="526"/>
      <c r="B964" s="526"/>
      <c r="C964" s="526"/>
      <c r="D964" s="526"/>
      <c r="E964" s="526"/>
      <c r="F964" s="526"/>
      <c r="G964" s="526"/>
      <c r="H964" s="526"/>
      <c r="I964" s="526"/>
      <c r="J964" s="526"/>
      <c r="K964" s="526"/>
      <c r="L964" s="526"/>
      <c r="M964" s="526"/>
      <c r="N964" s="526"/>
      <c r="O964" s="526"/>
      <c r="P964" s="526"/>
      <c r="Q964" s="526"/>
      <c r="R964" s="526"/>
      <c r="S964" s="526"/>
      <c r="T964" s="526"/>
      <c r="U964" s="526"/>
      <c r="V964" s="526"/>
      <c r="W964" s="526"/>
      <c r="X964" s="526"/>
      <c r="Y964" s="526"/>
      <c r="Z964" s="526"/>
    </row>
    <row r="965" spans="1:26" ht="18.600000000000001" x14ac:dyDescent="0.3">
      <c r="A965" s="526"/>
      <c r="B965" s="526"/>
      <c r="C965" s="526"/>
      <c r="D965" s="526"/>
      <c r="E965" s="526"/>
      <c r="F965" s="526"/>
      <c r="G965" s="526"/>
      <c r="H965" s="526"/>
      <c r="I965" s="526"/>
      <c r="J965" s="526"/>
      <c r="K965" s="526"/>
      <c r="L965" s="526"/>
      <c r="M965" s="526"/>
      <c r="N965" s="526"/>
      <c r="O965" s="526"/>
      <c r="P965" s="526"/>
      <c r="Q965" s="526"/>
      <c r="R965" s="526"/>
      <c r="S965" s="526"/>
      <c r="T965" s="526"/>
      <c r="U965" s="526"/>
      <c r="V965" s="526"/>
      <c r="W965" s="526"/>
      <c r="X965" s="526"/>
      <c r="Y965" s="526"/>
      <c r="Z965" s="526"/>
    </row>
    <row r="966" spans="1:26" ht="18.600000000000001" x14ac:dyDescent="0.3">
      <c r="A966" s="526"/>
      <c r="B966" s="526"/>
      <c r="C966" s="526"/>
      <c r="D966" s="526"/>
      <c r="E966" s="526"/>
      <c r="F966" s="526"/>
      <c r="G966" s="526"/>
      <c r="H966" s="526"/>
      <c r="I966" s="526"/>
      <c r="J966" s="526"/>
      <c r="K966" s="526"/>
      <c r="L966" s="526"/>
      <c r="M966" s="526"/>
      <c r="N966" s="526"/>
      <c r="O966" s="526"/>
      <c r="P966" s="526"/>
      <c r="Q966" s="526"/>
      <c r="R966" s="526"/>
      <c r="S966" s="526"/>
      <c r="T966" s="526"/>
      <c r="U966" s="526"/>
      <c r="V966" s="526"/>
      <c r="W966" s="526"/>
      <c r="X966" s="526"/>
      <c r="Y966" s="526"/>
      <c r="Z966" s="526"/>
    </row>
    <row r="967" spans="1:26" ht="18.600000000000001" x14ac:dyDescent="0.3">
      <c r="A967" s="526"/>
      <c r="B967" s="526"/>
      <c r="C967" s="526"/>
      <c r="D967" s="526"/>
      <c r="E967" s="526"/>
      <c r="F967" s="526"/>
      <c r="G967" s="526"/>
      <c r="H967" s="526"/>
      <c r="I967" s="526"/>
      <c r="J967" s="526"/>
      <c r="K967" s="526"/>
      <c r="L967" s="526"/>
      <c r="M967" s="526"/>
      <c r="N967" s="526"/>
      <c r="O967" s="526"/>
      <c r="P967" s="526"/>
      <c r="Q967" s="526"/>
      <c r="R967" s="526"/>
      <c r="S967" s="526"/>
      <c r="T967" s="526"/>
      <c r="U967" s="526"/>
      <c r="V967" s="526"/>
      <c r="W967" s="526"/>
      <c r="X967" s="526"/>
      <c r="Y967" s="526"/>
      <c r="Z967" s="526"/>
    </row>
    <row r="968" spans="1:26" ht="18.600000000000001" x14ac:dyDescent="0.3">
      <c r="A968" s="526"/>
      <c r="B968" s="526"/>
      <c r="C968" s="526"/>
      <c r="D968" s="526"/>
      <c r="E968" s="526"/>
      <c r="F968" s="526"/>
      <c r="G968" s="526"/>
      <c r="H968" s="526"/>
      <c r="I968" s="526"/>
      <c r="J968" s="526"/>
      <c r="K968" s="526"/>
      <c r="L968" s="526"/>
      <c r="M968" s="526"/>
      <c r="N968" s="526"/>
      <c r="O968" s="526"/>
      <c r="P968" s="526"/>
      <c r="Q968" s="526"/>
      <c r="R968" s="526"/>
      <c r="S968" s="526"/>
      <c r="T968" s="526"/>
      <c r="U968" s="526"/>
      <c r="V968" s="526"/>
      <c r="W968" s="526"/>
      <c r="X968" s="526"/>
      <c r="Y968" s="526"/>
      <c r="Z968" s="526"/>
    </row>
    <row r="969" spans="1:26" ht="18.600000000000001" x14ac:dyDescent="0.3">
      <c r="A969" s="526"/>
      <c r="B969" s="526"/>
      <c r="C969" s="526"/>
      <c r="D969" s="526"/>
      <c r="E969" s="526"/>
      <c r="F969" s="526"/>
      <c r="G969" s="526"/>
      <c r="H969" s="526"/>
      <c r="I969" s="526"/>
      <c r="J969" s="526"/>
      <c r="K969" s="526"/>
      <c r="L969" s="526"/>
      <c r="M969" s="526"/>
      <c r="N969" s="526"/>
      <c r="O969" s="526"/>
      <c r="P969" s="526"/>
      <c r="Q969" s="526"/>
      <c r="R969" s="526"/>
      <c r="S969" s="526"/>
      <c r="T969" s="526"/>
      <c r="U969" s="526"/>
      <c r="V969" s="526"/>
      <c r="W969" s="526"/>
      <c r="X969" s="526"/>
      <c r="Y969" s="526"/>
      <c r="Z969" s="526"/>
    </row>
    <row r="970" spans="1:26" ht="18.600000000000001" x14ac:dyDescent="0.3">
      <c r="A970" s="526"/>
      <c r="B970" s="526"/>
      <c r="C970" s="526"/>
      <c r="D970" s="526"/>
      <c r="E970" s="526"/>
      <c r="F970" s="526"/>
      <c r="G970" s="526"/>
      <c r="H970" s="526"/>
      <c r="I970" s="526"/>
      <c r="J970" s="526"/>
      <c r="K970" s="526"/>
      <c r="L970" s="526"/>
      <c r="M970" s="526"/>
      <c r="N970" s="526"/>
      <c r="O970" s="526"/>
      <c r="P970" s="526"/>
      <c r="Q970" s="526"/>
      <c r="R970" s="526"/>
      <c r="S970" s="526"/>
      <c r="T970" s="526"/>
      <c r="U970" s="526"/>
      <c r="V970" s="526"/>
      <c r="W970" s="526"/>
      <c r="X970" s="526"/>
      <c r="Y970" s="526"/>
      <c r="Z970" s="526"/>
    </row>
    <row r="971" spans="1:26" ht="18.600000000000001" x14ac:dyDescent="0.3">
      <c r="A971" s="526"/>
      <c r="B971" s="526"/>
      <c r="C971" s="526"/>
      <c r="D971" s="526"/>
      <c r="E971" s="526"/>
      <c r="F971" s="526"/>
      <c r="G971" s="526"/>
      <c r="H971" s="526"/>
      <c r="I971" s="526"/>
      <c r="J971" s="526"/>
      <c r="K971" s="526"/>
      <c r="L971" s="526"/>
      <c r="M971" s="526"/>
      <c r="N971" s="526"/>
      <c r="O971" s="526"/>
      <c r="P971" s="526"/>
      <c r="Q971" s="526"/>
      <c r="R971" s="526"/>
      <c r="S971" s="526"/>
      <c r="T971" s="526"/>
      <c r="U971" s="526"/>
      <c r="V971" s="526"/>
      <c r="W971" s="526"/>
      <c r="X971" s="526"/>
      <c r="Y971" s="526"/>
      <c r="Z971" s="526"/>
    </row>
    <row r="972" spans="1:26" ht="18.600000000000001" x14ac:dyDescent="0.3">
      <c r="A972" s="526"/>
      <c r="B972" s="526"/>
      <c r="C972" s="526"/>
      <c r="D972" s="526"/>
      <c r="E972" s="526"/>
      <c r="F972" s="526"/>
      <c r="G972" s="526"/>
      <c r="H972" s="526"/>
      <c r="I972" s="526"/>
      <c r="J972" s="526"/>
      <c r="K972" s="526"/>
      <c r="L972" s="526"/>
      <c r="M972" s="526"/>
      <c r="N972" s="526"/>
      <c r="O972" s="526"/>
      <c r="P972" s="526"/>
      <c r="Q972" s="526"/>
      <c r="R972" s="526"/>
      <c r="S972" s="526"/>
      <c r="T972" s="526"/>
      <c r="U972" s="526"/>
      <c r="V972" s="526"/>
      <c r="W972" s="526"/>
      <c r="X972" s="526"/>
      <c r="Y972" s="526"/>
      <c r="Z972" s="526"/>
    </row>
    <row r="973" spans="1:26" ht="18.600000000000001" x14ac:dyDescent="0.3">
      <c r="A973" s="526"/>
      <c r="B973" s="526"/>
      <c r="C973" s="526"/>
      <c r="D973" s="526"/>
      <c r="E973" s="526"/>
      <c r="F973" s="526"/>
      <c r="G973" s="526"/>
      <c r="H973" s="526"/>
      <c r="I973" s="526"/>
      <c r="J973" s="526"/>
      <c r="K973" s="526"/>
      <c r="L973" s="526"/>
      <c r="M973" s="526"/>
      <c r="N973" s="526"/>
      <c r="O973" s="526"/>
      <c r="P973" s="526"/>
      <c r="Q973" s="526"/>
      <c r="R973" s="526"/>
      <c r="S973" s="526"/>
      <c r="T973" s="526"/>
      <c r="U973" s="526"/>
      <c r="V973" s="526"/>
      <c r="W973" s="526"/>
      <c r="X973" s="526"/>
      <c r="Y973" s="526"/>
      <c r="Z973" s="526"/>
    </row>
    <row r="974" spans="1:26" ht="18.600000000000001" x14ac:dyDescent="0.3">
      <c r="A974" s="526"/>
      <c r="B974" s="526"/>
      <c r="C974" s="526"/>
      <c r="D974" s="526"/>
      <c r="E974" s="526"/>
      <c r="F974" s="526"/>
      <c r="G974" s="526"/>
      <c r="H974" s="526"/>
      <c r="I974" s="526"/>
      <c r="J974" s="526"/>
      <c r="K974" s="526"/>
      <c r="L974" s="526"/>
      <c r="M974" s="526"/>
      <c r="N974" s="526"/>
      <c r="O974" s="526"/>
      <c r="P974" s="526"/>
      <c r="Q974" s="526"/>
      <c r="R974" s="526"/>
      <c r="S974" s="526"/>
      <c r="T974" s="526"/>
      <c r="U974" s="526"/>
      <c r="V974" s="526"/>
      <c r="W974" s="526"/>
      <c r="X974" s="526"/>
      <c r="Y974" s="526"/>
      <c r="Z974" s="526"/>
    </row>
    <row r="975" spans="1:26" ht="18.600000000000001" x14ac:dyDescent="0.3">
      <c r="A975" s="526"/>
      <c r="B975" s="526"/>
      <c r="C975" s="526"/>
      <c r="D975" s="526"/>
      <c r="E975" s="526"/>
      <c r="F975" s="526"/>
      <c r="G975" s="526"/>
      <c r="H975" s="526"/>
      <c r="I975" s="526"/>
      <c r="J975" s="526"/>
      <c r="K975" s="526"/>
      <c r="L975" s="526"/>
      <c r="M975" s="526"/>
      <c r="N975" s="526"/>
      <c r="O975" s="526"/>
      <c r="P975" s="526"/>
      <c r="Q975" s="526"/>
      <c r="R975" s="526"/>
      <c r="S975" s="526"/>
      <c r="T975" s="526"/>
      <c r="U975" s="526"/>
      <c r="V975" s="526"/>
      <c r="W975" s="526"/>
      <c r="X975" s="526"/>
      <c r="Y975" s="526"/>
      <c r="Z975" s="526"/>
    </row>
    <row r="976" spans="1:26" ht="18.600000000000001" x14ac:dyDescent="0.3">
      <c r="A976" s="526"/>
      <c r="B976" s="526"/>
      <c r="C976" s="526"/>
      <c r="D976" s="526"/>
      <c r="E976" s="526"/>
      <c r="F976" s="526"/>
      <c r="G976" s="526"/>
      <c r="H976" s="526"/>
      <c r="I976" s="526"/>
      <c r="J976" s="526"/>
      <c r="K976" s="526"/>
      <c r="L976" s="526"/>
      <c r="M976" s="526"/>
      <c r="N976" s="526"/>
      <c r="O976" s="526"/>
      <c r="P976" s="526"/>
      <c r="Q976" s="526"/>
      <c r="R976" s="526"/>
      <c r="S976" s="526"/>
      <c r="T976" s="526"/>
      <c r="U976" s="526"/>
      <c r="V976" s="526"/>
      <c r="W976" s="526"/>
      <c r="X976" s="526"/>
      <c r="Y976" s="526"/>
      <c r="Z976" s="526"/>
    </row>
    <row r="977" spans="1:26" ht="18.600000000000001" x14ac:dyDescent="0.3">
      <c r="A977" s="526"/>
      <c r="B977" s="526"/>
      <c r="C977" s="526"/>
      <c r="D977" s="526"/>
      <c r="E977" s="526"/>
      <c r="F977" s="526"/>
      <c r="G977" s="526"/>
      <c r="H977" s="526"/>
      <c r="I977" s="526"/>
      <c r="J977" s="526"/>
      <c r="K977" s="526"/>
      <c r="L977" s="526"/>
      <c r="M977" s="526"/>
      <c r="N977" s="526"/>
      <c r="O977" s="526"/>
      <c r="P977" s="526"/>
      <c r="Q977" s="526"/>
      <c r="R977" s="526"/>
      <c r="S977" s="526"/>
      <c r="T977" s="526"/>
      <c r="U977" s="526"/>
      <c r="V977" s="526"/>
      <c r="W977" s="526"/>
      <c r="X977" s="526"/>
      <c r="Y977" s="526"/>
      <c r="Z977" s="526"/>
    </row>
    <row r="978" spans="1:26" ht="18.600000000000001" x14ac:dyDescent="0.3">
      <c r="A978" s="526"/>
      <c r="B978" s="526"/>
      <c r="C978" s="526"/>
      <c r="D978" s="526"/>
      <c r="E978" s="526"/>
      <c r="F978" s="526"/>
      <c r="G978" s="526"/>
      <c r="H978" s="526"/>
      <c r="I978" s="526"/>
      <c r="J978" s="526"/>
      <c r="K978" s="526"/>
      <c r="L978" s="526"/>
      <c r="M978" s="526"/>
      <c r="N978" s="526"/>
      <c r="O978" s="526"/>
      <c r="P978" s="526"/>
      <c r="Q978" s="526"/>
      <c r="R978" s="526"/>
      <c r="S978" s="526"/>
      <c r="T978" s="526"/>
      <c r="U978" s="526"/>
      <c r="V978" s="526"/>
      <c r="W978" s="526"/>
      <c r="X978" s="526"/>
      <c r="Y978" s="526"/>
      <c r="Z978" s="526"/>
    </row>
    <row r="979" spans="1:26" ht="18.600000000000001" x14ac:dyDescent="0.3">
      <c r="A979" s="526"/>
      <c r="B979" s="526"/>
      <c r="C979" s="526"/>
      <c r="D979" s="526"/>
      <c r="E979" s="526"/>
      <c r="F979" s="526"/>
      <c r="G979" s="526"/>
      <c r="H979" s="526"/>
      <c r="I979" s="526"/>
      <c r="J979" s="526"/>
      <c r="K979" s="526"/>
      <c r="L979" s="526"/>
      <c r="M979" s="526"/>
      <c r="N979" s="526"/>
      <c r="O979" s="526"/>
      <c r="P979" s="526"/>
      <c r="Q979" s="526"/>
      <c r="R979" s="526"/>
      <c r="S979" s="526"/>
      <c r="T979" s="526"/>
      <c r="U979" s="526"/>
      <c r="V979" s="526"/>
      <c r="W979" s="526"/>
      <c r="X979" s="526"/>
      <c r="Y979" s="526"/>
      <c r="Z979" s="526"/>
    </row>
    <row r="980" spans="1:26" ht="18.600000000000001" x14ac:dyDescent="0.3">
      <c r="A980" s="526"/>
      <c r="B980" s="526"/>
      <c r="C980" s="526"/>
      <c r="D980" s="526"/>
      <c r="E980" s="526"/>
      <c r="F980" s="526"/>
      <c r="G980" s="526"/>
      <c r="H980" s="526"/>
      <c r="I980" s="526"/>
      <c r="J980" s="526"/>
      <c r="K980" s="526"/>
      <c r="L980" s="526"/>
      <c r="M980" s="526"/>
      <c r="N980" s="526"/>
      <c r="O980" s="526"/>
      <c r="P980" s="526"/>
      <c r="Q980" s="526"/>
      <c r="R980" s="526"/>
      <c r="S980" s="526"/>
      <c r="T980" s="526"/>
      <c r="U980" s="526"/>
      <c r="V980" s="526"/>
      <c r="W980" s="526"/>
      <c r="X980" s="526"/>
      <c r="Y980" s="526"/>
      <c r="Z980" s="526"/>
    </row>
    <row r="981" spans="1:26" ht="18.600000000000001" x14ac:dyDescent="0.3">
      <c r="A981" s="526"/>
      <c r="B981" s="526"/>
      <c r="C981" s="526"/>
      <c r="D981" s="526"/>
      <c r="E981" s="526"/>
      <c r="F981" s="526"/>
      <c r="G981" s="526"/>
      <c r="H981" s="526"/>
      <c r="I981" s="526"/>
      <c r="J981" s="526"/>
      <c r="K981" s="526"/>
      <c r="L981" s="526"/>
      <c r="M981" s="526"/>
      <c r="N981" s="526"/>
      <c r="O981" s="526"/>
      <c r="P981" s="526"/>
      <c r="Q981" s="526"/>
      <c r="R981" s="526"/>
      <c r="S981" s="526"/>
      <c r="T981" s="526"/>
      <c r="U981" s="526"/>
      <c r="V981" s="526"/>
      <c r="W981" s="526"/>
      <c r="X981" s="526"/>
      <c r="Y981" s="526"/>
      <c r="Z981" s="526"/>
    </row>
    <row r="982" spans="1:26" ht="18.600000000000001" x14ac:dyDescent="0.3">
      <c r="A982" s="526"/>
      <c r="B982" s="526"/>
      <c r="C982" s="526"/>
      <c r="D982" s="526"/>
      <c r="E982" s="526"/>
      <c r="F982" s="526"/>
      <c r="G982" s="526"/>
      <c r="H982" s="526"/>
      <c r="I982" s="526"/>
      <c r="J982" s="526"/>
      <c r="K982" s="526"/>
      <c r="L982" s="526"/>
      <c r="M982" s="526"/>
      <c r="N982" s="526"/>
      <c r="O982" s="526"/>
      <c r="P982" s="526"/>
      <c r="Q982" s="526"/>
      <c r="R982" s="526"/>
      <c r="S982" s="526"/>
      <c r="T982" s="526"/>
      <c r="U982" s="526"/>
      <c r="V982" s="526"/>
      <c r="W982" s="526"/>
      <c r="X982" s="526"/>
      <c r="Y982" s="526"/>
      <c r="Z982" s="526"/>
    </row>
    <row r="983" spans="1:26" ht="18.600000000000001" x14ac:dyDescent="0.3">
      <c r="A983" s="526"/>
      <c r="B983" s="526"/>
      <c r="C983" s="526"/>
      <c r="D983" s="526"/>
      <c r="E983" s="526"/>
      <c r="F983" s="526"/>
      <c r="G983" s="526"/>
      <c r="H983" s="526"/>
      <c r="I983" s="526"/>
      <c r="J983" s="526"/>
      <c r="K983" s="526"/>
      <c r="L983" s="526"/>
      <c r="M983" s="526"/>
      <c r="N983" s="526"/>
      <c r="O983" s="526"/>
      <c r="P983" s="526"/>
      <c r="Q983" s="526"/>
      <c r="R983" s="526"/>
      <c r="S983" s="526"/>
      <c r="T983" s="526"/>
      <c r="U983" s="526"/>
      <c r="V983" s="526"/>
      <c r="W983" s="526"/>
      <c r="X983" s="526"/>
      <c r="Y983" s="526"/>
      <c r="Z983" s="526"/>
    </row>
    <row r="984" spans="1:26" ht="18.600000000000001" x14ac:dyDescent="0.3">
      <c r="A984" s="526"/>
      <c r="B984" s="526"/>
      <c r="C984" s="526"/>
      <c r="D984" s="526"/>
      <c r="E984" s="526"/>
      <c r="F984" s="526"/>
      <c r="G984" s="526"/>
      <c r="H984" s="526"/>
      <c r="I984" s="526"/>
      <c r="J984" s="526"/>
      <c r="K984" s="526"/>
      <c r="L984" s="526"/>
      <c r="M984" s="526"/>
      <c r="N984" s="526"/>
      <c r="O984" s="526"/>
      <c r="P984" s="526"/>
      <c r="Q984" s="526"/>
      <c r="R984" s="526"/>
      <c r="S984" s="526"/>
      <c r="T984" s="526"/>
      <c r="U984" s="526"/>
      <c r="V984" s="526"/>
      <c r="W984" s="526"/>
      <c r="X984" s="526"/>
      <c r="Y984" s="526"/>
      <c r="Z984" s="526"/>
    </row>
    <row r="985" spans="1:26" ht="18.600000000000001" x14ac:dyDescent="0.3">
      <c r="A985" s="526"/>
      <c r="B985" s="526"/>
      <c r="C985" s="526"/>
      <c r="D985" s="526"/>
      <c r="E985" s="526"/>
      <c r="F985" s="526"/>
      <c r="G985" s="526"/>
      <c r="H985" s="526"/>
      <c r="I985" s="526"/>
      <c r="J985" s="526"/>
      <c r="K985" s="526"/>
      <c r="L985" s="526"/>
      <c r="M985" s="526"/>
      <c r="N985" s="526"/>
      <c r="O985" s="526"/>
      <c r="P985" s="526"/>
      <c r="Q985" s="526"/>
      <c r="R985" s="526"/>
      <c r="S985" s="526"/>
      <c r="T985" s="526"/>
      <c r="U985" s="526"/>
      <c r="V985" s="526"/>
      <c r="W985" s="526"/>
      <c r="X985" s="526"/>
      <c r="Y985" s="526"/>
      <c r="Z985" s="526"/>
    </row>
    <row r="986" spans="1:26" ht="18.600000000000001" x14ac:dyDescent="0.3">
      <c r="A986" s="526"/>
      <c r="B986" s="526"/>
      <c r="C986" s="526"/>
      <c r="D986" s="526"/>
      <c r="E986" s="526"/>
      <c r="F986" s="526"/>
      <c r="G986" s="526"/>
      <c r="H986" s="526"/>
      <c r="I986" s="526"/>
      <c r="J986" s="526"/>
      <c r="K986" s="526"/>
      <c r="L986" s="526"/>
      <c r="M986" s="526"/>
      <c r="N986" s="526"/>
      <c r="O986" s="526"/>
      <c r="P986" s="526"/>
      <c r="Q986" s="526"/>
      <c r="R986" s="526"/>
      <c r="S986" s="526"/>
      <c r="T986" s="526"/>
      <c r="U986" s="526"/>
      <c r="V986" s="526"/>
      <c r="W986" s="526"/>
      <c r="X986" s="526"/>
      <c r="Y986" s="526"/>
      <c r="Z986" s="526"/>
    </row>
    <row r="987" spans="1:26" ht="18.600000000000001" x14ac:dyDescent="0.3">
      <c r="A987" s="526"/>
      <c r="B987" s="526"/>
      <c r="C987" s="526"/>
      <c r="D987" s="526"/>
      <c r="E987" s="526"/>
      <c r="F987" s="526"/>
      <c r="G987" s="526"/>
      <c r="H987" s="526"/>
      <c r="I987" s="526"/>
      <c r="J987" s="526"/>
      <c r="K987" s="526"/>
      <c r="L987" s="526"/>
      <c r="M987" s="526"/>
      <c r="N987" s="526"/>
      <c r="O987" s="526"/>
      <c r="P987" s="526"/>
      <c r="Q987" s="526"/>
      <c r="R987" s="526"/>
      <c r="S987" s="526"/>
      <c r="T987" s="526"/>
      <c r="U987" s="526"/>
      <c r="V987" s="526"/>
      <c r="W987" s="526"/>
      <c r="X987" s="526"/>
      <c r="Y987" s="526"/>
      <c r="Z987" s="526"/>
    </row>
    <row r="988" spans="1:26" ht="18.600000000000001" x14ac:dyDescent="0.3">
      <c r="A988" s="526"/>
      <c r="B988" s="526"/>
      <c r="C988" s="526"/>
      <c r="D988" s="526"/>
      <c r="E988" s="526"/>
      <c r="F988" s="526"/>
      <c r="G988" s="526"/>
      <c r="H988" s="526"/>
      <c r="I988" s="526"/>
      <c r="J988" s="526"/>
      <c r="K988" s="526"/>
      <c r="L988" s="526"/>
      <c r="M988" s="526"/>
      <c r="N988" s="526"/>
      <c r="O988" s="526"/>
      <c r="P988" s="526"/>
      <c r="Q988" s="526"/>
      <c r="R988" s="526"/>
      <c r="S988" s="526"/>
      <c r="T988" s="526"/>
      <c r="U988" s="526"/>
      <c r="V988" s="526"/>
      <c r="W988" s="526"/>
      <c r="X988" s="526"/>
      <c r="Y988" s="526"/>
      <c r="Z988" s="526"/>
    </row>
    <row r="989" spans="1:26" ht="18.600000000000001" x14ac:dyDescent="0.3">
      <c r="A989" s="526"/>
      <c r="B989" s="526"/>
      <c r="C989" s="526"/>
      <c r="D989" s="526"/>
      <c r="E989" s="526"/>
      <c r="F989" s="526"/>
      <c r="G989" s="526"/>
      <c r="H989" s="526"/>
      <c r="I989" s="526"/>
      <c r="J989" s="526"/>
      <c r="K989" s="526"/>
      <c r="L989" s="526"/>
      <c r="M989" s="526"/>
      <c r="N989" s="526"/>
      <c r="O989" s="526"/>
      <c r="P989" s="526"/>
      <c r="Q989" s="526"/>
      <c r="R989" s="526"/>
      <c r="S989" s="526"/>
      <c r="T989" s="526"/>
      <c r="U989" s="526"/>
      <c r="V989" s="526"/>
      <c r="W989" s="526"/>
      <c r="X989" s="526"/>
      <c r="Y989" s="526"/>
      <c r="Z989" s="526"/>
    </row>
    <row r="990" spans="1:26" ht="18.600000000000001" x14ac:dyDescent="0.3">
      <c r="A990" s="526"/>
      <c r="B990" s="526"/>
      <c r="C990" s="526"/>
      <c r="D990" s="526"/>
      <c r="E990" s="526"/>
      <c r="F990" s="526"/>
      <c r="G990" s="526"/>
      <c r="H990" s="526"/>
      <c r="I990" s="526"/>
      <c r="J990" s="526"/>
      <c r="K990" s="526"/>
      <c r="L990" s="526"/>
      <c r="M990" s="526"/>
      <c r="N990" s="526"/>
      <c r="O990" s="526"/>
      <c r="P990" s="526"/>
      <c r="Q990" s="526"/>
      <c r="R990" s="526"/>
      <c r="S990" s="526"/>
      <c r="T990" s="526"/>
      <c r="U990" s="526"/>
      <c r="V990" s="526"/>
      <c r="W990" s="526"/>
      <c r="X990" s="526"/>
      <c r="Y990" s="526"/>
      <c r="Z990" s="526"/>
    </row>
    <row r="991" spans="1:26" ht="18.600000000000001" x14ac:dyDescent="0.3">
      <c r="A991" s="526"/>
      <c r="B991" s="526"/>
      <c r="C991" s="526"/>
      <c r="D991" s="526"/>
      <c r="E991" s="526"/>
      <c r="F991" s="526"/>
      <c r="G991" s="526"/>
      <c r="H991" s="526"/>
      <c r="I991" s="526"/>
      <c r="J991" s="526"/>
      <c r="K991" s="526"/>
      <c r="L991" s="526"/>
      <c r="M991" s="526"/>
      <c r="N991" s="526"/>
      <c r="O991" s="526"/>
      <c r="P991" s="526"/>
      <c r="Q991" s="526"/>
      <c r="R991" s="526"/>
      <c r="S991" s="526"/>
      <c r="T991" s="526"/>
      <c r="U991" s="526"/>
      <c r="V991" s="526"/>
      <c r="W991" s="526"/>
      <c r="X991" s="526"/>
      <c r="Y991" s="526"/>
      <c r="Z991" s="526"/>
    </row>
    <row r="992" spans="1:26" ht="18.600000000000001" x14ac:dyDescent="0.3">
      <c r="A992" s="526"/>
      <c r="B992" s="526"/>
      <c r="C992" s="526"/>
      <c r="D992" s="526"/>
      <c r="E992" s="526"/>
      <c r="F992" s="526"/>
      <c r="G992" s="526"/>
      <c r="H992" s="526"/>
      <c r="I992" s="526"/>
      <c r="J992" s="526"/>
      <c r="K992" s="526"/>
      <c r="L992" s="526"/>
      <c r="M992" s="526"/>
      <c r="N992" s="526"/>
      <c r="O992" s="526"/>
      <c r="P992" s="526"/>
      <c r="Q992" s="526"/>
      <c r="R992" s="526"/>
      <c r="S992" s="526"/>
      <c r="T992" s="526"/>
      <c r="U992" s="526"/>
      <c r="V992" s="526"/>
      <c r="W992" s="526"/>
      <c r="X992" s="526"/>
      <c r="Y992" s="526"/>
      <c r="Z992" s="526"/>
    </row>
    <row r="993" spans="1:26" ht="18.600000000000001" x14ac:dyDescent="0.3">
      <c r="A993" s="526"/>
      <c r="B993" s="526"/>
      <c r="C993" s="526"/>
      <c r="D993" s="526"/>
      <c r="E993" s="526"/>
      <c r="F993" s="526"/>
      <c r="G993" s="526"/>
      <c r="H993" s="526"/>
      <c r="I993" s="526"/>
      <c r="J993" s="526"/>
      <c r="K993" s="526"/>
      <c r="L993" s="526"/>
      <c r="M993" s="526"/>
      <c r="N993" s="526"/>
      <c r="O993" s="526"/>
      <c r="P993" s="526"/>
      <c r="Q993" s="526"/>
      <c r="R993" s="526"/>
      <c r="S993" s="526"/>
      <c r="T993" s="526"/>
      <c r="U993" s="526"/>
      <c r="V993" s="526"/>
      <c r="W993" s="526"/>
      <c r="X993" s="526"/>
      <c r="Y993" s="526"/>
      <c r="Z993" s="526"/>
    </row>
    <row r="994" spans="1:26" ht="18.600000000000001" x14ac:dyDescent="0.3">
      <c r="A994" s="526"/>
      <c r="B994" s="526"/>
      <c r="C994" s="526"/>
      <c r="D994" s="526"/>
      <c r="E994" s="526"/>
      <c r="F994" s="526"/>
      <c r="G994" s="526"/>
      <c r="H994" s="526"/>
      <c r="I994" s="526"/>
      <c r="J994" s="526"/>
      <c r="K994" s="526"/>
      <c r="L994" s="526"/>
      <c r="M994" s="526"/>
      <c r="N994" s="526"/>
      <c r="O994" s="526"/>
      <c r="P994" s="526"/>
      <c r="Q994" s="526"/>
      <c r="R994" s="526"/>
      <c r="S994" s="526"/>
      <c r="T994" s="526"/>
      <c r="U994" s="526"/>
      <c r="V994" s="526"/>
      <c r="W994" s="526"/>
      <c r="X994" s="526"/>
      <c r="Y994" s="526"/>
      <c r="Z994" s="526"/>
    </row>
    <row r="995" spans="1:26" ht="18.600000000000001" x14ac:dyDescent="0.3">
      <c r="A995" s="526"/>
      <c r="B995" s="526"/>
      <c r="C995" s="526"/>
      <c r="D995" s="526"/>
      <c r="E995" s="526"/>
      <c r="F995" s="526"/>
      <c r="G995" s="526"/>
      <c r="H995" s="526"/>
      <c r="I995" s="526"/>
      <c r="J995" s="526"/>
      <c r="K995" s="526"/>
      <c r="L995" s="526"/>
      <c r="M995" s="526"/>
      <c r="N995" s="526"/>
      <c r="O995" s="526"/>
      <c r="P995" s="526"/>
      <c r="Q995" s="526"/>
      <c r="R995" s="526"/>
      <c r="S995" s="526"/>
      <c r="T995" s="526"/>
      <c r="U995" s="526"/>
      <c r="V995" s="526"/>
      <c r="W995" s="526"/>
      <c r="X995" s="526"/>
      <c r="Y995" s="526"/>
      <c r="Z995" s="526"/>
    </row>
    <row r="996" spans="1:26" ht="18.600000000000001" x14ac:dyDescent="0.3">
      <c r="A996" s="526"/>
      <c r="B996" s="526"/>
      <c r="C996" s="526"/>
      <c r="D996" s="526"/>
      <c r="E996" s="526"/>
      <c r="F996" s="526"/>
      <c r="G996" s="526"/>
      <c r="H996" s="526"/>
      <c r="I996" s="526"/>
      <c r="J996" s="526"/>
      <c r="K996" s="526"/>
      <c r="L996" s="526"/>
      <c r="M996" s="526"/>
      <c r="N996" s="526"/>
      <c r="O996" s="526"/>
      <c r="P996" s="526"/>
      <c r="Q996" s="526"/>
      <c r="R996" s="526"/>
      <c r="S996" s="526"/>
      <c r="T996" s="526"/>
      <c r="U996" s="526"/>
      <c r="V996" s="526"/>
      <c r="W996" s="526"/>
      <c r="X996" s="526"/>
      <c r="Y996" s="526"/>
      <c r="Z996" s="526"/>
    </row>
    <row r="997" spans="1:26" ht="18.600000000000001" x14ac:dyDescent="0.3">
      <c r="A997" s="526"/>
      <c r="B997" s="526"/>
      <c r="C997" s="526"/>
      <c r="D997" s="526"/>
      <c r="E997" s="526"/>
      <c r="F997" s="526"/>
      <c r="G997" s="526"/>
      <c r="H997" s="526"/>
      <c r="I997" s="526"/>
      <c r="J997" s="526"/>
      <c r="K997" s="526"/>
      <c r="L997" s="526"/>
      <c r="M997" s="526"/>
      <c r="N997" s="526"/>
      <c r="O997" s="526"/>
      <c r="P997" s="526"/>
      <c r="Q997" s="526"/>
      <c r="R997" s="526"/>
      <c r="S997" s="526"/>
      <c r="T997" s="526"/>
      <c r="U997" s="526"/>
      <c r="V997" s="526"/>
      <c r="W997" s="526"/>
      <c r="X997" s="526"/>
      <c r="Y997" s="526"/>
      <c r="Z997" s="526"/>
    </row>
    <row r="998" spans="1:26" ht="18.600000000000001" x14ac:dyDescent="0.3">
      <c r="A998" s="526"/>
      <c r="B998" s="526"/>
      <c r="C998" s="526"/>
      <c r="D998" s="526"/>
      <c r="E998" s="526"/>
      <c r="F998" s="526"/>
      <c r="G998" s="526"/>
      <c r="H998" s="526"/>
      <c r="I998" s="526"/>
      <c r="J998" s="526"/>
      <c r="K998" s="526"/>
      <c r="L998" s="526"/>
      <c r="M998" s="526"/>
      <c r="N998" s="526"/>
      <c r="O998" s="526"/>
      <c r="P998" s="526"/>
      <c r="Q998" s="526"/>
      <c r="R998" s="526"/>
      <c r="S998" s="526"/>
      <c r="T998" s="526"/>
      <c r="U998" s="526"/>
      <c r="V998" s="526"/>
      <c r="W998" s="526"/>
      <c r="X998" s="526"/>
      <c r="Y998" s="526"/>
      <c r="Z998" s="526"/>
    </row>
    <row r="999" spans="1:26" ht="18.600000000000001" x14ac:dyDescent="0.3">
      <c r="A999" s="526"/>
      <c r="B999" s="526"/>
      <c r="C999" s="526"/>
      <c r="D999" s="526"/>
      <c r="E999" s="526"/>
      <c r="F999" s="526"/>
      <c r="G999" s="526"/>
      <c r="H999" s="526"/>
      <c r="I999" s="526"/>
      <c r="J999" s="526"/>
      <c r="K999" s="526"/>
      <c r="L999" s="526"/>
      <c r="M999" s="526"/>
      <c r="N999" s="526"/>
      <c r="O999" s="526"/>
      <c r="P999" s="526"/>
      <c r="Q999" s="526"/>
      <c r="R999" s="526"/>
      <c r="S999" s="526"/>
      <c r="T999" s="526"/>
      <c r="U999" s="526"/>
      <c r="V999" s="526"/>
      <c r="W999" s="526"/>
      <c r="X999" s="526"/>
      <c r="Y999" s="526"/>
      <c r="Z999" s="526"/>
    </row>
  </sheetData>
  <mergeCells count="3">
    <mergeCell ref="B2:C2"/>
    <mergeCell ref="E41:I41"/>
    <mergeCell ref="C43:C51"/>
  </mergeCells>
  <pageMargins left="0.7" right="0.7" top="0.75" bottom="0.75" header="0" footer="0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4A29-3EAF-482F-81CA-E9FEB70D8DFD}">
  <dimension ref="A1:Q92"/>
  <sheetViews>
    <sheetView workbookViewId="0">
      <selection activeCell="F9" sqref="F9"/>
    </sheetView>
  </sheetViews>
  <sheetFormatPr defaultColWidth="13.21875" defaultRowHeight="16.8" customHeight="1" x14ac:dyDescent="0.3"/>
  <cols>
    <col min="1" max="6" width="13.21875" style="14"/>
    <col min="7" max="8" width="12.5546875" style="14" customWidth="1"/>
    <col min="9" max="9" width="13.77734375" style="14" customWidth="1"/>
    <col min="10" max="16384" width="13.21875" style="14"/>
  </cols>
  <sheetData>
    <row r="1" spans="1:17" ht="16.8" customHeight="1" x14ac:dyDescent="0.3">
      <c r="A1" s="589"/>
      <c r="B1" s="544" t="s">
        <v>237</v>
      </c>
      <c r="C1" s="544" t="s">
        <v>407</v>
      </c>
      <c r="D1" s="589"/>
      <c r="E1" s="545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</row>
    <row r="2" spans="1:17" ht="16.8" customHeight="1" x14ac:dyDescent="0.3">
      <c r="A2" s="589"/>
      <c r="B2" s="546" t="s">
        <v>33</v>
      </c>
      <c r="C2" s="546">
        <v>130</v>
      </c>
      <c r="D2" s="589"/>
      <c r="E2" s="547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</row>
    <row r="3" spans="1:17" ht="16.8" customHeight="1" x14ac:dyDescent="0.3">
      <c r="A3" s="589"/>
      <c r="B3" s="546" t="s">
        <v>256</v>
      </c>
      <c r="C3" s="546">
        <v>200</v>
      </c>
      <c r="D3" s="589"/>
      <c r="E3" s="547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</row>
    <row r="4" spans="1:17" ht="16.8" customHeight="1" x14ac:dyDescent="0.3">
      <c r="A4" s="589"/>
      <c r="B4" s="546" t="s">
        <v>35</v>
      </c>
      <c r="C4" s="546">
        <v>180</v>
      </c>
      <c r="D4" s="589"/>
      <c r="E4" s="547"/>
      <c r="F4" s="589"/>
      <c r="G4" s="589"/>
      <c r="H4" s="589"/>
      <c r="I4" s="589"/>
      <c r="J4" s="589"/>
      <c r="K4" s="588"/>
      <c r="L4" s="588"/>
      <c r="M4" s="588"/>
      <c r="N4" s="589"/>
      <c r="O4" s="589"/>
      <c r="P4" s="589"/>
      <c r="Q4" s="589"/>
    </row>
    <row r="5" spans="1:17" ht="16.8" customHeight="1" x14ac:dyDescent="0.3">
      <c r="A5" s="589"/>
      <c r="B5" s="546" t="s">
        <v>257</v>
      </c>
      <c r="C5" s="546">
        <v>170</v>
      </c>
      <c r="D5" s="589"/>
      <c r="E5" s="547"/>
      <c r="F5" s="589"/>
      <c r="G5" s="589"/>
      <c r="H5" s="589"/>
      <c r="I5" s="589"/>
      <c r="J5" s="589"/>
      <c r="K5" s="588"/>
      <c r="L5" s="588"/>
      <c r="M5" s="588"/>
      <c r="N5" s="589"/>
      <c r="O5" s="589"/>
      <c r="P5" s="589"/>
      <c r="Q5" s="589"/>
    </row>
    <row r="6" spans="1:17" ht="16.8" customHeight="1" x14ac:dyDescent="0.3">
      <c r="A6" s="589"/>
      <c r="B6" s="546" t="s">
        <v>36</v>
      </c>
      <c r="C6" s="546">
        <v>140</v>
      </c>
      <c r="D6" s="589"/>
      <c r="E6" s="547"/>
      <c r="F6" s="589"/>
      <c r="G6" s="589"/>
      <c r="H6" s="589"/>
      <c r="I6" s="589"/>
      <c r="J6" s="589"/>
      <c r="K6" s="588"/>
      <c r="L6" s="588"/>
      <c r="M6" s="588"/>
      <c r="N6" s="589"/>
      <c r="O6" s="589"/>
      <c r="P6" s="589"/>
      <c r="Q6" s="589"/>
    </row>
    <row r="7" spans="1:17" ht="16.8" customHeight="1" x14ac:dyDescent="0.3">
      <c r="A7" s="589"/>
      <c r="B7" s="546" t="s">
        <v>258</v>
      </c>
      <c r="C7" s="546">
        <v>180</v>
      </c>
      <c r="D7" s="589"/>
      <c r="E7" s="547"/>
      <c r="F7" s="589"/>
      <c r="G7" s="589"/>
      <c r="H7" s="589"/>
      <c r="I7" s="589"/>
      <c r="J7" s="589"/>
      <c r="K7" s="588"/>
      <c r="L7" s="588"/>
      <c r="M7" s="588"/>
      <c r="N7" s="589"/>
      <c r="O7" s="589"/>
      <c r="P7" s="589"/>
      <c r="Q7" s="589"/>
    </row>
    <row r="8" spans="1:17" ht="16.8" customHeight="1" x14ac:dyDescent="0.3">
      <c r="A8" s="589"/>
      <c r="B8" s="546" t="s">
        <v>37</v>
      </c>
      <c r="C8" s="546">
        <v>120</v>
      </c>
      <c r="D8" s="589"/>
      <c r="E8" s="547"/>
      <c r="F8" s="589"/>
      <c r="G8" s="589"/>
      <c r="H8" s="589"/>
      <c r="I8" s="589"/>
      <c r="J8" s="589"/>
      <c r="K8" s="588"/>
      <c r="L8" s="588"/>
      <c r="M8" s="588"/>
      <c r="N8" s="589"/>
      <c r="O8" s="589"/>
      <c r="P8" s="589"/>
      <c r="Q8" s="589"/>
    </row>
    <row r="9" spans="1:17" ht="16.8" customHeight="1" x14ac:dyDescent="0.3">
      <c r="A9" s="589"/>
      <c r="B9" s="546" t="s">
        <v>259</v>
      </c>
      <c r="C9" s="546">
        <v>190</v>
      </c>
      <c r="D9" s="589"/>
      <c r="E9" s="547"/>
      <c r="F9" s="589"/>
      <c r="G9" s="589"/>
      <c r="H9" s="589"/>
      <c r="I9" s="589"/>
      <c r="J9" s="589"/>
      <c r="K9" s="588"/>
      <c r="L9" s="588"/>
      <c r="M9" s="588"/>
      <c r="N9" s="589"/>
      <c r="O9" s="589"/>
      <c r="P9" s="589"/>
      <c r="Q9" s="589"/>
    </row>
    <row r="10" spans="1:17" ht="16.8" customHeight="1" x14ac:dyDescent="0.3">
      <c r="A10" s="589"/>
      <c r="B10" s="546" t="s">
        <v>38</v>
      </c>
      <c r="C10" s="546">
        <v>100</v>
      </c>
      <c r="D10" s="589"/>
      <c r="E10" s="547"/>
      <c r="F10" s="589"/>
      <c r="G10" s="589"/>
      <c r="H10" s="589"/>
      <c r="I10" s="589"/>
      <c r="J10" s="589"/>
      <c r="K10" s="588"/>
      <c r="L10" s="588"/>
      <c r="M10" s="588"/>
      <c r="N10" s="589"/>
      <c r="O10" s="589"/>
      <c r="P10" s="589"/>
      <c r="Q10" s="589"/>
    </row>
    <row r="11" spans="1:17" ht="16.8" customHeight="1" x14ac:dyDescent="0.3">
      <c r="A11" s="589"/>
      <c r="B11" s="546" t="s">
        <v>260</v>
      </c>
      <c r="C11" s="546">
        <v>160</v>
      </c>
      <c r="D11" s="589"/>
      <c r="E11" s="547"/>
      <c r="F11" s="589"/>
      <c r="G11" s="589"/>
      <c r="H11" s="589"/>
      <c r="I11" s="589"/>
      <c r="J11" s="589"/>
      <c r="K11" s="589"/>
      <c r="L11" s="589"/>
      <c r="M11" s="589"/>
      <c r="N11" s="589"/>
      <c r="O11" s="589"/>
      <c r="P11" s="589"/>
      <c r="Q11" s="589"/>
    </row>
    <row r="12" spans="1:17" ht="16.8" customHeight="1" x14ac:dyDescent="0.3">
      <c r="A12" s="589"/>
      <c r="B12" s="546" t="s">
        <v>39</v>
      </c>
      <c r="C12" s="546">
        <v>190</v>
      </c>
      <c r="D12" s="589"/>
      <c r="E12" s="547"/>
      <c r="F12" s="589"/>
      <c r="G12" s="589"/>
      <c r="H12" s="589"/>
      <c r="I12" s="589"/>
      <c r="J12" s="589"/>
      <c r="K12" s="589"/>
      <c r="L12" s="589"/>
      <c r="M12" s="589"/>
      <c r="N12" s="589"/>
      <c r="O12" s="589"/>
      <c r="P12" s="589"/>
      <c r="Q12" s="589"/>
    </row>
    <row r="13" spans="1:17" ht="16.8" customHeight="1" x14ac:dyDescent="0.3">
      <c r="A13" s="589"/>
      <c r="B13" s="546" t="s">
        <v>261</v>
      </c>
      <c r="C13" s="546">
        <v>100</v>
      </c>
      <c r="D13" s="589"/>
      <c r="E13" s="547"/>
      <c r="F13" s="589"/>
      <c r="G13" s="589"/>
      <c r="H13" s="589"/>
      <c r="I13" s="589"/>
      <c r="J13" s="589"/>
      <c r="K13" s="589"/>
      <c r="L13" s="589"/>
      <c r="M13" s="589"/>
      <c r="N13" s="589"/>
      <c r="O13" s="589"/>
      <c r="P13" s="589"/>
      <c r="Q13" s="589"/>
    </row>
    <row r="14" spans="1:17" ht="16.8" customHeight="1" x14ac:dyDescent="0.3">
      <c r="A14" s="589"/>
      <c r="B14" s="546" t="s">
        <v>40</v>
      </c>
      <c r="C14" s="546">
        <v>200</v>
      </c>
      <c r="D14" s="589"/>
      <c r="E14" s="547"/>
      <c r="F14" s="589"/>
      <c r="G14" s="589"/>
      <c r="H14" s="589"/>
      <c r="I14" s="589"/>
      <c r="J14" s="589"/>
      <c r="K14" s="589"/>
      <c r="L14" s="589"/>
      <c r="M14" s="589"/>
      <c r="N14" s="589"/>
      <c r="O14" s="589"/>
      <c r="P14" s="589"/>
      <c r="Q14" s="589"/>
    </row>
    <row r="15" spans="1:17" ht="16.8" customHeight="1" x14ac:dyDescent="0.3">
      <c r="A15" s="589"/>
      <c r="B15" s="546" t="s">
        <v>262</v>
      </c>
      <c r="C15" s="546">
        <v>140</v>
      </c>
      <c r="D15" s="589"/>
      <c r="E15" s="547"/>
      <c r="F15" s="589"/>
      <c r="G15" s="589"/>
      <c r="H15" s="589"/>
      <c r="I15" s="589"/>
      <c r="J15" s="589"/>
      <c r="K15" s="589"/>
      <c r="L15" s="589"/>
      <c r="M15" s="589"/>
      <c r="N15" s="589"/>
      <c r="O15" s="589"/>
      <c r="P15" s="589"/>
      <c r="Q15" s="589"/>
    </row>
    <row r="16" spans="1:17" ht="16.8" customHeight="1" x14ac:dyDescent="0.3">
      <c r="A16" s="589"/>
      <c r="B16" s="546" t="s">
        <v>41</v>
      </c>
      <c r="C16" s="546">
        <v>190</v>
      </c>
      <c r="D16" s="589"/>
      <c r="E16" s="547"/>
      <c r="F16" s="589"/>
      <c r="G16" s="589"/>
      <c r="H16" s="589"/>
      <c r="I16" s="589"/>
      <c r="J16" s="589"/>
      <c r="K16" s="589"/>
      <c r="L16" s="589"/>
      <c r="M16" s="589"/>
      <c r="N16" s="589"/>
      <c r="O16" s="589"/>
      <c r="P16" s="589"/>
      <c r="Q16" s="589"/>
    </row>
    <row r="17" spans="1:17" ht="16.8" customHeight="1" x14ac:dyDescent="0.3">
      <c r="A17" s="589"/>
      <c r="B17" s="546" t="s">
        <v>42</v>
      </c>
      <c r="C17" s="546">
        <v>85</v>
      </c>
      <c r="D17" s="589"/>
      <c r="E17" s="547"/>
      <c r="F17" s="589"/>
      <c r="G17" s="595" t="s">
        <v>408</v>
      </c>
      <c r="H17" s="595"/>
      <c r="I17" s="595"/>
      <c r="J17" s="589"/>
      <c r="K17" s="589"/>
      <c r="L17" s="589"/>
      <c r="M17" s="589"/>
      <c r="N17" s="589"/>
      <c r="O17" s="589"/>
      <c r="P17" s="589"/>
      <c r="Q17" s="589"/>
    </row>
    <row r="18" spans="1:17" ht="16.8" customHeight="1" x14ac:dyDescent="0.3">
      <c r="A18" s="589"/>
      <c r="B18" s="546" t="s">
        <v>43</v>
      </c>
      <c r="C18" s="546">
        <v>200</v>
      </c>
      <c r="D18" s="589"/>
      <c r="E18" s="547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589"/>
      <c r="Q18" s="589"/>
    </row>
    <row r="19" spans="1:17" ht="16.8" customHeight="1" x14ac:dyDescent="0.3">
      <c r="A19" s="589"/>
      <c r="B19" s="546" t="s">
        <v>44</v>
      </c>
      <c r="C19" s="546">
        <v>140</v>
      </c>
      <c r="D19" s="589"/>
      <c r="E19" s="547"/>
      <c r="F19" s="589"/>
      <c r="G19" s="589"/>
      <c r="H19" s="589"/>
      <c r="I19" s="589"/>
      <c r="J19" s="589"/>
      <c r="K19" s="589"/>
      <c r="L19" s="589"/>
      <c r="M19" s="589"/>
      <c r="N19" s="589"/>
      <c r="O19" s="589"/>
      <c r="P19" s="589"/>
      <c r="Q19" s="589"/>
    </row>
    <row r="20" spans="1:17" ht="16.8" customHeight="1" x14ac:dyDescent="0.3">
      <c r="A20" s="589"/>
      <c r="B20" s="546" t="s">
        <v>45</v>
      </c>
      <c r="C20" s="546">
        <v>180</v>
      </c>
      <c r="D20" s="589"/>
      <c r="E20" s="547"/>
      <c r="F20" s="589"/>
      <c r="G20" s="589"/>
      <c r="H20" s="589"/>
      <c r="I20" s="589"/>
      <c r="J20" s="589"/>
      <c r="K20" s="589"/>
      <c r="L20" s="589"/>
      <c r="M20" s="589"/>
      <c r="N20" s="589"/>
      <c r="O20" s="589"/>
      <c r="P20" s="589"/>
      <c r="Q20" s="589"/>
    </row>
    <row r="21" spans="1:17" ht="16.8" customHeight="1" x14ac:dyDescent="0.3">
      <c r="A21" s="589"/>
      <c r="B21" s="546" t="s">
        <v>46</v>
      </c>
      <c r="C21" s="546">
        <v>190</v>
      </c>
      <c r="D21" s="589"/>
      <c r="E21" s="547"/>
      <c r="F21" s="589"/>
      <c r="G21" s="589"/>
      <c r="H21" s="589"/>
      <c r="I21" s="589"/>
      <c r="J21" s="589"/>
      <c r="K21" s="589"/>
      <c r="L21" s="589"/>
      <c r="M21" s="589"/>
      <c r="N21" s="589"/>
      <c r="O21" s="589"/>
      <c r="P21" s="589"/>
      <c r="Q21" s="589"/>
    </row>
    <row r="22" spans="1:17" ht="16.8" customHeight="1" x14ac:dyDescent="0.3">
      <c r="A22" s="589"/>
      <c r="B22" s="546" t="s">
        <v>34</v>
      </c>
      <c r="C22" s="546">
        <v>160</v>
      </c>
      <c r="D22" s="589"/>
      <c r="E22" s="547"/>
      <c r="F22" s="589"/>
      <c r="G22" s="589"/>
      <c r="H22" s="589"/>
      <c r="I22" s="589"/>
      <c r="J22" s="589"/>
      <c r="K22" s="588"/>
      <c r="L22" s="588"/>
      <c r="M22" s="588"/>
      <c r="N22" s="589"/>
      <c r="O22" s="589"/>
      <c r="P22" s="589"/>
      <c r="Q22" s="589"/>
    </row>
    <row r="23" spans="1:17" ht="16.8" customHeight="1" x14ac:dyDescent="0.3">
      <c r="A23" s="589"/>
      <c r="B23" s="546" t="s">
        <v>245</v>
      </c>
      <c r="C23" s="546">
        <v>100</v>
      </c>
      <c r="D23" s="589"/>
      <c r="E23" s="547"/>
      <c r="F23" s="589"/>
      <c r="G23" s="589"/>
      <c r="H23" s="589"/>
      <c r="I23" s="589"/>
      <c r="J23" s="589"/>
      <c r="K23" s="588"/>
      <c r="L23" s="588"/>
      <c r="M23" s="588"/>
      <c r="N23" s="589"/>
      <c r="O23" s="589"/>
      <c r="P23" s="589"/>
      <c r="Q23" s="589"/>
    </row>
    <row r="24" spans="1:17" ht="16.8" customHeight="1" x14ac:dyDescent="0.3">
      <c r="A24" s="589"/>
      <c r="B24" s="546" t="s">
        <v>246</v>
      </c>
      <c r="C24" s="546">
        <v>140</v>
      </c>
      <c r="D24" s="589"/>
      <c r="E24" s="547"/>
      <c r="F24" s="589"/>
      <c r="G24" s="589"/>
      <c r="H24" s="589"/>
      <c r="I24" s="589"/>
      <c r="J24" s="589"/>
      <c r="K24" s="588"/>
      <c r="L24" s="588"/>
      <c r="M24" s="588"/>
      <c r="N24" s="589"/>
      <c r="O24" s="589"/>
      <c r="P24" s="589"/>
      <c r="Q24" s="589"/>
    </row>
    <row r="25" spans="1:17" ht="16.8" customHeight="1" x14ac:dyDescent="0.3">
      <c r="A25" s="589"/>
      <c r="B25" s="546" t="s">
        <v>247</v>
      </c>
      <c r="C25" s="546">
        <v>130</v>
      </c>
      <c r="D25" s="589"/>
      <c r="E25" s="547"/>
      <c r="F25" s="589"/>
      <c r="G25" s="589"/>
      <c r="H25" s="589"/>
      <c r="I25" s="589"/>
      <c r="J25" s="589"/>
      <c r="K25" s="588"/>
      <c r="L25" s="588"/>
      <c r="M25" s="588"/>
      <c r="N25" s="589"/>
      <c r="O25" s="589"/>
      <c r="P25" s="589"/>
      <c r="Q25" s="589"/>
    </row>
    <row r="26" spans="1:17" ht="16.8" customHeight="1" x14ac:dyDescent="0.3">
      <c r="A26" s="589"/>
      <c r="B26" s="546" t="s">
        <v>248</v>
      </c>
      <c r="C26" s="546">
        <v>200</v>
      </c>
      <c r="D26" s="589"/>
      <c r="E26" s="547"/>
      <c r="F26" s="589"/>
      <c r="G26" s="589"/>
      <c r="H26" s="589"/>
      <c r="I26" s="589"/>
      <c r="J26" s="589"/>
      <c r="K26" s="588"/>
      <c r="L26" s="588"/>
      <c r="M26" s="588"/>
      <c r="N26" s="589"/>
      <c r="O26" s="589"/>
      <c r="P26" s="589"/>
      <c r="Q26" s="589"/>
    </row>
    <row r="27" spans="1:17" ht="16.8" customHeight="1" x14ac:dyDescent="0.3">
      <c r="A27" s="589"/>
      <c r="B27" s="546" t="s">
        <v>249</v>
      </c>
      <c r="C27" s="546">
        <v>150</v>
      </c>
      <c r="D27" s="589"/>
      <c r="E27" s="547"/>
      <c r="F27" s="589"/>
      <c r="G27" s="589"/>
      <c r="H27" s="589"/>
      <c r="I27" s="589"/>
      <c r="J27" s="589"/>
      <c r="K27" s="588"/>
      <c r="L27" s="588"/>
      <c r="M27" s="588"/>
      <c r="N27" s="589"/>
      <c r="O27" s="589"/>
      <c r="P27" s="589"/>
      <c r="Q27" s="589"/>
    </row>
    <row r="28" spans="1:17" ht="16.8" customHeight="1" x14ac:dyDescent="0.3">
      <c r="A28" s="589"/>
      <c r="B28" s="546" t="s">
        <v>250</v>
      </c>
      <c r="C28" s="546">
        <v>120</v>
      </c>
      <c r="D28" s="589"/>
      <c r="E28" s="547"/>
      <c r="F28" s="589"/>
      <c r="G28" s="589"/>
      <c r="H28" s="589"/>
      <c r="I28" s="589"/>
      <c r="J28" s="589"/>
      <c r="K28" s="588"/>
      <c r="L28" s="588"/>
      <c r="M28" s="588"/>
      <c r="N28" s="589"/>
      <c r="O28" s="589"/>
      <c r="P28" s="589"/>
      <c r="Q28" s="589"/>
    </row>
    <row r="29" spans="1:17" ht="16.8" customHeight="1" x14ac:dyDescent="0.3">
      <c r="A29" s="589"/>
      <c r="B29" s="546" t="s">
        <v>251</v>
      </c>
      <c r="C29" s="546">
        <v>140</v>
      </c>
      <c r="D29" s="589"/>
      <c r="E29" s="547"/>
      <c r="F29" s="589"/>
      <c r="G29" s="589"/>
      <c r="H29" s="589"/>
      <c r="I29" s="589"/>
      <c r="J29" s="589"/>
      <c r="K29" s="589"/>
      <c r="L29" s="589"/>
      <c r="M29" s="589"/>
      <c r="N29" s="589"/>
      <c r="O29" s="589"/>
      <c r="P29" s="589"/>
      <c r="Q29" s="589"/>
    </row>
    <row r="30" spans="1:17" ht="16.8" customHeight="1" x14ac:dyDescent="0.3">
      <c r="A30" s="589"/>
      <c r="B30" s="546" t="s">
        <v>252</v>
      </c>
      <c r="C30" s="546">
        <v>80</v>
      </c>
      <c r="D30" s="589"/>
      <c r="E30" s="547"/>
      <c r="F30" s="589"/>
      <c r="G30" s="589"/>
      <c r="H30" s="589"/>
      <c r="I30" s="589"/>
      <c r="J30" s="589"/>
      <c r="K30" s="589"/>
      <c r="L30" s="589"/>
      <c r="M30" s="589"/>
      <c r="N30" s="589"/>
      <c r="O30" s="589"/>
      <c r="P30" s="589"/>
      <c r="Q30" s="589"/>
    </row>
    <row r="31" spans="1:17" ht="16.8" customHeight="1" x14ac:dyDescent="0.3">
      <c r="A31" s="589"/>
      <c r="B31" s="546" t="s">
        <v>253</v>
      </c>
      <c r="C31" s="546">
        <v>130</v>
      </c>
      <c r="D31" s="589"/>
      <c r="E31" s="547"/>
      <c r="F31" s="589"/>
      <c r="G31" s="589"/>
      <c r="H31" s="589"/>
      <c r="I31" s="589"/>
      <c r="J31" s="589"/>
      <c r="K31" s="589"/>
      <c r="L31" s="589"/>
      <c r="M31" s="589"/>
      <c r="N31" s="589"/>
      <c r="O31" s="589"/>
      <c r="P31" s="589"/>
      <c r="Q31" s="589"/>
    </row>
    <row r="32" spans="1:17" ht="16.8" customHeight="1" x14ac:dyDescent="0.3">
      <c r="A32" s="589"/>
      <c r="B32" s="546" t="s">
        <v>254</v>
      </c>
      <c r="C32" s="546">
        <v>190</v>
      </c>
      <c r="D32" s="589"/>
      <c r="E32" s="547"/>
      <c r="F32" s="589"/>
      <c r="G32" s="589"/>
      <c r="H32" s="589"/>
      <c r="I32" s="589"/>
      <c r="J32" s="589"/>
      <c r="K32" s="589"/>
      <c r="L32" s="589"/>
      <c r="M32" s="589"/>
      <c r="N32" s="589"/>
      <c r="O32" s="589"/>
      <c r="P32" s="589"/>
      <c r="Q32" s="589"/>
    </row>
    <row r="33" spans="1:17" ht="16.8" customHeight="1" x14ac:dyDescent="0.3">
      <c r="A33" s="589"/>
      <c r="B33" s="546" t="s">
        <v>173</v>
      </c>
      <c r="C33" s="546">
        <v>190</v>
      </c>
      <c r="D33" s="589"/>
      <c r="E33" s="547"/>
      <c r="F33" s="589"/>
      <c r="G33" s="589"/>
      <c r="H33" s="589"/>
      <c r="I33" s="589"/>
      <c r="J33" s="589"/>
      <c r="K33" s="589"/>
      <c r="L33" s="589"/>
      <c r="M33" s="596" t="s">
        <v>409</v>
      </c>
      <c r="N33" s="596"/>
      <c r="O33" s="596"/>
      <c r="P33" s="589"/>
      <c r="Q33" s="589"/>
    </row>
    <row r="34" spans="1:17" ht="16.8" customHeight="1" x14ac:dyDescent="0.3">
      <c r="A34" s="589"/>
      <c r="B34" s="546" t="s">
        <v>255</v>
      </c>
      <c r="C34" s="546">
        <v>150</v>
      </c>
      <c r="D34" s="589"/>
      <c r="E34" s="547"/>
      <c r="F34" s="589"/>
      <c r="G34" s="589"/>
      <c r="H34" s="589"/>
      <c r="I34" s="589"/>
      <c r="J34" s="589"/>
      <c r="K34" s="589"/>
      <c r="L34" s="589"/>
      <c r="M34" s="589"/>
      <c r="N34" s="589"/>
      <c r="O34" s="589"/>
      <c r="P34" s="589"/>
      <c r="Q34" s="589"/>
    </row>
    <row r="35" spans="1:17" ht="16.8" customHeight="1" x14ac:dyDescent="0.3">
      <c r="A35" s="589"/>
      <c r="B35" s="589"/>
      <c r="C35" s="589"/>
      <c r="D35" s="589"/>
      <c r="E35" s="590"/>
      <c r="F35" s="589"/>
      <c r="G35" s="589"/>
      <c r="H35" s="589"/>
      <c r="I35" s="589"/>
      <c r="J35" s="589"/>
      <c r="K35" s="589"/>
      <c r="L35" s="589"/>
      <c r="M35" s="589"/>
      <c r="N35" s="589"/>
      <c r="O35" s="589"/>
      <c r="P35" s="589"/>
      <c r="Q35" s="589"/>
    </row>
    <row r="36" spans="1:17" ht="16.8" customHeight="1" x14ac:dyDescent="0.3">
      <c r="A36" s="589"/>
      <c r="B36" s="589"/>
      <c r="C36" s="589"/>
      <c r="D36" s="589"/>
      <c r="E36" s="590"/>
      <c r="F36" s="589"/>
      <c r="G36" s="589"/>
      <c r="H36" s="589"/>
      <c r="I36" s="589"/>
      <c r="J36" s="589"/>
      <c r="K36" s="589"/>
      <c r="L36" s="589"/>
      <c r="M36" s="589"/>
      <c r="N36" s="589"/>
      <c r="O36" s="589"/>
      <c r="P36" s="589"/>
      <c r="Q36" s="589"/>
    </row>
    <row r="37" spans="1:17" ht="16.8" customHeight="1" x14ac:dyDescent="0.3">
      <c r="A37" s="589"/>
      <c r="B37" s="589"/>
      <c r="C37" s="589"/>
      <c r="D37" s="589"/>
      <c r="E37" s="590"/>
      <c r="F37" s="589"/>
      <c r="G37" s="589"/>
      <c r="H37" s="589"/>
      <c r="I37" s="589"/>
      <c r="J37" s="589"/>
      <c r="K37" s="589"/>
      <c r="L37" s="589"/>
      <c r="M37" s="589"/>
      <c r="N37" s="589"/>
      <c r="O37" s="589"/>
      <c r="P37" s="589"/>
      <c r="Q37" s="589"/>
    </row>
    <row r="38" spans="1:17" ht="16.8" customHeight="1" x14ac:dyDescent="0.3">
      <c r="A38" s="589"/>
      <c r="B38" s="589"/>
      <c r="C38" s="589"/>
      <c r="D38" s="589"/>
      <c r="E38" s="590"/>
      <c r="F38" s="589"/>
      <c r="G38" s="589"/>
      <c r="H38" s="589"/>
      <c r="I38" s="589"/>
      <c r="J38" s="589"/>
      <c r="K38" s="589"/>
      <c r="L38" s="589"/>
      <c r="M38" s="589"/>
      <c r="N38" s="589"/>
      <c r="O38" s="589"/>
      <c r="P38" s="589"/>
      <c r="Q38" s="589"/>
    </row>
    <row r="39" spans="1:17" ht="16.8" customHeight="1" x14ac:dyDescent="0.3">
      <c r="A39" s="589"/>
      <c r="B39" s="589"/>
      <c r="C39" s="589"/>
      <c r="D39" s="589"/>
      <c r="E39" s="590"/>
      <c r="F39" s="589"/>
      <c r="G39" s="589"/>
      <c r="H39" s="589"/>
      <c r="I39" s="589"/>
      <c r="J39" s="589"/>
      <c r="K39" s="589"/>
      <c r="L39" s="589"/>
      <c r="M39" s="589"/>
      <c r="N39" s="589"/>
      <c r="O39" s="589"/>
      <c r="P39" s="589"/>
      <c r="Q39" s="589"/>
    </row>
    <row r="40" spans="1:17" ht="16.8" customHeight="1" x14ac:dyDescent="0.3">
      <c r="A40" s="589"/>
      <c r="B40" s="589"/>
      <c r="C40" s="589"/>
      <c r="D40" s="589"/>
      <c r="E40" s="590"/>
      <c r="F40" s="589"/>
      <c r="G40" s="589"/>
      <c r="H40" s="589"/>
      <c r="I40" s="589"/>
      <c r="J40" s="589"/>
      <c r="K40" s="589"/>
      <c r="L40" s="589"/>
      <c r="M40" s="589"/>
      <c r="N40" s="589"/>
      <c r="O40" s="589"/>
      <c r="P40" s="589"/>
      <c r="Q40" s="589"/>
    </row>
    <row r="41" spans="1:17" ht="16.8" customHeight="1" x14ac:dyDescent="0.3">
      <c r="A41" s="589"/>
      <c r="B41" s="548" t="s">
        <v>65</v>
      </c>
      <c r="C41" s="548" t="s">
        <v>66</v>
      </c>
      <c r="D41" s="548" t="s">
        <v>67</v>
      </c>
      <c r="E41" s="548" t="s">
        <v>68</v>
      </c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</row>
    <row r="42" spans="1:17" ht="16.8" customHeight="1" x14ac:dyDescent="0.3">
      <c r="A42" s="589"/>
      <c r="B42" s="549" t="s">
        <v>70</v>
      </c>
      <c r="C42" s="550">
        <v>5000</v>
      </c>
      <c r="D42" s="551">
        <v>45420</v>
      </c>
      <c r="E42" s="549" t="s">
        <v>71</v>
      </c>
      <c r="F42" s="589"/>
      <c r="G42" s="589"/>
      <c r="H42" s="589"/>
      <c r="I42" s="589"/>
      <c r="J42" s="589"/>
      <c r="K42" s="589"/>
      <c r="L42" s="589"/>
      <c r="M42" s="589"/>
      <c r="N42" s="589"/>
      <c r="O42" s="589"/>
      <c r="P42" s="589"/>
      <c r="Q42" s="589"/>
    </row>
    <row r="43" spans="1:17" ht="16.8" customHeight="1" x14ac:dyDescent="0.3">
      <c r="A43" s="589"/>
      <c r="B43" s="549" t="s">
        <v>72</v>
      </c>
      <c r="C43" s="550">
        <v>6000</v>
      </c>
      <c r="D43" s="551">
        <v>45297</v>
      </c>
      <c r="E43" s="549" t="s">
        <v>73</v>
      </c>
      <c r="F43" s="589"/>
      <c r="G43" s="589"/>
      <c r="H43" s="589"/>
      <c r="I43" s="589"/>
      <c r="J43" s="589"/>
      <c r="K43" s="589"/>
      <c r="L43" s="589"/>
      <c r="M43" s="589"/>
      <c r="N43" s="589"/>
      <c r="O43" s="589"/>
      <c r="P43" s="589"/>
      <c r="Q43" s="589"/>
    </row>
    <row r="44" spans="1:17" ht="16.8" customHeight="1" x14ac:dyDescent="0.3">
      <c r="A44" s="589"/>
      <c r="B44" s="549" t="s">
        <v>75</v>
      </c>
      <c r="C44" s="550">
        <v>7000</v>
      </c>
      <c r="D44" s="551">
        <v>45308</v>
      </c>
      <c r="E44" s="549" t="s">
        <v>73</v>
      </c>
      <c r="F44" s="589"/>
      <c r="G44" s="589"/>
      <c r="H44" s="589"/>
      <c r="I44" s="589"/>
      <c r="J44" s="589"/>
      <c r="K44" s="589"/>
      <c r="L44" s="589"/>
      <c r="M44" s="589"/>
      <c r="N44" s="589"/>
      <c r="O44" s="589"/>
      <c r="P44" s="589"/>
      <c r="Q44" s="589"/>
    </row>
    <row r="45" spans="1:17" ht="16.8" customHeight="1" x14ac:dyDescent="0.3">
      <c r="A45" s="589"/>
      <c r="B45" s="549" t="s">
        <v>76</v>
      </c>
      <c r="C45" s="550">
        <v>8000</v>
      </c>
      <c r="D45" s="551">
        <v>45514</v>
      </c>
      <c r="E45" s="549" t="s">
        <v>73</v>
      </c>
      <c r="F45" s="589"/>
      <c r="G45" s="589"/>
      <c r="H45" s="589"/>
      <c r="I45" s="589"/>
      <c r="J45" s="589"/>
      <c r="K45" s="589"/>
      <c r="L45" s="589"/>
      <c r="M45" s="589"/>
      <c r="N45" s="589"/>
      <c r="O45" s="589"/>
      <c r="P45" s="589"/>
      <c r="Q45" s="589"/>
    </row>
    <row r="46" spans="1:17" ht="16.8" customHeight="1" x14ac:dyDescent="0.3">
      <c r="A46" s="589"/>
      <c r="B46" s="549" t="s">
        <v>77</v>
      </c>
      <c r="C46" s="550">
        <v>9000</v>
      </c>
      <c r="D46" s="551">
        <v>45297</v>
      </c>
      <c r="E46" s="549" t="s">
        <v>78</v>
      </c>
      <c r="F46" s="589"/>
      <c r="G46" s="589"/>
      <c r="H46" s="589"/>
      <c r="I46" s="589"/>
      <c r="J46" s="589"/>
      <c r="K46" s="589"/>
      <c r="L46" s="589"/>
      <c r="M46" s="589"/>
      <c r="N46" s="589"/>
      <c r="O46" s="589"/>
      <c r="P46" s="589"/>
      <c r="Q46" s="589"/>
    </row>
    <row r="47" spans="1:17" ht="16.8" customHeight="1" x14ac:dyDescent="0.3">
      <c r="A47" s="589"/>
      <c r="B47" s="549" t="s">
        <v>80</v>
      </c>
      <c r="C47" s="550">
        <v>10000</v>
      </c>
      <c r="D47" s="551">
        <v>45566</v>
      </c>
      <c r="E47" s="549" t="s">
        <v>81</v>
      </c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</row>
    <row r="48" spans="1:17" ht="16.8" customHeight="1" x14ac:dyDescent="0.3">
      <c r="A48" s="589"/>
      <c r="B48" s="549" t="s">
        <v>75</v>
      </c>
      <c r="C48" s="550">
        <v>10000</v>
      </c>
      <c r="D48" s="551">
        <v>45313</v>
      </c>
      <c r="E48" s="549" t="s">
        <v>71</v>
      </c>
      <c r="F48" s="589"/>
      <c r="G48" s="589"/>
      <c r="H48" s="589"/>
      <c r="I48" s="589"/>
      <c r="J48" s="589"/>
      <c r="K48" s="589"/>
      <c r="L48" s="589"/>
      <c r="M48" s="589"/>
      <c r="N48" s="589"/>
      <c r="O48" s="589"/>
      <c r="P48" s="589"/>
      <c r="Q48" s="589"/>
    </row>
    <row r="49" spans="1:17" ht="16.8" customHeight="1" x14ac:dyDescent="0.3">
      <c r="A49" s="589"/>
      <c r="B49" s="549" t="s">
        <v>83</v>
      </c>
      <c r="C49" s="550">
        <v>15000</v>
      </c>
      <c r="D49" s="551">
        <v>45294</v>
      </c>
      <c r="E49" s="549" t="s">
        <v>81</v>
      </c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</row>
    <row r="50" spans="1:17" ht="16.8" customHeight="1" x14ac:dyDescent="0.3">
      <c r="A50" s="589"/>
      <c r="B50" s="549" t="s">
        <v>84</v>
      </c>
      <c r="C50" s="550">
        <v>18000</v>
      </c>
      <c r="D50" s="551">
        <v>45401</v>
      </c>
      <c r="E50" s="549" t="s">
        <v>81</v>
      </c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</row>
    <row r="51" spans="1:17" ht="16.8" customHeight="1" x14ac:dyDescent="0.3">
      <c r="A51" s="589"/>
      <c r="B51" s="549" t="s">
        <v>85</v>
      </c>
      <c r="C51" s="550">
        <v>25000</v>
      </c>
      <c r="D51" s="551">
        <v>45311</v>
      </c>
      <c r="E51" s="549" t="s">
        <v>78</v>
      </c>
      <c r="F51" s="589"/>
      <c r="G51" s="589"/>
      <c r="H51" s="589"/>
      <c r="I51" s="589"/>
      <c r="J51" s="589"/>
      <c r="K51" s="589"/>
      <c r="L51" s="589"/>
      <c r="M51" s="589"/>
      <c r="N51" s="589"/>
      <c r="O51" s="589"/>
      <c r="P51" s="589"/>
      <c r="Q51" s="589"/>
    </row>
    <row r="52" spans="1:17" ht="16.8" customHeight="1" x14ac:dyDescent="0.3">
      <c r="A52" s="589"/>
      <c r="B52" s="589"/>
      <c r="C52" s="589"/>
      <c r="D52" s="589"/>
      <c r="E52" s="590"/>
      <c r="F52" s="589"/>
      <c r="G52" s="589"/>
      <c r="H52" s="589"/>
      <c r="I52" s="589"/>
      <c r="J52" s="589"/>
      <c r="K52" s="589"/>
      <c r="L52" s="589"/>
      <c r="M52" s="589"/>
      <c r="N52" s="589"/>
      <c r="O52" s="589"/>
      <c r="P52" s="589"/>
      <c r="Q52" s="589"/>
    </row>
    <row r="53" spans="1:17" ht="16.8" customHeight="1" x14ac:dyDescent="0.3">
      <c r="A53" s="589"/>
      <c r="B53" s="589"/>
      <c r="C53" s="589"/>
      <c r="D53" s="589"/>
      <c r="E53" s="590"/>
      <c r="F53" s="589"/>
      <c r="G53" s="589"/>
      <c r="H53" s="589"/>
      <c r="I53" s="596" t="s">
        <v>410</v>
      </c>
      <c r="J53" s="596"/>
      <c r="K53" s="596"/>
      <c r="L53" s="589"/>
      <c r="M53" s="589"/>
      <c r="N53" s="589"/>
      <c r="O53" s="589"/>
      <c r="P53" s="589"/>
      <c r="Q53" s="589"/>
    </row>
    <row r="54" spans="1:17" ht="16.8" customHeight="1" x14ac:dyDescent="0.3">
      <c r="A54" s="589"/>
      <c r="B54" s="589"/>
      <c r="C54" s="589"/>
      <c r="D54" s="589"/>
      <c r="E54" s="590"/>
      <c r="F54" s="589"/>
      <c r="G54" s="589"/>
      <c r="H54" s="589"/>
      <c r="I54" s="589"/>
      <c r="J54" s="589"/>
      <c r="K54" s="589"/>
      <c r="L54" s="589"/>
      <c r="M54" s="589"/>
      <c r="N54" s="589"/>
      <c r="O54" s="589"/>
      <c r="P54" s="589"/>
      <c r="Q54" s="589"/>
    </row>
    <row r="55" spans="1:17" ht="16.8" customHeight="1" x14ac:dyDescent="0.3">
      <c r="A55" s="589"/>
      <c r="B55" s="589"/>
      <c r="C55" s="589"/>
      <c r="D55" s="589"/>
      <c r="E55" s="590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P55" s="589"/>
      <c r="Q55" s="589"/>
    </row>
    <row r="56" spans="1:17" ht="16.8" customHeight="1" x14ac:dyDescent="0.3">
      <c r="A56" s="589"/>
      <c r="B56" s="548" t="s">
        <v>65</v>
      </c>
      <c r="C56" s="548" t="s">
        <v>66</v>
      </c>
      <c r="D56" s="552" t="s">
        <v>67</v>
      </c>
      <c r="E56" s="548" t="s">
        <v>68</v>
      </c>
      <c r="F56" s="589"/>
      <c r="G56" s="589"/>
      <c r="H56" s="589"/>
      <c r="I56" s="589"/>
      <c r="J56" s="589"/>
      <c r="K56" s="589"/>
      <c r="L56" s="589"/>
      <c r="M56" s="589"/>
      <c r="N56" s="589"/>
      <c r="O56" s="589"/>
      <c r="P56" s="589"/>
      <c r="Q56" s="589"/>
    </row>
    <row r="57" spans="1:17" ht="16.8" customHeight="1" x14ac:dyDescent="0.3">
      <c r="A57" s="589"/>
      <c r="B57" s="549" t="s">
        <v>70</v>
      </c>
      <c r="C57" s="550">
        <v>5000</v>
      </c>
      <c r="D57" s="553">
        <v>45816</v>
      </c>
      <c r="E57" s="549" t="s">
        <v>71</v>
      </c>
      <c r="F57" s="589"/>
      <c r="G57" s="589"/>
      <c r="H57" s="589"/>
      <c r="I57" s="589"/>
      <c r="J57" s="589"/>
      <c r="K57" s="589"/>
      <c r="L57" s="589"/>
      <c r="M57" s="589"/>
      <c r="N57" s="589"/>
      <c r="O57" s="589"/>
      <c r="P57" s="589"/>
      <c r="Q57" s="589"/>
    </row>
    <row r="58" spans="1:17" ht="16.8" customHeight="1" x14ac:dyDescent="0.3">
      <c r="A58" s="589"/>
      <c r="B58" s="549" t="s">
        <v>72</v>
      </c>
      <c r="C58" s="550">
        <v>6000</v>
      </c>
      <c r="D58" s="553">
        <v>45602</v>
      </c>
      <c r="E58" s="549" t="s">
        <v>73</v>
      </c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</row>
    <row r="59" spans="1:17" ht="16.8" customHeight="1" x14ac:dyDescent="0.3">
      <c r="A59" s="589"/>
      <c r="B59" s="549" t="s">
        <v>75</v>
      </c>
      <c r="C59" s="550">
        <v>7000</v>
      </c>
      <c r="D59" s="553">
        <v>45124</v>
      </c>
      <c r="E59" s="549" t="s">
        <v>73</v>
      </c>
      <c r="F59" s="589"/>
      <c r="G59" s="589"/>
      <c r="H59" s="589"/>
      <c r="I59" s="589"/>
      <c r="J59" s="589"/>
      <c r="K59" s="589"/>
      <c r="L59" s="589"/>
      <c r="M59" s="589"/>
      <c r="N59" s="589"/>
      <c r="O59" s="589"/>
      <c r="P59" s="589"/>
      <c r="Q59" s="589"/>
    </row>
    <row r="60" spans="1:17" ht="16.8" customHeight="1" x14ac:dyDescent="0.3">
      <c r="A60" s="589"/>
      <c r="B60" s="549" t="s">
        <v>76</v>
      </c>
      <c r="C60" s="550">
        <v>8000</v>
      </c>
      <c r="D60" s="553">
        <v>45301</v>
      </c>
      <c r="E60" s="549" t="s">
        <v>73</v>
      </c>
      <c r="F60" s="589"/>
      <c r="G60" s="589"/>
      <c r="H60" s="589"/>
      <c r="I60" s="589"/>
      <c r="J60" s="589"/>
      <c r="K60" s="589"/>
      <c r="L60" s="589"/>
      <c r="M60" s="589"/>
      <c r="N60" s="589"/>
      <c r="O60" s="589"/>
      <c r="P60" s="589"/>
      <c r="Q60" s="589"/>
    </row>
    <row r="61" spans="1:17" ht="16.8" customHeight="1" x14ac:dyDescent="0.3">
      <c r="A61" s="589"/>
      <c r="B61" s="549" t="s">
        <v>77</v>
      </c>
      <c r="C61" s="550">
        <v>9000</v>
      </c>
      <c r="D61" s="553">
        <v>45205</v>
      </c>
      <c r="E61" s="549" t="s">
        <v>78</v>
      </c>
      <c r="F61" s="589"/>
      <c r="G61" s="589"/>
      <c r="H61" s="589"/>
      <c r="I61" s="589"/>
      <c r="J61" s="589"/>
      <c r="K61" s="589"/>
      <c r="L61" s="589"/>
      <c r="M61" s="589"/>
      <c r="N61" s="589"/>
      <c r="O61" s="589"/>
      <c r="P61" s="589"/>
      <c r="Q61" s="589"/>
    </row>
    <row r="62" spans="1:17" ht="16.8" customHeight="1" x14ac:dyDescent="0.3">
      <c r="A62" s="589"/>
      <c r="B62" s="549" t="s">
        <v>80</v>
      </c>
      <c r="C62" s="550">
        <v>10000</v>
      </c>
      <c r="D62" s="553">
        <v>45292</v>
      </c>
      <c r="E62" s="549" t="s">
        <v>81</v>
      </c>
      <c r="F62" s="589"/>
      <c r="G62" s="589"/>
      <c r="H62" s="589"/>
      <c r="I62" s="589"/>
      <c r="J62" s="589"/>
      <c r="K62" s="589"/>
      <c r="L62" s="589"/>
      <c r="M62" s="589"/>
      <c r="N62" s="589"/>
      <c r="O62" s="589"/>
      <c r="P62" s="589"/>
      <c r="Q62" s="589"/>
    </row>
    <row r="63" spans="1:17" ht="16.8" customHeight="1" x14ac:dyDescent="0.3">
      <c r="A63" s="589"/>
      <c r="B63" s="549" t="s">
        <v>75</v>
      </c>
      <c r="C63" s="550">
        <v>10000</v>
      </c>
      <c r="D63" s="553">
        <v>45679</v>
      </c>
      <c r="E63" s="549" t="s">
        <v>71</v>
      </c>
      <c r="F63" s="589"/>
      <c r="G63" s="589"/>
      <c r="H63" s="589"/>
      <c r="I63" s="589"/>
      <c r="J63" s="589"/>
      <c r="K63" s="589"/>
      <c r="L63" s="589"/>
      <c r="M63" s="589"/>
      <c r="N63" s="589"/>
      <c r="O63" s="589"/>
      <c r="P63" s="589"/>
      <c r="Q63" s="589"/>
    </row>
    <row r="64" spans="1:17" ht="16.8" customHeight="1" x14ac:dyDescent="0.3">
      <c r="A64" s="589"/>
      <c r="B64" s="549" t="s">
        <v>83</v>
      </c>
      <c r="C64" s="550">
        <v>15000</v>
      </c>
      <c r="D64" s="553">
        <v>45294</v>
      </c>
      <c r="E64" s="549" t="s">
        <v>81</v>
      </c>
      <c r="F64" s="589"/>
      <c r="G64" s="589"/>
      <c r="H64" s="589"/>
      <c r="I64" s="589"/>
      <c r="J64" s="589"/>
      <c r="K64" s="589"/>
      <c r="L64" s="589"/>
      <c r="M64" s="589"/>
      <c r="N64" s="596" t="s">
        <v>411</v>
      </c>
      <c r="O64" s="596"/>
      <c r="P64" s="596"/>
      <c r="Q64" s="589"/>
    </row>
    <row r="65" spans="1:17" ht="16.8" customHeight="1" x14ac:dyDescent="0.3">
      <c r="A65" s="589"/>
      <c r="B65" s="549" t="s">
        <v>84</v>
      </c>
      <c r="C65" s="550">
        <v>18000</v>
      </c>
      <c r="D65" s="553">
        <v>44945</v>
      </c>
      <c r="E65" s="549" t="s">
        <v>81</v>
      </c>
      <c r="F65" s="589"/>
      <c r="G65" s="589"/>
      <c r="H65" s="589"/>
      <c r="I65" s="589"/>
      <c r="J65" s="589"/>
      <c r="K65" s="589"/>
      <c r="L65" s="589"/>
      <c r="M65" s="589"/>
      <c r="N65" s="589"/>
      <c r="O65" s="589"/>
      <c r="P65" s="589"/>
      <c r="Q65" s="589"/>
    </row>
    <row r="66" spans="1:17" ht="16.8" customHeight="1" x14ac:dyDescent="0.3">
      <c r="A66" s="589"/>
      <c r="B66" s="549" t="s">
        <v>85</v>
      </c>
      <c r="C66" s="550">
        <v>25000</v>
      </c>
      <c r="D66" s="553">
        <v>45432</v>
      </c>
      <c r="E66" s="549" t="s">
        <v>78</v>
      </c>
      <c r="F66" s="589"/>
      <c r="G66" s="589"/>
      <c r="H66" s="589"/>
      <c r="I66" s="589"/>
      <c r="J66" s="589"/>
      <c r="K66" s="589"/>
      <c r="L66" s="589"/>
      <c r="M66" s="589"/>
      <c r="N66" s="589"/>
      <c r="O66" s="589"/>
      <c r="P66" s="589"/>
      <c r="Q66" s="589"/>
    </row>
    <row r="67" spans="1:17" ht="16.8" customHeight="1" x14ac:dyDescent="0.3">
      <c r="A67" s="589"/>
      <c r="B67" s="554" t="s">
        <v>412</v>
      </c>
      <c r="C67" s="555">
        <f>SUM(C57:C66)</f>
        <v>113000</v>
      </c>
      <c r="D67" s="554" t="s">
        <v>413</v>
      </c>
      <c r="E67" s="556" t="s">
        <v>413</v>
      </c>
      <c r="F67" s="589"/>
      <c r="G67" s="589"/>
      <c r="H67" s="589"/>
      <c r="I67" s="589"/>
      <c r="J67" s="589"/>
      <c r="K67" s="589"/>
      <c r="L67" s="589"/>
      <c r="M67" s="589"/>
      <c r="N67" s="589"/>
      <c r="O67" s="589"/>
      <c r="P67" s="589"/>
      <c r="Q67" s="589"/>
    </row>
    <row r="68" spans="1:17" ht="16.8" customHeight="1" x14ac:dyDescent="0.3">
      <c r="A68" s="589"/>
      <c r="B68" s="589"/>
      <c r="C68" s="589"/>
      <c r="D68" s="589"/>
      <c r="E68" s="590"/>
      <c r="F68" s="589"/>
      <c r="G68" s="589"/>
      <c r="H68" s="589"/>
      <c r="I68" s="589"/>
      <c r="J68" s="589"/>
      <c r="K68" s="589"/>
      <c r="L68" s="589"/>
      <c r="M68" s="589"/>
      <c r="N68" s="589"/>
      <c r="O68" s="589"/>
      <c r="P68" s="589"/>
      <c r="Q68" s="589"/>
    </row>
    <row r="69" spans="1:17" ht="16.8" customHeight="1" x14ac:dyDescent="0.3">
      <c r="A69" s="589"/>
      <c r="B69" s="589"/>
      <c r="C69" s="589"/>
      <c r="D69" s="589"/>
      <c r="E69" s="590"/>
      <c r="F69" s="589"/>
      <c r="G69" s="589"/>
      <c r="H69" s="589"/>
      <c r="I69" s="589"/>
      <c r="J69" s="589"/>
      <c r="K69" s="589"/>
      <c r="L69" s="589"/>
      <c r="M69" s="589"/>
      <c r="N69" s="589"/>
      <c r="O69" s="589"/>
      <c r="P69" s="589"/>
      <c r="Q69" s="589"/>
    </row>
    <row r="70" spans="1:17" ht="16.8" customHeight="1" x14ac:dyDescent="0.3">
      <c r="A70" s="589"/>
      <c r="B70" s="589"/>
      <c r="C70" s="589"/>
      <c r="D70" s="589"/>
      <c r="E70" s="590"/>
      <c r="F70" s="589"/>
      <c r="G70" s="589"/>
      <c r="H70" s="589"/>
      <c r="I70" s="589"/>
      <c r="J70" s="589"/>
      <c r="K70" s="589"/>
      <c r="L70" s="589"/>
      <c r="M70" s="589"/>
      <c r="N70" s="589"/>
      <c r="O70" s="589"/>
      <c r="P70" s="589"/>
      <c r="Q70" s="589"/>
    </row>
    <row r="71" spans="1:17" ht="16.8" customHeight="1" x14ac:dyDescent="0.3">
      <c r="A71" s="589"/>
      <c r="B71" s="589"/>
      <c r="C71" s="589"/>
      <c r="D71" s="589"/>
      <c r="E71" s="590"/>
      <c r="F71" s="589"/>
      <c r="G71" s="589"/>
      <c r="H71" s="589"/>
      <c r="I71" s="589"/>
      <c r="J71" s="589"/>
      <c r="K71" s="589"/>
      <c r="L71" s="589"/>
      <c r="M71" s="589"/>
      <c r="N71" s="589"/>
      <c r="O71" s="589"/>
      <c r="P71" s="589"/>
      <c r="Q71" s="589"/>
    </row>
    <row r="72" spans="1:17" ht="16.8" customHeight="1" x14ac:dyDescent="0.3">
      <c r="A72" s="589"/>
      <c r="B72" s="589"/>
      <c r="C72" s="589"/>
      <c r="D72" s="589"/>
      <c r="E72" s="590"/>
      <c r="F72" s="589"/>
      <c r="G72" s="589"/>
      <c r="H72" s="589"/>
      <c r="I72" s="589"/>
      <c r="J72" s="589"/>
      <c r="K72" s="589"/>
      <c r="L72" s="589"/>
      <c r="M72" s="589"/>
      <c r="N72" s="589"/>
      <c r="O72" s="589"/>
      <c r="P72" s="589"/>
      <c r="Q72" s="589"/>
    </row>
    <row r="73" spans="1:17" ht="16.8" customHeight="1" x14ac:dyDescent="0.3">
      <c r="A73" s="589"/>
      <c r="B73" s="589"/>
      <c r="C73" s="589"/>
      <c r="D73" s="589"/>
      <c r="E73" s="590"/>
      <c r="F73" s="589"/>
      <c r="G73" s="589"/>
      <c r="H73" s="589"/>
      <c r="I73" s="589"/>
      <c r="J73" s="589"/>
      <c r="K73" s="589"/>
      <c r="L73" s="589"/>
      <c r="M73" s="589"/>
      <c r="N73" s="589"/>
      <c r="O73" s="589"/>
      <c r="P73" s="589"/>
      <c r="Q73" s="589"/>
    </row>
    <row r="74" spans="1:17" ht="16.8" customHeight="1" x14ac:dyDescent="0.3">
      <c r="A74" s="589"/>
      <c r="B74" s="589"/>
      <c r="C74" s="589"/>
      <c r="D74" s="589"/>
      <c r="E74" s="590"/>
      <c r="F74" s="589"/>
      <c r="G74" s="589"/>
      <c r="H74" s="589"/>
      <c r="I74" s="589"/>
      <c r="J74" s="589"/>
      <c r="K74" s="589"/>
      <c r="L74" s="589"/>
      <c r="M74" s="589"/>
      <c r="N74" s="589"/>
      <c r="O74" s="589"/>
      <c r="P74" s="589"/>
      <c r="Q74" s="589"/>
    </row>
    <row r="75" spans="1:17" ht="16.8" customHeight="1" x14ac:dyDescent="0.3">
      <c r="A75" s="589"/>
      <c r="B75" s="589"/>
      <c r="C75" s="589"/>
      <c r="D75" s="589"/>
      <c r="E75" s="590"/>
      <c r="F75" s="589"/>
      <c r="G75" s="589"/>
      <c r="H75" s="589"/>
      <c r="I75" s="589"/>
      <c r="J75" s="589"/>
      <c r="K75" s="589"/>
      <c r="L75" s="589"/>
      <c r="M75" s="589"/>
      <c r="N75" s="589"/>
      <c r="O75" s="589"/>
      <c r="P75" s="589"/>
      <c r="Q75" s="589"/>
    </row>
    <row r="76" spans="1:17" ht="16.8" customHeight="1" x14ac:dyDescent="0.3">
      <c r="A76" s="589"/>
      <c r="B76" s="589"/>
      <c r="C76" s="589"/>
      <c r="D76" s="589"/>
      <c r="E76" s="590"/>
      <c r="F76" s="589"/>
      <c r="G76" s="589"/>
      <c r="H76" s="589"/>
      <c r="I76" s="589"/>
      <c r="J76" s="589"/>
      <c r="K76" s="589"/>
      <c r="L76" s="589"/>
      <c r="M76" s="589"/>
      <c r="N76" s="589"/>
      <c r="O76" s="589"/>
      <c r="P76" s="589"/>
      <c r="Q76" s="589"/>
    </row>
    <row r="77" spans="1:17" ht="16.8" customHeight="1" x14ac:dyDescent="0.3">
      <c r="A77" s="589"/>
      <c r="B77" s="589"/>
      <c r="C77" s="589"/>
      <c r="D77" s="589"/>
      <c r="E77" s="590"/>
      <c r="F77" s="589"/>
      <c r="G77" s="589"/>
      <c r="H77" s="589"/>
      <c r="I77" s="589"/>
      <c r="J77" s="589"/>
      <c r="K77" s="589"/>
      <c r="L77" s="589"/>
      <c r="M77" s="589"/>
      <c r="N77" s="589"/>
      <c r="O77" s="589"/>
      <c r="P77" s="589"/>
      <c r="Q77" s="589"/>
    </row>
    <row r="78" spans="1:17" ht="16.8" customHeight="1" x14ac:dyDescent="0.3">
      <c r="A78" s="589"/>
      <c r="B78" s="589"/>
      <c r="C78" s="589"/>
      <c r="D78" s="589"/>
      <c r="E78" s="590"/>
      <c r="F78" s="589"/>
      <c r="G78" s="589"/>
      <c r="H78" s="589"/>
      <c r="I78" s="589"/>
      <c r="J78" s="589"/>
      <c r="K78" s="589"/>
      <c r="L78" s="589"/>
      <c r="M78" s="589"/>
      <c r="N78" s="589"/>
      <c r="O78" s="589"/>
      <c r="P78" s="589"/>
      <c r="Q78" s="589"/>
    </row>
    <row r="79" spans="1:17" ht="16.8" customHeight="1" x14ac:dyDescent="0.3">
      <c r="A79" s="589"/>
      <c r="B79" s="589"/>
      <c r="C79" s="589"/>
      <c r="D79" s="589"/>
      <c r="E79" s="590"/>
      <c r="F79" s="589"/>
      <c r="G79" s="589"/>
      <c r="H79" s="589"/>
      <c r="I79" s="589"/>
      <c r="J79" s="589"/>
      <c r="K79" s="589"/>
      <c r="L79" s="589"/>
      <c r="M79" s="589"/>
      <c r="N79" s="589"/>
      <c r="O79" s="589"/>
      <c r="P79" s="589"/>
      <c r="Q79" s="589"/>
    </row>
    <row r="80" spans="1:17" ht="16.8" customHeight="1" x14ac:dyDescent="0.3">
      <c r="A80" s="589"/>
      <c r="B80" s="589"/>
      <c r="C80" s="589"/>
      <c r="D80" s="589"/>
      <c r="E80" s="590"/>
      <c r="F80" s="589"/>
      <c r="G80" s="589"/>
      <c r="H80" s="589"/>
      <c r="I80" s="589"/>
      <c r="J80" s="589"/>
      <c r="K80" s="589"/>
      <c r="L80" s="589"/>
      <c r="M80" s="589"/>
      <c r="N80" s="589"/>
      <c r="O80" s="589"/>
      <c r="P80" s="589"/>
      <c r="Q80" s="589"/>
    </row>
    <row r="81" spans="1:17" ht="16.8" customHeight="1" x14ac:dyDescent="0.3">
      <c r="A81" s="589"/>
      <c r="B81" s="589"/>
      <c r="C81" s="589"/>
      <c r="D81" s="589"/>
      <c r="E81" s="590"/>
      <c r="F81" s="589"/>
      <c r="G81" s="589"/>
      <c r="H81" s="589"/>
      <c r="I81" s="589"/>
      <c r="J81" s="589"/>
      <c r="K81" s="589"/>
      <c r="L81" s="589"/>
      <c r="M81" s="589"/>
      <c r="N81" s="589"/>
      <c r="O81" s="589"/>
      <c r="P81" s="589"/>
      <c r="Q81" s="589"/>
    </row>
    <row r="82" spans="1:17" ht="16.8" customHeight="1" x14ac:dyDescent="0.3">
      <c r="A82" s="589"/>
      <c r="B82" s="589"/>
      <c r="C82" s="589"/>
      <c r="D82" s="589"/>
      <c r="E82" s="590"/>
      <c r="F82" s="589"/>
      <c r="G82" s="557"/>
      <c r="H82" s="557"/>
      <c r="I82" s="589"/>
      <c r="J82" s="589"/>
      <c r="K82" s="589"/>
      <c r="L82" s="589"/>
      <c r="M82" s="589"/>
      <c r="N82" s="589"/>
      <c r="O82" s="589"/>
      <c r="P82" s="589"/>
      <c r="Q82" s="589"/>
    </row>
    <row r="83" spans="1:17" ht="16.8" customHeight="1" x14ac:dyDescent="0.3">
      <c r="A83" s="589"/>
      <c r="B83" s="589"/>
      <c r="C83" s="589"/>
      <c r="D83" s="589"/>
      <c r="E83" s="590"/>
      <c r="F83" s="557"/>
      <c r="G83" s="557"/>
      <c r="H83" s="557"/>
      <c r="I83" s="589"/>
      <c r="J83" s="589"/>
      <c r="K83" s="589"/>
      <c r="L83" s="589"/>
      <c r="M83" s="589"/>
      <c r="N83" s="589"/>
      <c r="O83" s="589"/>
      <c r="P83" s="589"/>
      <c r="Q83" s="589"/>
    </row>
    <row r="84" spans="1:17" ht="16.8" customHeight="1" x14ac:dyDescent="0.3">
      <c r="A84" s="589"/>
      <c r="B84" s="589"/>
      <c r="C84" s="589"/>
      <c r="D84" s="589"/>
      <c r="E84" s="590"/>
      <c r="F84" s="557"/>
      <c r="G84" s="557"/>
      <c r="H84" s="557"/>
      <c r="I84" s="589"/>
      <c r="J84" s="589"/>
      <c r="K84" s="589"/>
      <c r="L84" s="589"/>
      <c r="M84" s="589"/>
      <c r="N84" s="589"/>
      <c r="O84" s="589"/>
      <c r="P84" s="589"/>
      <c r="Q84" s="589"/>
    </row>
    <row r="85" spans="1:17" ht="16.8" customHeight="1" x14ac:dyDescent="0.3">
      <c r="A85" s="589"/>
      <c r="B85" s="589"/>
      <c r="C85" s="589"/>
      <c r="D85" s="589"/>
      <c r="E85" s="590"/>
      <c r="F85" s="557"/>
      <c r="G85" s="557"/>
      <c r="H85" s="557"/>
      <c r="I85" s="589"/>
      <c r="J85" s="589"/>
      <c r="K85" s="589"/>
      <c r="L85" s="589"/>
      <c r="M85" s="589"/>
      <c r="N85" s="589"/>
      <c r="O85" s="589"/>
      <c r="P85" s="589"/>
      <c r="Q85" s="589"/>
    </row>
    <row r="86" spans="1:17" ht="16.8" customHeight="1" x14ac:dyDescent="0.3">
      <c r="A86" s="589"/>
      <c r="B86" s="589"/>
      <c r="C86" s="589"/>
      <c r="D86" s="589"/>
      <c r="E86" s="590"/>
      <c r="F86" s="558"/>
      <c r="G86" s="558"/>
      <c r="H86" s="558"/>
      <c r="I86" s="589"/>
      <c r="J86" s="589"/>
      <c r="K86" s="589"/>
      <c r="L86" s="589"/>
      <c r="M86" s="589"/>
      <c r="N86" s="589"/>
      <c r="O86" s="589"/>
      <c r="P86" s="589"/>
      <c r="Q86" s="589"/>
    </row>
    <row r="87" spans="1:17" ht="16.8" customHeight="1" x14ac:dyDescent="0.3">
      <c r="A87" s="589"/>
      <c r="B87" s="559" t="s">
        <v>237</v>
      </c>
      <c r="C87" s="591" t="s">
        <v>414</v>
      </c>
      <c r="D87" s="592" t="s">
        <v>415</v>
      </c>
      <c r="E87" s="559" t="s">
        <v>416</v>
      </c>
      <c r="F87" s="597" t="s">
        <v>417</v>
      </c>
      <c r="G87" s="597"/>
      <c r="H87" s="597"/>
      <c r="I87" s="589"/>
      <c r="J87" s="589"/>
      <c r="K87" s="589"/>
      <c r="L87" s="589"/>
      <c r="M87" s="589"/>
      <c r="N87" s="589"/>
      <c r="O87" s="589"/>
      <c r="P87" s="589"/>
      <c r="Q87" s="589"/>
    </row>
    <row r="88" spans="1:17" ht="16.8" customHeight="1" x14ac:dyDescent="0.3">
      <c r="A88" s="589"/>
      <c r="B88" s="549" t="s">
        <v>33</v>
      </c>
      <c r="C88" s="546">
        <v>30</v>
      </c>
      <c r="D88" s="593">
        <v>70</v>
      </c>
      <c r="E88" s="594">
        <v>40</v>
      </c>
      <c r="F88" s="598"/>
      <c r="G88" s="598"/>
      <c r="H88" s="598"/>
      <c r="I88" s="589"/>
      <c r="J88" s="589"/>
      <c r="K88" s="589"/>
      <c r="L88" s="589"/>
      <c r="M88" s="589"/>
      <c r="N88" s="589"/>
      <c r="O88" s="589"/>
      <c r="P88" s="589"/>
      <c r="Q88" s="589"/>
    </row>
    <row r="89" spans="1:17" ht="16.8" customHeight="1" x14ac:dyDescent="0.3">
      <c r="A89" s="589"/>
      <c r="B89" s="549" t="s">
        <v>35</v>
      </c>
      <c r="C89" s="546">
        <v>10</v>
      </c>
      <c r="D89" s="593">
        <v>50</v>
      </c>
      <c r="E89" s="594">
        <v>80</v>
      </c>
      <c r="F89" s="598"/>
      <c r="G89" s="598"/>
      <c r="H89" s="598"/>
      <c r="I89" s="589"/>
      <c r="J89" s="589"/>
      <c r="K89" s="589"/>
      <c r="L89" s="589"/>
      <c r="M89" s="589"/>
      <c r="N89" s="589"/>
      <c r="O89" s="589"/>
      <c r="P89" s="589"/>
      <c r="Q89" s="589"/>
    </row>
    <row r="90" spans="1:17" ht="16.8" customHeight="1" x14ac:dyDescent="0.3">
      <c r="A90" s="589"/>
      <c r="B90" s="549" t="s">
        <v>36</v>
      </c>
      <c r="C90" s="546">
        <v>90</v>
      </c>
      <c r="D90" s="593">
        <v>50</v>
      </c>
      <c r="E90" s="594">
        <v>100</v>
      </c>
      <c r="F90" s="598"/>
      <c r="G90" s="598"/>
      <c r="H90" s="598"/>
      <c r="I90" s="589"/>
      <c r="J90" s="589"/>
      <c r="K90" s="589"/>
      <c r="L90" s="589"/>
      <c r="M90" s="589"/>
      <c r="N90" s="589"/>
      <c r="O90" s="589"/>
      <c r="P90" s="589"/>
      <c r="Q90" s="589"/>
    </row>
    <row r="91" spans="1:17" ht="16.8" customHeight="1" x14ac:dyDescent="0.3">
      <c r="A91" s="589"/>
      <c r="B91" s="549" t="s">
        <v>37</v>
      </c>
      <c r="C91" s="546">
        <v>40</v>
      </c>
      <c r="D91" s="593">
        <v>50</v>
      </c>
      <c r="E91" s="594">
        <v>90</v>
      </c>
      <c r="F91" s="598"/>
      <c r="G91" s="598"/>
      <c r="H91" s="598"/>
      <c r="I91" s="589"/>
      <c r="J91" s="589"/>
      <c r="K91" s="589"/>
      <c r="L91" s="589"/>
      <c r="M91" s="589"/>
      <c r="N91" s="589"/>
      <c r="O91" s="589"/>
      <c r="P91" s="589"/>
      <c r="Q91" s="589"/>
    </row>
    <row r="92" spans="1:17" ht="16.8" customHeight="1" x14ac:dyDescent="0.3">
      <c r="A92" s="589"/>
      <c r="B92" s="549" t="s">
        <v>38</v>
      </c>
      <c r="C92" s="546">
        <v>80</v>
      </c>
      <c r="D92" s="593">
        <v>50</v>
      </c>
      <c r="E92" s="594">
        <v>20</v>
      </c>
      <c r="F92" s="598"/>
      <c r="G92" s="598"/>
      <c r="H92" s="598"/>
      <c r="I92" s="589"/>
      <c r="J92" s="589"/>
      <c r="K92" s="589"/>
      <c r="L92" s="589"/>
      <c r="M92" s="589"/>
      <c r="N92" s="589"/>
      <c r="O92" s="589"/>
      <c r="P92" s="589"/>
      <c r="Q92" s="589"/>
    </row>
  </sheetData>
  <mergeCells count="5">
    <mergeCell ref="G17:I17"/>
    <mergeCell ref="M33:O33"/>
    <mergeCell ref="I53:K53"/>
    <mergeCell ref="N64:P64"/>
    <mergeCell ref="F87:H9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F809-81F0-4EC6-ACD5-0CD2CDFD0E5B}">
  <dimension ref="B2:E22"/>
  <sheetViews>
    <sheetView workbookViewId="0">
      <selection activeCell="H7" sqref="H7"/>
    </sheetView>
  </sheetViews>
  <sheetFormatPr defaultRowHeight="14.4" x14ac:dyDescent="0.3"/>
  <cols>
    <col min="2" max="2" width="26.6640625" bestFit="1" customWidth="1"/>
    <col min="3" max="3" width="13.6640625" bestFit="1" customWidth="1"/>
    <col min="4" max="4" width="15.77734375" bestFit="1" customWidth="1"/>
    <col min="5" max="5" width="16.109375" bestFit="1" customWidth="1"/>
  </cols>
  <sheetData>
    <row r="2" spans="2:5" ht="18" x14ac:dyDescent="0.3">
      <c r="B2" s="581" t="s">
        <v>65</v>
      </c>
      <c r="C2" s="581" t="s">
        <v>66</v>
      </c>
      <c r="D2" s="581" t="s">
        <v>67</v>
      </c>
      <c r="E2" s="582" t="s">
        <v>68</v>
      </c>
    </row>
    <row r="3" spans="2:5" ht="18" x14ac:dyDescent="0.3">
      <c r="B3" s="583" t="s">
        <v>70</v>
      </c>
      <c r="C3" s="576">
        <v>5000</v>
      </c>
      <c r="D3" s="577">
        <v>45359</v>
      </c>
      <c r="E3" s="584" t="s">
        <v>71</v>
      </c>
    </row>
    <row r="4" spans="2:5" ht="18" x14ac:dyDescent="0.3">
      <c r="B4" s="583" t="s">
        <v>72</v>
      </c>
      <c r="C4" s="576">
        <v>6000</v>
      </c>
      <c r="D4" s="577">
        <v>45297</v>
      </c>
      <c r="E4" s="584" t="s">
        <v>73</v>
      </c>
    </row>
    <row r="5" spans="2:5" ht="18" x14ac:dyDescent="0.3">
      <c r="B5" s="583" t="s">
        <v>75</v>
      </c>
      <c r="C5" s="576">
        <v>7000</v>
      </c>
      <c r="D5" s="577">
        <v>45308</v>
      </c>
      <c r="E5" s="584" t="s">
        <v>73</v>
      </c>
    </row>
    <row r="6" spans="2:5" ht="18" x14ac:dyDescent="0.3">
      <c r="B6" s="583" t="s">
        <v>76</v>
      </c>
      <c r="C6" s="576">
        <v>8000</v>
      </c>
      <c r="D6" s="577">
        <v>45392</v>
      </c>
      <c r="E6" s="584" t="s">
        <v>73</v>
      </c>
    </row>
    <row r="7" spans="2:5" ht="18" x14ac:dyDescent="0.3">
      <c r="B7" s="583" t="s">
        <v>77</v>
      </c>
      <c r="C7" s="576">
        <v>9000</v>
      </c>
      <c r="D7" s="577">
        <v>45297</v>
      </c>
      <c r="E7" s="584" t="s">
        <v>78</v>
      </c>
    </row>
    <row r="8" spans="2:5" ht="18" x14ac:dyDescent="0.3">
      <c r="B8" s="583" t="s">
        <v>80</v>
      </c>
      <c r="C8" s="576">
        <v>10000</v>
      </c>
      <c r="D8" s="577">
        <v>45292</v>
      </c>
      <c r="E8" s="584" t="s">
        <v>81</v>
      </c>
    </row>
    <row r="9" spans="2:5" ht="18" x14ac:dyDescent="0.3">
      <c r="B9" s="583" t="s">
        <v>75</v>
      </c>
      <c r="C9" s="576">
        <v>10000</v>
      </c>
      <c r="D9" s="577">
        <v>45313</v>
      </c>
      <c r="E9" s="584" t="s">
        <v>71</v>
      </c>
    </row>
    <row r="10" spans="2:5" ht="18" x14ac:dyDescent="0.3">
      <c r="B10" s="583" t="s">
        <v>83</v>
      </c>
      <c r="C10" s="576">
        <v>15000</v>
      </c>
      <c r="D10" s="577">
        <v>45415</v>
      </c>
      <c r="E10" s="584" t="s">
        <v>81</v>
      </c>
    </row>
    <row r="11" spans="2:5" ht="18" x14ac:dyDescent="0.3">
      <c r="B11" s="583" t="s">
        <v>84</v>
      </c>
      <c r="C11" s="576">
        <v>18000</v>
      </c>
      <c r="D11" s="577">
        <v>45310</v>
      </c>
      <c r="E11" s="584" t="s">
        <v>81</v>
      </c>
    </row>
    <row r="12" spans="2:5" ht="18" x14ac:dyDescent="0.3">
      <c r="B12" s="583" t="s">
        <v>84</v>
      </c>
      <c r="C12" s="576">
        <v>25000</v>
      </c>
      <c r="D12" s="577">
        <v>45493</v>
      </c>
      <c r="E12" s="584" t="s">
        <v>78</v>
      </c>
    </row>
    <row r="13" spans="2:5" ht="18" x14ac:dyDescent="0.3">
      <c r="B13" s="583" t="s">
        <v>86</v>
      </c>
      <c r="C13" s="576">
        <v>25000</v>
      </c>
      <c r="D13" s="577">
        <v>45301</v>
      </c>
      <c r="E13" s="584" t="s">
        <v>81</v>
      </c>
    </row>
    <row r="14" spans="2:5" ht="18" x14ac:dyDescent="0.3">
      <c r="B14" s="583" t="s">
        <v>88</v>
      </c>
      <c r="C14" s="576">
        <v>30000</v>
      </c>
      <c r="D14" s="577">
        <v>45519</v>
      </c>
      <c r="E14" s="584" t="s">
        <v>71</v>
      </c>
    </row>
    <row r="15" spans="2:5" ht="18" x14ac:dyDescent="0.3">
      <c r="B15" s="583" t="s">
        <v>89</v>
      </c>
      <c r="C15" s="576">
        <v>30000</v>
      </c>
      <c r="D15" s="577">
        <v>45304</v>
      </c>
      <c r="E15" s="584" t="s">
        <v>71</v>
      </c>
    </row>
    <row r="16" spans="2:5" ht="18" x14ac:dyDescent="0.3">
      <c r="B16" s="583" t="s">
        <v>83</v>
      </c>
      <c r="C16" s="576">
        <v>35000</v>
      </c>
      <c r="D16" s="577">
        <v>45548</v>
      </c>
      <c r="E16" s="584" t="s">
        <v>71</v>
      </c>
    </row>
    <row r="17" spans="2:5" ht="18" x14ac:dyDescent="0.3">
      <c r="B17" s="583" t="s">
        <v>91</v>
      </c>
      <c r="C17" s="576">
        <v>36000</v>
      </c>
      <c r="D17" s="577">
        <v>45302</v>
      </c>
      <c r="E17" s="584" t="s">
        <v>78</v>
      </c>
    </row>
    <row r="18" spans="2:5" ht="18" x14ac:dyDescent="0.3">
      <c r="B18" s="583" t="s">
        <v>93</v>
      </c>
      <c r="C18" s="576">
        <v>40000</v>
      </c>
      <c r="D18" s="577">
        <v>45455</v>
      </c>
      <c r="E18" s="584" t="s">
        <v>78</v>
      </c>
    </row>
    <row r="19" spans="2:5" ht="18" x14ac:dyDescent="0.3">
      <c r="B19" s="583" t="s">
        <v>70</v>
      </c>
      <c r="C19" s="576">
        <v>45000</v>
      </c>
      <c r="D19" s="577">
        <v>45298</v>
      </c>
      <c r="E19" s="584" t="s">
        <v>73</v>
      </c>
    </row>
    <row r="20" spans="2:5" ht="18" x14ac:dyDescent="0.3">
      <c r="B20" s="583" t="s">
        <v>77</v>
      </c>
      <c r="C20" s="576">
        <v>50000</v>
      </c>
      <c r="D20" s="577">
        <v>45313</v>
      </c>
      <c r="E20" s="584" t="s">
        <v>81</v>
      </c>
    </row>
    <row r="21" spans="2:5" ht="18" x14ac:dyDescent="0.3">
      <c r="B21" s="583" t="s">
        <v>84</v>
      </c>
      <c r="C21" s="576">
        <v>70000</v>
      </c>
      <c r="D21" s="578">
        <v>45600</v>
      </c>
      <c r="E21" s="585" t="s">
        <v>78</v>
      </c>
    </row>
    <row r="22" spans="2:5" ht="18" x14ac:dyDescent="0.3">
      <c r="B22" s="586" t="s">
        <v>86</v>
      </c>
      <c r="C22" s="579">
        <v>80000</v>
      </c>
      <c r="D22" s="580">
        <v>45296</v>
      </c>
      <c r="E22" s="587" t="s">
        <v>78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B576-E406-4219-BBE5-CF00689AB683}">
  <dimension ref="A1:D21"/>
  <sheetViews>
    <sheetView workbookViewId="0">
      <selection activeCell="F8" sqref="F8"/>
    </sheetView>
  </sheetViews>
  <sheetFormatPr defaultRowHeight="14.4" x14ac:dyDescent="0.3"/>
  <cols>
    <col min="1" max="1" width="26.6640625" bestFit="1" customWidth="1"/>
    <col min="2" max="2" width="13.6640625" bestFit="1" customWidth="1"/>
    <col min="3" max="3" width="15.77734375" bestFit="1" customWidth="1"/>
    <col min="4" max="4" width="16.109375" bestFit="1" customWidth="1"/>
  </cols>
  <sheetData>
    <row r="1" spans="1:4" ht="18" x14ac:dyDescent="0.3">
      <c r="A1" s="560" t="s">
        <v>65</v>
      </c>
      <c r="B1" s="560" t="s">
        <v>66</v>
      </c>
      <c r="C1" s="560" t="s">
        <v>67</v>
      </c>
      <c r="D1" s="561" t="s">
        <v>68</v>
      </c>
    </row>
    <row r="2" spans="1:4" ht="18" x14ac:dyDescent="0.3">
      <c r="A2" s="562" t="s">
        <v>70</v>
      </c>
      <c r="B2" s="563">
        <v>5000</v>
      </c>
      <c r="C2" s="564">
        <v>45359</v>
      </c>
      <c r="D2" s="565" t="s">
        <v>71</v>
      </c>
    </row>
    <row r="3" spans="1:4" ht="18" x14ac:dyDescent="0.3">
      <c r="A3" s="566" t="s">
        <v>72</v>
      </c>
      <c r="B3" s="567">
        <v>6000</v>
      </c>
      <c r="C3" s="568">
        <v>45297</v>
      </c>
      <c r="D3" s="569" t="s">
        <v>73</v>
      </c>
    </row>
    <row r="4" spans="1:4" ht="18" x14ac:dyDescent="0.3">
      <c r="A4" s="562" t="s">
        <v>75</v>
      </c>
      <c r="B4" s="563">
        <v>7000</v>
      </c>
      <c r="C4" s="564">
        <v>45308</v>
      </c>
      <c r="D4" s="565" t="s">
        <v>73</v>
      </c>
    </row>
    <row r="5" spans="1:4" ht="18" x14ac:dyDescent="0.3">
      <c r="A5" s="566" t="s">
        <v>76</v>
      </c>
      <c r="B5" s="567">
        <v>8000</v>
      </c>
      <c r="C5" s="568">
        <v>45392</v>
      </c>
      <c r="D5" s="569" t="s">
        <v>73</v>
      </c>
    </row>
    <row r="6" spans="1:4" ht="18" x14ac:dyDescent="0.3">
      <c r="A6" s="562" t="s">
        <v>77</v>
      </c>
      <c r="B6" s="563">
        <v>9000</v>
      </c>
      <c r="C6" s="564">
        <v>45297</v>
      </c>
      <c r="D6" s="565" t="s">
        <v>78</v>
      </c>
    </row>
    <row r="7" spans="1:4" ht="18" x14ac:dyDescent="0.3">
      <c r="A7" s="566" t="s">
        <v>80</v>
      </c>
      <c r="B7" s="567">
        <v>10000</v>
      </c>
      <c r="C7" s="568">
        <v>45292</v>
      </c>
      <c r="D7" s="569" t="s">
        <v>81</v>
      </c>
    </row>
    <row r="8" spans="1:4" ht="18" x14ac:dyDescent="0.3">
      <c r="A8" s="562" t="s">
        <v>75</v>
      </c>
      <c r="B8" s="563">
        <v>10000</v>
      </c>
      <c r="C8" s="564">
        <v>45313</v>
      </c>
      <c r="D8" s="565" t="s">
        <v>71</v>
      </c>
    </row>
    <row r="9" spans="1:4" ht="18" x14ac:dyDescent="0.3">
      <c r="A9" s="566" t="s">
        <v>83</v>
      </c>
      <c r="B9" s="567">
        <v>15000</v>
      </c>
      <c r="C9" s="568">
        <v>45415</v>
      </c>
      <c r="D9" s="569" t="s">
        <v>81</v>
      </c>
    </row>
    <row r="10" spans="1:4" ht="18" x14ac:dyDescent="0.3">
      <c r="A10" s="562" t="s">
        <v>84</v>
      </c>
      <c r="B10" s="563">
        <v>18000</v>
      </c>
      <c r="C10" s="564">
        <v>45310</v>
      </c>
      <c r="D10" s="565" t="s">
        <v>81</v>
      </c>
    </row>
    <row r="11" spans="1:4" ht="18" x14ac:dyDescent="0.3">
      <c r="A11" s="566" t="s">
        <v>84</v>
      </c>
      <c r="B11" s="567">
        <v>25000</v>
      </c>
      <c r="C11" s="568">
        <v>45493</v>
      </c>
      <c r="D11" s="569" t="s">
        <v>78</v>
      </c>
    </row>
    <row r="12" spans="1:4" ht="18" x14ac:dyDescent="0.3">
      <c r="A12" s="562" t="s">
        <v>86</v>
      </c>
      <c r="B12" s="563">
        <v>25000</v>
      </c>
      <c r="C12" s="564">
        <v>45301</v>
      </c>
      <c r="D12" s="565" t="s">
        <v>81</v>
      </c>
    </row>
    <row r="13" spans="1:4" ht="18" x14ac:dyDescent="0.3">
      <c r="A13" s="566" t="s">
        <v>88</v>
      </c>
      <c r="B13" s="567">
        <v>30000</v>
      </c>
      <c r="C13" s="568">
        <v>45519</v>
      </c>
      <c r="D13" s="569" t="s">
        <v>71</v>
      </c>
    </row>
    <row r="14" spans="1:4" ht="18" x14ac:dyDescent="0.3">
      <c r="A14" s="562" t="s">
        <v>89</v>
      </c>
      <c r="B14" s="563">
        <v>30000</v>
      </c>
      <c r="C14" s="564">
        <v>45304</v>
      </c>
      <c r="D14" s="565" t="s">
        <v>71</v>
      </c>
    </row>
    <row r="15" spans="1:4" ht="18" x14ac:dyDescent="0.3">
      <c r="A15" s="566" t="s">
        <v>83</v>
      </c>
      <c r="B15" s="567">
        <v>35000</v>
      </c>
      <c r="C15" s="568">
        <v>45548</v>
      </c>
      <c r="D15" s="569" t="s">
        <v>71</v>
      </c>
    </row>
    <row r="16" spans="1:4" ht="18" x14ac:dyDescent="0.3">
      <c r="A16" s="562" t="s">
        <v>91</v>
      </c>
      <c r="B16" s="563">
        <v>36000</v>
      </c>
      <c r="C16" s="564">
        <v>45302</v>
      </c>
      <c r="D16" s="565" t="s">
        <v>78</v>
      </c>
    </row>
    <row r="17" spans="1:4" ht="18" x14ac:dyDescent="0.3">
      <c r="A17" s="566" t="s">
        <v>93</v>
      </c>
      <c r="B17" s="567">
        <v>40000</v>
      </c>
      <c r="C17" s="568">
        <v>45455</v>
      </c>
      <c r="D17" s="569" t="s">
        <v>78</v>
      </c>
    </row>
    <row r="18" spans="1:4" ht="18" x14ac:dyDescent="0.3">
      <c r="A18" s="562" t="s">
        <v>70</v>
      </c>
      <c r="B18" s="563">
        <v>45000</v>
      </c>
      <c r="C18" s="564">
        <v>45298</v>
      </c>
      <c r="D18" s="565" t="s">
        <v>73</v>
      </c>
    </row>
    <row r="19" spans="1:4" ht="18" x14ac:dyDescent="0.3">
      <c r="A19" s="566" t="s">
        <v>77</v>
      </c>
      <c r="B19" s="567">
        <v>50000</v>
      </c>
      <c r="C19" s="568">
        <v>45313</v>
      </c>
      <c r="D19" s="569" t="s">
        <v>81</v>
      </c>
    </row>
    <row r="20" spans="1:4" ht="18" x14ac:dyDescent="0.3">
      <c r="A20" s="562" t="s">
        <v>84</v>
      </c>
      <c r="B20" s="563">
        <v>70000</v>
      </c>
      <c r="C20" s="570">
        <v>45600</v>
      </c>
      <c r="D20" s="571" t="s">
        <v>78</v>
      </c>
    </row>
    <row r="21" spans="1:4" ht="18" x14ac:dyDescent="0.3">
      <c r="A21" s="572" t="s">
        <v>86</v>
      </c>
      <c r="B21" s="573">
        <v>80000</v>
      </c>
      <c r="C21" s="574">
        <v>45296</v>
      </c>
      <c r="D21" s="575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10</vt:i4>
      </vt:variant>
    </vt:vector>
  </HeadingPairs>
  <TitlesOfParts>
    <vt:vector size="38" baseType="lpstr">
      <vt:lpstr>Sheet1</vt:lpstr>
      <vt:lpstr>Formatting</vt:lpstr>
      <vt:lpstr>Data Types</vt:lpstr>
      <vt:lpstr>Sorting of Data</vt:lpstr>
      <vt:lpstr>Basic formulas and functions</vt:lpstr>
      <vt:lpstr>Filtering of Data</vt:lpstr>
      <vt:lpstr>Cell referencing and Percentage</vt:lpstr>
      <vt:lpstr>TEXT functions</vt:lpstr>
      <vt:lpstr>Date Time functions</vt:lpstr>
      <vt:lpstr>IF and IFs</vt:lpstr>
      <vt:lpstr>Logical operators</vt:lpstr>
      <vt:lpstr>Logical functions</vt:lpstr>
      <vt:lpstr>HLOOKUP</vt:lpstr>
      <vt:lpstr>VLOOKUP</vt:lpstr>
      <vt:lpstr>SWITCH function</vt:lpstr>
      <vt:lpstr>LOOKUP</vt:lpstr>
      <vt:lpstr>XLOOKUP</vt:lpstr>
      <vt:lpstr>Index Match</vt:lpstr>
      <vt:lpstr>Paste Special</vt:lpstr>
      <vt:lpstr>Data Validation</vt:lpstr>
      <vt:lpstr>Conditional Formatting</vt:lpstr>
      <vt:lpstr>Scenario manager</vt:lpstr>
      <vt:lpstr>Goal seek - 1</vt:lpstr>
      <vt:lpstr>Goal Seek - 2</vt:lpstr>
      <vt:lpstr>Data Table</vt:lpstr>
      <vt:lpstr>Basic Charts</vt:lpstr>
      <vt:lpstr>Table - Slicers</vt:lpstr>
      <vt:lpstr>Data for Pivot table and chart</vt:lpstr>
      <vt:lpstr>antennas</vt:lpstr>
      <vt:lpstr>charg.port</vt:lpstr>
      <vt:lpstr>cooling</vt:lpstr>
      <vt:lpstr>Digitizer</vt:lpstr>
      <vt:lpstr>mic</vt:lpstr>
      <vt:lpstr>Motherboard</vt:lpstr>
      <vt:lpstr>screen</vt:lpstr>
      <vt:lpstr>simtray</vt:lpstr>
      <vt:lpstr>speaker</vt:lpstr>
      <vt:lpstr>vibr.motor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copilot_demo</dc:creator>
  <cp:lastModifiedBy>DR. NISHTHA JAIN</cp:lastModifiedBy>
  <cp:lastPrinted>2026-07-17T12:47:57Z</cp:lastPrinted>
  <dcterms:created xsi:type="dcterms:W3CDTF">2026-07-12T10:55:47Z</dcterms:created>
  <dcterms:modified xsi:type="dcterms:W3CDTF">2026-08-08T16:03:03Z</dcterms:modified>
</cp:coreProperties>
</file>