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drawings/drawing2.xml" ContentType="application/vnd.openxmlformats-officedocument.drawing+xml"/>
  <Override PartName="/xl/ink/ink26.xml" ContentType="application/inkml+xml"/>
  <Override PartName="/xl/ink/ink27.xml" ContentType="application/inkml+xml"/>
  <Override PartName="/xl/ink/ink28.xml" ContentType="application/inkml+xml"/>
  <Override PartName="/xl/drawings/drawing3.xml" ContentType="application/vnd.openxmlformats-officedocument.drawing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drawings/drawing5.xml" ContentType="application/vnd.openxmlformats-officedocument.drawing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6.xml" ContentType="application/vnd.openxmlformats-officedocument.drawing+xml"/>
  <Override PartName="/xl/ink/ink59.xml" ContentType="application/inkml+xml"/>
  <Override PartName="/xl/drawings/drawing7.xml" ContentType="application/vnd.openxmlformats-officedocument.drawing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ink/ink82.xml" ContentType="application/inkml+xml"/>
  <Override PartName="/xl/ink/ink8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is\Desktop\PW EARNERS\Live Session Resources\"/>
    </mc:Choice>
  </mc:AlternateContent>
  <xr:revisionPtr revIDLastSave="0" documentId="13_ncr:1_{0DD30257-46D3-48C4-9076-9EBEBF67665C}" xr6:coauthVersionLast="47" xr6:coauthVersionMax="47" xr10:uidLastSave="{00000000-0000-0000-0000-000000000000}"/>
  <bookViews>
    <workbookView xWindow="-108" yWindow="-108" windowWidth="23256" windowHeight="12456" firstSheet="5" activeTab="9" xr2:uid="{E6FE70A6-2C3C-4ABA-AFDA-126815D2E5F9}"/>
  </bookViews>
  <sheets>
    <sheet name="Sheet1" sheetId="1" r:id="rId1"/>
    <sheet name="Formatting" sheetId="2" r:id="rId2"/>
    <sheet name="Data Types" sheetId="3" r:id="rId3"/>
    <sheet name="Sorting of Data" sheetId="4" r:id="rId4"/>
    <sheet name="Basic formulas and functions" sheetId="5" r:id="rId5"/>
    <sheet name="Filtering of Data" sheetId="10" r:id="rId6"/>
    <sheet name="Cell referencing and Percentage" sheetId="6" r:id="rId7"/>
    <sheet name="TEXT functions" sheetId="7" r:id="rId8"/>
    <sheet name="Date Time functions" sheetId="8" r:id="rId9"/>
    <sheet name="IF and IF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60" i="9" l="1"/>
  <c r="F47" i="9"/>
  <c r="F44" i="9"/>
  <c r="F42" i="9"/>
  <c r="F40" i="9"/>
  <c r="I8" i="9" a="1"/>
  <c r="I8" i="9" s="1"/>
  <c r="I9" i="9" a="1"/>
  <c r="I9" i="9" s="1"/>
  <c r="I7" i="9" a="1"/>
  <c r="I7" i="9" s="1"/>
  <c r="I4" i="9" a="1"/>
  <c r="I4" i="9"/>
  <c r="I5" i="9" a="1"/>
  <c r="I5" i="9" s="1"/>
  <c r="I3" i="9" a="1"/>
  <c r="I3" i="9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" i="9"/>
  <c r="H63" i="8"/>
  <c r="H62" i="8"/>
  <c r="G63" i="8"/>
  <c r="G62" i="8"/>
  <c r="H61" i="8"/>
  <c r="H60" i="8"/>
  <c r="G61" i="8"/>
  <c r="G60" i="8"/>
  <c r="H43" i="7"/>
  <c r="H40" i="7"/>
  <c r="G43" i="7"/>
  <c r="H41" i="7"/>
  <c r="H42" i="7"/>
  <c r="G40" i="7"/>
  <c r="G41" i="7"/>
  <c r="G42" i="7"/>
  <c r="H56" i="8"/>
  <c r="G56" i="8"/>
  <c r="C56" i="8"/>
  <c r="D56" i="8"/>
  <c r="E56" i="8"/>
  <c r="F56" i="8"/>
  <c r="I43" i="8"/>
  <c r="I44" i="8"/>
  <c r="I45" i="8"/>
  <c r="I42" i="8"/>
  <c r="H43" i="8"/>
  <c r="H44" i="8"/>
  <c r="H45" i="8"/>
  <c r="H42" i="8"/>
  <c r="E43" i="8"/>
  <c r="E44" i="8"/>
  <c r="E45" i="8"/>
  <c r="E42" i="8"/>
  <c r="E37" i="8"/>
  <c r="E38" i="8"/>
  <c r="E39" i="8"/>
  <c r="E36" i="8"/>
  <c r="E31" i="8"/>
  <c r="E32" i="8"/>
  <c r="E33" i="8"/>
  <c r="E34" i="8"/>
  <c r="E27" i="8"/>
  <c r="E28" i="8"/>
  <c r="E29" i="8"/>
  <c r="E26" i="8"/>
  <c r="F22" i="8"/>
  <c r="F23" i="8"/>
  <c r="F24" i="8"/>
  <c r="F21" i="8"/>
  <c r="E24" i="8"/>
  <c r="E23" i="8"/>
  <c r="J12" i="8"/>
  <c r="I15" i="8"/>
  <c r="I14" i="8"/>
  <c r="I13" i="8"/>
  <c r="I12" i="8"/>
  <c r="I9" i="8"/>
  <c r="I8" i="8"/>
  <c r="I7" i="8"/>
  <c r="I5" i="8"/>
  <c r="H5" i="8"/>
  <c r="G5" i="8"/>
  <c r="H23" i="10" l="1"/>
  <c r="J62" i="8"/>
  <c r="I48" i="8"/>
  <c r="E22" i="8"/>
  <c r="E21" i="8"/>
  <c r="H39" i="7"/>
  <c r="G39" i="7"/>
  <c r="E29" i="7"/>
  <c r="E28" i="7"/>
  <c r="E27" i="7"/>
  <c r="D29" i="7"/>
  <c r="D28" i="7"/>
  <c r="D27" i="7"/>
  <c r="G16" i="7"/>
  <c r="G15" i="7"/>
  <c r="F16" i="7"/>
  <c r="D15" i="7"/>
  <c r="E15" i="7" s="1"/>
  <c r="E16" i="7"/>
  <c r="D16" i="7"/>
  <c r="D17" i="7"/>
  <c r="F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C16" i="7"/>
  <c r="C17" i="7"/>
  <c r="C18" i="7"/>
  <c r="C19" i="7"/>
  <c r="C20" i="7"/>
  <c r="C21" i="7"/>
  <c r="C22" i="7"/>
  <c r="C23" i="7"/>
  <c r="C15" i="7"/>
  <c r="H4" i="7"/>
  <c r="H5" i="7"/>
  <c r="H6" i="7"/>
  <c r="H7" i="7"/>
  <c r="H8" i="7"/>
  <c r="H9" i="7"/>
  <c r="H10" i="7"/>
  <c r="H3" i="7"/>
  <c r="H2" i="7"/>
  <c r="G4" i="7"/>
  <c r="G5" i="7"/>
  <c r="G6" i="7"/>
  <c r="G7" i="7"/>
  <c r="G8" i="7"/>
  <c r="G9" i="7"/>
  <c r="G10" i="7"/>
  <c r="G3" i="7"/>
  <c r="G2" i="7"/>
  <c r="F4" i="7"/>
  <c r="F5" i="7"/>
  <c r="F6" i="7"/>
  <c r="F7" i="7"/>
  <c r="F8" i="7"/>
  <c r="F9" i="7"/>
  <c r="F10" i="7"/>
  <c r="F3" i="7"/>
  <c r="F2" i="7"/>
  <c r="D3" i="7"/>
  <c r="D4" i="7"/>
  <c r="D5" i="7"/>
  <c r="D6" i="7"/>
  <c r="D7" i="7"/>
  <c r="D8" i="7"/>
  <c r="D9" i="7"/>
  <c r="D10" i="7"/>
  <c r="D2" i="7"/>
  <c r="C3" i="7"/>
  <c r="E3" i="7" s="1"/>
  <c r="C4" i="7"/>
  <c r="E4" i="7" s="1"/>
  <c r="C5" i="7"/>
  <c r="E5" i="7" s="1"/>
  <c r="C6" i="7"/>
  <c r="E6" i="7" s="1"/>
  <c r="C7" i="7"/>
  <c r="E7" i="7" s="1"/>
  <c r="C8" i="7"/>
  <c r="E8" i="7" s="1"/>
  <c r="C9" i="7"/>
  <c r="E9" i="7" s="1"/>
  <c r="C10" i="7"/>
  <c r="E10" i="7" s="1"/>
  <c r="C2" i="7"/>
  <c r="E2" i="7" s="1"/>
  <c r="G24" i="6"/>
  <c r="G25" i="6"/>
  <c r="G26" i="6"/>
  <c r="G23" i="6"/>
  <c r="F24" i="6"/>
  <c r="F25" i="6"/>
  <c r="F26" i="6"/>
  <c r="F2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3" i="6"/>
  <c r="G5" i="5"/>
  <c r="C23" i="5"/>
  <c r="G23" i="5"/>
  <c r="G22" i="5"/>
  <c r="G21" i="5"/>
  <c r="G20" i="5"/>
  <c r="G19" i="5"/>
  <c r="G17" i="5"/>
  <c r="G14" i="5"/>
  <c r="G13" i="5"/>
  <c r="G9" i="5"/>
  <c r="G7" i="5"/>
  <c r="G4" i="5"/>
  <c r="C26" i="5"/>
  <c r="C30" i="5"/>
  <c r="C29" i="5"/>
  <c r="C28" i="5"/>
  <c r="C27" i="5"/>
  <c r="C25" i="5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7" i="7" l="1"/>
  <c r="E17" i="7"/>
  <c r="F15" i="7"/>
  <c r="F48" i="8"/>
  <c r="F49" i="8"/>
  <c r="F4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<sst xmlns="http://schemas.openxmlformats.org/spreadsheetml/2006/main" count="677" uniqueCount="272">
  <si>
    <t>Excel in Data Analytics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</si>
  <si>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</si>
  <si>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</si>
  <si>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</si>
  <si>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</si>
  <si>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</si>
  <si>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</si>
  <si>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</si>
  <si>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</si>
  <si>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</si>
  <si>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</si>
  <si>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</si>
  <si>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</si>
  <si>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</si>
  <si>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</si>
  <si>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</si>
  <si>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</si>
  <si>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</si>
  <si>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</si>
  <si>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</si>
  <si>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Multiples of 10</t>
  </si>
  <si>
    <t>Multiples of 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</si>
  <si>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</si>
  <si>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</si>
  <si>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</si>
  <si>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</si>
  <si>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</si>
  <si>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</si>
  <si>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</si>
  <si>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</si>
  <si>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</si>
  <si>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</si>
  <si>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</si>
  <si>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</t>
  </si>
  <si>
    <t>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</si>
  <si>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</si>
  <si>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</si>
  <si>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</si>
  <si>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</si>
  <si>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</si>
  <si>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</si>
  <si>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</si>
  <si>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</si>
  <si>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</si>
  <si>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</si>
  <si>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</si>
  <si>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</si>
  <si>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NISHTHA</t>
  </si>
  <si>
    <t>PW Excel</t>
  </si>
  <si>
    <t>Actions - 55</t>
  </si>
  <si>
    <t>EXCEL</t>
  </si>
  <si>
    <t>PW</t>
  </si>
  <si>
    <t>MS OFFICE</t>
  </si>
  <si>
    <t>M365</t>
  </si>
  <si>
    <t>TEXT DATA TYPE</t>
  </si>
  <si>
    <t>esiofjsdk gnvskdlgvsldknb skdnbslkdng sknbsmmbl;dfbmkldnlsdmv</t>
  </si>
  <si>
    <t>DATA ANALYTICS</t>
  </si>
  <si>
    <t>Abhijit</t>
  </si>
  <si>
    <t>Manisha</t>
  </si>
  <si>
    <t>Divya</t>
  </si>
  <si>
    <t>Khushi</t>
  </si>
  <si>
    <t>Vishal</t>
  </si>
  <si>
    <t>Manan</t>
  </si>
  <si>
    <t>LOW TO HIGH</t>
  </si>
  <si>
    <t>HIGH TO LOW</t>
  </si>
  <si>
    <t>Items</t>
  </si>
  <si>
    <t>Prices</t>
  </si>
  <si>
    <t>Dates</t>
  </si>
  <si>
    <t>Regions</t>
  </si>
  <si>
    <t>Sum, Average, Min, Max, Product</t>
  </si>
  <si>
    <t>Beauty products</t>
  </si>
  <si>
    <t>South</t>
  </si>
  <si>
    <t>Mobile Accessories</t>
  </si>
  <si>
    <t>East</t>
  </si>
  <si>
    <t>Sum of prices till C9</t>
  </si>
  <si>
    <t>Home décor</t>
  </si>
  <si>
    <t>Kitchen ware</t>
  </si>
  <si>
    <t>Smart watch</t>
  </si>
  <si>
    <t>West</t>
  </si>
  <si>
    <t>Sum of all prices</t>
  </si>
  <si>
    <t>Baby products</t>
  </si>
  <si>
    <t>North</t>
  </si>
  <si>
    <t>PRODUCT of prices till C9</t>
  </si>
  <si>
    <t>Jewellery</t>
  </si>
  <si>
    <t>Perfumes</t>
  </si>
  <si>
    <t>Personal care</t>
  </si>
  <si>
    <t>Wrist Watch</t>
  </si>
  <si>
    <t>Subtraction</t>
  </si>
  <si>
    <t>Bass Headphones</t>
  </si>
  <si>
    <t>Pet supplies</t>
  </si>
  <si>
    <t>Health &amp; wellness</t>
  </si>
  <si>
    <t>Beverages</t>
  </si>
  <si>
    <t>Average</t>
  </si>
  <si>
    <t>Books</t>
  </si>
  <si>
    <t>Min</t>
  </si>
  <si>
    <t>Max</t>
  </si>
  <si>
    <t>*$^</t>
  </si>
  <si>
    <t>Count</t>
  </si>
  <si>
    <t>Counta</t>
  </si>
  <si>
    <t>Sum of all prices (using autosum function)</t>
  </si>
  <si>
    <t>Countblank</t>
  </si>
  <si>
    <t>S. No.</t>
  </si>
  <si>
    <t>Student Names</t>
  </si>
  <si>
    <t>Science</t>
  </si>
  <si>
    <t>Mathematics</t>
  </si>
  <si>
    <t>Social Studies</t>
  </si>
  <si>
    <t>Total Marks</t>
  </si>
  <si>
    <t>Max. Marks</t>
  </si>
  <si>
    <t>Percentage (data format)</t>
  </si>
  <si>
    <t>Percentage</t>
  </si>
  <si>
    <t>Arshad</t>
  </si>
  <si>
    <t>Amina</t>
  </si>
  <si>
    <t>Chetan</t>
  </si>
  <si>
    <t>Chanchal</t>
  </si>
  <si>
    <t>Erina</t>
  </si>
  <si>
    <t>Deepak</t>
  </si>
  <si>
    <t>Deepti</t>
  </si>
  <si>
    <t>Harshad</t>
  </si>
  <si>
    <t>Jane</t>
  </si>
  <si>
    <t>Imli</t>
  </si>
  <si>
    <t>Keshav</t>
  </si>
  <si>
    <t>Kajal</t>
  </si>
  <si>
    <t>Kriti</t>
  </si>
  <si>
    <t>Naman</t>
  </si>
  <si>
    <t>5000+6000+7000+8000+9000</t>
  </si>
  <si>
    <t>B25+B26+B27+B28+B29</t>
  </si>
  <si>
    <t>FORMULAS</t>
  </si>
  <si>
    <t>B26-B27</t>
  </si>
  <si>
    <t>B26/B25</t>
  </si>
  <si>
    <t>B25*B26</t>
  </si>
  <si>
    <t>B25*B26*B28</t>
  </si>
  <si>
    <t>Formula Bar / Background</t>
  </si>
  <si>
    <t>NAMES</t>
  </si>
  <si>
    <t>UPPER</t>
  </si>
  <si>
    <t>LOWER</t>
  </si>
  <si>
    <t>PROPER</t>
  </si>
  <si>
    <t>LEFT</t>
  </si>
  <si>
    <t>RIGHT</t>
  </si>
  <si>
    <t>MID</t>
  </si>
  <si>
    <t>Ananya Shroff</t>
  </si>
  <si>
    <t>Arohi Sharma</t>
  </si>
  <si>
    <t>Mohandas Karamchand Gandhi</t>
  </si>
  <si>
    <t>Milind Kumar Kalra</t>
  </si>
  <si>
    <t>Anshu Poonawala</t>
  </si>
  <si>
    <t>Rahul Singh Sharma</t>
  </si>
  <si>
    <t>Neil Armstrong</t>
  </si>
  <si>
    <t>Avnish Agrawal</t>
  </si>
  <si>
    <t>Shashank Khan</t>
  </si>
  <si>
    <t>LENGTH</t>
  </si>
  <si>
    <t>TRIM</t>
  </si>
  <si>
    <t>FIND</t>
  </si>
  <si>
    <t>SEARCH</t>
  </si>
  <si>
    <t>Ananya     Pandey</t>
  </si>
  <si>
    <t xml:space="preserve">       Arohi Sharma</t>
  </si>
  <si>
    <t>Mohandas    Karamchand G    andhi</t>
  </si>
  <si>
    <t xml:space="preserve">           Milind     Kalra</t>
  </si>
  <si>
    <t xml:space="preserve">Anshu          Poonawala      </t>
  </si>
  <si>
    <t xml:space="preserve">Rahul Singh Sharma      </t>
  </si>
  <si>
    <t xml:space="preserve">  Neil   Armstrong</t>
  </si>
  <si>
    <t xml:space="preserve">     Shashank Khan</t>
  </si>
  <si>
    <t>SUBSTITUTE</t>
  </si>
  <si>
    <t>REPLACE</t>
  </si>
  <si>
    <t>Ananya Pandey</t>
  </si>
  <si>
    <t>Batty bought a bit of butter</t>
  </si>
  <si>
    <t>abc</t>
  </si>
  <si>
    <t>xyz</t>
  </si>
  <si>
    <t>def</t>
  </si>
  <si>
    <t>uvw</t>
  </si>
  <si>
    <t>Multiply By</t>
  </si>
  <si>
    <t>Constant</t>
  </si>
  <si>
    <t>FUNCTIONS</t>
  </si>
  <si>
    <t>Today</t>
  </si>
  <si>
    <t>Now</t>
  </si>
  <si>
    <t>Y</t>
  </si>
  <si>
    <t>Date</t>
  </si>
  <si>
    <t>Current date</t>
  </si>
  <si>
    <t>Current time</t>
  </si>
  <si>
    <t>DATE</t>
  </si>
  <si>
    <t>Day, Month, Year</t>
  </si>
  <si>
    <t>Add/Subtract days</t>
  </si>
  <si>
    <t>Add/Subtract months</t>
  </si>
  <si>
    <t>Day</t>
  </si>
  <si>
    <t>Dates to days</t>
  </si>
  <si>
    <t>month</t>
  </si>
  <si>
    <t>Edate</t>
  </si>
  <si>
    <t>Year</t>
  </si>
  <si>
    <t>EOMonth</t>
  </si>
  <si>
    <t>Weekday</t>
  </si>
  <si>
    <t>Start date</t>
  </si>
  <si>
    <t>End date</t>
  </si>
  <si>
    <t>No. of Months</t>
  </si>
  <si>
    <t>No. of Days</t>
  </si>
  <si>
    <t>Weeknum</t>
  </si>
  <si>
    <t>Days</t>
  </si>
  <si>
    <t>Datedif</t>
  </si>
  <si>
    <t>Calculate age</t>
  </si>
  <si>
    <t>Networkdays</t>
  </si>
  <si>
    <t>Networkdays.intl</t>
  </si>
  <si>
    <t>Months</t>
  </si>
  <si>
    <t>DATES</t>
  </si>
  <si>
    <t>DAY Names</t>
  </si>
  <si>
    <t>Edate (add/subtract)</t>
  </si>
  <si>
    <t>Dates to Days</t>
  </si>
  <si>
    <t>Last day / date of the month</t>
  </si>
  <si>
    <t>EOMONTH</t>
  </si>
  <si>
    <t>Which day of the week ?</t>
  </si>
  <si>
    <t>Which week number in that year?</t>
  </si>
  <si>
    <t>Months' Difference</t>
  </si>
  <si>
    <t>Days' Difference</t>
  </si>
  <si>
    <t>Years' Difference</t>
  </si>
  <si>
    <t>DOB</t>
  </si>
  <si>
    <t>Years</t>
  </si>
  <si>
    <t>AGE</t>
  </si>
  <si>
    <t>TODAY</t>
  </si>
  <si>
    <t>Datedifference</t>
  </si>
  <si>
    <t>HOMEWORK</t>
  </si>
  <si>
    <t>Units</t>
  </si>
  <si>
    <t>MD</t>
  </si>
  <si>
    <t>YM</t>
  </si>
  <si>
    <t>YD</t>
  </si>
  <si>
    <t>Answer</t>
  </si>
  <si>
    <t>Overall difference in years</t>
  </si>
  <si>
    <t>Overall difference in months</t>
  </si>
  <si>
    <t>Without Holidays</t>
  </si>
  <si>
    <t>With Holidays</t>
  </si>
  <si>
    <t>Overall difference in days</t>
  </si>
  <si>
    <t>Exact difference in days, ignores months and years</t>
  </si>
  <si>
    <t>For just one week off, ex. - Sunday Only</t>
  </si>
  <si>
    <t>Exact difference in months, ignores days and years</t>
  </si>
  <si>
    <t>Exact difference in days, ignores years</t>
  </si>
  <si>
    <t>Republic day</t>
  </si>
  <si>
    <t>&lt;-- Does not work the same for foreign countries</t>
  </si>
  <si>
    <t>Washington's birthday</t>
  </si>
  <si>
    <t>National Holidays - USA</t>
  </si>
  <si>
    <t>Independence Day</t>
  </si>
  <si>
    <t>Gandhi Jayanti</t>
  </si>
  <si>
    <t>Labor day</t>
  </si>
  <si>
    <t>Names</t>
  </si>
  <si>
    <t>Total Scores</t>
  </si>
  <si>
    <t>RESULT</t>
  </si>
  <si>
    <t>Criteria - Scores &gt;= 180, Excellent</t>
  </si>
  <si>
    <t>2 conditions</t>
  </si>
  <si>
    <t>Ifs function</t>
  </si>
  <si>
    <t>3 conditions</t>
  </si>
  <si>
    <t>4 conditions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</si>
  <si>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</si>
  <si>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</si>
  <si>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</si>
  <si>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</si>
  <si>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</si>
  <si>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</si>
  <si>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</si>
  <si>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</si>
  <si>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</si>
  <si>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</si>
  <si>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</si>
  <si>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AB</t>
  </si>
  <si>
    <t>BC</t>
  </si>
  <si>
    <t>CD</t>
  </si>
  <si>
    <t>DE</t>
  </si>
  <si>
    <t>EF</t>
  </si>
  <si>
    <t>FG</t>
  </si>
  <si>
    <t>GH</t>
  </si>
  <si>
    <t>SUMIF</t>
  </si>
  <si>
    <t>AVERAGEIF</t>
  </si>
  <si>
    <t>TOTAL</t>
  </si>
  <si>
    <t>Days added / subtracted</t>
  </si>
  <si>
    <t>Add / Subtract Months</t>
  </si>
  <si>
    <t>CONCATENATE (with spaces)</t>
  </si>
  <si>
    <t>CONCATENATE (with spaces and symbols)</t>
  </si>
  <si>
    <t>National Holidays - INDIA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</si>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</sst>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₹&quot;\ #,##0"/>
    <numFmt numFmtId="165" formatCode="0.0000"/>
    <numFmt numFmtId="166" formatCode="[$-F800]dddd\,\ mmmm\ dd\,\ yyyy"/>
    <numFmt numFmtId="167" formatCode="[$-14009]yyyy/mm/dd;@"/>
    <numFmt numFmtId="168" formatCode="&quot;₹&quot;\ #,##0.00"/>
    <numFmt numFmtId="169" formatCode="&quot;₹&quot;\ #,##0.000"/>
    <numFmt numFmtId="170" formatCode="[$-10409]hh:mm:ss\ AM/PM"/>
    <numFmt numFmtId="171" formatCode="[$-14009]dd/mm/yyyy"/>
    <numFmt numFmtId="172" formatCode="dddd"/>
    <numFmt numFmtId="173" formatCode="dd\/mm\/yyyy"/>
  </numFmts>
  <fonts count="6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Bookman Old Style"/>
      <family val="1"/>
    </font>
    <font>
      <sz val="16"/>
      <color theme="1"/>
      <name val="Aptos Narrow"/>
      <family val="2"/>
      <scheme val="minor"/>
    </font>
    <font>
      <b/>
      <i/>
      <u/>
      <sz val="14"/>
      <color theme="3" tint="0.249977111117893"/>
      <name val="Bookman Old Style"/>
      <family val="1"/>
    </font>
    <font>
      <b/>
      <i/>
      <u/>
      <sz val="14"/>
      <color theme="9" tint="-0.249977111117893"/>
      <name val="Bookman Old Style"/>
      <family val="1"/>
    </font>
    <font>
      <b/>
      <sz val="18"/>
      <color theme="9" tint="-0.249977111117893"/>
      <name val="Algerian"/>
      <family val="5"/>
    </font>
    <font>
      <sz val="11"/>
      <color theme="1"/>
      <name val="Aptos Narrow"/>
      <family val="2"/>
      <scheme val="minor"/>
    </font>
    <font>
      <b/>
      <i/>
      <sz val="12"/>
      <color theme="1"/>
      <name val="Amasis MT Pro Medium"/>
      <family val="1"/>
    </font>
    <font>
      <sz val="14"/>
      <color theme="1"/>
      <name val="Aptos Narrow"/>
      <family val="2"/>
      <scheme val="minor"/>
    </font>
    <font>
      <b/>
      <i/>
      <u/>
      <sz val="20"/>
      <color theme="6" tint="-0.249977111117893"/>
      <name val="Algerian"/>
      <family val="5"/>
    </font>
    <font>
      <b/>
      <sz val="14"/>
      <color theme="1"/>
      <name val="Aptos Narrow"/>
      <family val="2"/>
      <scheme val="minor"/>
    </font>
    <font>
      <b/>
      <sz val="14"/>
      <color theme="1"/>
      <name val="Cambria Math"/>
      <family val="1"/>
    </font>
    <font>
      <b/>
      <sz val="16"/>
      <color theme="1"/>
      <name val="Aptos Narrow"/>
      <family val="2"/>
      <scheme val="minor"/>
    </font>
    <font>
      <sz val="14"/>
      <color theme="1"/>
      <name val="Amasis MT Pro"/>
      <family val="1"/>
    </font>
    <font>
      <b/>
      <sz val="14"/>
      <color theme="0"/>
      <name val="Amasis MT Pro"/>
      <family val="1"/>
    </font>
    <font>
      <b/>
      <sz val="14"/>
      <color theme="1"/>
      <name val="Amasis MT Pro"/>
      <family val="1"/>
    </font>
    <font>
      <sz val="12"/>
      <color theme="1"/>
      <name val="Aptos Narrow"/>
      <family val="2"/>
      <scheme val="minor"/>
    </font>
    <font>
      <b/>
      <u/>
      <sz val="12"/>
      <color theme="1"/>
      <name val="Book Antiqua"/>
      <family val="1"/>
    </font>
    <font>
      <sz val="12"/>
      <color theme="1"/>
      <name val="Book Antiqua"/>
      <family val="1"/>
    </font>
    <font>
      <b/>
      <u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b/>
      <i/>
      <u/>
      <sz val="10"/>
      <color theme="1"/>
      <name val="Bookman Old Style"/>
      <family val="1"/>
    </font>
    <font>
      <b/>
      <u/>
      <sz val="10"/>
      <color rgb="FFC00000"/>
      <name val="Bookman Old Style"/>
      <family val="1"/>
    </font>
    <font>
      <b/>
      <i/>
      <sz val="10"/>
      <color rgb="FFC00000"/>
      <name val="Bookman Old Style"/>
      <family val="1"/>
    </font>
    <font>
      <b/>
      <u/>
      <sz val="10"/>
      <color theme="8" tint="-0.249977111117893"/>
      <name val="Algerian"/>
      <family val="5"/>
    </font>
    <font>
      <b/>
      <sz val="10"/>
      <color rgb="FFC00000"/>
      <name val="Bookman Old Style"/>
      <family val="1"/>
    </font>
    <font>
      <sz val="14"/>
      <color theme="1"/>
      <name val="Cambria"/>
      <family val="1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Amasis MT Pro"/>
      <family val="1"/>
    </font>
    <font>
      <b/>
      <i/>
      <u/>
      <sz val="12"/>
      <color theme="1"/>
      <name val="Amasis MT Pro"/>
      <family val="1"/>
    </font>
    <font>
      <sz val="12"/>
      <color theme="1"/>
      <name val="Amasis MT Pro"/>
      <family val="1"/>
    </font>
    <font>
      <sz val="12"/>
      <name val="Calibri"/>
      <family val="2"/>
    </font>
    <font>
      <b/>
      <u/>
      <sz val="12"/>
      <color theme="1"/>
      <name val="Amasis MT Pro"/>
      <family val="1"/>
    </font>
    <font>
      <b/>
      <u/>
      <sz val="12"/>
      <color theme="0"/>
      <name val="Amasis MT Pro"/>
      <family val="1"/>
    </font>
    <font>
      <b/>
      <sz val="12"/>
      <name val="Calibri"/>
      <family val="2"/>
    </font>
    <font>
      <b/>
      <u/>
      <sz val="16"/>
      <color rgb="FFFF0000"/>
      <name val="Amasis MT Pro"/>
      <family val="1"/>
    </font>
    <font>
      <b/>
      <u/>
      <sz val="14"/>
      <color theme="1"/>
      <name val="Amasis MT Pro"/>
      <family val="1"/>
    </font>
    <font>
      <b/>
      <i/>
      <u/>
      <sz val="14"/>
      <color rgb="FFFF0000"/>
      <name val="Amasis MT Pro"/>
      <family val="1"/>
    </font>
    <font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u/>
      <sz val="14"/>
      <color theme="1"/>
      <name val="Bookman Old Style"/>
      <family val="1"/>
    </font>
    <font>
      <b/>
      <i/>
      <u/>
      <sz val="12"/>
      <color rgb="FFFF0000"/>
      <name val="Amasis MT Pro"/>
      <family val="1"/>
    </font>
    <font>
      <b/>
      <sz val="12"/>
      <color theme="1"/>
      <name val="Aptos Narrow"/>
      <family val="2"/>
      <scheme val="minor"/>
    </font>
    <font>
      <b/>
      <u/>
      <sz val="13"/>
      <color theme="1"/>
      <name val="Book Antiqua"/>
      <family val="1"/>
    </font>
    <font>
      <sz val="13"/>
      <color theme="1"/>
      <name val="Book Antiqua"/>
      <family val="1"/>
    </font>
    <font>
      <b/>
      <i/>
      <sz val="15"/>
      <color theme="1"/>
      <name val="Cambria"/>
      <family val="1"/>
    </font>
    <font>
      <sz val="15"/>
      <color theme="1"/>
      <name val="Cambria"/>
      <family val="1"/>
    </font>
    <font>
      <b/>
      <sz val="16"/>
      <color theme="1"/>
      <name val="Cambria"/>
      <family val="1"/>
    </font>
    <font>
      <b/>
      <sz val="20"/>
      <color rgb="FFC00000"/>
      <name val="Cambria"/>
      <family val="1"/>
    </font>
    <font>
      <b/>
      <sz val="19"/>
      <color rgb="FFC00000"/>
      <name val="Cambria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sz val="15"/>
      <color theme="1"/>
      <name val="Amasis MT Pro"/>
      <family val="1"/>
    </font>
    <font>
      <b/>
      <sz val="15"/>
      <color theme="1"/>
      <name val="Amasis MT Pro"/>
      <family val="1"/>
    </font>
    <font>
      <b/>
      <sz val="15"/>
      <name val="Calibri"/>
      <family val="2"/>
    </font>
    <font>
      <b/>
      <i/>
      <u/>
      <sz val="14"/>
      <color theme="1"/>
      <name val="Amasis MT Pro"/>
      <family val="1"/>
    </font>
    <font>
      <b/>
      <sz val="18"/>
      <color theme="1"/>
      <name val="Amasis MT Pro"/>
      <family val="1"/>
    </font>
    <font>
      <b/>
      <sz val="12"/>
      <color theme="1"/>
      <name val="Bookman Old Style"/>
      <family val="1"/>
    </font>
    <font>
      <sz val="18"/>
      <color theme="1"/>
      <name val="Aptos Narrow"/>
      <family val="2"/>
      <scheme val="minor"/>
    </font>
    <font>
      <sz val="16"/>
      <color theme="1"/>
      <name val="Algerian"/>
      <family val="5"/>
    </font>
    <font>
      <b/>
      <u/>
      <sz val="18"/>
      <color theme="3" tint="0.249977111117893"/>
      <name val="Algerian"/>
      <family val="5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5" tint="0.59999389629810485"/>
        <bgColor rgb="FFC5E0B3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</cellStyleXfs>
  <cellXfs count="29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7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14" fillId="0" borderId="3" xfId="0" applyFont="1" applyBorder="1"/>
    <xf numFmtId="14" fontId="12" fillId="0" borderId="3" xfId="0" applyNumberFormat="1" applyFont="1" applyBorder="1"/>
    <xf numFmtId="49" fontId="12" fillId="0" borderId="3" xfId="0" applyNumberFormat="1" applyFont="1" applyBorder="1"/>
    <xf numFmtId="164" fontId="12" fillId="0" borderId="3" xfId="0" applyNumberFormat="1" applyFont="1" applyBorder="1"/>
    <xf numFmtId="165" fontId="12" fillId="0" borderId="3" xfId="0" applyNumberFormat="1" applyFont="1" applyBorder="1"/>
    <xf numFmtId="9" fontId="12" fillId="0" borderId="3" xfId="1" applyFont="1" applyBorder="1"/>
    <xf numFmtId="166" fontId="12" fillId="0" borderId="3" xfId="0" applyNumberFormat="1" applyFont="1" applyBorder="1"/>
    <xf numFmtId="167" fontId="12" fillId="0" borderId="3" xfId="0" applyNumberFormat="1" applyFont="1" applyBorder="1"/>
    <xf numFmtId="0" fontId="15" fillId="0" borderId="0" xfId="0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17" fillId="0" borderId="4" xfId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/>
    <xf numFmtId="0" fontId="19" fillId="3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" fontId="20" fillId="0" borderId="1" xfId="3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8" borderId="1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7" borderId="1" xfId="2" applyFont="1" applyFill="1" applyBorder="1" applyAlignment="1">
      <alignment horizontal="center" vertical="center" wrapText="1"/>
    </xf>
    <xf numFmtId="168" fontId="22" fillId="8" borderId="1" xfId="2" applyNumberFormat="1" applyFont="1" applyFill="1" applyBorder="1" applyAlignment="1">
      <alignment horizontal="center" vertical="center" wrapText="1"/>
    </xf>
    <xf numFmtId="166" fontId="22" fillId="7" borderId="1" xfId="2" applyNumberFormat="1" applyFont="1" applyFill="1" applyBorder="1" applyAlignment="1">
      <alignment horizontal="center" vertical="center" wrapText="1"/>
    </xf>
    <xf numFmtId="164" fontId="24" fillId="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4" fontId="24" fillId="8" borderId="0" xfId="0" applyNumberFormat="1" applyFont="1" applyFill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68" fontId="22" fillId="7" borderId="1" xfId="2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168" fontId="22" fillId="7" borderId="5" xfId="2" applyNumberFormat="1" applyFont="1" applyFill="1" applyBorder="1" applyAlignment="1">
      <alignment horizontal="center" vertical="center" wrapText="1"/>
    </xf>
    <xf numFmtId="0" fontId="22" fillId="7" borderId="7" xfId="2" applyFont="1" applyFill="1" applyBorder="1" applyAlignment="1">
      <alignment horizontal="center" vertical="center" wrapText="1"/>
    </xf>
    <xf numFmtId="0" fontId="22" fillId="7" borderId="8" xfId="2" applyFont="1" applyFill="1" applyBorder="1" applyAlignment="1">
      <alignment horizontal="center" vertical="center" wrapText="1"/>
    </xf>
    <xf numFmtId="166" fontId="22" fillId="7" borderId="2" xfId="2" applyNumberFormat="1" applyFont="1" applyFill="1" applyBorder="1" applyAlignment="1">
      <alignment horizontal="center" vertical="center" wrapText="1"/>
    </xf>
    <xf numFmtId="168" fontId="22" fillId="7" borderId="6" xfId="2" applyNumberFormat="1" applyFont="1" applyFill="1" applyBorder="1" applyAlignment="1">
      <alignment horizontal="center" vertical="center" wrapText="1"/>
    </xf>
    <xf numFmtId="166" fontId="22" fillId="7" borderId="5" xfId="2" applyNumberFormat="1" applyFont="1" applyFill="1" applyBorder="1" applyAlignment="1">
      <alignment horizontal="center" vertical="center" wrapText="1"/>
    </xf>
    <xf numFmtId="0" fontId="22" fillId="7" borderId="5" xfId="2" applyFont="1" applyFill="1" applyBorder="1" applyAlignment="1">
      <alignment horizontal="center" vertical="center" wrapText="1"/>
    </xf>
    <xf numFmtId="0" fontId="25" fillId="7" borderId="8" xfId="2" applyFont="1" applyFill="1" applyBorder="1" applyAlignment="1">
      <alignment horizontal="center" vertical="center" wrapText="1"/>
    </xf>
    <xf numFmtId="166" fontId="22" fillId="7" borderId="9" xfId="2" applyNumberFormat="1" applyFont="1" applyFill="1" applyBorder="1" applyAlignment="1">
      <alignment horizontal="center" vertical="center" wrapText="1"/>
    </xf>
    <xf numFmtId="0" fontId="22" fillId="7" borderId="10" xfId="2" applyFont="1" applyFill="1" applyBorder="1" applyAlignment="1">
      <alignment horizontal="center" vertical="center" wrapText="1"/>
    </xf>
    <xf numFmtId="166" fontId="22" fillId="7" borderId="10" xfId="2" applyNumberFormat="1" applyFont="1" applyFill="1" applyBorder="1" applyAlignment="1">
      <alignment horizontal="center" vertical="center" wrapText="1"/>
    </xf>
    <xf numFmtId="0" fontId="26" fillId="8" borderId="1" xfId="2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168" fontId="26" fillId="8" borderId="1" xfId="0" applyNumberFormat="1" applyFont="1" applyFill="1" applyBorder="1" applyAlignment="1">
      <alignment horizontal="center" vertical="center" wrapText="1"/>
    </xf>
    <xf numFmtId="0" fontId="32" fillId="9" borderId="1" xfId="4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center" vertical="center" wrapText="1"/>
    </xf>
    <xf numFmtId="0" fontId="32" fillId="9" borderId="6" xfId="4" applyFont="1" applyFill="1" applyBorder="1" applyAlignment="1">
      <alignment horizontal="center" vertical="center" wrapText="1"/>
    </xf>
    <xf numFmtId="0" fontId="31" fillId="10" borderId="1" xfId="4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2" fontId="20" fillId="2" borderId="1" xfId="1" applyNumberFormat="1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left" vertical="center" wrapText="1"/>
    </xf>
    <xf numFmtId="0" fontId="31" fillId="0" borderId="0" xfId="4" applyFont="1" applyAlignment="1">
      <alignment horizontal="left" vertical="center" wrapText="1"/>
    </xf>
    <xf numFmtId="0" fontId="32" fillId="9" borderId="1" xfId="4" applyFont="1" applyFill="1" applyBorder="1" applyAlignment="1">
      <alignment horizontal="left" vertical="center" wrapText="1"/>
    </xf>
    <xf numFmtId="0" fontId="31" fillId="0" borderId="12" xfId="4" applyFont="1" applyBorder="1" applyAlignment="1">
      <alignment horizontal="left" vertical="center" wrapText="1"/>
    </xf>
    <xf numFmtId="0" fontId="31" fillId="10" borderId="1" xfId="4" applyFont="1" applyFill="1" applyBorder="1" applyAlignment="1">
      <alignment horizontal="left" vertical="center" wrapText="1"/>
    </xf>
    <xf numFmtId="0" fontId="33" fillId="0" borderId="1" xfId="4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4" fillId="2" borderId="1" xfId="5" applyFont="1" applyFill="1" applyBorder="1" applyAlignment="1">
      <alignment horizontal="center" vertical="center" wrapText="1"/>
    </xf>
    <xf numFmtId="14" fontId="34" fillId="0" borderId="0" xfId="5" applyNumberFormat="1" applyFont="1" applyAlignment="1">
      <alignment horizontal="center" vertical="center" wrapText="1"/>
    </xf>
    <xf numFmtId="0" fontId="34" fillId="0" borderId="0" xfId="5" applyFont="1" applyAlignment="1">
      <alignment horizontal="center" vertical="center" wrapText="1"/>
    </xf>
    <xf numFmtId="0" fontId="36" fillId="0" borderId="0" xfId="5" applyFont="1" applyAlignment="1">
      <alignment horizontal="center" vertical="center" wrapText="1"/>
    </xf>
    <xf numFmtId="0" fontId="36" fillId="0" borderId="13" xfId="5" applyFont="1" applyBorder="1" applyAlignment="1">
      <alignment horizontal="center" vertical="center" wrapText="1"/>
    </xf>
    <xf numFmtId="14" fontId="36" fillId="0" borderId="13" xfId="5" applyNumberFormat="1" applyFont="1" applyBorder="1" applyAlignment="1">
      <alignment horizontal="center" vertical="center" wrapText="1"/>
    </xf>
    <xf numFmtId="14" fontId="36" fillId="0" borderId="14" xfId="5" applyNumberFormat="1" applyFont="1" applyBorder="1" applyAlignment="1">
      <alignment horizontal="center" vertical="center" wrapText="1"/>
    </xf>
    <xf numFmtId="0" fontId="34" fillId="0" borderId="13" xfId="5" applyFont="1" applyBorder="1" applyAlignment="1">
      <alignment horizontal="center" vertical="center" wrapText="1"/>
    </xf>
    <xf numFmtId="0" fontId="34" fillId="0" borderId="14" xfId="5" applyFont="1" applyBorder="1" applyAlignment="1">
      <alignment horizontal="center" vertical="center" wrapText="1"/>
    </xf>
    <xf numFmtId="0" fontId="39" fillId="14" borderId="1" xfId="5" applyFont="1" applyFill="1" applyBorder="1" applyAlignment="1">
      <alignment horizontal="center" vertical="center" wrapText="1"/>
    </xf>
    <xf numFmtId="0" fontId="18" fillId="0" borderId="0" xfId="0" applyFont="1"/>
    <xf numFmtId="0" fontId="34" fillId="11" borderId="13" xfId="5" applyFont="1" applyFill="1" applyBorder="1" applyAlignment="1">
      <alignment horizontal="center" vertical="center" wrapText="1"/>
    </xf>
    <xf numFmtId="0" fontId="36" fillId="11" borderId="13" xfId="5" applyFont="1" applyFill="1" applyBorder="1" applyAlignment="1">
      <alignment horizontal="center" vertical="center" wrapText="1"/>
    </xf>
    <xf numFmtId="0" fontId="36" fillId="11" borderId="14" xfId="5" applyFont="1" applyFill="1" applyBorder="1" applyAlignment="1">
      <alignment horizontal="center" vertical="center" wrapText="1"/>
    </xf>
    <xf numFmtId="14" fontId="36" fillId="0" borderId="0" xfId="5" applyNumberFormat="1" applyFont="1" applyAlignment="1">
      <alignment horizontal="center" vertical="center" wrapText="1"/>
    </xf>
    <xf numFmtId="49" fontId="36" fillId="0" borderId="0" xfId="5" applyNumberFormat="1" applyFont="1" applyAlignment="1">
      <alignment horizontal="center" vertical="center" wrapText="1"/>
    </xf>
    <xf numFmtId="1" fontId="36" fillId="0" borderId="0" xfId="5" applyNumberFormat="1" applyFont="1" applyAlignment="1">
      <alignment horizontal="center" vertical="center" wrapText="1"/>
    </xf>
    <xf numFmtId="0" fontId="34" fillId="0" borderId="15" xfId="5" applyFont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14" fontId="36" fillId="0" borderId="15" xfId="5" applyNumberFormat="1" applyFont="1" applyBorder="1" applyAlignment="1">
      <alignment horizontal="center" vertical="center" wrapText="1"/>
    </xf>
    <xf numFmtId="170" fontId="36" fillId="0" borderId="14" xfId="5" applyNumberFormat="1" applyFont="1" applyBorder="1" applyAlignment="1">
      <alignment horizontal="center" vertical="center" wrapText="1"/>
    </xf>
    <xf numFmtId="14" fontId="36" fillId="0" borderId="1" xfId="5" applyNumberFormat="1" applyFont="1" applyBorder="1" applyAlignment="1">
      <alignment horizontal="center" vertical="center" wrapText="1"/>
    </xf>
    <xf numFmtId="22" fontId="36" fillId="0" borderId="1" xfId="5" applyNumberFormat="1" applyFont="1" applyBorder="1" applyAlignment="1">
      <alignment horizontal="center" vertical="center" wrapText="1"/>
    </xf>
    <xf numFmtId="171" fontId="36" fillId="0" borderId="13" xfId="5" applyNumberFormat="1" applyFont="1" applyBorder="1" applyAlignment="1">
      <alignment horizontal="center" vertical="center" wrapText="1"/>
    </xf>
    <xf numFmtId="1" fontId="36" fillId="0" borderId="13" xfId="5" applyNumberFormat="1" applyFont="1" applyBorder="1" applyAlignment="1">
      <alignment horizontal="center" vertical="center" wrapText="1"/>
    </xf>
    <xf numFmtId="0" fontId="34" fillId="8" borderId="1" xfId="5" applyFont="1" applyFill="1" applyBorder="1" applyAlignment="1">
      <alignment horizontal="center" vertical="center" wrapText="1"/>
    </xf>
    <xf numFmtId="0" fontId="34" fillId="8" borderId="17" xfId="5" applyFont="1" applyFill="1" applyBorder="1" applyAlignment="1">
      <alignment horizontal="center" vertical="center" wrapText="1"/>
    </xf>
    <xf numFmtId="0" fontId="34" fillId="8" borderId="18" xfId="5" applyFont="1" applyFill="1" applyBorder="1" applyAlignment="1">
      <alignment horizontal="center" vertical="center" wrapText="1"/>
    </xf>
    <xf numFmtId="0" fontId="34" fillId="8" borderId="19" xfId="5" applyFont="1" applyFill="1" applyBorder="1" applyAlignment="1">
      <alignment horizontal="center" vertical="center" wrapText="1"/>
    </xf>
    <xf numFmtId="0" fontId="36" fillId="0" borderId="20" xfId="5" applyFont="1" applyBorder="1" applyAlignment="1">
      <alignment horizontal="center" vertical="center" wrapText="1"/>
    </xf>
    <xf numFmtId="172" fontId="36" fillId="0" borderId="13" xfId="5" applyNumberFormat="1" applyFont="1" applyBorder="1" applyAlignment="1">
      <alignment horizontal="center" vertical="center" wrapText="1"/>
    </xf>
    <xf numFmtId="172" fontId="36" fillId="0" borderId="0" xfId="5" applyNumberFormat="1" applyFont="1" applyAlignment="1">
      <alignment horizontal="center" vertical="center" wrapText="1"/>
    </xf>
    <xf numFmtId="0" fontId="36" fillId="0" borderId="29" xfId="5" applyFont="1" applyBorder="1" applyAlignment="1">
      <alignment horizontal="center" vertical="center" wrapText="1"/>
    </xf>
    <xf numFmtId="0" fontId="38" fillId="0" borderId="1" xfId="5" applyFont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 wrapText="1"/>
    </xf>
    <xf numFmtId="171" fontId="36" fillId="0" borderId="1" xfId="5" applyNumberFormat="1" applyFont="1" applyBorder="1" applyAlignment="1">
      <alignment horizontal="center" vertical="center" wrapText="1"/>
    </xf>
    <xf numFmtId="0" fontId="34" fillId="12" borderId="13" xfId="5" applyFont="1" applyFill="1" applyBorder="1" applyAlignment="1">
      <alignment horizontal="center" vertical="center" wrapText="1"/>
    </xf>
    <xf numFmtId="0" fontId="36" fillId="0" borderId="14" xfId="5" applyFont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14" fontId="34" fillId="0" borderId="13" xfId="5" applyNumberFormat="1" applyFont="1" applyBorder="1" applyAlignment="1">
      <alignment horizontal="center" vertical="center" wrapText="1"/>
    </xf>
    <xf numFmtId="14" fontId="34" fillId="13" borderId="1" xfId="5" applyNumberFormat="1" applyFont="1" applyFill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173" fontId="36" fillId="2" borderId="1" xfId="5" applyNumberFormat="1" applyFont="1" applyFill="1" applyBorder="1" applyAlignment="1">
      <alignment horizontal="center" vertical="center" wrapText="1"/>
    </xf>
    <xf numFmtId="0" fontId="36" fillId="2" borderId="1" xfId="5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36" fillId="15" borderId="13" xfId="5" applyFont="1" applyFill="1" applyBorder="1" applyAlignment="1">
      <alignment horizontal="center" vertical="center" wrapText="1"/>
    </xf>
    <xf numFmtId="173" fontId="36" fillId="16" borderId="1" xfId="5" applyNumberFormat="1" applyFont="1" applyFill="1" applyBorder="1" applyAlignment="1">
      <alignment horizontal="center" vertical="center" wrapText="1"/>
    </xf>
    <xf numFmtId="0" fontId="36" fillId="16" borderId="1" xfId="5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42" fillId="8" borderId="1" xfId="0" applyFont="1" applyFill="1" applyBorder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42" fillId="7" borderId="0" xfId="0" applyFont="1" applyFill="1" applyAlignment="1">
      <alignment vertical="center" wrapText="1"/>
    </xf>
    <xf numFmtId="0" fontId="44" fillId="7" borderId="1" xfId="2" applyFont="1" applyFill="1" applyBorder="1" applyAlignment="1">
      <alignment horizontal="center" vertical="center" wrapText="1"/>
    </xf>
    <xf numFmtId="168" fontId="44" fillId="8" borderId="1" xfId="2" applyNumberFormat="1" applyFont="1" applyFill="1" applyBorder="1" applyAlignment="1">
      <alignment horizontal="center" vertical="center" wrapText="1"/>
    </xf>
    <xf numFmtId="166" fontId="44" fillId="7" borderId="1" xfId="2" applyNumberFormat="1" applyFont="1" applyFill="1" applyBorder="1" applyAlignment="1">
      <alignment horizontal="center" vertical="center" wrapText="1"/>
    </xf>
    <xf numFmtId="168" fontId="44" fillId="7" borderId="1" xfId="2" applyNumberFormat="1" applyFont="1" applyFill="1" applyBorder="1" applyAlignment="1">
      <alignment horizontal="center" vertical="center" wrapText="1"/>
    </xf>
    <xf numFmtId="168" fontId="44" fillId="7" borderId="5" xfId="2" applyNumberFormat="1" applyFont="1" applyFill="1" applyBorder="1" applyAlignment="1">
      <alignment horizontal="center" vertical="center" wrapText="1"/>
    </xf>
    <xf numFmtId="0" fontId="44" fillId="7" borderId="7" xfId="2" applyFont="1" applyFill="1" applyBorder="1" applyAlignment="1">
      <alignment horizontal="center" vertical="center" wrapText="1"/>
    </xf>
    <xf numFmtId="0" fontId="44" fillId="7" borderId="8" xfId="2" applyFont="1" applyFill="1" applyBorder="1" applyAlignment="1">
      <alignment horizontal="center" vertical="center" wrapText="1"/>
    </xf>
    <xf numFmtId="166" fontId="44" fillId="7" borderId="2" xfId="2" applyNumberFormat="1" applyFont="1" applyFill="1" applyBorder="1" applyAlignment="1">
      <alignment horizontal="center" vertical="center" wrapText="1"/>
    </xf>
    <xf numFmtId="168" fontId="44" fillId="7" borderId="6" xfId="2" applyNumberFormat="1" applyFont="1" applyFill="1" applyBorder="1" applyAlignment="1">
      <alignment horizontal="center" vertical="center" wrapText="1"/>
    </xf>
    <xf numFmtId="166" fontId="44" fillId="7" borderId="5" xfId="2" applyNumberFormat="1" applyFont="1" applyFill="1" applyBorder="1" applyAlignment="1">
      <alignment horizontal="center" vertical="center" wrapText="1"/>
    </xf>
    <xf numFmtId="0" fontId="44" fillId="7" borderId="5" xfId="2" applyFont="1" applyFill="1" applyBorder="1" applyAlignment="1">
      <alignment horizontal="center" vertical="center" wrapText="1"/>
    </xf>
    <xf numFmtId="0" fontId="45" fillId="7" borderId="8" xfId="2" applyFont="1" applyFill="1" applyBorder="1" applyAlignment="1">
      <alignment horizontal="center" vertical="center" wrapText="1"/>
    </xf>
    <xf numFmtId="166" fontId="44" fillId="7" borderId="9" xfId="2" applyNumberFormat="1" applyFont="1" applyFill="1" applyBorder="1" applyAlignment="1">
      <alignment horizontal="center" vertical="center" wrapText="1"/>
    </xf>
    <xf numFmtId="0" fontId="44" fillId="7" borderId="10" xfId="2" applyFont="1" applyFill="1" applyBorder="1" applyAlignment="1">
      <alignment horizontal="center" vertical="center" wrapText="1"/>
    </xf>
    <xf numFmtId="166" fontId="44" fillId="7" borderId="10" xfId="2" applyNumberFormat="1" applyFont="1" applyFill="1" applyBorder="1" applyAlignment="1">
      <alignment horizontal="center" vertical="center" wrapText="1"/>
    </xf>
    <xf numFmtId="0" fontId="46" fillId="7" borderId="1" xfId="2" applyFont="1" applyFill="1" applyBorder="1" applyAlignment="1">
      <alignment horizontal="center" vertical="center" wrapText="1"/>
    </xf>
    <xf numFmtId="0" fontId="46" fillId="0" borderId="38" xfId="2" applyFont="1" applyBorder="1" applyAlignment="1">
      <alignment horizontal="center" vertical="center" wrapText="1"/>
    </xf>
    <xf numFmtId="0" fontId="46" fillId="0" borderId="6" xfId="2" applyFont="1" applyBorder="1" applyAlignment="1">
      <alignment horizontal="center" vertical="center" wrapText="1"/>
    </xf>
    <xf numFmtId="0" fontId="44" fillId="0" borderId="2" xfId="2" applyFont="1" applyBorder="1" applyAlignment="1">
      <alignment horizontal="center" vertical="center" wrapText="1"/>
    </xf>
    <xf numFmtId="168" fontId="44" fillId="0" borderId="1" xfId="2" applyNumberFormat="1" applyFont="1" applyBorder="1" applyAlignment="1">
      <alignment horizontal="center" vertical="center" wrapText="1"/>
    </xf>
    <xf numFmtId="166" fontId="44" fillId="0" borderId="1" xfId="2" applyNumberFormat="1" applyFont="1" applyBorder="1" applyAlignment="1">
      <alignment horizontal="center" vertical="center" wrapText="1"/>
    </xf>
    <xf numFmtId="0" fontId="44" fillId="0" borderId="1" xfId="2" applyFont="1" applyBorder="1" applyAlignment="1">
      <alignment horizontal="center" vertical="center" wrapText="1"/>
    </xf>
    <xf numFmtId="168" fontId="44" fillId="0" borderId="5" xfId="2" applyNumberFormat="1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166" fontId="44" fillId="0" borderId="2" xfId="2" applyNumberFormat="1" applyFont="1" applyBorder="1" applyAlignment="1">
      <alignment horizontal="center" vertical="center" wrapText="1"/>
    </xf>
    <xf numFmtId="168" fontId="44" fillId="0" borderId="6" xfId="2" applyNumberFormat="1" applyFont="1" applyBorder="1" applyAlignment="1">
      <alignment horizontal="center" vertical="center" wrapText="1"/>
    </xf>
    <xf numFmtId="166" fontId="44" fillId="0" borderId="5" xfId="2" applyNumberFormat="1" applyFont="1" applyBorder="1" applyAlignment="1">
      <alignment horizontal="center" vertical="center" wrapText="1"/>
    </xf>
    <xf numFmtId="0" fontId="44" fillId="0" borderId="5" xfId="2" applyFont="1" applyBorder="1" applyAlignment="1">
      <alignment horizontal="center" vertical="center" wrapText="1"/>
    </xf>
    <xf numFmtId="0" fontId="45" fillId="0" borderId="8" xfId="2" applyFont="1" applyBorder="1" applyAlignment="1">
      <alignment horizontal="center" vertical="center" wrapText="1"/>
    </xf>
    <xf numFmtId="166" fontId="44" fillId="0" borderId="9" xfId="2" applyNumberFormat="1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166" fontId="44" fillId="0" borderId="10" xfId="2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168" fontId="44" fillId="0" borderId="11" xfId="0" applyNumberFormat="1" applyFont="1" applyBorder="1" applyAlignment="1">
      <alignment horizontal="center" vertical="center" wrapText="1"/>
    </xf>
    <xf numFmtId="0" fontId="17" fillId="2" borderId="1" xfId="5" applyFont="1" applyFill="1" applyBorder="1" applyAlignment="1">
      <alignment horizontal="center" vertical="center" wrapText="1"/>
    </xf>
    <xf numFmtId="171" fontId="47" fillId="0" borderId="0" xfId="5" applyNumberFormat="1" applyFont="1" applyAlignment="1">
      <alignment horizontal="center" vertical="center" wrapText="1"/>
    </xf>
    <xf numFmtId="0" fontId="48" fillId="0" borderId="1" xfId="5" applyFont="1" applyBorder="1" applyAlignment="1">
      <alignment horizontal="center" vertical="center" wrapText="1"/>
    </xf>
    <xf numFmtId="0" fontId="49" fillId="3" borderId="1" xfId="3" applyFont="1" applyFill="1" applyBorder="1" applyAlignment="1">
      <alignment horizontal="center" vertical="center" wrapText="1"/>
    </xf>
    <xf numFmtId="1" fontId="50" fillId="0" borderId="1" xfId="3" applyNumberFormat="1" applyFont="1" applyBorder="1" applyAlignment="1">
      <alignment horizontal="center" vertical="center" wrapText="1"/>
    </xf>
    <xf numFmtId="10" fontId="50" fillId="0" borderId="1" xfId="1" applyNumberFormat="1" applyFont="1" applyBorder="1" applyAlignment="1">
      <alignment horizontal="center" vertical="center" wrapText="1"/>
    </xf>
    <xf numFmtId="2" fontId="50" fillId="0" borderId="1" xfId="1" applyNumberFormat="1" applyFont="1" applyBorder="1" applyAlignment="1">
      <alignment horizontal="center" vertical="center" wrapText="1"/>
    </xf>
    <xf numFmtId="0" fontId="31" fillId="0" borderId="5" xfId="4" applyFont="1" applyBorder="1" applyAlignment="1">
      <alignment horizontal="left" vertical="center" wrapText="1"/>
    </xf>
    <xf numFmtId="0" fontId="31" fillId="7" borderId="0" xfId="4" applyFont="1" applyFill="1" applyAlignment="1">
      <alignment horizontal="left" vertical="center" wrapText="1"/>
    </xf>
    <xf numFmtId="0" fontId="31" fillId="7" borderId="40" xfId="4" applyFont="1" applyFill="1" applyBorder="1" applyAlignment="1">
      <alignment horizontal="left" vertical="center" wrapText="1"/>
    </xf>
    <xf numFmtId="0" fontId="51" fillId="9" borderId="1" xfId="4" applyFont="1" applyFill="1" applyBorder="1" applyAlignment="1">
      <alignment horizontal="center" vertical="center" wrapText="1"/>
    </xf>
    <xf numFmtId="0" fontId="52" fillId="0" borderId="1" xfId="4" applyFont="1" applyBorder="1" applyAlignment="1">
      <alignment horizontal="center" vertical="center" wrapText="1"/>
    </xf>
    <xf numFmtId="2" fontId="52" fillId="0" borderId="1" xfId="4" applyNumberFormat="1" applyFont="1" applyBorder="1" applyAlignment="1">
      <alignment horizontal="center" vertical="center" wrapText="1"/>
    </xf>
    <xf numFmtId="0" fontId="52" fillId="0" borderId="5" xfId="4" applyFont="1" applyBorder="1" applyAlignment="1">
      <alignment horizontal="center" vertical="center" wrapText="1"/>
    </xf>
    <xf numFmtId="0" fontId="53" fillId="2" borderId="1" xfId="4" applyFont="1" applyFill="1" applyBorder="1" applyAlignment="1">
      <alignment horizontal="center" vertical="center" wrapText="1"/>
    </xf>
    <xf numFmtId="0" fontId="31" fillId="10" borderId="7" xfId="4" applyFont="1" applyFill="1" applyBorder="1" applyAlignment="1">
      <alignment horizontal="left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42" fillId="8" borderId="11" xfId="0" applyFont="1" applyFill="1" applyBorder="1" applyAlignment="1">
      <alignment horizontal="center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54" fillId="0" borderId="1" xfId="4" applyFont="1" applyBorder="1" applyAlignment="1">
      <alignment horizontal="center" vertical="center" wrapText="1"/>
    </xf>
    <xf numFmtId="0" fontId="55" fillId="0" borderId="1" xfId="4" applyFont="1" applyBorder="1" applyAlignment="1">
      <alignment horizontal="center" vertical="center" wrapText="1"/>
    </xf>
    <xf numFmtId="0" fontId="34" fillId="12" borderId="21" xfId="5" applyFont="1" applyFill="1" applyBorder="1" applyAlignment="1">
      <alignment horizontal="center" vertical="center" wrapText="1"/>
    </xf>
    <xf numFmtId="0" fontId="34" fillId="12" borderId="23" xfId="5" applyFont="1" applyFill="1" applyBorder="1" applyAlignment="1">
      <alignment horizontal="center" vertical="center" wrapText="1"/>
    </xf>
    <xf numFmtId="0" fontId="34" fillId="12" borderId="25" xfId="5" applyFont="1" applyFill="1" applyBorder="1" applyAlignment="1">
      <alignment horizontal="center" vertical="center" wrapText="1"/>
    </xf>
    <xf numFmtId="0" fontId="34" fillId="12" borderId="22" xfId="5" applyFont="1" applyFill="1" applyBorder="1" applyAlignment="1">
      <alignment horizontal="center" vertical="center" wrapText="1"/>
    </xf>
    <xf numFmtId="0" fontId="40" fillId="13" borderId="24" xfId="5" applyFont="1" applyFill="1" applyBorder="1" applyAlignment="1">
      <alignment horizontal="center" vertical="center" wrapText="1"/>
    </xf>
    <xf numFmtId="0" fontId="40" fillId="13" borderId="26" xfId="5" applyFont="1" applyFill="1" applyBorder="1" applyAlignment="1">
      <alignment horizontal="center" vertical="center" wrapText="1"/>
    </xf>
    <xf numFmtId="0" fontId="35" fillId="8" borderId="1" xfId="5" applyFont="1" applyFill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0" fontId="34" fillId="12" borderId="27" xfId="5" applyFont="1" applyFill="1" applyBorder="1" applyAlignment="1">
      <alignment horizontal="center" vertical="center" wrapText="1"/>
    </xf>
    <xf numFmtId="0" fontId="34" fillId="12" borderId="28" xfId="5" applyFont="1" applyFill="1" applyBorder="1" applyAlignment="1">
      <alignment horizontal="center" vertical="center" wrapText="1"/>
    </xf>
    <xf numFmtId="0" fontId="34" fillId="12" borderId="5" xfId="5" applyFont="1" applyFill="1" applyBorder="1" applyAlignment="1">
      <alignment horizontal="center" vertical="center" wrapText="1"/>
    </xf>
    <xf numFmtId="0" fontId="34" fillId="12" borderId="11" xfId="5" applyFont="1" applyFill="1" applyBorder="1" applyAlignment="1">
      <alignment horizontal="center" vertical="center" wrapText="1"/>
    </xf>
    <xf numFmtId="0" fontId="34" fillId="12" borderId="6" xfId="5" applyFont="1" applyFill="1" applyBorder="1" applyAlignment="1">
      <alignment horizontal="center" vertical="center" wrapText="1"/>
    </xf>
    <xf numFmtId="0" fontId="39" fillId="10" borderId="36" xfId="5" applyFont="1" applyFill="1" applyBorder="1" applyAlignment="1">
      <alignment horizontal="center" vertical="center" wrapText="1"/>
    </xf>
    <xf numFmtId="0" fontId="39" fillId="10" borderId="37" xfId="5" applyFont="1" applyFill="1" applyBorder="1" applyAlignment="1">
      <alignment horizontal="center" vertical="center" wrapText="1"/>
    </xf>
    <xf numFmtId="0" fontId="34" fillId="2" borderId="2" xfId="5" applyFont="1" applyFill="1" applyBorder="1" applyAlignment="1">
      <alignment horizontal="center" vertical="center" wrapText="1"/>
    </xf>
    <xf numFmtId="0" fontId="34" fillId="12" borderId="17" xfId="5" applyFont="1" applyFill="1" applyBorder="1" applyAlignment="1">
      <alignment horizontal="center" vertical="center" wrapText="1"/>
    </xf>
    <xf numFmtId="0" fontId="34" fillId="12" borderId="30" xfId="5" applyFont="1" applyFill="1" applyBorder="1" applyAlignment="1">
      <alignment horizontal="center" vertical="center" wrapText="1"/>
    </xf>
    <xf numFmtId="0" fontId="34" fillId="12" borderId="31" xfId="5" applyFont="1" applyFill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0" fontId="34" fillId="11" borderId="14" xfId="5" applyFont="1" applyFill="1" applyBorder="1" applyAlignment="1">
      <alignment horizontal="center" vertical="center" wrapText="1"/>
    </xf>
    <xf numFmtId="0" fontId="37" fillId="0" borderId="29" xfId="5" applyFont="1" applyBorder="1" applyAlignment="1">
      <alignment horizontal="center" vertical="center" wrapText="1"/>
    </xf>
    <xf numFmtId="0" fontId="41" fillId="0" borderId="1" xfId="5" applyFont="1" applyBorder="1" applyAlignment="1">
      <alignment horizontal="center" vertical="center" wrapText="1"/>
    </xf>
    <xf numFmtId="0" fontId="34" fillId="0" borderId="7" xfId="5" applyFont="1" applyBorder="1" applyAlignment="1">
      <alignment horizontal="center" vertical="center" wrapText="1"/>
    </xf>
    <xf numFmtId="173" fontId="36" fillId="15" borderId="15" xfId="5" applyNumberFormat="1" applyFont="1" applyFill="1" applyBorder="1" applyAlignment="1">
      <alignment horizontal="center" vertical="center" wrapText="1"/>
    </xf>
    <xf numFmtId="173" fontId="36" fillId="0" borderId="15" xfId="5" applyNumberFormat="1" applyFont="1" applyBorder="1" applyAlignment="1">
      <alignment horizontal="center" vertical="center" wrapText="1"/>
    </xf>
    <xf numFmtId="0" fontId="34" fillId="2" borderId="1" xfId="5" applyFont="1" applyFill="1" applyBorder="1" applyAlignment="1">
      <alignment horizontal="center" vertical="center" wrapText="1"/>
    </xf>
    <xf numFmtId="171" fontId="15" fillId="17" borderId="13" xfId="5" applyNumberFormat="1" applyFont="1" applyFill="1" applyBorder="1" applyAlignment="1">
      <alignment horizontal="center" vertical="center" wrapText="1"/>
    </xf>
    <xf numFmtId="171" fontId="15" fillId="17" borderId="14" xfId="5" applyNumberFormat="1" applyFont="1" applyFill="1" applyBorder="1" applyAlignment="1">
      <alignment horizontal="center" vertical="center" wrapText="1"/>
    </xf>
    <xf numFmtId="1" fontId="15" fillId="17" borderId="7" xfId="5" applyNumberFormat="1" applyFont="1" applyFill="1" applyBorder="1" applyAlignment="1">
      <alignment horizontal="center" vertical="center" wrapText="1"/>
    </xf>
    <xf numFmtId="1" fontId="15" fillId="17" borderId="34" xfId="5" applyNumberFormat="1" applyFont="1" applyFill="1" applyBorder="1" applyAlignment="1">
      <alignment horizontal="center" vertical="center" wrapText="1"/>
    </xf>
    <xf numFmtId="0" fontId="57" fillId="18" borderId="35" xfId="5" applyFont="1" applyFill="1" applyBorder="1" applyAlignment="1">
      <alignment horizontal="center" vertical="center" wrapText="1"/>
    </xf>
    <xf numFmtId="171" fontId="15" fillId="19" borderId="13" xfId="5" applyNumberFormat="1" applyFont="1" applyFill="1" applyBorder="1" applyAlignment="1">
      <alignment horizontal="center" vertical="center" wrapText="1"/>
    </xf>
    <xf numFmtId="171" fontId="15" fillId="19" borderId="14" xfId="5" applyNumberFormat="1" applyFont="1" applyFill="1" applyBorder="1" applyAlignment="1">
      <alignment horizontal="center" vertical="center" wrapText="1"/>
    </xf>
    <xf numFmtId="0" fontId="57" fillId="18" borderId="2" xfId="5" applyFont="1" applyFill="1" applyBorder="1" applyAlignment="1">
      <alignment horizontal="center" vertical="center" wrapText="1"/>
    </xf>
    <xf numFmtId="171" fontId="58" fillId="5" borderId="13" xfId="5" applyNumberFormat="1" applyFont="1" applyFill="1" applyBorder="1" applyAlignment="1">
      <alignment horizontal="center" vertical="center" wrapText="1"/>
    </xf>
    <xf numFmtId="171" fontId="58" fillId="5" borderId="14" xfId="5" applyNumberFormat="1" applyFont="1" applyFill="1" applyBorder="1" applyAlignment="1">
      <alignment horizontal="center" vertical="center" wrapText="1"/>
    </xf>
    <xf numFmtId="1" fontId="58" fillId="5" borderId="7" xfId="5" applyNumberFormat="1" applyFont="1" applyFill="1" applyBorder="1" applyAlignment="1">
      <alignment horizontal="center" vertical="center" wrapText="1"/>
    </xf>
    <xf numFmtId="1" fontId="58" fillId="5" borderId="32" xfId="5" applyNumberFormat="1" applyFont="1" applyFill="1" applyBorder="1" applyAlignment="1">
      <alignment horizontal="center" vertical="center" wrapText="1"/>
    </xf>
    <xf numFmtId="0" fontId="59" fillId="20" borderId="33" xfId="5" applyFont="1" applyFill="1" applyBorder="1" applyAlignment="1">
      <alignment horizontal="center" vertical="center" wrapText="1"/>
    </xf>
    <xf numFmtId="0" fontId="60" fillId="5" borderId="0" xfId="5" applyFont="1" applyFill="1" applyAlignment="1">
      <alignment horizontal="center" vertical="center" wrapText="1"/>
    </xf>
    <xf numFmtId="0" fontId="61" fillId="8" borderId="13" xfId="5" applyFont="1" applyFill="1" applyBorder="1" applyAlignment="1">
      <alignment horizontal="center" vertical="center" wrapText="1"/>
    </xf>
    <xf numFmtId="0" fontId="61" fillId="8" borderId="14" xfId="5" applyFont="1" applyFill="1" applyBorder="1" applyAlignment="1">
      <alignment horizontal="center" vertical="center" wrapText="1"/>
    </xf>
    <xf numFmtId="0" fontId="61" fillId="6" borderId="1" xfId="5" applyFont="1" applyFill="1" applyBorder="1" applyAlignment="1">
      <alignment horizontal="center" vertical="center" wrapText="1"/>
    </xf>
    <xf numFmtId="0" fontId="61" fillId="6" borderId="5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center" vertical="center" wrapText="1"/>
    </xf>
    <xf numFmtId="0" fontId="46" fillId="0" borderId="38" xfId="2" applyFont="1" applyFill="1" applyBorder="1" applyAlignment="1">
      <alignment horizontal="center" vertical="center" wrapText="1"/>
    </xf>
    <xf numFmtId="0" fontId="46" fillId="0" borderId="6" xfId="2" applyFont="1" applyFill="1" applyBorder="1" applyAlignment="1">
      <alignment horizontal="center" vertical="center" wrapText="1"/>
    </xf>
    <xf numFmtId="0" fontId="45" fillId="0" borderId="8" xfId="2" applyFont="1" applyFill="1" applyBorder="1" applyAlignment="1">
      <alignment horizontal="center" vertical="center" wrapText="1"/>
    </xf>
    <xf numFmtId="0" fontId="63" fillId="0" borderId="2" xfId="2" applyFont="1" applyFill="1" applyBorder="1" applyAlignment="1">
      <alignment horizontal="center" vertical="center" wrapText="1"/>
    </xf>
    <xf numFmtId="168" fontId="63" fillId="0" borderId="1" xfId="2" applyNumberFormat="1" applyFont="1" applyFill="1" applyBorder="1" applyAlignment="1">
      <alignment horizontal="center" vertical="center" wrapText="1"/>
    </xf>
    <xf numFmtId="166" fontId="63" fillId="0" borderId="1" xfId="2" applyNumberFormat="1" applyFont="1" applyFill="1" applyBorder="1" applyAlignment="1">
      <alignment horizontal="center" vertical="center" wrapText="1"/>
    </xf>
    <xf numFmtId="168" fontId="63" fillId="0" borderId="5" xfId="2" applyNumberFormat="1" applyFont="1" applyFill="1" applyBorder="1" applyAlignment="1">
      <alignment horizontal="center" vertical="center" wrapText="1"/>
    </xf>
    <xf numFmtId="0" fontId="63" fillId="0" borderId="35" xfId="2" applyFont="1" applyFill="1" applyBorder="1" applyAlignment="1">
      <alignment horizontal="center" vertical="center" wrapText="1"/>
    </xf>
    <xf numFmtId="0" fontId="63" fillId="0" borderId="8" xfId="2" applyFont="1" applyFill="1" applyBorder="1" applyAlignment="1">
      <alignment horizontal="center" vertical="center" wrapText="1"/>
    </xf>
    <xf numFmtId="166" fontId="63" fillId="0" borderId="2" xfId="2" applyNumberFormat="1" applyFont="1" applyFill="1" applyBorder="1" applyAlignment="1">
      <alignment horizontal="center" vertical="center" wrapText="1"/>
    </xf>
    <xf numFmtId="168" fontId="63" fillId="0" borderId="6" xfId="2" applyNumberFormat="1" applyFont="1" applyFill="1" applyBorder="1" applyAlignment="1">
      <alignment horizontal="center" vertical="center" wrapText="1"/>
    </xf>
    <xf numFmtId="166" fontId="63" fillId="0" borderId="5" xfId="2" applyNumberFormat="1" applyFont="1" applyFill="1" applyBorder="1" applyAlignment="1">
      <alignment horizontal="center" vertical="center" wrapText="1"/>
    </xf>
    <xf numFmtId="166" fontId="63" fillId="0" borderId="9" xfId="2" applyNumberFormat="1" applyFont="1" applyFill="1" applyBorder="1" applyAlignment="1">
      <alignment horizontal="center" vertical="center" wrapText="1"/>
    </xf>
    <xf numFmtId="166" fontId="63" fillId="0" borderId="10" xfId="2" applyNumberFormat="1" applyFont="1" applyFill="1" applyBorder="1" applyAlignment="1">
      <alignment horizontal="center" vertical="center" wrapText="1"/>
    </xf>
    <xf numFmtId="0" fontId="63" fillId="0" borderId="39" xfId="0" applyNumberFormat="1" applyFont="1" applyFill="1" applyBorder="1" applyAlignment="1" applyProtection="1">
      <alignment horizontal="center" vertical="center" wrapText="1"/>
    </xf>
    <xf numFmtId="0" fontId="56" fillId="0" borderId="0" xfId="0" applyFont="1" applyFill="1"/>
    <xf numFmtId="168" fontId="63" fillId="0" borderId="11" xfId="0" applyNumberFormat="1" applyFont="1" applyFill="1" applyBorder="1" applyAlignment="1" applyProtection="1">
      <alignment horizontal="center" vertical="center" wrapText="1"/>
    </xf>
    <xf numFmtId="0" fontId="63" fillId="0" borderId="7" xfId="2" applyFont="1" applyFill="1" applyBorder="1" applyAlignment="1">
      <alignment horizontal="center" vertical="center" wrapText="1"/>
    </xf>
    <xf numFmtId="0" fontId="63" fillId="0" borderId="17" xfId="2" applyFont="1" applyFill="1" applyBorder="1" applyAlignment="1">
      <alignment horizontal="center" vertical="center" wrapText="1"/>
    </xf>
    <xf numFmtId="0" fontId="63" fillId="0" borderId="41" xfId="2" applyFont="1" applyFill="1" applyBorder="1" applyAlignment="1">
      <alignment horizontal="center" vertical="center" wrapText="1"/>
    </xf>
    <xf numFmtId="0" fontId="64" fillId="0" borderId="1" xfId="0" applyFont="1" applyBorder="1"/>
    <xf numFmtId="0" fontId="65" fillId="0" borderId="1" xfId="0" applyFont="1" applyBorder="1"/>
    <xf numFmtId="0" fontId="66" fillId="0" borderId="1" xfId="0" applyFont="1" applyBorder="1" applyAlignment="1">
      <alignment horizontal="center" vertical="center"/>
    </xf>
  </cellXfs>
  <cellStyles count="6">
    <cellStyle name="Normal" xfId="0" builtinId="0"/>
    <cellStyle name="Normal 2" xfId="2" xr:uid="{ED39DA28-7E6B-425E-98B8-57411B434F6C}"/>
    <cellStyle name="Normal 2 2" xfId="4" xr:uid="{AA9D0931-8844-460C-880A-F0436CC3AA52}"/>
    <cellStyle name="Normal 3" xfId="3" xr:uid="{EF94B418-76B4-40F7-A16C-503A322EC9EF}"/>
    <cellStyle name="Normal 4" xfId="5" xr:uid="{696AB5AB-E537-4211-B41A-F01264878CAB}"/>
    <cellStyle name="Percent" xfId="1" builtinId="5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family val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8" formatCode="&quot;₹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ustomXml" Target="../ink/ink10.xml"/><Relationship Id="rId26" Type="http://schemas.openxmlformats.org/officeDocument/2006/relationships/customXml" Target="../ink/ink16.xml"/><Relationship Id="rId39" Type="http://schemas.openxmlformats.org/officeDocument/2006/relationships/image" Target="../media/image17.png"/><Relationship Id="rId21" Type="http://schemas.openxmlformats.org/officeDocument/2006/relationships/customXml" Target="../ink/ink12.xml"/><Relationship Id="rId34" Type="http://schemas.openxmlformats.org/officeDocument/2006/relationships/customXml" Target="../ink/ink20.xml"/><Relationship Id="rId42" Type="http://schemas.openxmlformats.org/officeDocument/2006/relationships/customXml" Target="../ink/ink24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29" Type="http://schemas.openxmlformats.org/officeDocument/2006/relationships/image" Target="../media/image12.png"/><Relationship Id="rId41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5.png"/><Relationship Id="rId24" Type="http://schemas.openxmlformats.org/officeDocument/2006/relationships/customXml" Target="../ink/ink15.xml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customXml" Target="../ink/ink14.xml"/><Relationship Id="rId28" Type="http://schemas.openxmlformats.org/officeDocument/2006/relationships/customXml" Target="../ink/ink17.xml"/><Relationship Id="rId36" Type="http://schemas.openxmlformats.org/officeDocument/2006/relationships/customXml" Target="../ink/ink21.xml"/><Relationship Id="rId10" Type="http://schemas.openxmlformats.org/officeDocument/2006/relationships/customXml" Target="../ink/ink6.xml"/><Relationship Id="rId19" Type="http://schemas.openxmlformats.org/officeDocument/2006/relationships/image" Target="../media/image9.png"/><Relationship Id="rId31" Type="http://schemas.openxmlformats.org/officeDocument/2006/relationships/image" Target="../media/image13.png"/><Relationship Id="rId44" Type="http://schemas.openxmlformats.org/officeDocument/2006/relationships/customXml" Target="../ink/ink25.xml"/><Relationship Id="rId4" Type="http://schemas.openxmlformats.org/officeDocument/2006/relationships/customXml" Target="../ink/ink3.xml"/><Relationship Id="rId9" Type="http://schemas.openxmlformats.org/officeDocument/2006/relationships/image" Target="../media/image4.png"/><Relationship Id="rId14" Type="http://schemas.openxmlformats.org/officeDocument/2006/relationships/customXml" Target="../ink/ink8.xml"/><Relationship Id="rId22" Type="http://schemas.openxmlformats.org/officeDocument/2006/relationships/customXml" Target="../ink/ink13.xml"/><Relationship Id="rId27" Type="http://schemas.openxmlformats.org/officeDocument/2006/relationships/image" Target="../media/image11.png"/><Relationship Id="rId30" Type="http://schemas.openxmlformats.org/officeDocument/2006/relationships/customXml" Target="../ink/ink18.xml"/><Relationship Id="rId35" Type="http://schemas.openxmlformats.org/officeDocument/2006/relationships/image" Target="../media/image15.png"/><Relationship Id="rId43" Type="http://schemas.openxmlformats.org/officeDocument/2006/relationships/image" Target="../media/image19.png"/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5" Type="http://schemas.openxmlformats.org/officeDocument/2006/relationships/image" Target="../media/image10.png"/><Relationship Id="rId33" Type="http://schemas.openxmlformats.org/officeDocument/2006/relationships/image" Target="../media/image14.png"/><Relationship Id="rId38" Type="http://schemas.openxmlformats.org/officeDocument/2006/relationships/customXml" Target="../ink/ink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7.xml"/><Relationship Id="rId2" Type="http://schemas.openxmlformats.org/officeDocument/2006/relationships/image" Target="../media/image1.png"/><Relationship Id="rId1" Type="http://schemas.openxmlformats.org/officeDocument/2006/relationships/customXml" Target="../ink/ink26.xml"/><Relationship Id="rId6" Type="http://schemas.openxmlformats.org/officeDocument/2006/relationships/image" Target="../media/image21.png"/><Relationship Id="rId5" Type="http://schemas.openxmlformats.org/officeDocument/2006/relationships/customXml" Target="../ink/ink28.xml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34.xml"/><Relationship Id="rId13" Type="http://schemas.openxmlformats.org/officeDocument/2006/relationships/customXml" Target="../ink/ink38.xml"/><Relationship Id="rId18" Type="http://schemas.openxmlformats.org/officeDocument/2006/relationships/customXml" Target="../ink/ink41.xml"/><Relationship Id="rId26" Type="http://schemas.openxmlformats.org/officeDocument/2006/relationships/image" Target="../media/image29.png"/><Relationship Id="rId3" Type="http://schemas.openxmlformats.org/officeDocument/2006/relationships/customXml" Target="../ink/ink30.xml"/><Relationship Id="rId21" Type="http://schemas.openxmlformats.org/officeDocument/2006/relationships/customXml" Target="../ink/ink43.xml"/><Relationship Id="rId7" Type="http://schemas.openxmlformats.org/officeDocument/2006/relationships/customXml" Target="../ink/ink33.xml"/><Relationship Id="rId12" Type="http://schemas.openxmlformats.org/officeDocument/2006/relationships/image" Target="../media/image23.png"/><Relationship Id="rId17" Type="http://schemas.openxmlformats.org/officeDocument/2006/relationships/image" Target="../media/image25.png"/><Relationship Id="rId25" Type="http://schemas.openxmlformats.org/officeDocument/2006/relationships/customXml" Target="../ink/ink45.xml"/><Relationship Id="rId2" Type="http://schemas.openxmlformats.org/officeDocument/2006/relationships/image" Target="NULL"/><Relationship Id="rId16" Type="http://schemas.openxmlformats.org/officeDocument/2006/relationships/customXml" Target="../ink/ink40.xml"/><Relationship Id="rId20" Type="http://schemas.openxmlformats.org/officeDocument/2006/relationships/customXml" Target="../ink/ink42.xml"/><Relationship Id="rId1" Type="http://schemas.openxmlformats.org/officeDocument/2006/relationships/customXml" Target="../ink/ink29.xml"/><Relationship Id="rId6" Type="http://schemas.openxmlformats.org/officeDocument/2006/relationships/customXml" Target="../ink/ink32.xml"/><Relationship Id="rId11" Type="http://schemas.openxmlformats.org/officeDocument/2006/relationships/customXml" Target="../ink/ink37.xml"/><Relationship Id="rId24" Type="http://schemas.openxmlformats.org/officeDocument/2006/relationships/image" Target="../media/image28.png"/><Relationship Id="rId5" Type="http://schemas.openxmlformats.org/officeDocument/2006/relationships/customXml" Target="../ink/ink31.xml"/><Relationship Id="rId15" Type="http://schemas.openxmlformats.org/officeDocument/2006/relationships/image" Target="../media/image24.png"/><Relationship Id="rId23" Type="http://schemas.openxmlformats.org/officeDocument/2006/relationships/customXml" Target="../ink/ink44.xml"/><Relationship Id="rId10" Type="http://schemas.openxmlformats.org/officeDocument/2006/relationships/customXml" Target="../ink/ink36.xml"/><Relationship Id="rId19" Type="http://schemas.openxmlformats.org/officeDocument/2006/relationships/image" Target="../media/image26.png"/><Relationship Id="rId4" Type="http://schemas.openxmlformats.org/officeDocument/2006/relationships/image" Target="../media/image22.png"/><Relationship Id="rId9" Type="http://schemas.openxmlformats.org/officeDocument/2006/relationships/customXml" Target="../ink/ink35.xml"/><Relationship Id="rId14" Type="http://schemas.openxmlformats.org/officeDocument/2006/relationships/customXml" Target="../ink/ink39.xml"/><Relationship Id="rId22" Type="http://schemas.openxmlformats.org/officeDocument/2006/relationships/image" Target="../media/image27.png"/><Relationship Id="rId27" Type="http://schemas.openxmlformats.org/officeDocument/2006/relationships/customXml" Target="../ink/ink4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customXml" Target="../ink/ink48.xml"/><Relationship Id="rId7" Type="http://schemas.openxmlformats.org/officeDocument/2006/relationships/customXml" Target="../ink/ink51.xml"/><Relationship Id="rId12" Type="http://schemas.openxmlformats.org/officeDocument/2006/relationships/image" Target="../media/image32.png"/><Relationship Id="rId2" Type="http://schemas.openxmlformats.org/officeDocument/2006/relationships/image" Target="NULL"/><Relationship Id="rId1" Type="http://schemas.openxmlformats.org/officeDocument/2006/relationships/customXml" Target="../ink/ink47.xml"/><Relationship Id="rId6" Type="http://schemas.openxmlformats.org/officeDocument/2006/relationships/customXml" Target="../ink/ink50.xml"/><Relationship Id="rId11" Type="http://schemas.openxmlformats.org/officeDocument/2006/relationships/customXml" Target="../ink/ink53.xml"/><Relationship Id="rId5" Type="http://schemas.openxmlformats.org/officeDocument/2006/relationships/customXml" Target="../ink/ink49.xml"/><Relationship Id="rId10" Type="http://schemas.openxmlformats.org/officeDocument/2006/relationships/image" Target="../media/image31.png"/><Relationship Id="rId4" Type="http://schemas.openxmlformats.org/officeDocument/2006/relationships/image" Target="../media/image22.png"/><Relationship Id="rId9" Type="http://schemas.openxmlformats.org/officeDocument/2006/relationships/customXml" Target="../ink/ink5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0.png"/><Relationship Id="rId3" Type="http://schemas.openxmlformats.org/officeDocument/2006/relationships/customXml" Target="../ink/ink55.xml"/><Relationship Id="rId7" Type="http://schemas.openxmlformats.org/officeDocument/2006/relationships/customXml" Target="../ink/ink57.xml"/><Relationship Id="rId2" Type="http://schemas.openxmlformats.org/officeDocument/2006/relationships/image" Target="../media/image220.png"/><Relationship Id="rId1" Type="http://schemas.openxmlformats.org/officeDocument/2006/relationships/customXml" Target="../ink/ink54.xml"/><Relationship Id="rId6" Type="http://schemas.openxmlformats.org/officeDocument/2006/relationships/image" Target="../media/image310.png"/><Relationship Id="rId5" Type="http://schemas.openxmlformats.org/officeDocument/2006/relationships/customXml" Target="../ink/ink56.xml"/><Relationship Id="rId10" Type="http://schemas.openxmlformats.org/officeDocument/2006/relationships/image" Target="../media/image33.png"/><Relationship Id="rId4" Type="http://schemas.openxmlformats.org/officeDocument/2006/relationships/image" Target="../media/image300.png"/><Relationship Id="rId9" Type="http://schemas.openxmlformats.org/officeDocument/2006/relationships/customXml" Target="../ink/ink5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ustomXml" Target="../ink/ink59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6.xml"/><Relationship Id="rId26" Type="http://schemas.openxmlformats.org/officeDocument/2006/relationships/image" Target="../media/image45.png"/><Relationship Id="rId39" Type="http://schemas.openxmlformats.org/officeDocument/2006/relationships/customXml" Target="../ink/ink78.xml"/><Relationship Id="rId21" Type="http://schemas.openxmlformats.org/officeDocument/2006/relationships/customXml" Target="../ink/ink69.xml"/><Relationship Id="rId34" Type="http://schemas.openxmlformats.org/officeDocument/2006/relationships/image" Target="../media/image49.png"/><Relationship Id="rId42" Type="http://schemas.openxmlformats.org/officeDocument/2006/relationships/image" Target="../media/image54.png"/><Relationship Id="rId7" Type="http://schemas.openxmlformats.org/officeDocument/2006/relationships/customXml" Target="../ink/ink63.xml"/><Relationship Id="rId2" Type="http://schemas.openxmlformats.org/officeDocument/2006/relationships/image" Target="../media/image40.png"/><Relationship Id="rId16" Type="http://schemas.openxmlformats.org/officeDocument/2006/relationships/image" Target="../media/image39.png"/><Relationship Id="rId20" Type="http://schemas.openxmlformats.org/officeDocument/2006/relationships/image" Target="../media/image42.png"/><Relationship Id="rId29" Type="http://schemas.openxmlformats.org/officeDocument/2006/relationships/customXml" Target="../ink/ink73.xml"/><Relationship Id="rId41" Type="http://schemas.openxmlformats.org/officeDocument/2006/relationships/customXml" Target="../ink/ink79.xml"/><Relationship Id="rId1" Type="http://schemas.openxmlformats.org/officeDocument/2006/relationships/customXml" Target="../ink/ink60.xml"/><Relationship Id="rId6" Type="http://schemas.openxmlformats.org/officeDocument/2006/relationships/image" Target="../media/image170.png"/><Relationship Id="rId11" Type="http://schemas.openxmlformats.org/officeDocument/2006/relationships/customXml" Target="../ink/ink65.xml"/><Relationship Id="rId24" Type="http://schemas.openxmlformats.org/officeDocument/2006/relationships/image" Target="../media/image44.png"/><Relationship Id="rId32" Type="http://schemas.openxmlformats.org/officeDocument/2006/relationships/image" Target="../media/image48.png"/><Relationship Id="rId37" Type="http://schemas.openxmlformats.org/officeDocument/2006/relationships/customXml" Target="../ink/ink77.xml"/><Relationship Id="rId40" Type="http://schemas.openxmlformats.org/officeDocument/2006/relationships/image" Target="../media/image53.png"/><Relationship Id="rId45" Type="http://schemas.openxmlformats.org/officeDocument/2006/relationships/customXml" Target="../ink/ink81.xml"/><Relationship Id="rId5" Type="http://schemas.openxmlformats.org/officeDocument/2006/relationships/customXml" Target="../ink/ink62.xml"/><Relationship Id="rId15" Type="http://schemas.openxmlformats.org/officeDocument/2006/relationships/customXml" Target="../ink/ink67.xml"/><Relationship Id="rId23" Type="http://schemas.openxmlformats.org/officeDocument/2006/relationships/customXml" Target="../ink/ink70.xml"/><Relationship Id="rId28" Type="http://schemas.openxmlformats.org/officeDocument/2006/relationships/image" Target="../media/image46.png"/><Relationship Id="rId36" Type="http://schemas.openxmlformats.org/officeDocument/2006/relationships/image" Target="../media/image51.png"/><Relationship Id="rId10" Type="http://schemas.openxmlformats.org/officeDocument/2006/relationships/image" Target="../media/image36.png"/><Relationship Id="rId31" Type="http://schemas.openxmlformats.org/officeDocument/2006/relationships/customXml" Target="../ink/ink74.xml"/><Relationship Id="rId44" Type="http://schemas.openxmlformats.org/officeDocument/2006/relationships/image" Target="../media/image55.png"/><Relationship Id="rId4" Type="http://schemas.openxmlformats.org/officeDocument/2006/relationships/image" Target="../media/image50.png"/><Relationship Id="rId9" Type="http://schemas.openxmlformats.org/officeDocument/2006/relationships/customXml" Target="../ink/ink64.xml"/><Relationship Id="rId14" Type="http://schemas.openxmlformats.org/officeDocument/2006/relationships/image" Target="../media/image38.png"/><Relationship Id="rId22" Type="http://schemas.openxmlformats.org/officeDocument/2006/relationships/image" Target="../media/image43.png"/><Relationship Id="rId27" Type="http://schemas.openxmlformats.org/officeDocument/2006/relationships/customXml" Target="../ink/ink72.xml"/><Relationship Id="rId30" Type="http://schemas.openxmlformats.org/officeDocument/2006/relationships/image" Target="../media/image47.png"/><Relationship Id="rId35" Type="http://schemas.openxmlformats.org/officeDocument/2006/relationships/customXml" Target="../ink/ink76.xml"/><Relationship Id="rId43" Type="http://schemas.openxmlformats.org/officeDocument/2006/relationships/customXml" Target="../ink/ink80.xml"/><Relationship Id="rId8" Type="http://schemas.openxmlformats.org/officeDocument/2006/relationships/image" Target="../media/image35.png"/><Relationship Id="rId3" Type="http://schemas.openxmlformats.org/officeDocument/2006/relationships/customXml" Target="../ink/ink61.xml"/><Relationship Id="rId12" Type="http://schemas.openxmlformats.org/officeDocument/2006/relationships/image" Target="../media/image37.png"/><Relationship Id="rId17" Type="http://schemas.openxmlformats.org/officeDocument/2006/relationships/customXml" Target="../ink/ink68.xml"/><Relationship Id="rId25" Type="http://schemas.openxmlformats.org/officeDocument/2006/relationships/customXml" Target="../ink/ink71.xml"/><Relationship Id="rId33" Type="http://schemas.openxmlformats.org/officeDocument/2006/relationships/customXml" Target="../ink/ink75.xml"/><Relationship Id="rId38" Type="http://schemas.openxmlformats.org/officeDocument/2006/relationships/image" Target="../media/image52.png"/><Relationship Id="rId46" Type="http://schemas.openxmlformats.org/officeDocument/2006/relationships/image" Target="../media/image5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ustomXml" Target="../ink/ink83.xml"/><Relationship Id="rId2" Type="http://schemas.openxmlformats.org/officeDocument/2006/relationships/image" Target="NULL"/><Relationship Id="rId1" Type="http://schemas.openxmlformats.org/officeDocument/2006/relationships/customXml" Target="../ink/ink82.xml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251160</xdr:colOff>
      <xdr:row>3</xdr:row>
      <xdr:rowOff>60840</xdr:rowOff>
    </xdr:from>
    <xdr:to>
      <xdr:col>7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30240</xdr:colOff>
      <xdr:row>2</xdr:row>
      <xdr:rowOff>45720</xdr:rowOff>
    </xdr:from>
    <xdr:to>
      <xdr:col>3</xdr:col>
      <xdr:colOff>30600</xdr:colOff>
      <xdr:row>2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14:cNvPr>
            <xdr14:cNvContentPartPr/>
          </xdr14:nvContentPartPr>
          <xdr14:nvPr macro=""/>
          <xdr14:xfrm>
            <a:off x="1859040" y="41148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0040" y="40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514980</xdr:colOff>
      <xdr:row>0</xdr:row>
      <xdr:rowOff>163440</xdr:rowOff>
    </xdr:from>
    <xdr:to>
      <xdr:col>8</xdr:col>
      <xdr:colOff>282300</xdr:colOff>
      <xdr:row>9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14:cNvPr>
            <xdr14:cNvContentPartPr/>
          </xdr14:nvContentPartPr>
          <xdr14:nvPr macro=""/>
          <xdr14:xfrm>
            <a:off x="4881240" y="163440"/>
            <a:ext cx="376920" cy="1715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72600" y="154800"/>
              <a:ext cx="394560" cy="173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60720</xdr:colOff>
      <xdr:row>2</xdr:row>
      <xdr:rowOff>29520</xdr:rowOff>
    </xdr:from>
    <xdr:to>
      <xdr:col>11</xdr:col>
      <xdr:colOff>10200</xdr:colOff>
      <xdr:row>25</xdr:row>
      <xdr:rowOff>130380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14:cNvPr>
            <xdr14:cNvContentPartPr/>
          </xdr14:nvContentPartPr>
          <xdr14:nvPr macro=""/>
          <xdr14:xfrm>
            <a:off x="6255780" y="395280"/>
            <a:ext cx="559080" cy="4390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47140" y="386640"/>
              <a:ext cx="576720" cy="440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135780</xdr:colOff>
      <xdr:row>3</xdr:row>
      <xdr:rowOff>14400</xdr:rowOff>
    </xdr:from>
    <xdr:to>
      <xdr:col>8</xdr:col>
      <xdr:colOff>122820</xdr:colOff>
      <xdr:row>23</xdr:row>
      <xdr:rowOff>99780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14:cNvPr>
            <xdr14:cNvContentPartPr/>
          </xdr14:nvContentPartPr>
          <xdr14:nvPr macro=""/>
          <xdr14:xfrm>
            <a:off x="3282840" y="563040"/>
            <a:ext cx="1815840" cy="38268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3840" y="554400"/>
              <a:ext cx="1833480" cy="38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500820</xdr:colOff>
      <xdr:row>2</xdr:row>
      <xdr:rowOff>22680</xdr:rowOff>
    </xdr:from>
    <xdr:to>
      <xdr:col>12</xdr:col>
      <xdr:colOff>493860</xdr:colOff>
      <xdr:row>24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14:cNvPr>
            <xdr14:cNvContentPartPr/>
          </xdr14:nvContentPartPr>
          <xdr14:nvPr macro=""/>
          <xdr14:xfrm>
            <a:off x="7305480" y="388440"/>
            <a:ext cx="602640" cy="42404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87480" y="370440"/>
              <a:ext cx="638280" cy="427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386340</xdr:colOff>
      <xdr:row>1</xdr:row>
      <xdr:rowOff>136800</xdr:rowOff>
    </xdr:from>
    <xdr:to>
      <xdr:col>12</xdr:col>
      <xdr:colOff>48540</xdr:colOff>
      <xdr:row>3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14:cNvPr>
            <xdr14:cNvContentPartPr/>
          </xdr14:nvContentPartPr>
          <xdr14:nvPr macro=""/>
          <xdr14:xfrm>
            <a:off x="7191000" y="319680"/>
            <a:ext cx="271800" cy="252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73000" y="302040"/>
              <a:ext cx="3074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466020</xdr:colOff>
      <xdr:row>6</xdr:row>
      <xdr:rowOff>54360</xdr:rowOff>
    </xdr:from>
    <xdr:to>
      <xdr:col>16</xdr:col>
      <xdr:colOff>487980</xdr:colOff>
      <xdr:row>13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14:cNvPr>
            <xdr14:cNvContentPartPr/>
          </xdr14:nvContentPartPr>
          <xdr14:nvPr macro=""/>
          <xdr14:xfrm>
            <a:off x="8489880" y="1151640"/>
            <a:ext cx="1850760" cy="1357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71880" y="1134000"/>
              <a:ext cx="1886400" cy="13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206820</xdr:colOff>
      <xdr:row>1</xdr:row>
      <xdr:rowOff>122040</xdr:rowOff>
    </xdr:from>
    <xdr:to>
      <xdr:col>17</xdr:col>
      <xdr:colOff>58380</xdr:colOff>
      <xdr:row>5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14:cNvPr>
            <xdr14:cNvContentPartPr/>
          </xdr14:nvContentPartPr>
          <xdr14:nvPr macro=""/>
          <xdr14:xfrm>
            <a:off x="8230680" y="304920"/>
            <a:ext cx="2289960" cy="6364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212680" y="287280"/>
              <a:ext cx="232560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82500</xdr:colOff>
      <xdr:row>10</xdr:row>
      <xdr:rowOff>152280</xdr:rowOff>
    </xdr:from>
    <xdr:to>
      <xdr:col>8</xdr:col>
      <xdr:colOff>541860</xdr:colOff>
      <xdr:row>26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14:cNvPr>
            <xdr14:cNvContentPartPr/>
          </xdr14:nvContentPartPr>
          <xdr14:nvPr macro=""/>
          <xdr14:xfrm>
            <a:off x="5058360" y="1981080"/>
            <a:ext cx="459360" cy="28836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049360" y="1972080"/>
              <a:ext cx="477000" cy="29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</xdr:colOff>
      <xdr:row>11</xdr:row>
      <xdr:rowOff>68400</xdr:rowOff>
    </xdr:from>
    <xdr:to>
      <xdr:col>1</xdr:col>
      <xdr:colOff>61080</xdr:colOff>
      <xdr:row>11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60720</xdr:colOff>
      <xdr:row>15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19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23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356640</xdr:colOff>
      <xdr:row>37</xdr:row>
      <xdr:rowOff>134040</xdr:rowOff>
    </xdr:from>
    <xdr:to>
      <xdr:col>9</xdr:col>
      <xdr:colOff>99240</xdr:colOff>
      <xdr:row>40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14:cNvPr>
            <xdr14:cNvContentPartPr/>
          </xdr14:nvContentPartPr>
          <xdr14:nvPr macro=""/>
          <xdr14:xfrm>
            <a:off x="4113300" y="6900600"/>
            <a:ext cx="1571400" cy="561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95300" y="6882600"/>
              <a:ext cx="160704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352680</xdr:colOff>
      <xdr:row>35</xdr:row>
      <xdr:rowOff>125760</xdr:rowOff>
    </xdr:from>
    <xdr:to>
      <xdr:col>13</xdr:col>
      <xdr:colOff>37560</xdr:colOff>
      <xdr:row>38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14:cNvPr>
            <xdr14:cNvContentPartPr/>
          </xdr14:nvContentPartPr>
          <xdr14:nvPr macro=""/>
          <xdr14:xfrm>
            <a:off x="5938140" y="6526560"/>
            <a:ext cx="2123280" cy="5716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20143" y="6508920"/>
              <a:ext cx="2158914" cy="60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457080</xdr:colOff>
      <xdr:row>41</xdr:row>
      <xdr:rowOff>13440</xdr:rowOff>
    </xdr:from>
    <xdr:to>
      <xdr:col>9</xdr:col>
      <xdr:colOff>276720</xdr:colOff>
      <xdr:row>43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14:cNvPr>
            <xdr14:cNvContentPartPr/>
          </xdr14:nvContentPartPr>
          <xdr14:nvPr macro=""/>
          <xdr14:xfrm>
            <a:off x="4213740" y="7511520"/>
            <a:ext cx="1648440" cy="5115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95740" y="7493880"/>
              <a:ext cx="168408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562560</xdr:colOff>
      <xdr:row>38</xdr:row>
      <xdr:rowOff>89040</xdr:rowOff>
    </xdr:from>
    <xdr:to>
      <xdr:col>12</xdr:col>
      <xdr:colOff>306600</xdr:colOff>
      <xdr:row>42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14:cNvPr>
            <xdr14:cNvContentPartPr/>
          </xdr14:nvContentPartPr>
          <xdr14:nvPr macro=""/>
          <xdr14:xfrm>
            <a:off x="6148020" y="7038480"/>
            <a:ext cx="1572840" cy="664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30020" y="7020490"/>
              <a:ext cx="1608480" cy="700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356220</xdr:colOff>
      <xdr:row>30</xdr:row>
      <xdr:rowOff>124860</xdr:rowOff>
    </xdr:from>
    <xdr:to>
      <xdr:col>14</xdr:col>
      <xdr:colOff>382380</xdr:colOff>
      <xdr:row>33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14:cNvPr>
            <xdr14:cNvContentPartPr/>
          </xdr14:nvContentPartPr>
          <xdr14:nvPr macro=""/>
          <xdr14:xfrm>
            <a:off x="8380080" y="5611260"/>
            <a:ext cx="635760" cy="440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362080" y="5593620"/>
              <a:ext cx="67140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447660</xdr:colOff>
      <xdr:row>28</xdr:row>
      <xdr:rowOff>28740</xdr:rowOff>
    </xdr:from>
    <xdr:to>
      <xdr:col>19</xdr:col>
      <xdr:colOff>138780</xdr:colOff>
      <xdr:row>41</xdr:row>
      <xdr:rowOff>156900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14:cNvPr>
            <xdr14:cNvContentPartPr/>
          </xdr14:nvContentPartPr>
          <xdr14:nvPr macro=""/>
          <xdr14:xfrm>
            <a:off x="8471520" y="5149380"/>
            <a:ext cx="3348720" cy="2505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453522" y="5131380"/>
              <a:ext cx="3384356" cy="254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106020</xdr:colOff>
      <xdr:row>25</xdr:row>
      <xdr:rowOff>67980</xdr:rowOff>
    </xdr:from>
    <xdr:to>
      <xdr:col>20</xdr:col>
      <xdr:colOff>90420</xdr:colOff>
      <xdr:row>43</xdr:row>
      <xdr:rowOff>92820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14:cNvPr>
            <xdr14:cNvContentPartPr/>
          </xdr14:nvContentPartPr>
          <xdr14:nvPr macro=""/>
          <xdr14:xfrm>
            <a:off x="8129880" y="4639980"/>
            <a:ext cx="4251600" cy="33166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112239" y="4622340"/>
              <a:ext cx="4287243" cy="335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7560</xdr:colOff>
      <xdr:row>31</xdr:row>
      <xdr:rowOff>172080</xdr:rowOff>
    </xdr:from>
    <xdr:to>
      <xdr:col>13</xdr:col>
      <xdr:colOff>146040</xdr:colOff>
      <xdr:row>46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14:cNvPr>
            <xdr14:cNvContentPartPr/>
          </xdr14:nvContentPartPr>
          <xdr14:nvPr macro=""/>
          <xdr14:xfrm>
            <a:off x="3764220" y="5841360"/>
            <a:ext cx="4405680" cy="26190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46220" y="5823720"/>
              <a:ext cx="4441320" cy="265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358260</xdr:colOff>
      <xdr:row>10</xdr:row>
      <xdr:rowOff>150120</xdr:rowOff>
    </xdr:from>
    <xdr:to>
      <xdr:col>21</xdr:col>
      <xdr:colOff>579900</xdr:colOff>
      <xdr:row>21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14:cNvPr>
            <xdr14:cNvContentPartPr/>
          </xdr14:nvContentPartPr>
          <xdr14:nvPr macro=""/>
          <xdr14:xfrm>
            <a:off x="10820520" y="1978920"/>
            <a:ext cx="2660040" cy="1883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14399" y="1972800"/>
              <a:ext cx="2672282" cy="1896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295260</xdr:colOff>
      <xdr:row>10</xdr:row>
      <xdr:rowOff>146520</xdr:rowOff>
    </xdr:from>
    <xdr:to>
      <xdr:col>22</xdr:col>
      <xdr:colOff>127260</xdr:colOff>
      <xdr:row>19</xdr:row>
      <xdr:rowOff>120600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F1695827-D869-5A03-A3E2-D5E55177BD41}"/>
            </a:ext>
          </a:extLst>
        </xdr:cNvPr>
        <xdr:cNvSpPr/>
      </xdr:nvSpPr>
      <xdr:spPr>
        <a:xfrm>
          <a:off x="10757520" y="1975320"/>
          <a:ext cx="2880000" cy="1620000"/>
        </a:xfrm>
        <a:prstGeom prst="rect">
          <a:avLst/>
        </a:prstGeom>
        <a:solidFill>
          <a:srgbClr val="F6630D">
            <a:alpha val="5000"/>
          </a:srgbClr>
        </a:solidFill>
        <a:ln w="12600">
          <a:solidFill>
            <a:srgbClr val="F6630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6630D"/>
            </a:solidFill>
          </a:endParaRPr>
        </a:p>
      </xdr:txBody>
    </xdr:sp>
    <xdr:clientData/>
  </xdr:twoCellAnchor>
  <xdr:twoCellAnchor editAs="oneCell">
    <xdr:from>
      <xdr:col>15</xdr:col>
      <xdr:colOff>182820</xdr:colOff>
      <xdr:row>16</xdr:row>
      <xdr:rowOff>152280</xdr:rowOff>
    </xdr:from>
    <xdr:to>
      <xdr:col>15</xdr:col>
      <xdr:colOff>183180</xdr:colOff>
      <xdr:row>16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14:cNvPr>
            <xdr14:cNvContentPartPr/>
          </xdr14:nvContentPartPr>
          <xdr14:nvPr macro=""/>
          <xdr14:xfrm>
            <a:off x="9425880" y="3078360"/>
            <a:ext cx="360" cy="3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19760" y="3072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358020</xdr:colOff>
      <xdr:row>26</xdr:row>
      <xdr:rowOff>53280</xdr:rowOff>
    </xdr:from>
    <xdr:to>
      <xdr:col>22</xdr:col>
      <xdr:colOff>358380</xdr:colOff>
      <xdr:row>26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14:cNvPr>
            <xdr14:cNvContentPartPr/>
          </xdr14:nvContentPartPr>
          <xdr14:nvPr macro=""/>
          <xdr14:xfrm>
            <a:off x="13868280" y="4808160"/>
            <a:ext cx="360" cy="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862160" y="48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251160</xdr:colOff>
      <xdr:row>3</xdr:row>
      <xdr:rowOff>60840</xdr:rowOff>
    </xdr:from>
    <xdr:to>
      <xdr:col>1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406760</xdr:colOff>
      <xdr:row>7</xdr:row>
      <xdr:rowOff>129362</xdr:rowOff>
    </xdr:from>
    <xdr:to>
      <xdr:col>3</xdr:col>
      <xdr:colOff>931333</xdr:colOff>
      <xdr:row>17</xdr:row>
      <xdr:rowOff>137861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14:cNvPr>
            <xdr14:cNvContentPartPr/>
          </xdr14:nvContentPartPr>
          <xdr14:nvPr macro=""/>
          <xdr14:xfrm>
            <a:off x="406760" y="3008029"/>
            <a:ext cx="3293173" cy="228603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0960" y="1805760"/>
              <a:ext cx="4855680" cy="34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15240</xdr:colOff>
      <xdr:row>9</xdr:row>
      <xdr:rowOff>121680</xdr:rowOff>
    </xdr:from>
    <xdr:to>
      <xdr:col>5</xdr:col>
      <xdr:colOff>15600</xdr:colOff>
      <xdr:row>9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14:cNvPr>
            <xdr14:cNvContentPartPr/>
          </xdr14:nvContentPartPr>
          <xdr14:nvPr macro=""/>
          <xdr14:xfrm>
            <a:off x="3063240" y="20419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45240" y="2023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ECBC97-0709-4D01-8941-093B7D8D1B6C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1211400</xdr:colOff>
      <xdr:row>28</xdr:row>
      <xdr:rowOff>160020</xdr:rowOff>
    </xdr:from>
    <xdr:to>
      <xdr:col>2</xdr:col>
      <xdr:colOff>1211760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14:cNvPr>
            <xdr14:cNvContentPartPr/>
          </xdr14:nvContentPartPr>
          <xdr14:nvPr macro=""/>
          <xdr14:xfrm>
            <a:off x="3451680" y="7315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4268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1097280</xdr:colOff>
      <xdr:row>28</xdr:row>
      <xdr:rowOff>167580</xdr:rowOff>
    </xdr:from>
    <xdr:to>
      <xdr:col>2</xdr:col>
      <xdr:colOff>1097640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14:cNvPr>
            <xdr14:cNvContentPartPr/>
          </xdr14:nvContentPartPr>
          <xdr14:nvPr macro=""/>
          <xdr14:xfrm>
            <a:off x="3337560" y="732276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2856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952200</xdr:colOff>
      <xdr:row>28</xdr:row>
      <xdr:rowOff>167580</xdr:rowOff>
    </xdr:from>
    <xdr:to>
      <xdr:col>2</xdr:col>
      <xdr:colOff>952560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14:cNvPr>
            <xdr14:cNvContentPartPr/>
          </xdr14:nvContentPartPr>
          <xdr14:nvPr macro=""/>
          <xdr14:xfrm>
            <a:off x="3192480" y="732276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8384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815040</xdr:colOff>
      <xdr:row>28</xdr:row>
      <xdr:rowOff>152100</xdr:rowOff>
    </xdr:from>
    <xdr:to>
      <xdr:col>2</xdr:col>
      <xdr:colOff>815400</xdr:colOff>
      <xdr:row>28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14:cNvPr>
            <xdr14:cNvContentPartPr/>
          </xdr14:nvContentPartPr>
          <xdr14:nvPr macro=""/>
          <xdr14:xfrm>
            <a:off x="3055320" y="73072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46680" y="7298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693360</xdr:colOff>
      <xdr:row>28</xdr:row>
      <xdr:rowOff>144540</xdr:rowOff>
    </xdr:from>
    <xdr:to>
      <xdr:col>2</xdr:col>
      <xdr:colOff>693720</xdr:colOff>
      <xdr:row>28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14:cNvPr>
            <xdr14:cNvContentPartPr/>
          </xdr14:nvContentPartPr>
          <xdr14:nvPr macro=""/>
          <xdr14:xfrm>
            <a:off x="2933640" y="72997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24640" y="729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495000</xdr:colOff>
      <xdr:row>28</xdr:row>
      <xdr:rowOff>160020</xdr:rowOff>
    </xdr:from>
    <xdr:to>
      <xdr:col>2</xdr:col>
      <xdr:colOff>495360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14:cNvPr>
            <xdr14:cNvContentPartPr/>
          </xdr14:nvContentPartPr>
          <xdr14:nvPr macro=""/>
          <xdr14:xfrm>
            <a:off x="2735280" y="731520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2664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373320</xdr:colOff>
      <xdr:row>28</xdr:row>
      <xdr:rowOff>167580</xdr:rowOff>
    </xdr:from>
    <xdr:to>
      <xdr:col>2</xdr:col>
      <xdr:colOff>373680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14:cNvPr>
            <xdr14:cNvContentPartPr/>
          </xdr14:nvContentPartPr>
          <xdr14:nvPr macro=""/>
          <xdr14:xfrm>
            <a:off x="2613600" y="732276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0460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2619360</xdr:colOff>
      <xdr:row>29</xdr:row>
      <xdr:rowOff>191940</xdr:rowOff>
    </xdr:from>
    <xdr:to>
      <xdr:col>3</xdr:col>
      <xdr:colOff>7800</xdr:colOff>
      <xdr:row>30</xdr:row>
      <xdr:rowOff>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14:cNvPr>
            <xdr14:cNvContentPartPr/>
          </xdr14:nvContentPartPr>
          <xdr14:nvPr macro=""/>
          <xdr14:xfrm>
            <a:off x="4859640" y="7636680"/>
            <a:ext cx="9720" cy="6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51000" y="7627680"/>
              <a:ext cx="273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1325880</xdr:colOff>
      <xdr:row>29</xdr:row>
      <xdr:rowOff>152340</xdr:rowOff>
    </xdr:from>
    <xdr:to>
      <xdr:col>3</xdr:col>
      <xdr:colOff>1630</xdr:colOff>
      <xdr:row>29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14:cNvPr>
            <xdr14:cNvContentPartPr/>
          </xdr14:nvContentPartPr>
          <xdr14:nvPr macro=""/>
          <xdr14:xfrm>
            <a:off x="3566160" y="759708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57160" y="7588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1173240</xdr:colOff>
      <xdr:row>29</xdr:row>
      <xdr:rowOff>167460</xdr:rowOff>
    </xdr:from>
    <xdr:to>
      <xdr:col>2</xdr:col>
      <xdr:colOff>1173600</xdr:colOff>
      <xdr:row>29</xdr:row>
      <xdr:rowOff>169260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14:cNvPr>
            <xdr14:cNvContentPartPr/>
          </xdr14:nvContentPartPr>
          <xdr14:nvPr macro=""/>
          <xdr14:xfrm>
            <a:off x="3413520" y="7612200"/>
            <a:ext cx="360" cy="1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04880" y="76032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967680</xdr:colOff>
      <xdr:row>29</xdr:row>
      <xdr:rowOff>175020</xdr:rowOff>
    </xdr:from>
    <xdr:to>
      <xdr:col>2</xdr:col>
      <xdr:colOff>974160</xdr:colOff>
      <xdr:row>30</xdr:row>
      <xdr:rowOff>2198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14:cNvPr>
            <xdr14:cNvContentPartPr/>
          </xdr14:nvContentPartPr>
          <xdr14:nvPr macro=""/>
          <xdr14:xfrm>
            <a:off x="3207960" y="7619760"/>
            <a:ext cx="648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98960" y="761112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769320</xdr:colOff>
      <xdr:row>29</xdr:row>
      <xdr:rowOff>167460</xdr:rowOff>
    </xdr:from>
    <xdr:to>
      <xdr:col>2</xdr:col>
      <xdr:colOff>775800</xdr:colOff>
      <xdr:row>29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14:cNvPr>
            <xdr14:cNvContentPartPr/>
          </xdr14:nvContentPartPr>
          <xdr14:nvPr macro=""/>
          <xdr14:xfrm>
            <a:off x="3009600" y="7612200"/>
            <a:ext cx="648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00960" y="760320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655200</xdr:colOff>
      <xdr:row>29</xdr:row>
      <xdr:rowOff>182580</xdr:rowOff>
    </xdr:from>
    <xdr:to>
      <xdr:col>2</xdr:col>
      <xdr:colOff>655560</xdr:colOff>
      <xdr:row>30</xdr:row>
      <xdr:rowOff>2138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14:cNvPr>
            <xdr14:cNvContentPartPr/>
          </xdr14:nvContentPartPr>
          <xdr14:nvPr macro=""/>
          <xdr14:xfrm>
            <a:off x="2895480" y="76273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86480" y="7618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1455360</xdr:colOff>
      <xdr:row>26</xdr:row>
      <xdr:rowOff>68460</xdr:rowOff>
    </xdr:from>
    <xdr:to>
      <xdr:col>1</xdr:col>
      <xdr:colOff>1485960</xdr:colOff>
      <xdr:row>26</xdr:row>
      <xdr:rowOff>113100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14:cNvPr>
            <xdr14:cNvContentPartPr/>
          </xdr14:nvContentPartPr>
          <xdr14:nvPr macro=""/>
          <xdr14:xfrm>
            <a:off x="2064960" y="6690240"/>
            <a:ext cx="30600" cy="446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6320" y="6681240"/>
              <a:ext cx="48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1909080</xdr:colOff>
      <xdr:row>30</xdr:row>
      <xdr:rowOff>129540</xdr:rowOff>
    </xdr:from>
    <xdr:to>
      <xdr:col>3</xdr:col>
      <xdr:colOff>420</xdr:colOff>
      <xdr:row>30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14:cNvPr>
            <xdr14:cNvContentPartPr/>
          </xdr14:nvContentPartPr>
          <xdr14:nvPr macro=""/>
          <xdr14:xfrm>
            <a:off x="4149360" y="7863840"/>
            <a:ext cx="39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140360" y="7854840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408480</xdr:colOff>
      <xdr:row>11</xdr:row>
      <xdr:rowOff>12207</xdr:rowOff>
    </xdr:from>
    <xdr:to>
      <xdr:col>6</xdr:col>
      <xdr:colOff>1421880</xdr:colOff>
      <xdr:row>14</xdr:row>
      <xdr:rowOff>34822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14:cNvPr>
            <xdr14:cNvContentPartPr/>
          </xdr14:nvContentPartPr>
          <xdr14:nvPr macro=""/>
          <xdr14:xfrm>
            <a:off x="7134862" y="1986480"/>
            <a:ext cx="1013400" cy="5421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126222" y="1977840"/>
              <a:ext cx="1031040" cy="55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118058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2BFE423-7594-4B7B-87A8-8670B67BCA47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E571C3-51FF-45A3-9E74-24839711ACC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5800</xdr:colOff>
      <xdr:row>1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007F918-89E6-447A-9246-41D945341A20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214407</xdr:colOff>
      <xdr:row>19</xdr:row>
      <xdr:rowOff>117698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0CE152-6669-47E5-835A-3FBEBF840C8D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665880</xdr:colOff>
      <xdr:row>25</xdr:row>
      <xdr:rowOff>7620</xdr:rowOff>
    </xdr:from>
    <xdr:to>
      <xdr:col>7</xdr:col>
      <xdr:colOff>301930</xdr:colOff>
      <xdr:row>29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14:cNvPr>
            <xdr14:cNvContentPartPr/>
          </xdr14:nvContentPartPr>
          <xdr14:nvPr macro=""/>
          <xdr14:xfrm>
            <a:off x="4384440" y="2811780"/>
            <a:ext cx="4550950" cy="833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75440" y="2802783"/>
              <a:ext cx="4568591" cy="850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343320</xdr:colOff>
      <xdr:row>22</xdr:row>
      <xdr:rowOff>53340</xdr:rowOff>
    </xdr:from>
    <xdr:to>
      <xdr:col>3</xdr:col>
      <xdr:colOff>266700</xdr:colOff>
      <xdr:row>34</xdr:row>
      <xdr:rowOff>78114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14:cNvPr>
            <xdr14:cNvContentPartPr/>
          </xdr14:nvContentPartPr>
          <xdr14:nvPr macro=""/>
          <xdr14:xfrm>
            <a:off x="343320" y="2263140"/>
            <a:ext cx="3641940" cy="2402214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4320" y="2254140"/>
              <a:ext cx="3659581" cy="2419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50640</xdr:colOff>
      <xdr:row>1</xdr:row>
      <xdr:rowOff>15000</xdr:rowOff>
    </xdr:from>
    <xdr:to>
      <xdr:col>10</xdr:col>
      <xdr:colOff>1425840</xdr:colOff>
      <xdr:row>24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14:cNvPr>
            <xdr14:cNvContentPartPr/>
          </xdr14:nvContentPartPr>
          <xdr14:nvPr macro=""/>
          <xdr14:xfrm>
            <a:off x="12776040" y="213120"/>
            <a:ext cx="1375200" cy="47559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767400" y="204480"/>
              <a:ext cx="1392840" cy="47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502680</xdr:colOff>
      <xdr:row>3</xdr:row>
      <xdr:rowOff>60900</xdr:rowOff>
    </xdr:from>
    <xdr:to>
      <xdr:col>4</xdr:col>
      <xdr:colOff>503040</xdr:colOff>
      <xdr:row>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2DE523-A4BF-4B2E-B3BC-B5AFF50C1CC1}"/>
                </a:ext>
              </a:extLst>
            </xdr14:cNvPr>
            <xdr14:cNvContentPartPr/>
          </xdr14:nvContentPartPr>
          <xdr14:nvPr macro=""/>
          <xdr14:xfrm>
            <a:off x="4647960" y="739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DB6F0D-492A-42E4-A7CB-228CB901F7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8960" y="73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363900</xdr:colOff>
      <xdr:row>16</xdr:row>
      <xdr:rowOff>143417</xdr:rowOff>
    </xdr:from>
    <xdr:to>
      <xdr:col>8</xdr:col>
      <xdr:colOff>673140</xdr:colOff>
      <xdr:row>17</xdr:row>
      <xdr:rowOff>244500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14:cNvPr>
            <xdr14:cNvContentPartPr/>
          </xdr14:nvContentPartPr>
          <xdr14:nvPr macro=""/>
          <xdr14:xfrm>
            <a:off x="7496220" y="3496217"/>
            <a:ext cx="1223640" cy="291583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55317" y="-17633"/>
              <a:ext cx="1241285" cy="3092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90360</xdr:colOff>
      <xdr:row>1</xdr:row>
      <xdr:rowOff>60840</xdr:rowOff>
    </xdr:from>
    <xdr:to>
      <xdr:col>9</xdr:col>
      <xdr:colOff>554760</xdr:colOff>
      <xdr:row>18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14:cNvPr>
            <xdr14:cNvContentPartPr/>
          </xdr14:nvContentPartPr>
          <xdr14:nvPr macro=""/>
          <xdr14:xfrm>
            <a:off x="9783000" y="243720"/>
            <a:ext cx="464400" cy="3627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74000" y="234720"/>
              <a:ext cx="482040" cy="36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61200</xdr:colOff>
      <xdr:row>1</xdr:row>
      <xdr:rowOff>55800</xdr:rowOff>
    </xdr:from>
    <xdr:to>
      <xdr:col>11</xdr:col>
      <xdr:colOff>856020</xdr:colOff>
      <xdr:row>22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14:cNvPr>
            <xdr14:cNvContentPartPr/>
          </xdr14:nvContentPartPr>
          <xdr14:nvPr macro=""/>
          <xdr14:xfrm>
            <a:off x="9753840" y="238680"/>
            <a:ext cx="2585520" cy="4435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745200" y="229681"/>
              <a:ext cx="2603160" cy="4453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967680</xdr:colOff>
      <xdr:row>1</xdr:row>
      <xdr:rowOff>75960</xdr:rowOff>
    </xdr:from>
    <xdr:to>
      <xdr:col>13</xdr:col>
      <xdr:colOff>1031940</xdr:colOff>
      <xdr:row>21</xdr:row>
      <xdr:rowOff>108180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14:cNvPr>
            <xdr14:cNvContentPartPr/>
          </xdr14:nvContentPartPr>
          <xdr14:nvPr macro=""/>
          <xdr14:xfrm>
            <a:off x="12793920" y="258840"/>
            <a:ext cx="2098800" cy="42156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75923" y="241200"/>
              <a:ext cx="2134434" cy="425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721209</xdr:colOff>
      <xdr:row>24</xdr:row>
      <xdr:rowOff>224894</xdr:rowOff>
    </xdr:from>
    <xdr:to>
      <xdr:col>10</xdr:col>
      <xdr:colOff>150133</xdr:colOff>
      <xdr:row>31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14:cNvPr>
            <xdr14:cNvContentPartPr/>
          </xdr14:nvContentPartPr>
          <xdr14:nvPr macro=""/>
          <xdr14:xfrm>
            <a:off x="10153076" y="6371694"/>
            <a:ext cx="4407324" cy="1739373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06400" y="4917773"/>
              <a:ext cx="3795120" cy="171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292976</xdr:colOff>
      <xdr:row>8</xdr:row>
      <xdr:rowOff>270280</xdr:rowOff>
    </xdr:from>
    <xdr:to>
      <xdr:col>2</xdr:col>
      <xdr:colOff>1490710</xdr:colOff>
      <xdr:row>11</xdr:row>
      <xdr:rowOff>69072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6556A8-EE25-46D8-A67F-E5149CCE85FC}"/>
                </a:ext>
              </a:extLst>
            </xdr14:cNvPr>
            <xdr14:cNvContentPartPr/>
          </xdr14:nvContentPartPr>
          <xdr14:nvPr macro=""/>
          <xdr14:xfrm>
            <a:off x="2624696" y="1969540"/>
            <a:ext cx="1197734" cy="804632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08AF2BA-9210-61DE-F343-522B9BBF56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2600" y="1994324"/>
              <a:ext cx="1523520" cy="59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1560656</xdr:colOff>
      <xdr:row>7</xdr:row>
      <xdr:rowOff>66271</xdr:rowOff>
    </xdr:from>
    <xdr:to>
      <xdr:col>3</xdr:col>
      <xdr:colOff>315905</xdr:colOff>
      <xdr:row>9</xdr:row>
      <xdr:rowOff>106577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1E85FBF-501A-4509-9738-DA9B0E0730CA}"/>
                </a:ext>
              </a:extLst>
            </xdr14:cNvPr>
            <xdr14:cNvContentPartPr/>
          </xdr14:nvContentPartPr>
          <xdr14:nvPr macro=""/>
          <xdr14:xfrm>
            <a:off x="3892376" y="1559791"/>
            <a:ext cx="835509" cy="642286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B9FAE25-314A-9484-0E2A-D71C8403D9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77040" y="1653044"/>
              <a:ext cx="1065240" cy="53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601000</xdr:colOff>
      <xdr:row>9</xdr:row>
      <xdr:rowOff>68391</xdr:rowOff>
    </xdr:from>
    <xdr:to>
      <xdr:col>3</xdr:col>
      <xdr:colOff>419100</xdr:colOff>
      <xdr:row>17</xdr:row>
      <xdr:rowOff>66321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C47024D-BABA-4141-8B16-24A4295BE51A}"/>
                </a:ext>
              </a:extLst>
            </xdr14:cNvPr>
            <xdr14:cNvContentPartPr/>
          </xdr14:nvContentPartPr>
          <xdr14:nvPr macro=""/>
          <xdr14:xfrm>
            <a:off x="2932720" y="2163891"/>
            <a:ext cx="1898360" cy="181911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A411AE7-A265-C0E3-C3FE-2C48BF701C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7078" y="2309322"/>
              <a:ext cx="2081883" cy="1436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124832</xdr:colOff>
      <xdr:row>0</xdr:row>
      <xdr:rowOff>183420</xdr:rowOff>
    </xdr:from>
    <xdr:to>
      <xdr:col>1</xdr:col>
      <xdr:colOff>1120140</xdr:colOff>
      <xdr:row>5</xdr:row>
      <xdr:rowOff>66214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14:cNvPr>
            <xdr14:cNvContentPartPr/>
          </xdr14:nvContentPartPr>
          <xdr14:nvPr macro=""/>
          <xdr14:xfrm>
            <a:off x="124832" y="183420"/>
            <a:ext cx="1940188" cy="972454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7800" y="60120"/>
              <a:ext cx="2089800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152280</xdr:colOff>
      <xdr:row>8</xdr:row>
      <xdr:rowOff>360000</xdr:rowOff>
    </xdr:from>
    <xdr:to>
      <xdr:col>1</xdr:col>
      <xdr:colOff>289560</xdr:colOff>
      <xdr:row>10</xdr:row>
      <xdr:rowOff>129878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14:cNvPr>
            <xdr14:cNvContentPartPr/>
          </xdr14:nvContentPartPr>
          <xdr14:nvPr macro=""/>
          <xdr14:xfrm>
            <a:off x="152280" y="2059260"/>
            <a:ext cx="1082160" cy="364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563" y="2225880"/>
              <a:ext cx="980273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132480</xdr:colOff>
      <xdr:row>6</xdr:row>
      <xdr:rowOff>95040</xdr:rowOff>
    </xdr:from>
    <xdr:to>
      <xdr:col>1</xdr:col>
      <xdr:colOff>612538</xdr:colOff>
      <xdr:row>8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14:cNvPr>
            <xdr14:cNvContentPartPr/>
          </xdr14:nvContentPartPr>
          <xdr14:nvPr macro=""/>
          <xdr14:xfrm>
            <a:off x="132480" y="1382820"/>
            <a:ext cx="1424938" cy="463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7760" y="1549080"/>
              <a:ext cx="1285200" cy="4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119519</xdr:colOff>
      <xdr:row>12</xdr:row>
      <xdr:rowOff>29940</xdr:rowOff>
    </xdr:from>
    <xdr:to>
      <xdr:col>1</xdr:col>
      <xdr:colOff>61330</xdr:colOff>
      <xdr:row>13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14:cNvPr>
            <xdr14:cNvContentPartPr/>
          </xdr14:nvContentPartPr>
          <xdr14:nvPr macro=""/>
          <xdr14:xfrm>
            <a:off x="119519" y="2933160"/>
            <a:ext cx="886691" cy="27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5156" y="2894051"/>
              <a:ext cx="806408" cy="29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418189</xdr:colOff>
      <xdr:row>18</xdr:row>
      <xdr:rowOff>113089</xdr:rowOff>
    </xdr:from>
    <xdr:to>
      <xdr:col>0</xdr:col>
      <xdr:colOff>465611</xdr:colOff>
      <xdr:row>18</xdr:row>
      <xdr:rowOff>160511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14:cNvPr>
            <xdr14:cNvContentPartPr/>
          </xdr14:nvContentPartPr>
          <xdr14:nvPr macro=""/>
          <xdr14:xfrm rot="5400000">
            <a:off x="418189" y="4022149"/>
            <a:ext cx="47422" cy="47422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5400000">
              <a:off x="409139" y="4013461"/>
              <a:ext cx="651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111239</xdr:colOff>
      <xdr:row>14</xdr:row>
      <xdr:rowOff>99060</xdr:rowOff>
    </xdr:from>
    <xdr:to>
      <xdr:col>1</xdr:col>
      <xdr:colOff>489718</xdr:colOff>
      <xdr:row>17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14:cNvPr>
            <xdr14:cNvContentPartPr/>
          </xdr14:nvContentPartPr>
          <xdr14:nvPr macro=""/>
          <xdr14:xfrm>
            <a:off x="111239" y="3413760"/>
            <a:ext cx="1323359" cy="691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880" y="3374280"/>
              <a:ext cx="1194840" cy="7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274320</xdr:colOff>
      <xdr:row>16</xdr:row>
      <xdr:rowOff>76080</xdr:rowOff>
    </xdr:from>
    <xdr:to>
      <xdr:col>0</xdr:col>
      <xdr:colOff>666876</xdr:colOff>
      <xdr:row>18</xdr:row>
      <xdr:rowOff>204720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14:cNvPr>
            <xdr14:cNvContentPartPr/>
          </xdr14:nvContentPartPr>
          <xdr14:nvPr macro=""/>
          <xdr14:xfrm>
            <a:off x="274320" y="3794640"/>
            <a:ext cx="392556" cy="524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9600" y="3755160"/>
              <a:ext cx="36684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373844</xdr:colOff>
      <xdr:row>6</xdr:row>
      <xdr:rowOff>27273</xdr:rowOff>
    </xdr:from>
    <xdr:to>
      <xdr:col>5</xdr:col>
      <xdr:colOff>549524</xdr:colOff>
      <xdr:row>6</xdr:row>
      <xdr:rowOff>55713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14:cNvPr>
            <xdr14:cNvContentPartPr/>
          </xdr14:nvContentPartPr>
          <xdr14:nvPr macro=""/>
          <xdr14:xfrm>
            <a:off x="7411953" y="1322673"/>
            <a:ext cx="175680" cy="284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94313" y="1304673"/>
              <a:ext cx="21132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1178335</xdr:colOff>
      <xdr:row>6</xdr:row>
      <xdr:rowOff>3873</xdr:rowOff>
    </xdr:from>
    <xdr:to>
      <xdr:col>5</xdr:col>
      <xdr:colOff>181964</xdr:colOff>
      <xdr:row>6</xdr:row>
      <xdr:rowOff>180993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14:cNvPr>
            <xdr14:cNvContentPartPr/>
          </xdr14:nvContentPartPr>
          <xdr14:nvPr macro=""/>
          <xdr14:xfrm>
            <a:off x="7024953" y="1299273"/>
            <a:ext cx="195120" cy="177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006953" y="1281273"/>
              <a:ext cx="230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441055</xdr:colOff>
      <xdr:row>5</xdr:row>
      <xdr:rowOff>145004</xdr:rowOff>
    </xdr:from>
    <xdr:to>
      <xdr:col>4</xdr:col>
      <xdr:colOff>861895</xdr:colOff>
      <xdr:row>6</xdr:row>
      <xdr:rowOff>201873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14:cNvPr>
            <xdr14:cNvContentPartPr/>
          </xdr14:nvContentPartPr>
          <xdr14:nvPr macro=""/>
          <xdr14:xfrm>
            <a:off x="6287673" y="1239513"/>
            <a:ext cx="420840" cy="257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270033" y="1221873"/>
              <a:ext cx="4564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512444</xdr:colOff>
      <xdr:row>7</xdr:row>
      <xdr:rowOff>138415</xdr:rowOff>
    </xdr:from>
    <xdr:to>
      <xdr:col>5</xdr:col>
      <xdr:colOff>730964</xdr:colOff>
      <xdr:row>8</xdr:row>
      <xdr:rowOff>105917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14:cNvPr>
            <xdr14:cNvContentPartPr/>
          </xdr14:nvContentPartPr>
          <xdr14:nvPr macro=""/>
          <xdr14:xfrm>
            <a:off x="7550553" y="1641633"/>
            <a:ext cx="218520" cy="1753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532553" y="1623633"/>
              <a:ext cx="2541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1135855</xdr:colOff>
      <xdr:row>8</xdr:row>
      <xdr:rowOff>5117</xdr:rowOff>
    </xdr:from>
    <xdr:to>
      <xdr:col>5</xdr:col>
      <xdr:colOff>287084</xdr:colOff>
      <xdr:row>8</xdr:row>
      <xdr:rowOff>196277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14:cNvPr>
            <xdr14:cNvContentPartPr/>
          </xdr14:nvContentPartPr>
          <xdr14:nvPr macro=""/>
          <xdr14:xfrm>
            <a:off x="6982473" y="1716153"/>
            <a:ext cx="342720" cy="19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964833" y="1698513"/>
              <a:ext cx="37836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325495</xdr:colOff>
      <xdr:row>8</xdr:row>
      <xdr:rowOff>41477</xdr:rowOff>
    </xdr:from>
    <xdr:to>
      <xdr:col>4</xdr:col>
      <xdr:colOff>803935</xdr:colOff>
      <xdr:row>8</xdr:row>
      <xdr:rowOff>227237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14:cNvPr>
            <xdr14:cNvContentPartPr/>
          </xdr14:nvContentPartPr>
          <xdr14:nvPr macro=""/>
          <xdr14:xfrm>
            <a:off x="6172113" y="1752513"/>
            <a:ext cx="478440" cy="185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154113" y="1734548"/>
              <a:ext cx="514080" cy="221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450055</xdr:colOff>
      <xdr:row>9</xdr:row>
      <xdr:rowOff>119662</xdr:rowOff>
    </xdr:from>
    <xdr:to>
      <xdr:col>4</xdr:col>
      <xdr:colOff>567415</xdr:colOff>
      <xdr:row>9</xdr:row>
      <xdr:rowOff>131902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14:cNvPr>
            <xdr14:cNvContentPartPr/>
          </xdr14:nvContentPartPr>
          <xdr14:nvPr macro=""/>
          <xdr14:xfrm>
            <a:off x="6296673" y="2225553"/>
            <a:ext cx="117360" cy="12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279033" y="2207553"/>
              <a:ext cx="1530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830935</xdr:colOff>
      <xdr:row>9</xdr:row>
      <xdr:rowOff>53782</xdr:rowOff>
    </xdr:from>
    <xdr:to>
      <xdr:col>4</xdr:col>
      <xdr:colOff>1061335</xdr:colOff>
      <xdr:row>9</xdr:row>
      <xdr:rowOff>111022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14:cNvPr>
            <xdr14:cNvContentPartPr/>
          </xdr14:nvContentPartPr>
          <xdr14:nvPr macro=""/>
          <xdr14:xfrm>
            <a:off x="6677553" y="2159673"/>
            <a:ext cx="230400" cy="572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659913" y="2142033"/>
              <a:ext cx="2660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685604</xdr:colOff>
      <xdr:row>8</xdr:row>
      <xdr:rowOff>265757</xdr:rowOff>
    </xdr:from>
    <xdr:to>
      <xdr:col>5</xdr:col>
      <xdr:colOff>1015724</xdr:colOff>
      <xdr:row>9</xdr:row>
      <xdr:rowOff>75382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14:cNvPr>
            <xdr14:cNvContentPartPr/>
          </xdr14:nvContentPartPr>
          <xdr14:nvPr macro=""/>
          <xdr14:xfrm>
            <a:off x="7723713" y="1976793"/>
            <a:ext cx="330120" cy="2044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706073" y="1958793"/>
              <a:ext cx="3657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117524</xdr:colOff>
      <xdr:row>8</xdr:row>
      <xdr:rowOff>373757</xdr:rowOff>
    </xdr:from>
    <xdr:to>
      <xdr:col>5</xdr:col>
      <xdr:colOff>468164</xdr:colOff>
      <xdr:row>9</xdr:row>
      <xdr:rowOff>111742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14:cNvPr>
            <xdr14:cNvContentPartPr/>
          </xdr14:nvContentPartPr>
          <xdr14:nvPr macro=""/>
          <xdr14:xfrm>
            <a:off x="7155633" y="2084793"/>
            <a:ext cx="350640" cy="1328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138011" y="2067153"/>
              <a:ext cx="386243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76795</xdr:colOff>
      <xdr:row>4</xdr:row>
      <xdr:rowOff>203564</xdr:rowOff>
    </xdr:from>
    <xdr:to>
      <xdr:col>4</xdr:col>
      <xdr:colOff>418435</xdr:colOff>
      <xdr:row>10</xdr:row>
      <xdr:rowOff>102971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14:cNvPr>
            <xdr14:cNvContentPartPr/>
          </xdr14:nvContentPartPr>
          <xdr14:nvPr macro=""/>
          <xdr14:xfrm>
            <a:off x="5677495" y="1064624"/>
            <a:ext cx="341640" cy="1331967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897793" y="1112433"/>
              <a:ext cx="377280" cy="13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576044</xdr:colOff>
      <xdr:row>4</xdr:row>
      <xdr:rowOff>186644</xdr:rowOff>
    </xdr:from>
    <xdr:to>
      <xdr:col>6</xdr:col>
      <xdr:colOff>126153</xdr:colOff>
      <xdr:row>9</xdr:row>
      <xdr:rowOff>178331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14:cNvPr>
            <xdr14:cNvContentPartPr/>
          </xdr14:nvContentPartPr>
          <xdr14:nvPr macro=""/>
          <xdr14:xfrm>
            <a:off x="7365464" y="1047704"/>
            <a:ext cx="738829" cy="1226127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657473" y="1095873"/>
              <a:ext cx="777240" cy="127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38</xdr:row>
      <xdr:rowOff>96190</xdr:rowOff>
    </xdr:from>
    <xdr:to>
      <xdr:col>2</xdr:col>
      <xdr:colOff>6160</xdr:colOff>
      <xdr:row>38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CCD8161-EAC3-47BD-BD9A-DF67CDBF450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56</xdr:row>
      <xdr:rowOff>117698</xdr:rowOff>
    </xdr:from>
    <xdr:to>
      <xdr:col>4</xdr:col>
      <xdr:colOff>214767</xdr:colOff>
      <xdr:row>56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5AB8680-3075-41D3-987A-AA85D8D09C83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06:44.0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12:12.18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7.37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94 202 24575,'0'-6'0,"1"0"0,0-1 0,1 1 0,-1 0 0,1 0 0,1 0 0,-1 0 0,1 0 0,0 0 0,0 1 0,1-1 0,0 1 0,0 0 0,0 0 0,0 0 0,1 1 0,7-7 0,4-1 0,0 0 0,1 1 0,0 0 0,25-10 0,-33 16 0,2 1 0,-1 0 0,0 0 0,1 1 0,0 1 0,0 0 0,14-1 0,-18 3 0,0 0 0,-1 1 0,1 0 0,0 0 0,-1 0 0,1 1 0,-1 0 0,1 0 0,-1 1 0,0 0 0,0 0 0,0 0 0,6 6 0,6 5 0,0 1 0,-1 1 0,-1 1 0,-1 0 0,0 1 0,23 38 0,-12-10 0,40 95 0,-46-86 0,-2 2 0,-3 0 0,-2 1 0,8 105 0,-14-38 0,-12 152 0,0-219 0,-3 1 0,-18 72 0,-44 112 0,4-18 0,47-147 0,3 2 0,4 0 0,-2 110 0,12-135 0,0-8 0,5 65 0,-2-99 0,1-1 0,0 1 0,1-1 0,1 0 0,-1 0 0,2 0 0,0 0 0,0-1 0,1 1 0,8 10 0,-9-15 0,1-1 0,0 1 0,1-1 0,-1-1 0,1 1 0,0-1 0,1 0 0,-1-1 0,1 0 0,0 0 0,0 0 0,0-1 0,15 3 0,-6-2 0,-1-1 0,1-1 0,0 0 0,0-2 0,0 0 0,19-2 0,-31 1 0,1 0 0,0 0 0,-1 0 0,0-1 0,1 0 0,-1 0 0,0 0 0,0-1 0,0 1 0,0-1 0,0-1 0,-1 1 0,1 0 0,-1-1 0,0 0 0,0 0 0,6-8 0,-4 1 0,1 1 0,-1-2 0,-1 1 0,0 0 0,0-1 0,-2 0 0,4-12 0,-6 19 0,0 0 0,0-1 0,-1 1 0,0 0 0,0 0 0,0 0 0,0 0 0,-1-1 0,0 1 0,0 0 0,-4-9 0,5 12 0,-1 1 0,0-1 0,1 1 0,-1 0 0,0-1 0,0 1 0,0 0 0,0-1 0,-1 1 0,1 0 0,0 0 0,0 0 0,-1 0 0,1 0 0,-1 0 0,1 1 0,-1-1 0,1 0 0,-1 1 0,1-1 0,-1 1 0,0-1 0,1 1 0,-1 0 0,0 0 0,1 0 0,-1 0 0,0 0 0,1 0 0,-1 0 0,0 0 0,1 1 0,-1-1 0,1 1 0,-1-1 0,1 1 0,-1-1 0,1 1 0,-1 0 0,-1 1 0,-2 1 0,1 0 0,0 1 0,0-1 0,1 1 0,-1-1 0,1 1 0,0 0 0,0 0 0,0 1 0,0-1 0,1 1 0,0-1 0,0 1 0,0 0 0,0 0 0,1 0 0,0 0 0,0 0 0,0 7 0,-3 13 0,2 0 0,2 38 0,4-2 0,21 111 0,30 60 0,16 94 0,-51-169 0,0 236 0,-21-348 0,-1 0 0,-3 0 0,-1 0 0,-3 0 0,-1-1 0,-19 49 0,20-71 0,0 0 0,-2-1 0,0 0 0,-1-1 0,-2 0 0,0-1 0,0 0 0,-2-1 0,0-1 0,-2-1 0,1 0 0,-2-1 0,-28 17 0,25-20 0,-1-1 0,0-1 0,0-1 0,-1-1 0,0-1 0,-1-1 0,1-1 0,-1-1 0,0-2 0,0 0 0,-1-2 0,1 0 0,0-2 0,0-1 0,0-1 0,1-1 0,-26-8 0,32 7 0,0-1 0,0-1 0,1 0 0,0-2 0,0 0 0,1 0 0,1-2 0,-1 0 0,-25-27 0,30 26 0,1 0 0,0-1 0,0 0 0,2-1 0,0 0 0,1 0 0,0-1 0,1 0 0,1 0 0,0 0 0,1 0 0,-2-25 0,3 2-455,2 0 0,4-42 0,14-77-6371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9.2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361 108 24575,'16'-17'0,"-9"9"0,0 1 0,0 0 0,0 0 0,1 0 0,0 1 0,0 0 0,1 0 0,0 1 0,0 0 0,0 1 0,0 0 0,14-4 0,-7 5 0,0 0 0,1 1 0,-1 1 0,1 0 0,-1 1 0,1 1 0,25 4 0,-31-3 0,-1 1 0,1 0 0,0 1 0,-1 0 0,0 1 0,0 0 0,0 0 0,-1 1 0,0 1 0,0-1 0,0 1 0,8 9 0,2 7 0,0 0 0,-1 1 0,-2 1 0,0 1 0,-2 0 0,-1 1 0,16 44 0,-7-2 0,26 141 0,-21-26 0,7 280 0,-59 188 0,-42-151 0,-11 155 0,5 345 0,30-292 0,44 5 0,3-301 0,-4-321 0,6 433 0,39-2 0,-40-485 0,85 481 0,-69-428 0,5 0 0,3-1 0,63 130 0,-78-190 0,2-1 0,2 0 0,0-1 0,34 38 0,-46-58 0,1-1 0,1 0 0,-1 0 0,1-1 0,0 0 0,1 0 0,0-1 0,0 0 0,0 0 0,0-1 0,0 0 0,1-1 0,0 0 0,0-1 0,0 0 0,0 0 0,0-1 0,19 0 0,-23-2 0,-1 0 0,0 0 0,1-1 0,-1 1 0,0-1 0,0 0 0,0-1 0,-1 1 0,1-1 0,0 0 0,-1 0 0,0 0 0,0-1 0,0 0 0,0 1 0,0-2 0,-1 1 0,0 0 0,0-1 0,0 1 0,0-1 0,3-9 0,2-4 0,-1 0 0,-1 0 0,-1 0 0,-1-1 0,3-22 0,-1-9 0,-2-1 0,-2 0 0,-3 0 0,-7-58 0,7 103 0,0 1 0,0-1 0,-1 0 0,1 0 0,-1 1 0,0-1 0,-1 1 0,0 0 0,-3-6 0,5 10 0,0 0 0,0-1 0,0 1 0,-1 0 0,1 0 0,-1 0 0,1 0 0,0 0 0,-1 0 0,0 0 0,1 0 0,-1 1 0,0-1 0,1 0 0,-1 1 0,0 0 0,0-1 0,1 1 0,-1 0 0,0 0 0,0 0 0,1 0 0,-1 0 0,0 0 0,0 1 0,1-1 0,-1 1 0,0-1 0,0 1 0,1-1 0,-1 1 0,1 0 0,-4 2 0,0 0 0,0 1 0,0 0 0,0 0 0,0 0 0,1 0 0,-1 1 0,1 0 0,0 0 0,1 0 0,-1 1 0,1-1 0,0 1 0,1 0 0,-3 6 0,-5 15 0,-10 51 0,14-53 0,-88 400 0,74-305 0,-6 192 0,0 127 0,-11 318 0,34-629 0,-45 604 0,24-552 0,-8 0 0,-55 177 0,64-286 0,-51 113 0,58-153 0,-1 0 0,-1-1 0,-2 0 0,0-2 0,-41 43 0,48-59 0,-1 0 0,0-1 0,0 0 0,-1-1 0,0-1 0,0 0 0,-1-1 0,-1-1 0,1 0 0,-1-1 0,0-1 0,-1-1 0,1 0 0,-1-1 0,1-1 0,-1-1 0,0 0 0,0-2 0,0 0 0,1-1 0,-1 0 0,0-2 0,1 0 0,0-1 0,0 0 0,0-2 0,1 0 0,-23-13 0,18 7 24,0 0 0,1-1 0,1-1 0,-21-20 0,29 24-210,1-1 1,0 1-1,0-2 0,1 0 1,1 0-1,0 0 1,-9-23-1,2-9-6640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4.2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1825 552 24575,'3'0'0,"5"0"0</inkml:trace>
  <inkml:trace contextRef="#ctx0" brushRef="#br0" timeOffset="1469.88">1169 129 24575,'0'-2'0,"1"-1"0,-1 0 0,1 0 0,0 1 0,0-1 0,0 0 0,1 1 0,-1-1 0,0 1 0,1 0 0,0-1 0,0 1 0,2-2 0,27-26 0,-21 22 0,0 1 0,1 0 0,0 1 0,0 1 0,1-1 0,-1 2 0,1 0 0,0 0 0,1 1 0,-1 0 0,0 1 0,14 0 0,-13 3 0,-1 0 0,0 2 0,0-1 0,0 2 0,0-1 0,0 2 0,-1-1 0,0 2 0,1-1 0,-2 2 0,1-1 0,-1 2 0,0-1 0,15 16 0,-4-3 0,-2 2 0,0-1 0,-1 2 0,-1 1 0,18 34 0,-23-34 0,-1 1 0,-1 0 0,12 52 0,8 84 0,-28-147 0,23 269 0,-10-77 0,6 243 0,-24-352 0,-5 0 0,-33 156 0,-82 437 0,73-3 0,46 137 0,6-798 0,-2-6 0,1 1 0,1-1 0,1 0 0,0 0 0,10 27 0,-12-45 0,-1 1 0,1 0 0,1-1 0,-1 1 0,0-1 0,1 0 0,-1 1 0,1-1 0,-1 0 0,1 0 0,0 0 0,0 0 0,0 0 0,0 0 0,1 0 0,-1-1 0,0 1 0,1-1 0,-1 0 0,1 0 0,-1 0 0,1 0 0,0 0 0,-1 0 0,1-1 0,0 1 0,0-1 0,-1 0 0,1 0 0,0 0 0,0 0 0,-1 0 0,1-1 0,4 0 0,0-1 0,0-1 0,0 1 0,-1-1 0,1 0 0,-1-1 0,0 0 0,0 0 0,0 0 0,0-1 0,-1 0 0,1 0 0,4-6 0,-1-2 0,-1-1 0,0 1 0,-1-1 0,0-1 0,-1 1 0,-1-1 0,0 0 0,-1 0 0,-1-1 0,0 1 0,1-26 0,-7 85 0,2 0 0,2-1 0,2 1 0,10 50 0,48 174 0,-49-219 0,14 51 0,98 411 0,-35 5 0,-75-385 0,-2 170 0,-13-259 0,-2 0 0,-1-1 0,-2 0 0,-3 0 0,-1 0 0,-1-1 0,-3-1 0,-22 49 0,27-72 0,-1-1 0,0 1 0,-2-2 0,1 1 0,-2-1 0,0-1 0,0-1 0,-1 1 0,-1-2 0,0 0 0,-21 11 0,26-16 0,-1-1 0,1 0 0,-1-1 0,-1 0 0,1 0 0,0-1 0,-1-1 0,0 0 0,1 0 0,-1-1 0,0-1 0,0 0 0,0-1 0,1 0 0,-1-1 0,0 0 0,1 0 0,-16-7 0,21 6 5,0 0 0,1 0 1,-1 0-1,1-1 0,-1 0 0,1 0 0,1 0 0,-1-1 0,0 0 0,1 0 0,0 0 0,0 0 0,1-1 0,-1 1 0,1-1 1,-3-8-1,-1-5-368,1-2 0,0 1 0,-4-34 0,-3-45-6463</inkml:trace>
  <inkml:trace contextRef="#ctx0" brushRef="#br0" timeOffset="7552.61">216 8130 24575,'0'8'0,"-17"899"0,10-776 0,-9 136 0,15-248 0,-4 31 0,4-46 0,1-1 0,-1 0 0,0 0 0,1 0 0,-1-1 0,-1 1 0,1 0 0,0 0 0,-1 0 0,0-1 0,-2 4 0,4-6 0,0 0 0,-1 0 0,1 1 0,0-1 0,-1 0 0,1 0 0,-1 0 0,1 0 0,-1 1 0,1-1 0,0 0 0,-1 0 0,1 0 0,-1 0 0,1 0 0,-1 0 0,1 0 0,-1 0 0,1 0 0,0 0 0,-1-1 0,1 1 0,-1 0 0,1 0 0,0 0 0,-1 0 0,1-1 0,-1 1 0,1 0 0,0 0 0,-1-1 0,1 1 0,0 0 0,-1-1 0,1 1 0,0 0 0,0-1 0,-1 1 0,1 0 0,0-1 0,0 1 0,0-1 0,-1 0 0,-5-11 0,0 0 0,1 0 0,1-1 0,0 0 0,0 0 0,-2-21 0,3 20 0,-88-715-310,82 585-514,19-264 0,-3 335 765,3 0 0,4 1 1,3 1-1,3 0 0,43-100 0,-49 139 59,1 1 0,23-33 0,-33 56 0,0 1 0,1-1 0,0 1 0,1 0 0,-1 1 0,1 0 0,0 0 0,1 0 0,0 1 0,0 0 0,0 0 0,15-5 0,-19 8 20,1 1 0,-1 0 0,1 0 0,-1 0-1,1 1 1,0-1 0,-1 1 0,1 0 0,0 1-1,0-1 1,-1 1 0,1 0 0,-1 0 0,1 0-1,8 4 1,-7-1 88,0-1 0,0 1 0,0 0 0,0 1 0,-1 0-1,1 0 1,-1 0 0,0 0 0,6 9 0,-1 2 6,0 1 1,-1-1-1,-1 1 1,-1 1-1,0 0 0,-1 0 1,3 20-1,-5-17-114,-2 1 0,0 0 0,-1-1 0,-1 1 0,-1 0 0,-1-1 0,-1 1 0,-1-1 0,-1 1 0,-1-1 0,-14 33 0,4-18 0,-1-2 0,-2 0 0,-1-1 0,-2-1 0,-42 48 0,58-73-136,0 0-1,0 0 1,-1 0-1,0-1 1,0 0-1,0 0 1,-1-1-1,0 0 0,-12 6 1,-5-7-6690</inkml:trace>
  <inkml:trace contextRef="#ctx0" brushRef="#br0" timeOffset="8554.26">957 8490 24575,'0'-31'0,"1"10"0,-1 0 0,-1 0 0,-1 0 0,-7-34 0,7 49 0,0 0 0,0 1 0,0-1 0,-1 1 0,0-1 0,0 1 0,0 0 0,0 0 0,-1 1 0,0-1 0,0 1 0,0 0 0,-1 0 0,1 0 0,-1 0 0,0 1 0,0 0 0,0 0 0,-1 0 0,1 1 0,-7-3 0,7 4 0,1-1 0,-1 1 0,1 1 0,-1-1 0,1 1 0,-1-1 0,0 1 0,1 0 0,-1 1 0,1-1 0,-1 1 0,0 0 0,1 0 0,0 1 0,-1-1 0,1 1 0,0 0 0,0 0 0,0 0 0,0 1 0,0-1 0,0 1 0,1 0 0,-1 0 0,1 0 0,-4 6 0,-3 3 0,0 0 0,2 1 0,-1 0 0,2 1 0,0 0 0,-9 25 0,2 6 0,1 0 0,3 1 0,1 0 0,-2 56 0,8-37 0,2 0 0,12 94 0,-10-148 0,1 0 0,0 0 0,1 0 0,0 0 0,1-1 0,0 1 0,7 12 0,-9-20 0,-1 0 0,1 0 0,0 0 0,1 0 0,-1-1 0,0 1 0,1-1 0,-1 0 0,1 0 0,0 0 0,0 0 0,0 0 0,0 0 0,0-1 0,0 1 0,0-1 0,1 0 0,-1 0 0,0 0 0,1-1 0,-1 1 0,1-1 0,-1 0 0,1 0 0,-1 0 0,6-1 0,-2 0 0,-1-1 0,1 0 0,-1 0 0,1-1 0,-1 0 0,0 0 0,0-1 0,0 1 0,0-1 0,-1 0 0,0-1 0,1 0 0,-2 1 0,1-2 0,0 1 0,3-6 0,6-10 0,0-1 0,21-45 0,-23 39 0,-1 0 0,-1-1 0,-2 0 0,0 0 0,-3-1 0,5-45 0,-11 45 0,1 30 0,0 1 0,0-1 0,0 0 0,-1 0 0,1 0 0,0 0 0,0 0 0,0 0 0,0 0 0,0 0 0,0 0 0,0 1 0,0-1 0,0 0 0,-1 0 0,1 0 0,0 0 0,0 0 0,0 0 0,0 0 0,0 0 0,0 0 0,-1 0 0,1 0 0,0 0 0,0 0 0,0 0 0,0 0 0,0 0 0,0 0 0,-1 0 0,1 0 0,0 0 0,0 0 0,0 0 0,0 0 0,0 0 0,0 0 0,-1 0 0,1 0 0,0-1 0,0 1 0,0 0 0,0 0 0,0 0 0,0 0 0,0 0 0,0 0 0,0 0 0,0 0 0,-1 0 0,1-1 0,0 1 0,-4 15 0,0 4 0,1-1 0,1 2 0,1-1 0,1 0 0,0 0 0,2 0 0,4 27 0,-4-39 0,0 0 0,0 0 0,1 0 0,0-1 0,0 1 0,0-1 0,1 0 0,0 0 0,0 0 0,6 6 0,-6-9 0,0 1 0,0-1 0,0 0 0,0 0 0,1 0 0,0 0 0,-1-1 0,1 0 0,0 0 0,0 0 0,0-1 0,1 0 0,-1 0 0,0 0 0,7 0 0,-3 0 0,1-1 0,0 0 0,-1-1 0,1 0 0,-1-1 0,1 0 0,-1 0 0,0-1 0,0 0 0,0-1 0,13-7 0,-10 4 0,-1 0 0,-1-1 0,0 0 0,0-1 0,0 0 0,-1-1 0,13-18 0,-7 4 0,0 0 0,-2-1 0,0-1 0,-2 0 0,-1-1 0,-1 0 0,7-36 0,-3-4 0,-3-2 0,-3 1 0,-3-1 0,-3 0 0,-14-117 0,11 169 0,2 12 0,0 0 0,0 1 0,-1-1 0,0 0 0,0 0 0,0 1 0,-1-1 0,1 1 0,-1-1 0,0 1 0,-4-6 0,6 10 0,0 0 0,0 0 0,-1 0 0,1 0 0,0 0 0,0 0 0,-1 0 0,1 0 0,0 0 0,-1 0 0,1 0 0,0 0 0,0 0 0,-1 0 0,1 1 0,0-1 0,0 0 0,0 0 0,-1 0 0,1 0 0,0 0 0,0 1 0,0-1 0,-1 0 0,1 0 0,0 0 0,0 1 0,0-1 0,0 0 0,-1 0 0,1 1 0,0-1 0,0 0 0,0 0 0,0 1 0,0-1 0,0 0 0,0 0 0,0 1 0,0-1 0,0 0 0,0 0 0,0 1 0,0-1 0,0 0 0,0 0 0,0 1 0,0-1 0,0 1 0,-4 28 0,1 0 0,1 0 0,1 1 0,6 48 0,-4-56 0,3 38 0,3 1 0,21 85 0,-22-123 0,0-1 0,2 1 0,0-2 0,2 1 0,0-1 0,2-1 0,0 0 0,1 0 0,24 26 0,-30-39 0,0 0 0,1 0 0,0-1 0,1 0 0,-1-1 0,1 0 0,0 0 0,1 0 0,-1-1 0,1-1 0,-1 0 0,21 4 0,-24-6 0,0 0 0,1-1 0,-1 0 0,0 0 0,1-1 0,-1 1 0,0-1 0,0-1 0,0 1 0,1-1 0,-1 0 0,-1 0 0,1-1 0,0 0 0,-1 0 0,1 0 0,-1-1 0,0 0 0,0 0 0,0 0 0,7-9 0,-2 0 0,0-1 0,-2-1 0,1 1 0,-2-2 0,0 1 0,-1-1 0,0 0 0,-1 0 0,4-25 0,-1-12 0,3-91 0,-15-85 0,0 187 0,-2 1 0,-2-1 0,-16-53 0,22 90 0,0 0 0,0 0 0,0 0 0,0 0 0,-1 0 0,-5-7 0,8 12 0,0-1 0,0 1 0,-1 0 0,1-1 0,0 1 0,-1 0 0,1 0 0,0-1 0,-1 1 0,1 0 0,0 0 0,-1 0 0,1-1 0,0 1 0,-1 0 0,1 0 0,-1 0 0,1 0 0,0 0 0,-1 0 0,1 0 0,-1 0 0,1 0 0,0 0 0,-1 0 0,1 0 0,0 0 0,-1 0 0,1 0 0,-1 0 0,1 0 0,0 1 0,-1-1 0,1 0 0,0 0 0,-1 0 0,1 1 0,0-1 0,-1 0 0,1 0 0,0 1 0,0-1 0,-1 0 0,1 1 0,0-1 0,0 0 0,-1 1 0,1-1 0,0 0 0,0 1 0,0-1 0,0 1 0,-5 11 0,2-1 0,0 1 0,0 0 0,1 0 0,1 0 0,-1 25 0,1-20 0,-5 109 0,17 206 0,-8-305 30,1 0 0,2 0 0,11 35 0,-14-53-144,0 0 0,1 0-1,0-1 1,0 1 0,1-1 0,0 0-1,0 0 1,1-1 0,0 0 0,1 0-1,-1 0 1,16 11 0,3-7-6712</inkml:trace>
  <inkml:trace contextRef="#ctx0" brushRef="#br0" timeOffset="9799.9">1338 8596 24575,'-3'4'0,"0"0"0,1 0 0,0 0 0,0 0 0,0 1 0,0-1 0,1 1 0,-1 4 0,1-8 0,1 0 0,0 0 0,0 0 0,1 1 0,-1-1 0,0 0 0,0 0 0,0 0 0,1 0 0,-1 0 0,0 0 0,1 0 0,-1 0 0,1 0 0,-1 0 0,1 0 0,0 0 0,-1 0 0,1 0 0,0-1 0,0 1 0,0 0 0,-1 0 0,1-1 0,0 1 0,0-1 0,0 1 0,0-1 0,0 1 0,0-1 0,0 1 0,0-1 0,1 0 0,-1 0 0,0 1 0,0-1 0,0 0 0,0 0 0,2 0 0,8 0 0,0-1 0,0 0 0,0-1 0,0 0 0,0 0 0,-1-1 0,1-1 0,15-7 0,-19 8 0,79-32 0,-1-5 0,-3-3 0,-1-3 0,-2-4 0,-3-4 0,87-77 0,-146 116 0,-1-1 0,0-1 0,-1 0 0,0 0 0,14-25 0,-27 39 0,-1 1 0,0-1 0,1 0 0,-1 1 0,0-1 0,0 0 0,0 0 0,-1 0 0,1 1 0,-1-1 0,1 0 0,-1 0 0,0 0 0,0 0 0,-1 0 0,1 0 0,0 0 0,-1 0 0,0 0 0,0 1 0,0-1 0,-2-4 0,2 6 0,0-1 0,-1 1 0,1 0 0,-1-1 0,1 1 0,-1 0 0,1 0 0,-1 0 0,0 1 0,1-1 0,-1 0 0,0 0 0,0 1 0,0-1 0,0 1 0,1 0 0,-1 0 0,0-1 0,0 1 0,0 0 0,0 1 0,0-1 0,0 0 0,0 0 0,0 1 0,1-1 0,-1 1 0,0 0 0,0 0 0,1-1 0,-1 1 0,0 0 0,-1 2 0,-4 1 0,1 0 0,1 1 0,-1-1 0,0 1 0,1 0 0,0 1 0,1-1 0,-1 1 0,1 0 0,0 1 0,0-1 0,1 0 0,0 1 0,0 0 0,-2 7 0,0 1 0,1 1 0,1-1 0,0 1 0,1 0 0,0-1 0,1 18 0,1-26 0,1-1 0,0 1 0,0-1 0,0 1 0,1 0 0,-1-1 0,2 0 0,-1 0 0,1 1 0,0-1 0,0-1 0,0 1 0,1 0 0,7 8 0,-4-8 0,-1 0 0,1 0 0,1 0 0,-1-1 0,1 0 0,-1 0 0,2-1 0,-1 0 0,16 5 0,-7-5 0,-1 0 0,1-1 0,0 0 0,-1-1 0,1-1 0,0-1 0,0-1 0,0 0 0,0-1 0,0-1 0,20-5 0,-19 1 0,0 0 0,-1-1 0,0 0 0,0-2 0,-1 0 0,0 0 0,-1-2 0,0 0 0,-1-1 0,0 0 0,-1-1 0,-1 0 0,0-1 0,-1-1 0,0 0 0,-1 0 0,-1-1 0,-1 0 0,0-1 0,-2 0 0,0 0 0,0 0 0,-2-1 0,0 0 0,-2 0 0,0 0 0,-1 0 0,0 0 0,-2 0 0,0 0 0,-5-20 0,5 32 0,-1 1 0,0-1 0,0 0 0,-1 1 0,1 0 0,-1 0 0,-1 0 0,1 0 0,-6-6 0,8 10 0,0 1 0,0 0 0,0 0 0,0 0 0,-1 0 0,1 0 0,0 0 0,-1 0 0,1 0 0,0 0 0,-1 1 0,1-1 0,-1 0 0,1 1 0,-1 0 0,1-1 0,-1 1 0,1 0 0,-1 0 0,0-1 0,1 1 0,-1 0 0,1 1 0,-1-1 0,1 0 0,-1 0 0,0 1 0,1-1 0,-1 1 0,1-1 0,-1 1 0,1 0 0,0 0 0,-1-1 0,1 1 0,0 0 0,0 0 0,-1 0 0,1 0 0,0 1 0,0-1 0,-2 3 0,-1 0 0,1 0 0,-1 0 0,1 1 0,0 0 0,0 0 0,0 0 0,0 0 0,1 0 0,0 0 0,0 1 0,1-1 0,-1 1 0,1-1 0,0 1 0,1 0 0,-1-1 0,1 1 0,0 0 0,1-1 0,-1 1 0,1 0 0,0-1 0,1 1 0,-1-1 0,1 1 0,0-1 0,0 0 0,1 0 0,0 0 0,0 0 0,0 0 0,0-1 0,1 1 0,-1-1 0,1 0 0,1 0 0,-1 0 0,0 0 0,1-1 0,0 0 0,7 4 0,2-1 0,1-1 0,0-1 0,1 0 0,-1-2 0,0 1 0,1-2 0,0 0 0,-1 0 0,1-2 0,0 0 0,-1-1 0,1 0 0,24-8 0,-13 6 0,-26 4 0,-1 0 0,1 0 0,-1 0 0,1 0 0,-1 0 0,1 0 0,-1 1 0,1-1 0,-1 0 0,1 0 0,-1 0 0,1 1 0,-1-1 0,1 0 0,-1 1 0,1-1 0,-1 0 0,1 1 0,-1-1 0,0 1 0,1-1 0,-1 1 0,0-1 0,1 1 0,-1 3 0,1 0 0,-1 1 0,0-1 0,0 0 0,0 0 0,-1 0 0,0 0 0,0 0 0,-1 5 0,2-9 0,-4 19 0,-5 15 0,2 1 0,2-1 0,1 1 0,1 61 0,3-94 0,0 0 0,0 0 0,0 0 0,0 0 0,1 0 0,-1 0 0,1 0 0,-1 0 0,1 0 0,0 0 0,0 0 0,0 0 0,0 0 0,0-1 0,0 1 0,0 0 0,1-1 0,-1 1 0,1-1 0,-1 1 0,1-1 0,0 0 0,-1 0 0,1 1 0,0-1 0,0 0 0,0-1 0,0 1 0,0 0 0,0 0 0,0-1 0,0 0 0,0 1 0,3-1 0,0 0 0,0 0 0,0-1 0,0 0 0,-1 0 0,1 0 0,0-1 0,-1 0 0,1 1 0,-1-2 0,0 1 0,0 0 0,0-1 0,0 0 0,4-3 0,10-11 0,-2 0 0,0-1 0,-1-1 0,-1 0 0,-1-1 0,0 0 0,18-44 0,-15 26 0,-2-1 0,-2 0 0,12-73 0,-26 132 0,0-1 0,1 1 0,4 35 0,-3-50 0,1 1 0,0-1 0,0 1 0,1-1 0,-1 0 0,1 1 0,0-1 0,1 0 0,-1 0 0,7 8 0,-7-11 0,0-1 0,0 1 0,0 0 0,0-1 0,0 1 0,0-1 0,0 0 0,0 0 0,1 0 0,-1 0 0,0 0 0,1 0 0,-1 0 0,1-1 0,-1 0 0,1 1 0,-1-1 0,1 0 0,0 0 0,-1 0 0,1 0 0,-1-1 0,1 1 0,-1-1 0,4-1 0,2 0 0,0-1 0,0-1 0,-1 1 0,0-1 0,0 0 0,0-1 0,0 0 0,0 0 0,-1 0 0,0-1 0,0 0 0,5-7 0,8-12 0,29-52 0,-19 30 0,-29 46 0,0 1 0,0-1 0,1 1 0,-1-1 0,0 1 0,1-1 0,-1 1 0,0-1 0,1 1 0,-1-1 0,0 1 0,1 0 0,-1-1 0,1 1 0,-1 0 0,0-1 0,1 1 0,-1 0 0,1 0 0,-1-1 0,1 1 0,0 0 0,-1 0 0,1 0 0,-1 0 0,2-1 0,3 14 0,-3 35 0,-2-33 0,0-10 0,1 1 0,0-1 0,0 1 0,0-1 0,0 1 0,1-1 0,0 0 0,0 0 0,1 0 0,0 0 0,-1 0 0,2 0 0,-1-1 0,0 0 0,1 1 0,0-1 0,0 0 0,0-1 0,0 1 0,1-1 0,5 4 0,-4-4 0,0 0 0,1-1 0,-1 0 0,0 0 0,1 0 0,-1-1 0,1 0 0,-1 0 0,1 0 0,0-1 0,-1 0 0,1-1 0,0 1 0,-1-1 0,1 0 0,-1-1 0,1 0 0,6-2 0,2-3 0,-1-1 0,0 0 0,0-1 0,-1 0 0,0-1 0,0-1 0,-1 0 0,-1-1 0,0 0 0,0 0 0,-1-1 0,-1-1 0,12-21 0,-7 9 0,-1 0 0,-2-1 0,0-1 0,-2 0 0,-1 0 0,8-49 0,-15 65 0,1 0 0,-2 0 0,0 1 0,-2-19 0,1 22 0,3 14 0,10 30 0,2-15 0,0 0 0,2 0 0,1-2 0,0 0 0,1-1 0,26 19 0,-17-13 0,-1 1 0,29 35 0,-52-56 0,0-1 0,0 1 0,0 0 0,-1 0 0,1 0 0,-1 0 0,0 0 0,0 0 0,-1 1 0,1-1 0,-1 1 0,0-1 0,0 1 0,-1 0 0,1-1 0,-1 1 0,0 0 0,0-1 0,-1 1 0,1 0 0,-1-1 0,0 1 0,0-1 0,-1 1 0,1-1 0,-1 0 0,0 1 0,0-1 0,-1 0 0,1 0 0,-1 0 0,-4 4 0,-3 3 12,-1-1 0,0 1 0,-1-2 0,-1 0 0,1 0 0,-1-2 0,0 1 0,-1-1 0,-25 8 0,3-3-507,0-2 0,-65 10 0,46-14-6331</inkml:trace>
  <inkml:trace contextRef="#ctx0" brushRef="#br0" timeOffset="11035.26">1359 9823 24575,'-3'-3'0,"1"0"0,0 0 0,-1 1 0,0-1 0,1 0 0,-1 1 0,0 0 0,0 0 0,-1 0 0,1 0 0,0 0 0,-1 0 0,1 1 0,-1 0 0,1 0 0,-1 0 0,0 0 0,1 0 0,-1 1 0,0-1 0,-5 1 0,-1 0 0,1 0 0,0 0 0,-1 1 0,1 0 0,0 1 0,0 0 0,-15 5 0,15-3 0,0 1 0,1-1 0,-1 2 0,1-1 0,0 1 0,1 0 0,-1 1 0,1 0 0,-11 14 0,8-7 0,0 1 0,1 0 0,1 1 0,-13 31 0,6-2 0,3 1 0,1 0 0,-5 52 0,-2 81 0,16-144 0,2-1 0,1 1 0,7 39 0,-8-71 0,1 0 0,-1 0 0,1 1 0,0-1 0,0 0 0,0 0 0,0 0 0,1 0 0,-1 0 0,1 0 0,-1 0 0,1-1 0,0 1 0,0-1 0,1 1 0,-1-1 0,0 0 0,1 1 0,-1-1 0,5 2 0,-5-3 0,1-1 0,0 0 0,-1 1 0,1-1 0,-1 0 0,1 0 0,-1 0 0,1-1 0,-1 1 0,1-1 0,-1 1 0,1-1 0,-1 0 0,1 0 0,-1 0 0,0 0 0,0 0 0,1-1 0,-1 1 0,0-1 0,0 1 0,0-1 0,-1 0 0,1 0 0,0 1 0,2-5 0,6-6 0,0-1 0,-1 0 0,-1 0 0,0-1 0,11-26 0,23-81 0,-32 92 0,12-51 0,-2 0 0,-5-1 0,7-99 0,-16 63 0,-13-192 0,4 269 0,-1 0 0,-2 0 0,-2 1 0,-21-63 0,27 97 0,0-1 0,-1 1 0,0 0 0,0 0 0,0 0 0,-5-5 0,7 9 0,0-1 0,0 1 0,0 0 0,0 0 0,0 0 0,-1 1 0,1-1 0,0 0 0,0 0 0,-1 1 0,1-1 0,-1 0 0,1 1 0,0 0 0,-1-1 0,1 1 0,-4 0 0,4 0 0,-1 0 0,1 0 0,-1 1 0,1-1 0,-1 1 0,1-1 0,0 1 0,-1 0 0,1-1 0,0 1 0,-1 0 0,1 0 0,0 0 0,0 0 0,0 0 0,0 0 0,-2 2 0,0 2 0,0 0 0,-1 0 0,2 1 0,-1-1 0,1 0 0,-2 7 0,-7 27 0,1 0 0,3 0 0,1 1 0,-1 77 0,22 165 0,-3-197 0,31 124 0,-29-160 0,2-2 0,1 0 0,47 84 0,-55-114 0,2 0 0,0-1 0,1-1 0,0 0 0,1-1 0,17 15 0,-25-24 0,0-1 0,1 0 0,-1-1 0,1 1 0,0-1 0,0 0 0,0 0 0,0-1 0,0 0 0,0 0 0,1-1 0,-1 1 0,1-1 0,-1-1 0,1 1 0,-1-1 0,1 0 0,0-1 0,-1 1 0,1-1 0,6-2 0,-5 0 0,-1 1 0,1-1 0,-1-1 0,0 0 0,0 0 0,0 0 0,0-1 0,-1 0 0,1 0 0,-1 0 0,-1-1 0,9-10 0,-6 5 0,0-1 0,-1 0 0,-1-1 0,0 1 0,0-1 0,6-23 0,-3-5 0,-1 0 0,-2-1 0,1-77 0,-7 109 0,2-18 0,-2 0 0,-1 0 0,-1 1 0,-1-1 0,-10-38 0,13 65 0,0 0 0,0 0 0,0 0 0,0 0 0,-1 0 0,1 0 0,0 0 0,-1 0 0,1 0 0,-1 1 0,1-1 0,-1 0 0,1 0 0,-1 0 0,0 1 0,1-1 0,-1 0 0,0 1 0,0-1 0,-1 0 0,2 1 0,-1 0 0,1 1 0,-1-1 0,1 0 0,-1 1 0,1-1 0,-1 0 0,1 1 0,-1-1 0,1 1 0,-1-1 0,1 1 0,0-1 0,-1 0 0,1 1 0,0 0 0,0-1 0,-1 1 0,1-1 0,0 1 0,0-1 0,-1 2 0,-8 43 0,5-16 0,2 1 0,1 0 0,1 0 0,2 0 0,1 0 0,7 30 0,-7-47 0,1-1 0,0 0 0,1 0 0,0 0 0,1-1 0,0 1 0,10 12 0,-11-17 0,1-1 0,0 1 0,0-1 0,1 0 0,-1-1 0,1 0 0,1 0 0,-1 0 0,1-1 0,-1 0 0,16 5 0,-16-6 0,1-1 0,0-1 0,0 1 0,0-1 0,0-1 0,0 1 0,0-2 0,0 1 0,0-1 0,-1 0 0,1 0 0,0-1 0,0 0 0,-1-1 0,1 1 0,-1-2 0,1 1 0,-1-1 0,-1 0 0,1 0 0,0-1 0,-1 0 0,0 0 0,10-10 0,-1-2 0,-1 0 0,0-1 0,-1 0 0,-1-1 0,-1 0 0,-1-1 0,15-39 0,-10 11 0,-2-1 0,-2 0 0,-3-1 0,-1 0 0,-3-1 0,-2 0 0,-2 1 0,-13-97 0,11 139 0,1 0 0,-1 0 0,0 0 0,-6-14 0,8 22 0,0-1 0,0 0 0,0 1 0,0-1 0,-1 1 0,1-1 0,0 1 0,0-1 0,0 1 0,-1 0 0,1-1 0,0 1 0,-1-1 0,1 1 0,0-1 0,-1 1 0,1 0 0,-1-1 0,1 1 0,0 0 0,-1-1 0,1 1 0,-1 0 0,1 0 0,-1 0 0,1-1 0,-1 1 0,1 0 0,-1 0 0,1 0 0,-1 0 0,0 0 0,1 0 0,-1 0 0,1 0 0,-1 0 0,1 0 0,-1 0 0,1 0 0,-1 0 0,1 0 0,-1 1 0,1-1 0,-1 0 0,1 0 0,-1 1 0,1-1 0,-1 0 0,1 1 0,0-1 0,-1 0 0,1 1 0,-1-1 0,1 0 0,0 1 0,0-1 0,-1 1 0,1-1 0,0 1 0,-16 35 0,7 1 0,1-1 0,2 1 0,-2 60 0,8-31 0,8 81 0,-4-113 30,1-1 0,1 0 0,20 55 0,-23-77-129,1-1 0,1 1 0,-1-1 0,2 0 0,0-1 0,0 1 0,0-1 0,1 0 0,1-1 0,-1 0 0,1 0 0,1-1 0,0 1 0,18 10 0,7-4-6727</inkml:trace>
  <inkml:trace contextRef="#ctx0" brushRef="#br0" timeOffset="11347.95">1973 10141 24575,'-1'2'0,"1"0"0,0 0 0,1 0 0,-1 0 0,0 0 0,1 0 0,-1 0 0,1 0 0,-1 0 0,1-1 0,0 1 0,0 0 0,0 0 0,0-1 0,0 1 0,0 0 0,0-1 0,1 1 0,-1-1 0,0 0 0,1 1 0,-1-1 0,1 0 0,0 0 0,-1 0 0,1 0 0,0 0 0,0 0 0,-1-1 0,1 1 0,0-1 0,0 1 0,0-1 0,0 1 0,0-1 0,0 0 0,2 0 0,7 0 0,0-1 0,-1 0 0,1 0 0,0-1 0,16-5 0,1-2 0,0-1 0,-1-1 0,-1-1 0,0-2 0,0 0 0,-2-2 0,33-26 0,-41 29 0,-1-1 0,-1 0 0,0-1 0,-1-1 0,0 0 0,-2-1 0,0 0 0,0 0 0,-2-2 0,0 1 0,9-30 0,-16 41 0,-1 0 0,1 0 0,-1-1 0,-1 1 0,1 0 0,-1 0 0,0-1 0,-1 1 0,-2-10 0,3 14 0,-1 1 0,1-1 0,-1 0 0,0 1 0,0-1 0,-1 0 0,1 1 0,0-1 0,-1 1 0,0 0 0,1-1 0,-1 1 0,0 0 0,0 0 0,0 0 0,-1 0 0,1 1 0,0-1 0,-1 1 0,1-1 0,-1 1 0,1 0 0,-1 0 0,1 0 0,-6-1 0,5 1 0,0 1 0,0 0 0,0 0 0,0 0 0,0 1 0,0-1 0,0 1 0,0-1 0,1 1 0,-1 0 0,0 0 0,0 0 0,0 1 0,1-1 0,-1 1 0,1-1 0,-1 1 0,1 0 0,0 0 0,0 0 0,-1 0 0,-2 4 0,-2 3 0,1 0 0,0 0 0,1 0 0,-1 1 0,-4 12 0,-2 14 0,1 1 0,1 0 0,2 1 0,2 0 0,2 0 0,1 0 0,2 1 0,6 62 0,-4-86 0,1 1 0,1-1 0,0 0 0,1-1 0,1 1 0,0-1 0,1 0 0,16 27 0,-18-35 0,1 0 0,-1 0 0,1 0 0,1-1 0,-1 1 0,1-1 0,0 0 0,0-1 0,1 0 0,-1 0 0,1 0 0,0-1 0,0 0 0,0 0 0,0-1 0,1 1 0,-1-2 0,1 1 0,13 0 0,-1-2-151,0-1-1,0-1 0,0-1 0,0-1 1,0-1-1,-1 0 0,0-1 1,32-15-1,50-29-6674</inkml:trace>
  <inkml:trace contextRef="#ctx0" brushRef="#br0" timeOffset="11742.83">3052 9802 24575,'-12'0'0,"0"0"0,-1 0 0,1 1 0,0 0 0,-21 5 0,29-5 0,0 0 0,0 1 0,0 0 0,0 0 0,1 0 0,-1 0 0,1 0 0,-1 1 0,1 0 0,0 0 0,0 0 0,0 0 0,0 0 0,1 0 0,-1 1 0,1-1 0,-3 8 0,-1 2 0,1 0 0,0 1 0,1 0 0,0 0 0,2 1 0,-1-1 0,2 1 0,0-1 0,1 1 0,0-1 0,1 1 0,1-1 0,0 1 0,6 22 0,-5-29 0,-1 1 0,1-1 0,1 1 0,-1-1 0,1 0 0,1 0 0,-1-1 0,1 1 0,1-1 0,0 0 0,0 0 0,0-1 0,0 0 0,1 0 0,0 0 0,0-1 0,1 0 0,0-1 0,0 1 0,0-1 0,0-1 0,0 0 0,1 0 0,15 3 0,-16-5 0,-1 0 0,0 0 0,1-1 0,-1 0 0,1-1 0,-1 1 0,1-1 0,-1-1 0,0 1 0,0-1 0,1-1 0,-1 1 0,-1-1 0,1 0 0,7-5 0,-6 2 0,0-1 0,0 1 0,-1-1 0,0 0 0,0-1 0,-1 0 0,0 0 0,0 0 0,-1-1 0,5-9 0,2-11 0,-1 0 0,-2-1 0,0 0 0,-2 0 0,-2 0 0,3-41 0,-2-38 0,-5 0 0,-16-129 0,14 218 0,-1-1 0,-2 1 0,0 0 0,-10-29 0,10 42 0,0 12 0,2 6 0,1 0 0,1 0 0,0 1 0,0-1 0,1 0 0,1 1 0,4 15 0,-3-9 0,60 278 0,-49-247 0,2-1 0,2 0 0,47 87 0,-55-119-195,1 0 0,0-1 0,1 0 0,0-1 0,1 0 0,20 16 0,10-1-6631</inkml:trace>
  <inkml:trace contextRef="#ctx0" brushRef="#br0" timeOffset="12394.03">3412 10035 24575,'-1'0'0,"1"0"0,-1 0 0,1 0 0,0 0 0,-1 0 0,1 1 0,0-1 0,-1 0 0,1 0 0,0 0 0,-1 0 0,1 0 0,0 0 0,0 1 0,-1-1 0,1 0 0,0 0 0,-1 0 0,1 1 0,0-1 0,0 0 0,0 0 0,-1 1 0,1-1 0,0 0 0,0 1 0,0-1 0,0 0 0,-1 1 0,1-1 0,0 0 0,0 1 0,0-1 0,0 0 0,0 1 0,0-1 0,0 0 0,0 1 0,0-1 0,0 0 0,0 1 0,0-1 0,0 0 0,1 1 0,-1 0 0,0 0 0,0 0 0,1-1 0,-1 1 0,0 0 0,1-1 0,-1 1 0,1 0 0,-1-1 0,1 1 0,-1-1 0,1 1 0,-1 0 0,1-1 0,0 1 0,-1-1 0,1 0 0,0 1 0,-1-1 0,1 1 0,0-1 0,0 0 0,0 1 0,6-1 0,-1 1 0,0-1 0,1 1 0,-1-2 0,1 1 0,-1-1 0,0 0 0,1 0 0,6-3 0,59-24 0,-54 20 0,534-270 0,-522 260 0,-1-1 0,-1-2 0,33-30 0,-57 47 0,0 0 0,0 0 0,0 0 0,-1-1 0,0 0 0,0 1 0,0-1 0,0 0 0,-1-1 0,0 1 0,0 0 0,2-8 0,-4 10 0,0 1 0,0 0 0,0-1 0,0 1 0,0 0 0,0-1 0,-1 1 0,1 0 0,-1-1 0,0 1 0,0 0 0,0 0 0,0 0 0,0 0 0,0 0 0,0 0 0,0 0 0,-1 0 0,1 0 0,-1 1 0,0-1 0,1 0 0,-1 1 0,0-1 0,0 1 0,0 0 0,0 0 0,0 0 0,0 0 0,-5-2 0,-1 1 0,0 0 0,0 0 0,0 0 0,0 1 0,-1 1 0,1-1 0,0 1 0,-1 0 0,1 1 0,0 0 0,-1 1 0,1-1 0,0 2 0,0-1 0,0 1 0,1 0 0,-1 1 0,1-1 0,-1 2 0,1-1 0,0 1 0,1 0 0,-8 7 0,7-6 0,-1 0 0,1 1 0,0 0 0,1 1 0,0 0 0,0 0 0,1 0 0,0 0 0,0 1 0,1 0 0,0 0 0,0 0 0,1 0 0,0 1 0,1-1 0,0 1 0,1 0 0,0-1 0,0 16 0,2-19 0,1-1 0,-1 1 0,1-1 0,0 1 0,1-1 0,-1 0 0,1 0 0,0 0 0,0 0 0,1 0 0,-1-1 0,1 1 0,0-1 0,0 0 0,1-1 0,-1 1 0,1-1 0,0 1 0,0-1 0,0-1 0,9 5 0,0-1 0,1 0 0,0-1 0,0-1 0,0 0 0,1-1 0,29 2 0,-28-5 0,1 0 0,-1-2 0,0 0 0,1 0 0,-1-2 0,0 0 0,-1-1 0,1-1 0,-1 0 0,30-17 0,-36 17 0,-1 0 0,1 0 0,-1-1 0,-1 0 0,1-1 0,-2 0 0,1 0 0,-1-1 0,0 1 0,0-2 0,-1 1 0,-1-1 0,1 0 0,-2 0 0,1 0 0,-1-1 0,-1 1 0,3-13 0,-4 11 0,-1 0 0,0 0 0,-1 0 0,0 0 0,-3-18 0,3 27 0,0 0 0,0 1 0,-1-1 0,0 0 0,1 1 0,-1-1 0,0 0 0,0 1 0,0-1 0,-1 1 0,1 0 0,-1-1 0,1 1 0,-1 0 0,0 0 0,0 0 0,1 0 0,-2 0 0,1 0 0,0 0 0,0 1 0,-1-1 0,1 1 0,0 0 0,-1 0 0,1 0 0,-1 0 0,0 0 0,1 0 0,-5 0 0,3 1 0,0 1 0,-1 0 0,1 0 0,-1 0 0,1 0 0,0 0 0,0 1 0,0 0 0,0 0 0,0 0 0,0 0 0,1 1 0,-1 0 0,1-1 0,-1 1 0,1 1 0,0-1 0,-5 7 0,1-1 0,-1 1 0,2 0 0,-1 0 0,2 0 0,-10 23 0,13-29 0,1 0 0,0 0 0,0 0 0,0 0 0,0 1 0,0-1 0,1 0 0,0 1 0,0-1 0,0 0 0,1 1 0,-1-1 0,1 0 0,0 0 0,0 1 0,0-1 0,1 0 0,0 0 0,0 0 0,0-1 0,0 1 0,0 0 0,4 4 0,-2-4 0,1 0 0,-1 0 0,1-1 0,0 1 0,0-1 0,1 0 0,-1 0 0,0-1 0,1 0 0,0 0 0,0 0 0,-1 0 0,1-1 0,0 0 0,0 0 0,8-1 0,-7 1 0,0-1 0,0 0 0,0-1 0,-1 0 0,1 0 0,0 0 0,0-1 0,-1 0 0,1-1 0,-1 1 0,1-1 0,-1 0 0,0-1 0,0 1 0,7-7 0,-5 3 0,-1-1 0,0 1 0,0-2 0,0 1 0,-1-1 0,-1 0 0,1 0 0,-1 0 0,4-12 0,1-10 0,0 0 0,-3-1 0,0 0 0,-2 0 0,2-53 0,-6 21 0,-2 0 0,-3 0 0,-3 0 0,-2 1 0,-3 0 0,-31-92 0,13 81 0,28 69 0,0 0 0,-1 0 0,0 0 0,0 1 0,-1-1 0,1 1 0,-1 0 0,0 0 0,0 0 0,-8-5 0,11 8 0,0 0 0,0 1 0,0-1 0,0 1 0,0-1 0,0 1 0,0 0 0,0-1 0,-1 1 0,1 0 0,0 0 0,0 0 0,0 0 0,0 0 0,0 0 0,0 0 0,-1 0 0,1 0 0,0 1 0,0-1 0,0 0 0,0 1 0,0-1 0,0 1 0,0-1 0,0 1 0,0-1 0,0 1 0,0 0 0,0-1 0,1 1 0,-1 0 0,0 0 0,0 0 0,1 0 0,-1 0 0,0 0 0,0 1 0,-3 5 0,1 0 0,0 0 0,1 0 0,-4 15 0,-2 20 0,1 1 0,3-1 0,1 1 0,2 0 0,3 0 0,1 0 0,1 0 0,3 0 0,2-1 0,22 66 0,-23-85 0,2 0 0,0-1 0,2-1 0,0 0 0,1 0 0,19 22 0,-20-30 0,1 1 0,0-1 0,1-1 0,0-1 0,1 0 0,0 0 0,1-2 0,30 14 0,-18-12-455,1-1 0,36 8 0,53 2-6371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2.0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811 0 8192,'46'4'12389,"-2"7"-6443,2 10-4534,-36-14-1780,-1-1 1,1 1-1,-1 0 1,-1 1-1,1 0 0,-1 1 1,-1 0-1,8 11 0,8 18 1952,-11-7-1584,-2 1 0,-1 0 0,-1 0 0,-1 1 0,1 37 0,1-9 0,42 223-6491,12 82-4920,-41-117 11291,-19 482 120,-5-407 0,-35 343 0,27-544 0,-24 262 0,-26-3 0,23-209 0,-110 655 0,128-652 0,-21 332 0,43 372 8839,-1-803-7925,3 0 0,4-1 0,3 1-1,24 79 1,-26-124 12,2-2 0,1 1 0,1-2 0,36 55 0,-15-35-934,74 80 0,-95-114 8,0-1 0,1-1 0,1 0 0,0-1 0,0-1 0,26 13 0,-31-19 0,1 0 0,0 0 0,0-2 0,0 1 0,1-2 0,-1 1 0,0-2 0,1 0 0,0 0 0,-1-1 0,17-2 0,-21 0 0,0 0 0,0-1 0,-1 0 0,1 0 0,-1 0 0,0-1 0,0 0 0,0-1 0,0 0 0,-1 0 0,1 0 0,-1 0 0,-1-1 0,1 0 0,8-13 0,-2 2 0,-1-1 0,0 1 0,-1-2 0,-1 1 0,8-25 0,-15 36 0,0-1 0,-1 1 0,1 0 0,-1-1 0,-1 1 0,1-1 0,-2-10 0,1 17 0,0-1 0,0 1 0,0-1 0,-1 1 0,1 0 0,0-1 0,-1 1 0,1 0 0,-1 0 0,1-1 0,-1 1 0,0 0 0,1 0 0,-1 0 0,0 0 0,0-1 0,0 1 0,0 0 0,0 1 0,0-1 0,0 0 0,0 0 0,0 0 0,-1 1 0,1-1 0,0 0 0,0 1 0,-1-1 0,1 1 0,0 0 0,-1-1 0,1 1 0,0 0 0,-1 0 0,1 0 0,0 0 0,-1 0 0,1 0 0,-1 0 0,1 1 0,0-1 0,-1 0 0,1 1 0,0-1 0,-1 1 0,1-1 0,0 1 0,-2 1 0,-6 2 0,0 1 0,0 1 0,0-1 0,1 2 0,-1-1 0,2 1 0,-1 0 0,1 1 0,0 0 0,-9 13 0,-4 8 0,-30 57 0,37-57-63,1 0 1,1 1 0,1 0-1,-9 52 1,-7 129-4750,13-92-230,-5 59-2098,9-47 6782,10 153 0,63 356 358,-35-391 0,-21-185 0,33 443 0,-54 46 0,3-455 0,-4-1 0,-5 0 0,-49 151 0,48-189 0,-2-1 0,-4-1 0,-1-1 0,-3-2 0,-2-1 0,-67 83 0,77-109 714,-2-2 0,-1 0 0,-1-2-1,-36 26 1,45-38 620,-1-1-1,0 0 0,-1-1 0,0-1 0,0-1 0,-1 0 0,0-2 1,-32 5-1,-53-1-538,0-4 1,-108-10 0,163 3-729,-126-16-67,99 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5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642 149 8192,'-15'-22'15062,"14"18"-14176,-5-12 1188,1 11-2074,1 0 0,-1 0 0,1 1 0,-1 0 0,-1 0 0,1 0 0,0 0 0,-1 1 0,0 0 0,0 0 0,-9-3 0,-11-2 0,-40-7 0,21 5 0,21 3 0,-1 2 0,0 0 0,-39-1 0,56 6 0,1 0 0,-1 0 0,1 1 0,-1 0 0,1 0 0,0 1 0,-1 0 0,1 0 0,0 1 0,0 0 0,0 0 0,1 1 0,-1-1 0,1 2 0,0-1 0,-8 7 0,0 5-287,0 0 0,2 1 0,-1 1 0,2 0 1,0 1-1,-12 30 0,-3 23-6957,9 0-28,15-54 6820,0 0 1,1 0 0,1 0 0,3 30-1,-1-39 593,-1 0 0,1 0 0,1 0 0,0 0 0,0 0 0,1-1-1,0 0 1,6 11 0,-6-14-177,-1 0-1,1-1 1,0 1 0,1-1-1,-1 0 1,1 0-1,0-1 1,-1 1 0,2-1-1,-1 0 1,0 0 0,1-1-1,9 4 1,84 16 36,-68-16 0,55 17 0,-60-14 0,0 0 0,0-2 0,1-1 0,-1-2 0,29 2 0,-43-5 0,0-1 0,0 0 0,-1-1 0,1-1 0,0 0 0,0 0 0,-1-1 0,1-1 0,-1 0 0,0 0 0,0-1 0,-1-1 0,19-12 0,-23 13 0,-1 0 0,0 0 0,0-1 0,0 0 0,0 0 0,-1 0 0,0 0 0,0-1 0,-1 0 0,0 0 0,0 0 0,-1 0 0,1 0 0,-2 0 0,1-1 0,-1 1 0,1-11 0,-1-13 0,-1-1 0,-7-56 0,5 61 0,0 4 0,-1 1 0,-1-1 0,0 1 0,-2 1 0,-11-29 0,1 16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7.0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421 653 8192,'-1'-8'2370,"1"1"0,-1-1 0,0 0 0,-4-12-1,2 11-1052,-1-1 0,0 1 1,-7-13-1,6 15-1264,1-1 0,-1 1 0,-1 0 0,1 0 0,-1 0 1,-1 1-1,1 0 0,-1 0 0,0 1 0,0-1 1,-1 2-1,1-1 0,-1 1 0,0 0 0,0 1 0,-10-3 1,15 5-49,-1 0 1,1 1 0,-1 0 0,0-1-1,1 1 1,-1 1 0,1-1 0,-1 0-1,1 1 1,-1 0 0,1 0 0,-1 0 0,1 0-1,0 1 1,-5 1 0,3 1-47,-1 0 0,1 0 0,-1 0-1,1 1 1,0-1 0,1 1 0,-7 9 0,-3 7-519,1 0 0,2 1 1,-14 32-1,4-1-338,2 1 1,-20 99-1,31-110-2361,2 1 1,1 48 0,4-83 3087,1 1 0,1 0 0,0-1 1,0 1-1,1 0 0,0-1 1,1 1-1,0-1 0,5 11 1,-6-17 113,0 1 0,0-1-1,1 0 1,-1 1 0,1-1 0,0 0 0,0 0 0,0-1 0,0 1 0,0-1-1,1 1 1,-1-1 0,1 0 0,-1 0 0,1-1 0,0 1 0,0-1 0,0 0-1,0 0 1,0 0 0,0 0 0,0-1 0,6 1 0,-1-1 57,0-1 0,0 0 0,-1 0 0,1-1 0,0 0 0,-1-1 0,1 0 0,-1 0 0,0 0 0,0-1 0,0-1 0,-1 1 0,1-1 0,-1 0 0,0-1 0,0 0 0,-1 0 0,9-10 0,-1-2 0,-1 1 0,0-2 0,-1 0 0,-1 0 0,-1-1 0,9-27 0,-2-4 0,-2 0 0,-3-1 0,-2-1 0,5-94 0,-11 45 0,-15-151 0,-2 172 0,5 60 0,8 21 0,-1 0 0,1 0 0,0 0 0,0-1 0,0 1 0,0 0 0,0 0 0,0 0 0,-1 0 0,1-1 0,0 1 0,0 0 0,0 0 0,0 0 0,-1 0 0,1 0 0,0 0 0,0 0 0,0 0 0,-1 0 0,1-1 0,0 1 0,0 0 0,0 0 0,-1 0 0,1 0 0,0 0 0,0 0 0,0 0 0,-1 0 0,1 0 0,0 1 0,0-1 0,0 0 0,-1 0 0,1 0 0,0 0 0,0 0 0,0 0 0,0 0 0,-1 0 0,1 1 0,-2 1 0,1 1 0,-1 0 0,1 0 0,0 0 0,0 0 0,0 0 0,0 0 0,0 0 0,0 3 0,-6 38 0,3 0 0,1 0 0,2 0 0,2 1 0,2-1 0,2 0 0,2 0 0,2-1 0,1 0 0,3 0 0,23 53 0,-27-76 0,1 0 0,1-1 0,1 0 0,1-1 0,0 0 0,2-1 0,0-1 0,0 0 0,2-1 0,0-1 0,0-1 0,25 15 0,-28-20 0,0-1 0,1 0 0,0-1 0,0-1 0,1 0 0,0-1 0,-1-1 0,1 0 0,1-1 0,-1-1 0,0 0 0,0-1 0,0-1 0,0-1 0,1 0 0,-2-1 0,22-7 0,-22 5 0,-1-1 0,0-1 0,0 0 0,-1-1 0,0-1 0,0 0 0,-1 0 0,0-1 0,-1-1 0,0 0 0,-1-1 0,0 0 0,-1 0 0,0-1 0,-1 0 0,0-1 0,10-25 0,-12 26 0,-2 0 0,1 0 0,-2 0 0,0-1 0,0 1 0,-1-1 0,-1 0 0,0 0 0,-1 1 0,-1-1 0,0 0 0,0 0 0,-2 1 0,0-1 0,0 1 0,-1-1 0,-1 1 0,0 0 0,-1 1 0,-7-13 0,9 20 175,0-1 1,0 1-1,0 0 0,0 0 1,-1 0-1,0 1 1,0-1-1,0 1 1,0 1-1,-11-7 1,14 9 45,-1 0 0,1 0 1,-1 1-1,0-1 1,1 0-1,-1 1 1,0 0-1,1-1 1,-1 1-1,0 0 1,0 0-1,1 1 1,-1-1-1,0 1 1,1-1-1,-1 1 1,0 0-1,1 0 1,-1 0-1,1 0 0,0 0 1,-1 1-1,1-1 1,0 1-1,0-1 1,0 1-1,0 0 1,-3 2-1,-2 5 373,0 1-1,0-1 1,0 1-1,1 0 1,1 1 0,0-1-1,0 1 1,1 0-1,1 0 1,0 1-1,0-1 1,1 1-1,-1 12 1,1-4-400,2 1 0,0-1 1,1 0-1,0 1 0,2-1 0,9 35 1,-9-44-195,1-1 0,0 0 0,1 0 0,0 0 0,0 0 0,1-1 0,0 0 0,1 0 0,0 0 0,0-1 0,1 0 0,0 0 0,0-1 0,1 0 0,14 8 0,-11-8 0,0-1 0,1-1 0,0 0 0,0-1 0,0 0 0,0-1 0,1 0 0,-1-1 0,1-1 0,0 0 0,0 0 0,15-3 0,-10 0-197,0-1 0,0-1 0,0-1 0,0 0 0,-1-2 0,0 0 0,0-1 0,-1 0 0,0-2 0,0 0 0,-1-1 0,-1 0 0,1-1 0,-2-1 0,20-22 0,-17 15-828,-1-1 0,-1 0 0,-1-1 0,-1 0 0,0-2 0,-2 1 1,-1-1-1,-1-1 0,-1 0 0,-1 0 0,4-28 0,-5 12-62,2-74 0,-8 104 1095,0 0 0,-1 0 0,0 0 0,0 0 1,-1 0-1,-1 1 0,0-1 0,0 1 0,-1 0 1,-1 0-1,-9-18 0,13 27 1,1 0 0,-1 0 1,0 0-1,1 0 0,-1 0 0,0 0 0,0 0 1,0 0-1,1 1 0,-1-1 0,0 0 1,0 1-1,0-1 0,0 1 0,0-1 0,0 1 1,0-1-1,-1 1 0,1-1 0,0 1 1,0 0-1,0 0 0,0 0 0,0 0 1,-1 0-1,1 0 0,0 0 0,0 0 0,0 0 1,0 0-1,0 0 0,-1 1 0,1-1 1,0 1-1,0-1 0,0 1 0,0-1 0,0 1 1,0-1-1,0 1 0,0 0 0,0-1 1,1 1-1,-1 0 0,0 0 0,0 0 0,1 0 1,-2 1-1,-3 5-74,1-1 1,0 1-1,0 1 0,0-1 1,-4 15-1,0 5 904,0 1 0,-3 30-1,7-18-1248,1-1 0,2 1 0,1 0 0,3 0 0,8 46 0,11 9 2976,-19-83-2731,1 0 0,1-1-1,0 1 1,1-1 0,0 0-1,0 0 1,1-1 0,17 19-1,-19-24 84,0 0 1,1 0-1,0-1 0,0 1 0,0-1 1,1-1-1,-1 1 0,1-1 0,0 0 0,0-1 1,0 1-1,0-2 0,0 1 0,0-1 1,15 1-1,26-4 82</inkml:trace>
  <inkml:trace contextRef="#ctx0" brushRef="#br0" timeOffset="359.26">1564 717 8192,'2'3'310,"1"-1"0,0 1 0,1-1 0,-1 0 0,0 0 0,1 0 1,-1-1-1,1 1 0,3 0 0,6 1-197,-1 0 1,1-1-1,15 0 0,-9 0 603,15 1 1129,0-2 0,0-1 1,0-2-1,0-1 1,41-9-1,-52 6-1043,0 0-1,-1-2 1,28-13-1,-35 14-889,0-2 1,-1 1-1,0-2 0,-1 0 0,16-15 1,-24 21 87,-1-1 0,0 0 0,0 0 0,0 0 0,0 0 0,-1 0 0,0-1 0,0 1 0,0-1 0,-1 0 0,0 0 0,0 0 0,0 0 0,-1 0 0,0-1 0,0 1 0,0-9 0,-2 10 0,0 0 0,0 0 0,0 0 0,0 0 0,-1 0 0,1 1 0,-1-1 0,0 0 0,-1 1 0,1-1 0,-1 1 0,0 0 0,0 0 0,-1 0 0,1 0 0,-1 0 0,1 1 0,-1 0 0,0 0 0,-1 0 0,-7-4 0,9 5 0,0 0 0,0 0 0,0 1 0,-1-1 0,1 1 0,-1 0 0,1 0 0,-1 0 0,1 0 0,-1 1 0,1-1 0,-1 1 0,1 0 0,-1 0 0,0 0 0,1 1 0,-1-1 0,1 1 0,-1 0 0,1 0 0,-1 0 0,1 1 0,-5 1 0,4 0 0,0 0 0,0 1 0,1-1 0,-1 1 0,1-1 0,0 1 0,0 0 0,0 1 0,0-1 0,1 0 0,-1 1 0,1-1 0,0 1 0,1 0 0,-1 0 0,-1 6 0,2-4 0,0 0 0,0 0 0,0 1 0,1-1 0,0 0 0,0 0 0,0 0 0,1 0 0,0 0 0,1 0 0,0 0 0,0 0 0,0 0 0,1 0 0,0-1 0,7 12 0,-5-11 0,1 0 0,-1-1 0,1 1 0,0-1 0,1-1 0,0 1 0,-1-1 0,2 0 0,-1-1 0,0 0 0,1 0 0,0 0 0,0-1 0,9 2 0,1 0-321,1-1 0,1-1 0,-1-1 1,0 0-1,39-3 0,-9-4-395,55-12 1,-1-6 715</inkml:trace>
  <inkml:trace contextRef="#ctx0" brushRef="#br0" timeOffset="778.6">2770 378 8192,'-45'2'12937,"6"5"-8239,34-6-4676,1 1-1,1 0 1,-1 0-1,0 0 1,0 0-1,1 1 0,-1-1 1,1 1-1,0 0 1,0 0-1,0 0 1,0 0-1,0 0 1,1 1-1,-1 0 1,1-1-1,-3 7 1,-1 5-22,1 1 0,0-1 0,1 1 0,1 0 0,0 0 0,1 0 0,1 0 0,0 1 0,1-1 0,4 28 0,-3-39 0,0-1 0,0 1 0,1 0 0,-1 0 0,1-1 0,0 1 0,0-1 0,1 1 0,-1-1 0,1 0 0,0 0 0,0 0 0,1-1 0,-1 1 0,1-1 0,0 1 0,0-1 0,0 0 0,0-1 0,0 1 0,0-1 0,1 0 0,0 0 0,-1 0 0,1 0 0,0-1 0,0 0 0,-1 0 0,1 0 0,0-1 0,8 0 0,-1 1 0,1-2 0,-1 1 0,0-2 0,0 0 0,0 0 0,0-1 0,0 0 0,-1-1 0,1-1 0,-1 0 0,20-12 0,-22 10-28,0 0 0,-1-1 0,0 0 0,0-1 0,-1 0 0,0 0 0,0-1 0,-1 1 0,0-1 0,-1-1 0,0 1 0,-1-1 0,0 0 0,-1 0 1,0 0-1,2-17 0,0-12-921,-1-1 0,-2 0 0,-4-52 1,-1 43-2102,-15-75 0,17 117 1826,-1 0-1,-1 1 1,1-1 0,-7-13-1,9 21 1196,-1-1 0,1 1 0,0-1 0,0 1 0,0-1 0,0 1 0,0-1 0,-1 1 0,1-1 0,0 1 0,0-1 0,-1 1 0,1 0 0,0-1 0,-1 1 0,1 0 0,0-1 0,-1 1 0,1 0 0,-1-1 0,1 1 0,0 0 0,-1 0 0,1-1 0,-1 1 0,1 0 0,-1 0 0,1 0 0,-1 0 0,1 0 0,-1-1 0,1 1 0,-1 0 0,1 0 0,-1 0 0,1 0 0,-1 1 0,1-1 0,-1 0 0,1 0 0,-1 0-1,1 0 1,-1 0 0,1 1 0,-1-1 0,1 0 0,0 0 0,-1 1 0,1-1 0,-1 0 0,1 1 0,0-1 0,-1 0 0,1 1 0,0-1 0,-1 1 0,-10 30 153,7-3-124,1 0 0,2 0 0,0 0 0,7 51 0,3-15 0,19 63 0,-22-102 0,2-1 0,1 0 0,1 0 0,0-1 0,2-1 0,1 0 0,1-1 0,16 21 0,-22-33 0,1 1 0,0-2 0,1 1 0,0-1 0,0 0 0,0-1 0,21 11 0,-23-15 0,0 0 0,0 0 0,1 0 0,-1-1 0,0-1 0,1 1 0,0-1 0,-1-1 0,1 1 0,0-2 0,-1 1 0,13-3 0,12-6 0</inkml:trace>
  <inkml:trace contextRef="#ctx0" brushRef="#br0" timeOffset="905.98">3109 568 8192,'3'-7'3356,"9"-2"-3356,13-8 5996,16-7-5996,20-7 7459,21-5-7459,10-4 0,-9 4 0</inkml:trace>
  <inkml:trace contextRef="#ctx0" brushRef="#br0" timeOffset="1498.72">4442 314 8192,'5'-6'2077,"1"0"1,-1-1-1,0 0 1,6-11-1,-3 2-47,0-2 1,8-24-1,-14 35-1926,0 0 0,-1 0 0,0 0 0,0 0 0,0 0 0,-1 0 0,0 0 0,0-1 0,-1 1 0,0 0 0,0 0 1,0 0-1,-1 0 0,0 1 0,-4-9 0,3 10-110,0 0 0,0 0 1,0 1-1,0-1 0,-1 1 0,1 0 0,-1 0 1,0 0-1,-1 1 0,1-1 0,-1 1 1,1 0-1,-1 0 0,0 1 0,0-1 0,0 1 1,-1 0-1,1 1 0,0-1 0,-8 0 1,4 1 5,1 0 0,-1 0 0,1 1 0,-1 0 0,1 1 0,-1 0 0,1 0 0,-1 1 0,1 0 0,0 0 0,0 1 0,0 0 0,0 0 0,0 1 0,1 0 0,0 1 0,0 0 0,0 0 0,0 0 0,1 1 0,-1-1 0,2 2 0,-1-1 0,1 1 0,0 0 0,-5 7 0,-1 4 0,1 1 0,1 0 0,0 1 0,2 0 0,0 0 0,1 1 0,1 0 0,1 0 0,-2 31 0,6-45 0,-1-1 0,1 1 0,1-1 0,-1 1 0,1-1 0,0 0 0,0 1 0,1-1 0,0 0 0,0 0 0,1 0 0,-1 0 0,1 0 0,0-1 0,1 1 0,6 8 0,-5-9 0,1 0 0,-1-1 0,1 0 0,-1 0 0,1 0 0,0-1 0,1 1 0,-1-1 0,1-1 0,-1 1 0,1-1 0,0-1 0,0 1 0,0-1 0,8 1 0,-6-2 28,0 0 1,0 0 0,0 0-1,-1-1 1,1-1 0,0 0 0,0 0-1,-1 0 1,1-1 0,-1-1-1,0 1 1,0-1 0,0 0 0,0-1-1,7-6 1,-6 4-252,0-1-1,0 0 0,-1 0 1,-1-1-1,13-17 1,-13 16-867,-2 0 0,1-1 0,4-12 1,17 60-11692,-23-28 12781,0 0 0,1 1 0,0-1 0,1-1 0,-1 1 0,2-1 0,-1 0 0,1 0 0,0-1 0,1 0 0,0 0 0,0-1 0,0 0 0,1 0 0,0-1 0,0 0 0,1-1 0,-1 0 0,1 0 0,0-1 0,0 0 0,0-1 0,0 0 0,0 0 0,11-1 0,10 0 0,1-2 0,0-1 0,0-1 0,-1-2 0,0-1 0,0-1 0,41-16 0,8-8 0</inkml:trace>
  <inkml:trace contextRef="#ctx0" brushRef="#br0" timeOffset="2498.29">950 2791 8192,'16'-17'702,"0"-2"0,-1 0 1,-1-1-1,-1 0 0,16-35 1,-16 27 2135,-1-1 1,-2 0-1,13-57 1,-21 74-2425,0-1 0,-1 1-1,0 0 1,-2-23 0,1 32-400,0 0 0,-1 0-1,1 1 1,0-1 0,-1 0 0,0 0-1,0 1 1,0-1 0,0 0 0,0 1-1,0-1 1,-1 1 0,1 0-1,-1-1 1,0 1 0,1 0 0,-1 0-1,0 0 1,0 0 0,-1 0 0,1 1-1,0-1 1,0 1 0,-1-1-1,1 1 1,-1 0 0,-2-1 0,3 2-14,1-1 0,-1 1 0,1 0 0,-1 0 0,1 0 0,-1 0 0,1 0 0,-1 1 0,1-1 0,0 0 0,-1 1 0,1-1 0,-1 1 0,1-1 0,0 1 0,-1 0 0,1-1 0,0 1 0,0 0 0,-1 0 0,0 2 0,-2 0 0,1 1 0,0-1 0,0 1 0,1 0 0,-1 0 0,-2 6 0,-2 9-13,0 0-1,1 1 1,1-1 0,1 1 0,0 0 0,2 1 0,-1 33 0,16 151-2475,-12-197 2284,70 639-7594,-68-607 6258,35 251-4145,-30-267 5475,-7-26 210,-1 1 1,1 0-1,0-1 1,-1 1-1,1-1 1,-1 1-1,1-1 1,-1 1-1,0 0 1,0-1 0,0 1-1,0-1 1,0 1-1,0-3 1,5-290-1,-5 86 0,22-170 0,-12 298 0,3 1 0,38-129 0,-41 178 0,1 0 0,28-54 0,-35 77 0,1-1 0,-1 1 0,1 0 0,1 0 0,-1 1 0,1-1 0,1 1 0,-1 1 0,1-1 0,0 1 0,0 0 0,0 1 0,1-1 0,-1 1 0,11-3 0,-14 6 0,1 0 0,0 0 0,0 1 0,-1-1 0,1 1 0,0 0 0,0 0 0,0 1 0,-1 0 0,1-1 0,0 1 0,-1 1 0,1-1 0,-1 1 0,1 0 0,-1 0 0,0 0 0,1 1 0,-1-1 0,0 1 0,-1 0 0,1 0 0,0 0 0,-1 1 0,6 6 0,1 3 0,-1 1 0,0 0 0,0 0 0,-2 0 0,1 1 0,5 20 0,-8-22 0,-1-1 0,-1 1 0,0-1 0,-1 1 0,0 0 0,-1 0 0,-1 0 0,0 0 0,0 0 0,-1 0 0,-1 0 0,0 0 0,-1 0 0,-1 0 0,0-1 0,0 0 0,-1 0 0,-1 0 0,0 0 0,0-1 0,-1 0 0,-1 0 0,0-1 0,0 0 0,-1 0 0,0-1 0,-1 0 0,-12 8 0,0 0-62,-1-2 0,-44 23 0,58-34 334,0 1-1,-1-1 0,0-1 0,0 0 0,0-1 0,0 1 0,0-2 0,0 0 0,0 0 0,-16-1 0,-8-8 289</inkml:trace>
  <inkml:trace contextRef="#ctx0" brushRef="#br0" timeOffset="3388.56">2114 2600 8192,'-1'-10'1413,"0"0"-1,0 0 1,-1 0 0,0 0 0,0 1-1,-1-1 1,-4-9 0,0 5-326,0 0-1,0 1 1,-1 0 0,-13-15 0,11 15-959,-1 1 1,-1 0-1,0 0 1,0 1 0,-1 1-1,-1 0 1,1 1-1,-2 1 1,-17-9 0,29 16-131,0-1 1,-1 1-1,0 0 0,1 0 1,-1 0-1,0 0 1,1 1-1,-1-1 1,0 1-1,0 0 1,0 0-1,1 0 1,-1 1-1,0-1 1,0 1-1,1 0 1,-1 0-1,-5 3 0,5-2 8,0 1-1,0 0 0,0 0 0,1 0 0,0 0 1,-1 0-1,1 1 0,0 0 0,1 0 0,-1-1 0,1 1 1,0 1-1,-2 4 0,-3 10-95,0 1 1,2 0-1,1 0 0,0 1 0,-1 31 0,4-30-725,0-1 0,1 1 0,1-1 0,6 32 0,-6-47 297,0 0-1,0 0 1,1 0 0,0-1 0,0 1 0,1-1 0,0 1 0,0-1 0,0 0 0,0 0 0,1 0 0,0 0 0,0-1 0,0 0 0,0 0 0,1 0 0,0 0 0,0 0-1,0-1 1,10 5 0,-8-5 408,1-1 0,-1 1-1,1-1 1,0-1 0,0 0-1,-1 0 1,1 0 0,0-1-1,0 0 1,0-1 0,0 0-1,0 0 1,0-1 0,-1 1-1,1-2 1,-1 1-1,1-1 1,-1 0 0,0-1-1,0 0 1,0 0 0,-1 0-1,1-1 1,-1 0 0,0 0-1,6-7 1,-4 4 261,-1-1-1,0 0 1,0 0-1,0-1 1,-2 1-1,1-1 1,-1-1-1,0 1 1,-1-1-1,-1 0 1,1 0-1,-2 0 1,1 0-1,-2 0 1,0-1-1,0 1 1,-1-19-1,0 28-137,0 0 0,-1 0 0,1 0-1,0 0 1,-1 0 0,1 0 0,-1 0 0,0 0-1,0 0 1,0 0 0,0 0 0,0 1-1,0-1 1,0 0 0,0 1 0,-1-1 0,1 1-1,0-1 1,-4-1 0,5 3 8,-1 0 0,1-1-1,-1 1 1,1 0 0,-1 0 0,0 0-1,1 0 1,-1 0 0,0 0 0,1 0-1,-1 0 1,1 0 0,-1 0 0,0 0-1,1 0 1,-1 0 0,1 0 0,-1 1-1,0-1 1,1 0 0,-1 0 0,1 1-1,-1-1 1,-1 2-197,1-1 0,-1 0 0,1 1 0,0-1 1,0 1-1,0-1 0,0 1 0,0 0 0,0-1 0,0 1 0,-1 2 0,1 1 226,-1-1 0,1 1 1,0 0-1,0-1 0,0 1 0,1 0 0,-1 0 0,1 0 1,0 0-1,1-1 0,-1 1 0,1 0 0,0 0 1,0-1-1,1 1 0,-1 0 0,1-1 0,0 1 0,0-1 1,0 0-1,1 0 0,0 0 0,0 0 0,0 0 0,0-1 1,0 1-1,1-1 0,-1 0 0,1 0 0,0 0 0,7 4 1,-1-1 81,0 0 0,0-1 0,1-1 1,0 1-1,-1-2 0,1 0 1,1 0-1,-1-1 0,0 0 1,0-1-1,1 0 0,19-1 1,-22-1 586,1-1 1,-1 0 0,1 0 0,-1-1 0,0 0-1,0 0 1,0-1 0,-1-1 0,1 1 0,-1-1 0,0-1-1,0 1 1,8-9 0,-7 5-448,0-2 0,0 1 0,-1-1 0,0 0 1,-1-1-1,0 0 0,-1 0 0,7-19 0,-4 3-425,-1-1 0,-1 0 1,-2-1-1,-1 0 0,-1 1 0,-2-1 0,-3-52 1,2 72-1098,-1 0 0,0 1 0,-1-1 0,0 1 0,0-1 0,-1 1 1,-5-10-1,8 18 1170,0 1 0,0 0 0,0 0 0,0-1 0,0 1 1,0 0-1,0 0 0,0 0 0,0-1 0,-1 1 0,1 0 1,0 0-1,0 0 0,0-1 0,0 1 0,-1 0 0,1 0 0,0 0 1,0 0-1,-1-1 0,1 1 0,0 0 0,0 0 0,0 0 1,-1 0-1,1 0 0,0 0 0,0 0 0,-1 0 0,1 0 0,0 0 1,0 0-1,-1 0 0,1 0 0,0 0 0,-1 0 0,1 0 1,0 0-1,0 0 0,-1 0 0,1 0 0,0 0 0,0 0 0,0 0 1,-1 1-1,1-1 0,0 0 0,0 0 0,-1 0 0,1 0 1,0 1-1,0-1 0,0 0 0,0 0 0,-1 0 0,1 1 0,0-1 1,0 0-1,0 0 0,0 0 0,0 1 0,0-1 0,0 0 1,0 1-1,0-1 0,0 1 0,-6 19-145,2 1 225,2 0 0,0 0 0,2 1 0,0-1 0,1 0 0,1 0 0,1 0 0,12 40 0,-11-48 0,0 0 0,1 0 0,1-1 0,0 0 0,1 0 0,0-1 0,1 1 0,0-2 0,1 1 0,0-1 0,1-1 0,0 1 0,0-2 0,1 1 0,13 7 0,-11-9 0,0 0 0,1-1 0,-1-1 0,1 0 0,1 0 0,-1-2 0,0 0 0,1 0 0,0-1 0,-1-1 0,27-1 0,-32-1 0,0 0 0,1-1 0,-1 0 0,0-1 0,0 1 0,-1-1 0,1-1 0,-1 0 0,1 0 0,-1-1 0,-1 0 0,1 0 0,-1-1 0,1 0 0,-2 0 0,1-1 0,-1 0 0,0 0 0,10-15 0,-8 7 0,0-1 0,-1-1 0,0 1 0,-1-1 0,-1 0 0,-1-1 0,-1 1 0,3-36 0,-4-10 0,-7-74 0,4 111 0,-2-28 0,1-6 0,-18-99 0,8 119 0,11 40 0,1 0 0,0-1 0,0 1 0,0 0 0,0 0 0,0 0 0,0-1 0,0 1 0,0 0 0,-1 0 0,1 0 0,0-1 0,0 1 0,0 0 0,0 0 0,-1 0 0,1 0 0,0-1 0,0 1 0,0 0 0,-1 0 0,1 0 0,0 0 0,0 0 0,0 0 0,-1 0 0,1 0 0,0 0 0,0 0 0,-1-1 0,1 1 0,0 0 0,0 1 0,-1-1 0,1 0 0,0 0 0,0 0 0,-1 0 0,1 0 0,0 0 0,0 0 0,0 0 0,-1 0 0,1 0 0,0 0 0,0 1 0,0-1 0,-1 0 0,1 0 0,0 0 0,0 0 0,0 1 0,0-1 0,-1 0 0,1 0 0,0 0 0,0 1 0,0-1 0,0 0 0,0 0 0,0 1 0,0-1 0,0 0 0,0 0 0,0 1 0,0-1 0,-4 11 0,1 0 0,1 0 0,0 0 0,1 1 0,0-1 0,0 12 0,0-4 0,-2 246 0,6-218 0,1 0 0,3 0 0,20 73 0,-23-104 0,2 0 0,0 0 0,12 19 0,-14-28 0,0-1 0,0 0 0,1 0 0,-1 0 0,1-1 0,1 0 0,-1 0 0,1 0 0,10 6 0,15 4 0</inkml:trace>
  <inkml:trace contextRef="#ctx0" brushRef="#br0" timeOffset="4400.82">2283 2516 8192,'195'-8'11415,"0"-19"-5583,-6-17-4818,-8-19-4050,-155 52 2262,1-1-1,-1-2 1,26-18 0,-43 26-41,-1 0 0,0-1 0,0 0 0,-1 0 0,1-1 0,-2 1 0,1-2 0,-1 1 0,0-1 0,-1 0 0,8-17 0,-12 22 616,0 0 0,0 0 0,-1 0 1,1 0-1,-1 0 0,0 0 0,0 0 1,0 0-1,-1 0 0,1 0 0,-2-4 1,1 7 199,1-1 0,0 1-1,0 0 1,-1 0 0,1 0 0,0 0 0,-1 0 0,0 0 0,1 0 0,-1 0-1,1 0 1,-1 0 0,0 0 0,0 1 0,1-1 0,-1 0 0,0 0 0,0 1-1,0-1 1,0 0 0,0 1 0,0-1 0,0 1 0,0-1 0,0 1 0,0 0 0,0-1-1,0 1 1,0 0 0,-1 0 0,1 0 0,0 0 0,0 0 0,0 0 0,0 0-1,0 0 1,0 0 0,-1 0 0,1 1 0,0-1 0,-2 1 0,1 0 73,0 1 1,0-1 0,0 0 0,0 1-1,0 0 1,0-1 0,0 1-1,1 0 1,-1 0 0,1 0-1,-1 0 1,1 0 0,0 0 0,0 0-1,0 1 1,0-1 0,0 0-1,0 1 1,1-1 0,-1 1-1,1-1 1,-1 0 0,1 1 0,0-1-1,0 1 1,0 2 0,1 0 377,-1 0 1,0-1-1,1 1 1,0-1-1,0 1 1,0-1-1,1 1 1,-1-1 0,1 1-1,0-1 1,0 0-1,1 0 1,3 5-1,0-3 269,0-1 0,0 1-1,1-1 1,0 0-1,0-1 1,0 0 0,10 5-1,-3-4-358,0 0-1,0 0 1,22 3-1,-1-3-1064,1-1 1,52-2-1,-69-2-151,0-1 0,0-1 0,-1 0 0,32-8 0,-45 8 437,0 0-1,0 1 1,0-1-1,0-1 1,-1 1-1,1-1 1,-1 0-1,0 0 1,0 0-1,0 0 1,0-1-1,0 0 1,-1 0-1,1 0 0,-1 0 1,0 0-1,-1-1 1,1 1-1,-1-1 1,1 0-1,2-9 1,-3 5 417,0 0 0,-1 1 0,0-1 0,0 0 0,-1 0 0,0 0 0,-1 0 0,0 1 0,-3-16 0,3 21 0,1 0 0,-1 0 0,0 0 0,0 0 0,-1 0 0,1 0 0,-1 1 0,1-1 0,-1 0 0,0 1 0,0-1 0,0 1 0,0 0 0,-1-1 0,1 1 0,-1 0 0,1 1 0,-1-1 0,0 0 0,1 1 0,-1-1 0,0 1 0,0 0 0,0 0 0,0 0 0,0 0 0,-1 1 0,1-1 0,-4 1 0,4 0 8,0 0 0,1 0 0,-1 0 0,0 1 0,0-1 0,0 1 0,0 0 0,1 0 1,-1 0-1,0 0 0,1 0 0,-1 1 0,1-1 0,-1 1 0,1 0 0,-1-1 0,1 1 0,0 0 0,0 0 1,0 1-1,0-1 0,1 0 0,-1 1 0,1-1 0,-1 1 0,1-1 0,0 1 0,0 0 0,0-1 0,0 1 1,0 0-1,1 0 0,-1 5 0,0-4 175,1 1 1,-1 0-1,1 0 1,0 0-1,0 0 1,1-1 0,0 1-1,0 0 1,0 0-1,0 0 1,1-1-1,-1 1 1,1-1-1,0 1 1,1-1-1,-1 0 1,1 0-1,0 0 1,5 5-1,-1-3 572,0-1 0,1 0 0,0-1 0,0 0 0,0 0 0,0-1-1,1 0 1,-1-1 0,1 0 0,0 0 0,11 1 0,-4-1-176,-1-1 0,1-1 0,0-1 0,-1 0 0,26-5 0,2-9 755,-40 14-1322,-1 0 0,-1 0 1,1 0-1,0-1 0,0 1 1,0 0-1,-1-1 0,1 0 1,-1 1-1,1-1 0,-1 0 1,0 0-1,1 0 1,-1 0-1,0 0 0,1-4 1,-1-3-13,-4 11 0,-5 16 0,7-14-202,1 0 1,0 0 0,0 0 0,0-1 0,0 1 0,0 0-1,1 0 1,0 0 0,0-1 0,3 8 0,-3-8 254,1 0 1,0 0 0,0 1-1,0-2 1,1 1-1,-1 0 1,1 0 0,0-1-1,-1 1 1,1-1 0,0 0-1,1 0 1,-1 0-1,0 0 1,5 1 0,-1 0 49,0-1 0,0 0 1,1 0-1,-1-1 0,0 0 1,1 0-1,10-1 0,27-6-2371,-34 2 1622,-1 0 1,0 0-1,0-1 1,0 0-1,-1 0 0,0-1 1,0 0-1,0-1 1,-1 0-1,0-1 1,-1 1-1,8-11 0,-10 13 113,-1-1-1,0-1 0,0 1 0,-1-1 1,0 1-1,0-1 0,0 0 1,-1 0-1,0 0 0,1-10 0,-2 11 450,-1 1 0,0-1 0,0 0 0,-1 1 0,1-1 0,-1 0-1,-1 1 1,-2-10 0,3 11 66,-1 1-1,0-1 1,0 1 0,0 0-1,0 0 1,0 0-1,0 0 1,-1 0 0,0 1-1,1-1 1,-5-2 0,7 5 18,-1-1 0,0 0 1,0 1-1,0-1 0,0 1 1,0-1-1,0 1 1,0 0-1,0-1 0,0 1 1,0 0-1,0 0 0,0 0 1,0 0-1,-1 0 1,1 0-1,0 0 0,0 0 1,0 0-1,0 0 0,0 0 1,0 1-1,0-1 1,0 0-1,0 1 0,0-1 1,0 1-1,0-1 0,0 1 1,0 0-1,0-1 1,1 1-1,-1 0 0,0 0 1,0-1-1,1 1 0,-1 0 1,0 0-1,1 0 1,-1 0-1,1 0 0,-1 1 1,-2 5 190,1 0 1,-1-1 0,1 1 0,1 0-1,-1 0 1,1 0 0,1 1 0,-1-1-1,1 0 1,1 0 0,-1 0 0,3 11-1,-2-9 507,1 0-1,0-1 1,1 1-1,0-1 1,0 1-1,1-1 1,0 0 0,0 0-1,1-1 1,6 8-1,-10-13-357,0 0-1,1-1 1,0 1 0,-1-1-1,1 1 1,0-1 0,0 1-1,0-1 1,0 0-1,0 0 1,0 0 0,0 0-1,1-1 1,-1 1 0,0 0-1,0-1 1,1 1 0,-1-1-1,0 0 1,4 0-1,-2-1-313,-1 1-1,1-1 0,0 0 0,-1-1 1,1 1-1,-1-1 0,1 1 0,-1-1 1,1 0-1,-1-1 0,4-2 0,5-6-729,0-1-1,-1 0 0,0-1 0,14-22 0,6-16-3063,8-28 2767,-3 6-785,-9 27-2966,-25 43 4547,0 0 0,0 0 1,0 0-1,1 1 0,-1-1 0,0 1 1,1 0-1,0-1 0,0 1 0,-1 0 1,1 0-1,4-1 0,-6 3 202,0-1 0,1 1-1,-1 0 1,0 0 0,1 0 0,-1 0-1,0 0 1,0 0 0,1 0 0,-1 0-1,0 1 1,1-1 0,-1 1 0,0-1-1,0 0 1,1 1 0,-1 0 0,0-1-1,0 1 1,0 0 0,0 0 0,0-1-1,0 1 1,0 0 0,0 0 0,0 0-1,-1 0 1,1 0 0,0 1 0,0-1-1,-1 0 1,1 2 0,31 58 3,-27-48 0,0-1 0,1 1 0,1-2 0,0 1 0,1-1 0,0 0 0,1 0 0,10 9 0,-11-13 0,1-1 0,0-1 0,0 1 0,0-2 0,0 1 0,1-1 0,-1-1 0,1 1 0,0-2 0,0 1 0,0-2 0,1 1 0,-1-1 0,0-1 0,1 0 0,-1 0 0,0-1 0,1 0 0,18-5 0,-3-1 0,-1-1 0,0-1 0,0-1 0,-1-1 0,-1-1 0,36-24 0,-6-4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2.5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421 613 8192,'-7'-13'6875,"-15"-30"3209,15 31-9507,0 1 0,0 0 0,-13-15 0,16 22-813,0 0-1,0 0 1,-1 0-1,1 1 0,-1-1 1,0 1-1,1 0 1,-1 1-1,-1-1 1,-5-1-1,6 2 407,0 1-1,0 0 1,0 1-1,0-1 1,-1 1-1,1 0 1,-9 1 0,8 0-170,1 0 0,-1 1 0,1-1 0,0 1 0,0 1 0,-1-1 0,1 1 0,1 0 0,-1 0 0,0 0 0,1 1 0,-1-1 0,1 1 0,0 0 0,0 0 0,1 1 0,-5 5 0,-3 8 0,0 0 0,2 1 0,-12 27 0,2 7-239,2 0 0,2 1 0,-9 66 0,-4 171-2751,31-75-1568,0-181 3169,2 0-1,1 0 1,2-1 0,12 35-1,-15-57 1190,-1-1 0,1 1 0,1-1 0,0 0 0,1-1 0,0 1 0,0-1-1,1-1 1,10 10 0,-13-14 169,1-1-1,-1 0 0,1 0 0,0 0 1,0-1-1,0 0 0,1 0 1,-1-1-1,1 1 0,-1-1 1,1-1-1,0 1 0,0-1 1,-1 0-1,1-1 0,0 0 0,10-1 1,0-1 31,0-1 0,0-1 0,-1-1 0,1 0 0,-1-2 0,0 1 0,0-2 0,-1 0 0,0-1 0,20-16 0,-7 3 0,-2-1 0,0-1 0,-1-1 0,25-33 0,1-15 0</inkml:trace>
  <inkml:trace contextRef="#ctx0" brushRef="#br0" timeOffset="900.06">781 1164 8192,'-21'4'10329,"4"7"-4348,14-8-5606,0 0-1,0 1 1,1-1 0,-1 1-1,1 0 1,0-1 0,-3 9-1,1-1-1030,0 1 0,1-1 0,-2 15 0,2-3 1995,2-22-1339,-2 19 0,1 0 0,0 0 0,2 0 0,3 39 0,-2-54 0,0-1 0,0 0 0,0 0 0,0 1 0,0-1 0,1 0 0,0 0 0,0 0 0,0-1 0,0 1 0,1 0 0,0-1 0,-1 0 0,1 1 0,0-1 0,1 0 0,-1-1 0,0 1 0,1 0 0,0-1 0,-1 0 0,1 0 0,0 0 0,0 0 0,0-1 0,0 0 0,1 1 0,-1-2 0,5 2 0,-4-1 0,-1-1 0,1 1 0,-1-1 0,1 0 0,-1 0 0,1-1 0,-1 0 0,1 1 0,-1-1 0,1-1 0,-1 1 0,0 0 0,0-1 0,0 0 0,0 0 0,0-1 0,4-2 0,-3 1 0,0-1 0,-1 1 0,1-1 0,-1 0 0,0-1 0,-1 1 0,1 0 0,-1-1 0,0 0 0,3-11 0,-1 3 0,-1-1 0,-1 0 0,0 0 0,-1 0 0,-1 0 0,0 0 0,-2 0 0,1 0 0,-5-23 0,3 28 0,-1 1 0,0-1 0,0 1 0,-1 0 0,0 0 0,-1 0 0,0 1 0,0 0 0,-1 0 0,0 0 0,-1 0 0,1 1 0,-1 0 0,-11-8 0,13 11 0,-1 0 0,-1 0 0,1 0 0,-1 1 0,1-1 0,-1 2 0,0-1 0,0 1 0,0 0 0,-1 0 0,1 1 0,0 0 0,-1 0 0,1 1 0,0 0 0,-1 0 0,1 1 0,-1 0 0,-11 3 0,14-3 0,0 1 0,1 0 0,-1 0 0,0 0 0,1 0 0,-1 1 0,1 0 0,0 0 0,0 0 0,0 0 0,0 1 0,0 0 0,1-1 0,0 1 0,0 0 0,0 1 0,0-1 0,0 1 0,1-1 0,0 1 0,0 0 0,0 0 0,1-1 0,0 1 0,0 0 0,0 1 0,0-1 0,1 0 0,0 0 0,0 0 0,0 0 0,0 0 0,1 0 0,0 0 0,0 1 0,1-2 0,-1 1 0,1 0 0,0 0 0,0 0 0,1-1 0,2 5 0,4 2 0,0-1 0,1 0 0,0-1 0,0 0 0,1-1 0,0 0 0,0-1 0,1 0 0,0 0 0,0-2 0,0 1 0,26 6 0,-13-5 0,0-1 0,0-2 0,1 0 0,0-1 0,47-3 0,-60 0 0,-1-2 0,1 0 0,-1 0 0,1-1 0,-1-1 0,0 0 0,0-1 0,-1 0 0,1-1 0,17-11 0,-24 13 0,0 0 0,0 0 0,0 0 0,0-1 0,-1 0 0,1 0 0,-1 0 0,0 0 0,-1-1 0,0 1 0,1-1 0,-2 0 0,1 0 0,-1 0 0,0 0 0,0-1 0,0 1 0,-1 0 0,0-1 0,-1 1 0,1-1 0,-1-6 0,0 12 0,0 0 0,0 0 0,0 0 0,0 0 0,0 0 0,0 0 0,0 0 0,0 0 0,0 0 0,0 0 0,-1 1 0,1-1 0,0 0 0,0 0 0,-1 0 0,1 0 0,-1 0 0,1 1 0,-1-1 0,1 0 0,-1 0 0,1 1 0,-1-1 0,0 0 0,1 1 0,-2-1 0,1 1 0,0 1 0,1 0 0,-1 0 0,0 0 0,1 0 0,-1 0 0,1 0 0,-1-1 0,1 1 0,-1 1 0,1-1 0,0 0 0,0 0 0,-1 0 0,1 0 0,0 0 0,0 0 0,0 0 0,0 0 0,0 0 0,0 0 0,1 1 0,-1 5-6,1 0 0,1-1 1,-1 1-1,1-1 0,0 1 1,0-1-1,1 0 0,0 0 1,0 0-1,1 0 0,-1-1 1,1 1-1,0-1 0,1 0 1,-1 0-1,1 0 0,0-1 1,0 0-1,1 0 0,10 7 1,-8-6-178,0-1 0,1 1 0,0-1 0,-1 0 1,1-1-1,1 0 0,-1-1 0,0 0 1,1 0-1,-1-1 0,1 0 0,-1-1 0,1 0 1,12-1-1,-12-2 223,0 0-1,0 0 1,0-1 0,-1 0 0,1-1-1,-1 0 1,0 0 0,0-1 0,-1 0-1,1 0 1,-1-1 0,10-12 0,-10 10-1106,0 0 1,-1-1-1,0 0 1,0 0-1,-1-1 1,-1 0-1,0 0 1,0 0-1,-1 0 1,4-17-1,-8 25 1640,1 0-1,0 0 1,-1 1 0,0-1-1,1 0 1,-1 0-1,0 0 1,-1 0 0,1 1-1,0-1 1,-1 0-1,-12-12 5899,13 15-6375,-7 13 796,-1 12-1173,8-20 203,-1 0 0,1 0 1,0 0-1,1-1 0,-1 1 1,1 0-1,0 0 0,0-1 1,1 1-1,-1 0 0,1-1 1,0 1-1,0-1 0,1 0 1,-1 0-1,1 0 0,0 0 1,0 0-1,0 0 0,0-1 1,1 0-1,0 1 1,-1-1-1,1-1 0,7 5 1,2 1-262,1-1 1,0 0-1,0-1 1,0 0-1,1-1 1,27 5-1,-14-5-842,1-2 0,-1-1-1,1-2 1,0 0-1,0-2 1,-1-1-1,1-2 1,-1 0 0,29-10-1,-31 6 871,0-1-1,-1 0 1,0-2 0,-1-1-1,38-27 1,-56 36 310,-1 0 0,1 0 0,-1-1 0,0 1 0,0-1 0,-1 0 0,0-1 0,0 1 0,0-1 0,0 0 0,4-11 0,-3-10 0</inkml:trace>
  <inkml:trace contextRef="#ctx0" brushRef="#br0" timeOffset="1654.1">2178 1312 8192,'5'-27'7958,"15"-14"-4175,-9 21-580,8-18-2646,-2-1 0,-2-1 0,-1 0 0,-2-1 0,10-67 0,-20 88-631,-1 0 1,0 0-1,-2-1 0,0 1 1,-7-37-1,5 44 92,-1 0 0,0 0-1,-1 1 1,-1 0 0,1 0 0,-2 0-1,0 1 1,0 0 0,-16-19 0,21 28-18,1 0 0,-1 0 0,0 0 0,0 0 0,0 1 0,0-1 0,0 0 0,0 1 0,0-1 0,0 1 0,-1 0 0,1 0 0,-1 0 0,1 0 0,0 0 0,-1 1 0,0-1 0,1 1 0,-1-1 0,1 1 0,-1 0 0,1 0 0,-4 0 0,3 2 0,0-1 0,0 0 0,0 1 0,1 0 0,-1 0 0,0 0 0,1 0 0,-1 0 0,1 0 0,0 1 0,0-1 0,-1 1 0,2 0 0,-1-1 0,0 1 0,1 0 0,-1 0 0,-1 5 0,-3 8-303,0 0 0,2 1 0,-1 0 1,2 0-1,0 1 0,2-1 0,-1 1 1,3 26-1,1-15-737,1 0 0,2 0 0,0 0-1,14 38 1,-14-53 520,1 0-1,0 0 1,1 0-1,1-1 1,0 0-1,0-1 0,2 0 1,-1 0-1,1-1 1,1 0-1,0 0 1,1-2-1,0 1 1,13 7-1,-7-7 292,1 0 0,0-1 1,0-2-1,1 0 0,0-1 0,0 0 0,0-2 0,1 0 1,37 0-1,-34-3 193,0-1 1,1-2 0,-1-1-1,0 0 1,44-13-1,-57 12 89,0 0 0,0-1 0,-1 0 0,1-1 0,-1 0 0,11-9 0,-15 11 140,-1-1 0,-1 0 0,1 1 0,0-2 0,-1 1 1,0-1-1,0 1 0,-1-1 0,0 0 0,0 0 0,4-11 1,-6 12-252,0 0 0,-1 0 0,1-1 1,-1 1-1,0 0 0,-1-1 0,1 1 1,-1 0-1,0 0 0,0 0 0,-1-1 1,0 1-1,1 1 0,-2-1 0,1 0 1,0 0-1,-1 1 0,0-1 0,0 1 1,-1 0-1,1 0 0,-5-4 0,2 2 641,0 1-1,0 0 0,0 0 0,0 0 1,-1 1-1,-10-5 0,13 7 348,-1 0-1,1 0 1,-1 0 0,0 1 0,0 0-1,0 0 1,0 0 0,0 1 0,0-1-1,-5 2 1,8-1-820,-1 0 1,1 1-1,-1-1 1,1 1-1,-1 0 0,1 0 1,-1 0-1,1 0 0,0 0 1,-1 0-1,1 1 1,0-1-1,0 1 0,0-1 1,0 1-1,0 0 0,1 0 1,-1 0-1,-2 3 1,2-1-52,-1 1 0,1 0 0,0 0 1,1-1-1,-1 1 0,1 1 1,0-1-1,0 0 0,-1 7 0,2-2-289,0-1 0,0 1 0,1 0 0,0 0 0,0-1 0,1 1 0,1-1 0,-1 0 0,2 1 0,3 8 0,-4-14 284,-1 0-1,0 0 1,1 0-1,0-1 1,0 1-1,0-1 1,0 0-1,0 0 1,1 0-1,0 0 1,-1 0-1,1-1 1,0 0-1,0 0 1,0 0-1,1 0 1,-1 0 0,0-1-1,1 0 1,-1 0-1,0 0 1,1-1-1,0 1 1,-1-1-1,1 0 1,-1 0-1,1-1 1,-1 1-1,1-1 1,-1 0-1,1 0 1,-1-1-1,0 1 1,0-1-1,0 0 1,0 0-1,0 0 1,0-1-1,0 1 1,0-1 0,-1 0-1,6-6 1,0-2-333,1 0 0,-2-1 0,1 0 1,-2-1-1,0 1 0,0-1 0,-1-1 1,-1 1-1,0-1 0,4-19 0,1-14-2364,6-89 0,-10 46-206,-4-1 0,-11-97 1,-14 36 1927,21 142 880,0 0 1,-1 1-1,0-1 1,-7-15 0,9 24 40,1 0 0,0 0 0,0 1 0,-1-1 0,1 1 0,0-1 0,-1 0 0,1 1 0,0-1 0,-1 1 0,1-1 0,-1 1 0,1-1 0,-1 1 0,1-1 0,-1 1 0,0-1 0,1 1 0,-1 0 0,1-1 0,-1 1 0,0 0 0,1 0 0,-1-1 0,0 1 0,1 0 0,-1 0 0,0 0 0,0 0 0,1 0 0,-1 0 0,0 0 0,1 0 0,-1 0 0,0 0 0,1 0 0,-1 1 0,0-1 0,0 0 0,1 0 0,-1 1 0,1-1 0,-1 0 0,0 1 0,1-1 0,-1 1 0,1-1 0,-1 1 0,1-1 0,-1 1 0,1-1 0,-1 1 0,1-1 0,0 1 0,-1 1 0,-3 4 0,1 0 0,-1 0 0,2 1 0,-1-1 0,-1 8 0,-6 24 0,2 0 0,2 1 0,2 0 0,1 0 0,3 52 0,3-34 0,3 0 0,2-1 0,17 60 0,-19-93 0,1-1 0,1 0 0,1-1 0,1 0 0,21 34 0,-24-45 0,0 0 0,1-1 0,0 0 0,1 0 0,0-1 0,0 0 0,1 0 0,0-1 0,0-1 0,0 1 0,1-2 0,15 7 0,-12-8 0,0 0 0,0 0 0,0-2 0,1 1 0,-1-2 0,1 0 0,-1-1 0,1 0 0,21-4 0,-14 0 0,-1 0 0,0-2 0,0-1 0,0 0 0,30-17 0,39-28 0</inkml:trace>
  <inkml:trace contextRef="#ctx0" brushRef="#br0" timeOffset="3060.92">3956 825 8192,'16'8'15047,"-6"10"-10593,0 29-7317,-7-31 4247,-1-3-1384,2 5 0,0 0 0,1 0 0,0-1 0,13 26 0,-17-40 0,0 0 0,1 0 0,-1-1 0,1 1 0,0 0 0,0-1 0,0 1 0,0-1 0,0 0 0,1 0 0,-1 0 0,1 0 0,-1 0 0,1 0 0,0 0 0,0-1 0,-1 0 0,1 1 0,0-1 0,0 0 0,0-1 0,1 1 0,-1 0 0,0-1 0,0 0 0,0 0 0,0 0 0,1 0 0,-1 0 0,0 0 0,0-1 0,0 0 0,4 0 0,1-3 0,1 1 0,0-2 0,-1 1 0,0-1 0,0 0 0,0 0 0,-1-1 0,1 0 0,11-15 0,4-5 0,26-41 0,-15 18 0,-33 47 3,0 0 1,0 1 0,1-1-1,-1 1 1,0-1 0,1 1 0,-1 0-1,1-1 1,-1 1 0,1 0-1,0 0 1,-1 0 0,1 0-1,3-1 1,-5 2-5,1 0-1,-1 0 1,1 0-1,0 1 1,-1-1-1,1 0 1,-1 0-1,1 0 1,-1 1 0,1-1-1,-1 0 1,1 1-1,-1-1 1,1 0-1,-1 1 1,1-1-1,-1 0 1,0 1-1,1-1 1,-1 1-1,0-1 1,1 1 0,-1-1-1,0 1 1,0-1-1,1 1 1,-1-1-1,0 1 1,0 0-1,0 0 1,3 10-263,-2-1 0,0 1 0,0 0 1,-1 11-1,1 1-1224,0-13 894,1 0 0,0-1 0,1 1 0,0 0 1,0-1-1,1 0 0,0 0 0,1 0 0,0 0 0,0-1 0,1 0 0,0 0 0,0 0 1,1-1-1,0 0 0,1 0 0,-1 0 0,1-1 0,11 6 0,-9-6 174,0-1 1,0 0-1,0-1 0,0 0 1,1-1-1,0 0 0,16 3 1,-17-5 420,0 0 0,0-1 0,0 0 0,0-1 0,0 0 0,0 0 0,0-1 1,17-5-1,-18 2-4,1 1 1,-1-2-1,0 1 1,0-1-1,-1 0 0,1-1 1,-1 0-1,-1 0 1,1-1-1,-1 0 1,-1 0-1,0-1 1,0 1-1,0-1 0,-1-1 1,6-14-1,-5 10 52,-1 0 0,0 0 0,-1 0 0,-1-1 0,0 0 0,-1 1 0,0-1 0,-1 0 0,-1 0 0,-3-29 0,3 42 8,0 0 1,-1 0 0,1 0-1,0 1 1,-1-1-1,1 0 1,-1 1 0,1-1-1,-1 0 1,0 1-1,0-1 1,0 0 0,0 1-1,0 0 1,0-1-1,0 1 1,0-1 0,-1 1-1,1 0 1,0 0-1,-1 0 1,1 0-1,-1 0 1,1 0 0,-4-1-1,4 2-110,-1 0-1,1 1 1,-1-1-1,0 0 1,1 1-1,-1 0 1,1-1-1,-1 1 1,1 0-1,-1-1 1,1 1 0,-1 0-1,1 0 1,0 0-1,0 0 1,-1 1-1,1-1 1,0 0-1,0 0 1,0 1-1,0-1 1,1 0-1,-1 1 1,0-1-1,0 1 1,1 0-1,-1 2 1,-4 7 600,1 1 0,0 0 0,-4 21 0,6-20 602,1 1 0,0-1 1,1 0-1,0 1 0,1-1 0,4 21 1,-4-27-613,1 0 1,0 0-1,0 0 1,0 0-1,1-1 0,1 1 1,-1-1-1,1 0 1,0 0-1,0 0 1,0-1-1,11 11 1,-11-13-513,1 1 1,0-1-1,-1 0 1,1 0 0,1-1-1,-1 0 1,0 0-1,0 0 1,1 0-1,-1-1 1,8 1 0,-8-1-78,0-1 0,0 0 0,0 0 1,1-1-1,-1 0 0,0 0 1,0 0-1,0 0 0,0-1 1,0 0-1,0 0 0,0 0 0,-1 0 1,1-1-1,-1 0 0,0 0 1,0 0-1,0 0 0,0-1 1,0 0-1,-1 0 0,1 0 0,-1 0 1,0 0-1,4-9 0,1-2 174,0 1-1,-2-1 0,1-1 1,-2 1-1,0-1 0,5-33 0,-7 24-342,0-1 0,-2 1 0,-1-1 0,-4-38-1,3 57 163,0-1-1,0 1 0,-1-1 0,0 1 0,0 0 1,0 0-1,-1 0 0,0 0 0,-1 0 1,0 1-1,0 0 0,0-1 0,0 1 1,-1 1-1,0-1 0,-1 1 0,1 0 1,-1 0-1,-12-8 0,15 11 108,1 1 0,-1-1 0,1 1 0,-1 0 0,1 0 1,-1 0-1,0 0 0,0 1 0,0-1 0,1 1 0,-1-1 0,0 1 0,0 0 0,0 0 0,0 1 0,0-1 1,1 1-1,-1-1 0,0 1 0,0 0 0,0 0 0,1 0 0,-1 0 0,-3 3 0,2-1-244,1 0-1,0 0 0,0 0 1,1 1-1,-1 0 1,1-1-1,0 1 0,-1 0 1,2 0-1,-1 0 0,0 0 1,1 1-1,0-1 1,0 0-1,-1 7 0,1-3-32,0 0 0,0 0-1,1 0 1,0 0 0,0 0-1,0 0 1,1 0-1,1 0 1,-1 0 0,1 0-1,1-1 1,-1 1 0,1 0-1,5 6 1,-5-8 115,2 0 0,-1 0-1,1-1 1,0 0 0,0 0 0,0 0 0,1-1-1,-1 1 1,1-1 0,0-1 0,1 1 0,-1-1 0,1 0-1,-1-1 1,1 1 0,10 1 0,-4-1-168,0-1-1,1 0 1,-1 0 0,1-2 0,0 0 0,-1 0 0,1-2 0,-1 1-1,1-2 1,-1 0 0,0 0 0,0-1 0,22-10 0,-24 9 35,0-1 0,-1-1 0,1 1 0,-1-2 0,-1 1 0,1-1 1,-1-1-1,-1 1 0,1-2 0,-2 1 0,1-1 0,-1 0 0,-1-1 1,0 1-1,7-18 0,-5 3 247,-1 1 0,-1-1 0,-1 0 0,-1 0 0,-1-1 0,-2-40 0,-2 27 0,-2 0 0,-2 1 0,-15-60 0,18 91 0,-12-39 0,13 45 0,1-1 0,-1 0 0,0 1 0,1-1 0,-1 1 0,0-1 0,0 1 0,0-1 0,0 1 0,-1 0 0,1-1 0,0 1 0,0 0 0,-1 0 0,1 0 0,-1 0 0,1 0 0,-1 0 0,1 0 0,-3 0 0,3 1 0,0 0 0,0 0 0,0 1 0,0-1 0,0 0 0,0 1 0,0-1 0,0 0 0,0 1 0,1-1 0,-1 1 0,0 0 0,0-1 0,1 1 0,-1 0 0,0-1 0,1 1 0,-1 0 0,0 0 0,1 0 0,-1-1 0,1 1 0,-1 0 0,1 0 0,0 0 0,-1 0 0,1 0 0,0 0 0,0 1 0,-9 36 0,9-34 0,-7 50 0,3 0 0,2 0 0,5 59 0,0-73 0,2 0 0,2 0 0,2 0 0,25 70 0,-31-101 0,1-1 0,0 0 0,0 0 0,1 0 0,0 0 0,1-1 0,0 0 0,0 0 0,0-1 0,1 0 0,10 8 0,-13-11 0,-1-1 0,1 0 0,0 0 0,0 0 0,0 0 0,0-1 0,0 0 0,0 0 0,1 0 0,-1 0 0,0 0 0,1-1 0,-1 0 0,0 0 0,1 0 0,-1-1 0,0 1 0,1-1 0,-1 0 0,0 0 0,0-1 0,0 1 0,0-1 0,0 0 0,4-2 0,21-16 0</inkml:trace>
  <inkml:trace contextRef="#ctx0" brushRef="#br0" timeOffset="3215.6">5416 550 8192,'-1'-3'0,"9"-9"2971,16-10-2971,26-15 5848,29-19-5848,34-18-3356,38-15 3356,28-6-5463,6 5 5463,-29 19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9:55.1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682 0 24575,'-25'13'0,"2"0"0,-1 1 0,2 2 0,0 0 0,1 1 0,1 2 0,0 0 0,2 0 0,0 2 0,1 1 0,2 0 0,0 0 0,1 2 0,1 0 0,1 0 0,2 1 0,0 1 0,-11 46 0,-48 214 0,61-244 0,2 0 0,2 0 0,2 1 0,2 0 0,5 50 0,45 213 0,-22-159 0,13 54 0,9 56 0,38 177 0,-19-115 0,14 177 0,-63-202 0,-25-1 0,4-270 0,-1 29 0,-2 0 0,-3-1 0,-19 75 0,20-103 0,-1-1 0,-1-1 0,-1 1 0,0-2 0,-2 1 0,-1-1 0,0-1 0,-1 0 0,-1-1 0,-21 22 0,30-36 0,0 1 0,-1-1 0,1 0 0,-1 0 0,0 0 0,0-1 0,0 0 0,-1 0 0,1-1 0,-1 0 0,1 0 0,-1 0 0,0-1 0,0 0 0,0 0 0,1-1 0,-13 0 0,17 0 0,1-1 0,-1 1 0,1-1 0,-1 1 0,1-1 0,-1 0 0,1 0 0,-1 0 0,1 0 0,0 0 0,-1 0 0,1 0 0,0 0 0,0 0 0,0 0 0,0-1 0,0 1 0,0 0 0,0-1 0,0-2 0,-1 0 0,1 0 0,-1 0 0,1-1 0,0 1 0,1-1 0,-1 1 0,1-8 0,1 0 0,0 0 0,0 0 0,1 0 0,8-23 0,-9 32 0,0-1 0,1 1 0,-1-1 0,1 1 0,0 0 0,0-1 0,0 1 0,0 0 0,1 0 0,-1 1 0,1-1 0,0 0 0,0 1 0,0 0 0,0 0 0,0-1 0,0 2 0,1-1 0,-1 0 0,0 1 0,1 0 0,0-1 0,-1 1 0,1 1 0,0-1 0,-1 0 0,7 1 0,-6 0 0,1 1 0,0-1 0,-1 1 0,1 0 0,0 0 0,-1 1 0,0-1 0,1 1 0,-1 0 0,0 1 0,0-1 0,0 0 0,0 1 0,0 0 0,-1 0 0,1 0 0,-1 1 0,0-1 0,0 1 0,0 0 0,4 6 0,10 22 0,-2 0 0,-1 2 0,-2-1 0,-1 2 0,-1-1 0,-2 1 0,6 65 0,-7 18 0,-9 123 0,-1-85 0,4 1 0,2-40 0,-21 205 0,3-251 0,-3 0 0,-48 121 0,6-20 0,11-35 0,-77 150 0,34-84 0,-37 129 0,112-276 0,2 2 0,2 0 0,3 0 0,-2 62 0,9-79 0,3 1 0,2-1 0,1 0 0,11 52 0,-11-79 0,0-1 0,1 1 0,1 0 0,0-1 0,1 0 0,1-1 0,-1 1 0,2-1 0,0 0 0,0-1 0,1 0 0,1 0 0,0-1 0,0 0 0,1-1 0,13 9 0,-3-6 0,0-2 0,0-1 0,1 0 0,0-2 0,0 0 0,1-2 0,0 0 0,37 2 0,11-3 0,109-8 0,-25-8-682,190-41-1,-212 23-6143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2:41.9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2:31.9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26 749 8192,'-1'20'10614,"0"-1"-5103,-2 4-2459,-1 11-3176,-1 13-2301,2-16 3819,1 11-1394,-5 190 0,8-187 0,2 1 0,2-1 0,11 45 0,-13-81 0,-1 1 0,2 0 0,-1-1 0,1 0 0,0 0 0,1 0 0,0 0 0,12 13 0,-14-18 0,0-1 0,0 0 0,0 1 0,1-2 0,0 1 0,-1 0 0,1-1 0,0 1 0,0-1 0,0-1 0,1 1 0,-1 0 0,0-1 0,1 0 0,-1 0 0,1 0 0,-1 0 0,1-1 0,-1 0 0,1 0 0,5-1 0,0-1-36,0 0 0,0-1 1,-1 0-1,1-1 0,-1 0 0,0 0 1,0-1-1,0 0 0,-1-1 1,1 0-1,-1 0 0,-1-1 1,1 0-1,9-12 0,0-1-646,-2-1 0,0 0 0,-1-2 0,18-35 0,-22 33-987,-1 1-1,0-1 1,-2 0-1,-1-1 1,-1 0 0,3-43-1,-7 40 1073,-1 1-1,-1 0 0,-7-36 1,7 59 597,0-1 0,0 1 0,0 0 0,-1 0 0,0 0 0,0 1 0,-4-8 0,6 12 0,0-1 0,-1 1 0,1 0 0,0 0 0,0 0 0,0-1 0,0 1 0,0 0 0,-1 0 0,1 0 0,0 0 0,0-1 0,0 1 0,-1 0 0,1 0 0,0 0 0,0 0 0,-1 0 0,1 0 0,0 0 0,0-1 0,-1 1 0,1 0 0,0 0 0,0 0 0,-1 0 0,1 0 0,0 0 0,0 0 0,-1 0 0,1 0 0,0 1 0,0-1 0,-1 0 0,1 0 0,0 0 0,0 0 0,0 0 0,-1 0 0,1 0 0,0 1 0,0-1 0,0 0 0,-1 0 0,1 0 0,0 1 0,-8 26 0,1 44 49,5 104-1,3-116 414,-1-39 53,1 0-1,1 0 0,1 0 1,7 28-1,-8-41-171,1 0-1,-1-1 0,1 1 0,1-1 0,-1 0 1,1 1-1,0-2 0,8 10 0,-9-12 225,0 0 0,0-1 0,0 1 0,0-1 0,1 0 0,-1 0 0,1 0 0,-1 0 0,9 2 0,-11-3-674,1-1-1,0 0 0,-1 1 0,1-1 0,0 0 1,-1 0-1,1 0 0,0 0 0,0 0 1,-1-1-1,1 1 0,0 0 0,-1-1 0,1 0 1,0 1-1,-1-1 0,1 0 0,-1 0 1,2-1-1,1 0 233,-1-1-1,0 0 1,0 0 0,0 0 0,-1 0 0,1 0 0,3-7 0,1-5 603,0 1 0,-1-1 1,5-17-1,-11 32-728,29-116 4551,1-60-5052,-23 133 835,-6 32-334,0 5 0,-1 0 0,1 0 0,0 0 0,1-1 0,0 1 0,0 0 0,0 1 0,0-1 0,6-9 0,-7 15 0,-1 0 0,0 0 0,1 0 0,-1-1 0,0 1 0,1 0 0,-1 0 0,0 0 0,1 0 0,-1 0 0,0 0 0,1 0 0,-1 0 0,0 0 0,1 1 0,-1-1 0,1 0 0,-1 0 0,0 0 0,0 0 0,1 0 0,-1 1 0,0-1 0,1 0 0,-1 0 0,0 0 0,0 1 0,1-1 0,-1 0 0,0 0 0,0 1 0,1-1 0,-1 0 0,0 1 0,0-1 0,0 0 0,0 1 0,1-1 0,-1 0 0,0 1 0,0-1 0,0 0 0,0 1 0,0-1 0,0 0 0,0 1 0,0-1 0,0 1 0,5 21 0,-1 8 0,-1-4 0,2 0 0,0 0 0,2 0 0,15 40 0,-19-60 0,-1-1 0,2 1 0,-1-1 0,1 1 0,-1-1 0,1 0 0,1-1 0,-1 1 0,1-1 0,8 6 0,-9-7 0,0-1 0,1 0 0,-1 0 0,1 0 0,-1-1 0,1 1 0,0-1 0,0 0 0,-1-1 0,1 1 0,0-1 0,0 0 0,0 0 0,0-1 0,7-1 0,-1 0-149,0-1 1,0 0-1,-1-1 0,1-1 1,-1 1-1,0-2 1,-1 1-1,1-1 1,14-13-1,-7 4-222,-1 0-1,-1-1 1,26-35 0,-11 5 371</inkml:trace>
  <inkml:trace contextRef="#ctx0" brushRef="#br0" timeOffset="532.91">1190 813 8192,'0'4'18022,"0"15"-18022,0 16 0,0 8 0,0 8 0,7 3 0,9-8 0,7-5 0,5-9 0,10-10 0,12-16 0,12-23 0,14-20 0,0-14 0,-11 1 0</inkml:trace>
  <inkml:trace contextRef="#ctx0" brushRef="#br0" timeOffset="1513.11">1910 834 8192,'-1'-20'8985,"-1"3"-3455,-9-12-1771,8 26-3774,1 0 0,-1 0 0,1 0 1,-1 1-1,0-1 0,0 1 0,0 0 0,0 0 0,-1 0 1,1 0-1,-1 0 0,1 1 0,-1 0 0,1-1 0,-1 1 0,-4 0 1,3 0 14,0 0 0,0 0 0,0 1 0,0-1 0,0 1 0,0 0 0,0 1 0,0-1 0,0 1 0,1 0 0,-1 0 0,0 1 0,0-1 0,-7 5 0,5-2 0,0 0 0,1 0 0,0 1 0,0 0 0,0 0 0,1 1 0,0 0 0,-9 11 0,4-1 0,0 1 0,1 0 0,1 1 0,0 0 0,2 0 0,-9 36 0,13-42 0,0 1 0,1-1 0,0 1 0,1 0 0,0 0 0,1 0 0,0-1 0,7 24 0,-8-32 0,1 0 0,0-1 0,1 1 0,-1 0 0,1-1 0,-1 1 0,1-1 0,0 0 0,0 0 0,1 1 0,-1-1 0,1-1 0,-1 1 0,1 0 0,0-1 0,0 1 0,0-1 0,1 0 0,-1 0 0,0 0 0,1 0 0,-1-1 0,1 1 0,0-1 0,-1 0 0,1 0 0,0 0 0,0-1 0,0 1 0,0-1 0,-1 0 0,1 0 0,5-1 0,-2 0 0,0-1 0,0 0 0,-1 0 0,1-1 0,0 0 0,-1 0 0,0 0 0,1-1 0,-2 0 0,1 0 0,0-1 0,-1 0 0,0 0 0,8-9 0,0-2 0,0-1 0,-1 0 0,17-35 0,-13 16-524,-1 0 1,-1-1 0,-3 0-1,-1-1 1,9-66 0,-13 42-1962,-2 1 0,-9-118 0,2 141-519,-13-54 0,12 76 3200,0 1 1,-1 0 0,-1 0 0,0 0 0,-1 1 0,-10-14-1,17 26-195,-1 0-1,-1 1 0,1-1 0,0 0 0,0 1 0,0 0 1,-1-1-1,1 1 0,-1 0 0,1 0 0,-1-1 1,0 1-1,1 0 0,-1 1 0,0-1 0,-3-1 0,4 2-62,0 0 0,0 0 0,0 0-1,0 0 1,0 0 0,-1 1-1,1-1 1,0 0 0,0 1-1,0-1 1,0 1 0,0-1 0,0 1-1,1-1 1,-1 1 0,0-1-1,0 1 1,0 0 0,0 0-1,1-1 1,-2 3 0,-2 3 1,0 0 1,1 0-1,0 1 0,0 0 1,0-1-1,1 1 1,-3 12-1,-3 23 1250,-5 84 0,12-83-1588,2 0 0,1-1-1,3 1 1,1-1 0,2 0 0,2-1-1,24 63 1,-25-83 384,0-1-1,2 0 1,0-1-1,1-1 1,1 0-1,1 0 1,0-1-1,30 26 0,-36-36 17,-1-1-1,1 0 1,0-1-1,0 0 1,0 0-1,1-1 1,0 0-1,0 0 1,0-1-1,0 0 1,0 0-1,1-1 1,-1-1-1,1 0 1,0 0-1,-1-1 1,1 0-1,0 0 1,-1-1-1,1-1 1,-1 1-1,14-5 1,-14 2-8,0 0 0,-1 0 0,1-1 0,-1 0 0,0-1 1,0 1-1,-1-2 0,1 1 0,-2-1 0,1 0 0,-1 0 0,0-1 0,0 0 1,-1 0-1,0 0 0,0-1 0,-1 1 0,4-12 0,-3 7 605,-2 0 1,1 0-1,-1-1 0,-1 1 1,1-18-1,-3 19 1368,0 0-1,-1 0 1,0 0-1,-1 0 1,-5-22 0,6 32-1772,1 0 0,-1 0 0,0 0 1,1 0-1,-1 0 0,0 0 0,0 0 1,0 1-1,-1-1 0,1 0 0,0 0 1,-1 1-1,-2-3 0,4 4-192,-1 0 0,1-1 0,0 1 0,0 0 0,-1 0 0,1 0 0,0 0 1,-1 0-1,1 0 0,0 0 0,0 0 0,-1 0 0,1 0 0,0 0 0,0 0 0,-1 0 0,1 1 0,0-1 0,-1 0 0,1 0 0,0 0 0,0 0 0,0 0 0,-1 1 0,1-1 0,0 0 0,0 0 0,-1 0 1,1 0-1,0 1 0,0-1 0,0 0 0,0 1 0,-7 18-22,6-11 20,0 0 0,1 0 0,0 0 0,0 0 0,1 0 0,0 0 0,0 0 0,1 0 0,4 15 0,-4-18 0,0-1 0,1 1 0,-1-1 0,1 1 0,0-1 0,0 0 0,0 0 0,0 0 0,1-1 0,-1 1 0,1-1 0,0 0 0,0 0 0,1 0 0,-1 0 0,0-1 0,6 3 0,-8-4 0,0 0 0,1-1 0,-1 1 0,1 0 0,-1-1 0,1 0 0,-1 1 0,1-1 0,-1 0 0,1 0 0,-1-1 0,1 1 0,-1 0 0,1-1 0,-1 1 0,1-1 0,-1 0 0,4-2 0,-2 1 0,0-1 0,0 1 0,-1-1 0,1 0 0,-1-1 0,0 1 0,0 0 0,0-1 0,4-5 0,1-6 0,0-1 0,0 1 0,-2-1 0,7-23 0,-8 21-154,-1 1 0,-1-1 1,-1 0-1,0 0 0,-1 0 1,-1 0-1,-1 0 0,0 0 1,-8-32-1,7 38 215,-2 0 0,1 1 0,-1-1 0,-1 1 0,0 0 0,-1 0 0,0 1 1,0 0-1,-1 0 0,-1 0 0,0 1 0,0 0 0,0 1 0,-1-1 0,-15-9 0,22 16-232,-1 0 0,0 1-1,1-1 1,-1 0-1,0 1 1,0 0 0,0 0-1,0 0 1,0 0 0,0 0-1,-1 1 1,1-1-1,0 1 1,0 0 0,0 0-1,-1 0 1,1 0 0,0 1-1,0-1 1,0 1 0,0 0-1,-1 0 1,1 0-1,1 0 1,-1 1 0,0-1-1,0 1 1,0-1 0,1 1-1,-1 0 1,1 0-1,-1 0 1,1 1 0,0-1-1,0 1 1,-3 4 0,-2 3-901,0 1 1,1 1 0,0-1 0,0 1-1,2 0 1,0 0 0,-5 24 0,6-26 870,2 0-1,0 0 1,0 0 0,0 1-1,2-1 1,-1 0 0,1 0 0,1 0-1,-1 0 1,2 0 0,4 14 0,-4-18 194,-1-1 0,1 1 0,1-1 0,-1 1 0,1-1 0,0 0 1,0 0-1,0-1 0,1 1 0,0-1 0,-1 0 0,2 0 1,-1-1-1,0 1 0,1-1 0,-1 0 0,1-1 0,0 1 1,10 2-1,-5-3 7,0 0 0,1 0 0,-1-1 0,0-1 0,0 0 0,0-1 0,1 0 0,-1 0 0,0-1 0,16-5 0,-2-1 0,1-2 0,-1 0 0,26-16 0,7-7 0</inkml:trace>
  <inkml:trace contextRef="#ctx0" brushRef="#br0" timeOffset="1936.71">3391 516 8192,'-10'14'18022,"18"-10"-18022,18-2 0,22-7 0,25-4 0,14-11 0,4-1-3356,-11-6 3356,-11 3-5996,-18 5 5996</inkml:trace>
  <inkml:trace contextRef="#ctx0" brushRef="#br0" timeOffset="2214.9">3836 30 8192,'15'-26'18022,"13"22"-18022,19 11 0,18 11 0,6 13 0,2 17 0,-5 13 0,-7 19 0,-13 13-2971,-15 9 2971,-13 9-5849,-25 0 5849,-18-8-7349,-9-15 7349,1-22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19.4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524 772 8192,'18'-26'13389,"-15"18"-11716,3-22 2412,-7-1-3702,-1 23-863,0-1 1,0 1-1,-1 0 0,0-1 1,-4-7-1,-14-17 1850,14 24-1370,0 0 0,-1 0 0,-1 1 0,0 0 0,0 0 0,0 1 0,-1 0 0,0 1 0,-15-8 0,20 12 0,-1 0 0,1 0 0,0 0 0,-1 1 0,0 0 0,1 0 0,-1 1 0,0-1 0,1 1 0,-1 0 0,0 1 0,1-1 0,-1 1 0,0 0 0,1 1 0,-1-1 0,1 1 0,0 0 0,-1 1 0,1-1 0,-8 7 0,-5 4-60,2 1 1,0 1-1,1 0 0,0 1 1,1 1-1,1 0 1,0 1-1,2 0 1,0 1-1,-12 30 1,1 2-1038,3 2 0,-23 105 0,31-106-1053,3 1 0,-2 75-1,9-104 1328,2 0-1,0 1 1,2-1 0,1-1-1,1 1 1,1 0-1,14 36 1,-16-51 788,1 0 0,0 0 1,0 0-1,1-1 1,0 0-1,0 0 0,1-1 1,0 0-1,0 0 1,1 0-1,-1-1 0,2 0 1,-1-1-1,1 0 1,-1 0-1,1 0 0,1-1 1,-1-1-1,1 0 1,-1 0-1,1-1 1,0 0-1,0 0 0,0-1 1,0-1-1,0 0 1,0 0-1,0-1 0,13-2 1,2-3 34,-1 0 1,0-1-1,0-2 1,0 0-1,-1-2 0,-1-1 1,0 0-1,0-2 1,-2 0-1,30-26 1,-33 24 697,-1 0 0,0-1-1,22-32 1,-9 1-138</inkml:trace>
  <inkml:trace contextRef="#ctx0" brushRef="#br0" timeOffset="386.64">799 751 8192,'-4'-10'1971,"1"-1"0,0 0 0,1-1 1,0 1-1,1 0 0,0 0 0,1-18 1,4 2 78,-4 27-2047,0 0 0,0 0 1,0 0-1,0-1 0,0 1 0,0 0 1,0 0-1,0 0 0,0-1 0,0 1 1,0 0-1,0 0 0,0 0 0,0-1 1,0 1-1,0 0 0,1 0 0,-1 0 1,0 0-1,0-1 0,0 1 0,0 0 1,0 0-1,0 0 0,1 0 0,-1 0 1,0-1-1,0 1 0,0 0 0,0 0 1,1 0-1,-1 0 0,0 0 0,0 0 1,0 0-1,0 0 0,1 0 0,-1 0 1,0 0-1,0 0 0,0 0 0,1 0 1,-1 0-1,0 0 0,0 0 0,0 0 1,1 0-1,-1 0 0,0 0 0,0 0 1,0 0-1,1 0 0,-1 0 0,0 0 1,0 0-1,0 1 0,0-1 0,1 0 1,-1 0-1,0 0 0,0 0 0,0 0 1,0 1-1,0-1 0,0 0 0,0 0 1,1 1-1,6 16-37,-6-14 49,15 47-313,-1 1 0,-4 0 0,9 84 0,-3 163-5758,-16-281 5459,-1 75-1214,0-45-2269,8 78 1,-1-99 3876,-7-26 203,0 1-1,0-1 1,0 1 0,0-1 0,1 1 0,-1-1 0,0 0 0,0 1 0,0-1 0,1 1 0,-1-1 0,0 0-1,1 1 1,-1-1 0,0 0 0,1 0 0,-1 1 0,0-1 0,1 0 0,-1 0 0,1 1 0,-1-1 0,1 0-1,-1 0 1,0 0 0,1 0 0,-1 0 0,1 1 0,-1-1 0,1 0 0,-1 0 0,1 0 0,-1 0 0,1-1-1,-1 1 1,1 0 0,-1 0 0,0 0 0,1 0 0,-1 0 0,1 0 0,0-1 0,11-11 0</inkml:trace>
  <inkml:trace contextRef="#ctx0" brushRef="#br0" timeOffset="1124.58">672 1196 8192,'5'16'10565,"-4"-13"-9860,17 7 4194,26-1-3409,-40-9-1335,12 1-142,0-1 1,0-1-1,1-1 0,-1 0 0,-1-1 1,1-1-1,0 0 0,-1-1 1,0-1-1,0 0 0,0-1 0,-1 0 1,0-2-1,0 1 0,-1-2 1,14-12-1,-5 3-15,-1-2 0,0 0 0,-2-1 0,-1-1 0,0 0 0,-2-2 0,0 0 0,12-29 0,-26 49 2,0 1 0,0-1 0,0 0 0,-1 0 0,0 0 0,0 0 0,0 0 0,-1 0 0,0 0 0,0-8 0,0 12 0,0 0 0,0 0 0,-1 0 0,1 0 0,0 0 0,-1 0 0,1 0 0,-1 0 0,1 1 0,-1-1 0,1 0 0,-1 0 0,1 0 0,-1 1 0,0-1 0,0 0 0,1 1 0,-1-1 0,0 0 0,0 1 0,-1-1 0,0 0 0,0 1 0,0 0 0,0-1 0,0 1 0,0 0 0,0 0 0,1 0 0,-1 0 0,0 1 0,0-1 0,0 1 0,0-1 0,0 1 0,-3 1 0,-2 1 0,0 1 0,1 0 0,0 0 0,0 0 0,0 1 0,0 0 0,1 0 0,-1 0 0,1 1 0,1 0 0,-1 0 0,1 0 0,0 0 0,0 1 0,1 0 0,0-1 0,0 1 0,1 1 0,0-1 0,0 0 0,0 0 0,1 1 0,0-1 0,1 1 0,0 8 0,0-13 0,0-1 0,1 1 0,-1-1 0,1 1 0,0-1 0,0 1 0,0-1 0,0 0 0,0 0 0,0 1 0,1-1 0,-1 0 0,1 0 0,-1 0 0,1 0 0,0-1 0,0 1 0,0 0 0,3 1 0,-1-1 0,0 0 0,0 0 0,0 0 0,0-1 0,1 0 0,-1 0 0,0 0 0,1 0 0,-1-1 0,6 0 0,3 0 0,1-1 0,-1-1 0,0 0 0,0-1 0,0 0 0,15-6 0,36-19 0,-60 31 0,-6 7 0,-8 14 0,8-20 0,-2 5-221,1 0-1,-1 1 1,1-1 0,1 1 0,0-1 0,0 1 0,0 11 0,2-17-103,1 1 0,-1-1 0,1 1 0,-1-1 0,2 1 0,-1-1 0,0 0 0,1 0 0,-1 1 0,1-1 0,1 0 0,-1-1-1,0 1 1,1 0 0,0-1 0,0 1 0,0-1 0,4 4 0,3 2-400,1-1-1,0 0 1,0 0-1,1-1 1,-1-1 0,1 0-1,1-1 1,-1 0-1,1-1 1,0 0-1,23 3 1,-19-5 511,0-1-1,0-1 1,0 0 0,0-2 0,0 0 0,0 0 0,-1-2 0,26-8-1,-19 4 251,-1-1 0,-1-1 0,0-1 0,0-1-1,-1-1 1,-1-1 0,0 0 0,-1-2 0,0 0 0,-2-1-1,0 0 1,0-2 0,17-27 0,-21 24-37,-1 0 0,-1 0 0,-1-1 0,-1 0 0,-1-1 0,-1 1 0,-1-1 0,-1-1 0,-1 1 0,-1 0 0,-2-1 0,0 1 0,-1-1 0,-2 1 0,-8-36 0,8 49 0,-1 0 0,0 1 0,0 0 0,-2 0 0,1 0 0,-1 0 0,0 1 0,-1 0 0,-10-10 0,16 17 0,-1 0 0,0 0 0,0 0 0,0 0 0,0 1 0,0-1 0,0 0 0,0 1 0,-1 0 0,1 0 0,0 0 0,-1 0 0,1 0 0,-1 0 0,1 0 0,-1 1 0,0 0 0,1-1 0,-1 1 0,1 0 0,-1 0 0,0 0 0,1 1 0,-1-1 0,1 0 0,-1 1 0,0 0 0,1 0 0,-1 0 0,1 0 0,0 0 0,-1 0 0,1 0 0,0 1 0,0 0 0,0-1 0,0 1 0,0 0 0,0 0 0,0 0 0,1 0 0,-1 0 0,1 0 0,-2 3 0,-5 7 0,1 1 0,0-1 0,1 1 0,1 0 0,0 1 0,1-1 0,0 1 0,1 0 0,-2 27 0,2-6 0,2-1 0,6 69 0,-2-80 0,0-1 0,2 1 0,0-1 0,2 0 0,0-1 0,1 0 0,1 0 0,16 26 0,-19-37 0,1 0 0,0-1 0,0-1 0,1 1 0,0-1 0,1 0 0,-1-1 0,2 0 0,-1 0 0,1-1 0,0 0 0,0-1 0,0 0 0,1-1 0,0 0 0,-1 0 0,2-1 0,14 2 0,-9-3 0,1-1 0,0-1 0,-1 0 0,25-4 0,4-4 0</inkml:trace>
  <inkml:trace contextRef="#ctx0" brushRef="#br0" timeOffset="1608.16">2704 920 8192,'7'0'11991,"17"-7"-11991,25-13 6031,31-3-6031,19-9-3356,7 1 3356,0-1-5484,-7 5 5484,-17 7 3356,-23 7-3356</inkml:trace>
  <inkml:trace contextRef="#ctx0" brushRef="#br0" timeOffset="1841.91">3127 561 8192,'3'-13'18022,"6"19"-18022,7 16 0,2 16 0,12 22 0,1 19 0,2 18 0,-4-1 0,0-5 0,9-11 0,6-20 0,2-26 0,-6-20 0</inkml:trace>
  <inkml:trace contextRef="#ctx0" brushRef="#br0" timeOffset="2495.98">3932 222 8192,'20'-4'18278,"-4"-2"-17060,9-5-3862,-6 3 3814,136-47-1170,316-69 0,-459 121 0,-1 0 0,0 1 0,0 0 0,0 0 0,0 1 0,0 1 0,15 0 0,-25 0 0,0 0 0,0 0 0,0 1 0,0-1 0,0 0 0,0 0 0,0 1 0,0-1 0,0 0 0,0 1 0,0-1 0,0 1 0,0 0 0,-1-1 0,1 1 0,0-1 0,0 1 0,-1 0 0,1 0 0,0-1 0,-1 1 0,1 0 0,-1 0 0,1 0 0,-1 0 0,0 0 0,1 0 0,-1-1 0,0 1 0,1 0 0,-1 0 0,0 0 0,0 0 0,0 0 0,0 0 0,0 0 0,0 0 0,0 0 0,0 0 0,0 0 0,-1 2 0,-1 3 0,-1 1 0,1-1 0,-1 1 0,-7 10 0,7-13 0,-146 227-2687,41-69-2471,-102 149-3515,110-185 7478,65-87 939,16-19 238,1 2 1,-27 41-1,44-62 18,0 1 0,0 0 0,0-1 0,1 1 0,-1 0 0,0 0 0,1 0 0,-1 0 0,1 0 0,-1 3 0,2-5 0,-1 1 0,0-1 0,0 1 0,0-1 0,0 1 0,0-1 0,0 1 0,1-1 0,-1 1 0,0-1 0,0 1 0,1-1 0,-1 1 0,0-1 0,1 0 0,-1 1 0,0-1 0,1 0 0,-1 1 0,1-1 0,-1 0 0,0 1 0,1-1 0,-1 0 0,1 0 0,0 1 0,4-1 0,-1 1 0,0-1 0,1 0 0,-1 0 0,1 0 0,-1-1 0,1 0 0,6-2 0,190-58 0,-124 35 0,902-276-256,-767 245 5211,-1 4 5364,-98 26-7315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25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1359 8192,'8'14'17806,"18"4"-18618,-16-12 1840,-6-3-1028,1 0 0,0 0 0,0-1 0,0 0 0,0 0 0,0 0 0,0 0 0,1-1 0,-1 0 0,0 0 0,1 0 0,-1 0 0,1-1 0,-1 0 0,1-1 0,-1 1 0,1-1 0,-1 0 0,1 0 0,-1 0 0,0-1 0,1 0 0,-1 0 0,0-1 0,0 1 0,-1-1 0,1 0 0,-1 0 0,5-4 0,4-4 0,-1 0 0,-1-1 0,0 0 0,-1-1 0,0 0 0,-1-1 0,0 0 0,11-25 0,-8 9 0,-1-1 0,-1 0 0,-2 0 0,-1-1 0,-2 0 0,0 0 0,-3 0 0,-2-63 0,0 91 0,-1-1 0,1 1 0,-1 0 0,0 0 0,0 1 0,0-1 0,-1 0 0,1 0 0,-1 0 0,0 1 0,0-1 0,0 1 0,0 0 0,-5-5 0,6 7 0,0 0 0,-1 0 0,1 0 0,-1 0 0,1 1 0,-1-1 0,1 0 0,-1 1 0,1-1 0,-1 1 0,0 0 0,1-1 0,-1 1 0,0 0 0,1 0 0,-1 0 0,0 0 0,1 1 0,-1-1 0,0 0 0,1 1 0,-1-1 0,0 1 0,1-1 0,-1 1 0,1 0 0,-1 0 0,1-1 0,0 1 0,-1 0 0,1 0 0,0 1 0,-1-1 0,1 0 0,-1 2 0,-5 4 0,2 1 0,-1-1 0,1 1 0,0 0 0,0 1 0,1-1 0,1 1 0,-1 0 0,1 0 0,1 0 0,-1 0 0,2 0 0,-1 0 0,1 1 0,1-1 0,0 1 0,0-1 0,2 13 0,-1-18 0,0-1 0,0 0 0,1 0 0,-1 0 0,1 0 0,-1 0 0,1 0 0,0 0 0,0-1 0,0 1 0,1-1 0,-1 1 0,1-1 0,-1 0 0,1 0 0,0 0 0,-1 0 0,1-1 0,0 1 0,0-1 0,1 1 0,-1-1 0,0 0 0,0 0 0,1-1 0,6 1 0,1 1 0,1-1 0,0 0 0,0-1 0,0-1 0,0 0 0,16-3 0,-3-3 0,-1-1 0,0-2 0,-1 0 0,1-1 0,-2-1 0,0-1 0,25-20 0,-41 29 0,0-1 0,1 0 0,-1 1 0,1 0 0,10-4 0,-16 8 0,-1-1 0,1 1 0,0 0 0,0 0 0,-1-1 0,1 1 0,0 0 0,0 0 0,0 0 0,0 0 0,-1 0 0,1 0 0,0 0 0,0 0 0,0 0 0,-1 0 0,1 0 0,0 1 0,0-1 0,0 0 0,-1 0 0,1 1 0,0-1 0,-1 1 0,1-1 0,0 1 0,-1-1 0,1 1 0,0-1 0,-1 1 0,1-1 0,-1 1 0,1 0 0,-1-1 0,1 1 0,-1 0 0,0 0 0,1-1 0,-1 1 0,0 0 0,0 0 0,1-1 0,-1 1 0,0 0 0,0 0 0,0 0 0,0-1 0,0 1 0,0 0 0,0 1 0,-2 56 0,0-46 0,2 0 0,-1 0 0,2 1 0,2 21 0,-2-31 0,0 1 0,0 0 0,0-1 0,1 1 0,-1-1 0,1 0 0,0 1 0,0-1 0,0 0 0,1 0 0,-1 0 0,1 0 0,-1-1 0,1 1 0,0-1 0,0 1 0,0-1 0,0 0 0,7 3 0,1-1-89,0 0 1,1-1 0,-1 0-1,0-1 1,1-1 0,-1 0-1,1 0 1,0-1 0,-1 0-1,1-1 1,-1 0 0,1-1 0,-1-1-1,0 0 1,1 0 0,-1-1-1,16-8 1,-8 3-813,-1 0 1,0-1-1,-1-1 1,0-1-1,0-1 1,-2 0-1,1-1 1,-2 0-1,16-20 1,-22 23-231,-1 0 0,-1-1 0,1 1 0,-2-1 0,8-23 0,-11 29 1085,0-1 1,0 1-1,-1-1 0,0 0 0,0 1 0,-1-1 1,0 0-1,0 1 0,-1-1 0,1 0 0,-1 1 0,-1-1 1,-2-7-1,4 12 96,0 1 1,-1-1-1,0 0 1,1 0 0,-1 1-1,0-1 1,0 1-1,0-1 1,0 1 0,0-1-1,-1 1 1,1-1-1,0 1 1,0 0-1,-1 0 1,1 0 0,-1 0-1,1 0 1,-1 0-1,0 0 1,1 0-1,-1 1 1,0-1 0,0 1-1,1-1 1,-1 1-1,0-1 1,0 1 0,0 0-1,1 0 1,-1 0-1,0 0 1,0 0-1,0 1 1,1-1 0,-1 0-1,0 1 1,0 0-1,1-1 1,-1 1-1,0 0 1,1 0 0,-3 1-1,-3 2-199,0 1-1,0 0 1,0 1-1,1-1 1,0 1-1,0 0 1,1 1-1,-6 8 1,4-5 401,0 1 0,1 0 1,0 0-1,1 0 0,0 1 0,1 0 0,1 0 1,-3 13-1,5-20-318,0 0 0,1-1 1,0 1-1,0 0 0,0-1 0,0 1 0,1 0 1,0-1-1,0 1 0,0-1 0,0 1 0,1-1 1,0 0-1,0 1 0,0-1 0,0 0 0,1 0 1,-1-1-1,1 1 0,0 0 0,0-1 0,1 0 1,-1 1-1,1-1 0,3 2 0,5 2 226,-1-1-1,1 0 0,0-1 1,1 0-1,-1-1 1,1-1-1,0 0 0,0-1 1,0 0-1,0-1 0,27 0 1,-5-3-858,0-2-1,0-1 1,47-13 0,-28 3 647,0-3 0,-1-2 1,-1-2-1,-2-2 0,0-3 0,-1-2 0,-2-2 0,-1-2 0,-2-2 1,49-49-1,-77 66 51,0 0 0,17-24 0,-29 36 0,-1 0 0,1 0 0,-1 0 0,0 0 0,-1 0 0,0 0 0,0-1 0,0 1 0,-1-1 0,1 0 0,-2 1 0,1-10 0,-1 14 3,0-1 1,-1 1-1,1-1 0,-1 1 1,0 0-1,0 0 0,0-1 1,0 1-1,0 0 1,0 0-1,0 0 0,-1 0 1,1 0-1,-1 0 0,0 0 1,1 1-1,-1-1 1,0 0-1,0 1 0,0 0 1,0-1-1,0 1 0,-1 0 1,1 0-1,0 0 1,0 0-1,-1 1 0,1-1 1,-4 0-1,-6-1 472,-1 0 0,0 0 0,1 2 0,-17 0 0,19 1 96,0 0 0,0 0 1,0 1-1,0 0 1,0 1-1,1 0 0,-1 1 1,1 0-1,0 0 1,0 1-1,0 0 0,0 0 1,1 1-1,0 1 1,0-1-1,1 1 1,0 0-1,-8 10 0,10-10-569,0 1 0,0-1 0,1 1 0,0 0 0,0 0 0,1 0 0,0 1-1,0-1 1,1 1 0,0 0 0,0 0 0,1-1 0,0 1 0,1 0 0,0 0 0,1 0 0,-1 0-1,2 0 1,-1 0 0,6 16 0,-4-18 301,-1-1 1,1 0-1,0 0 0,1 0 0,-1 0 1,1 0-1,9 9 0,-8-10-453,0 0-1,0-1 0,0 0 1,1 0-1,0 0 0,0 0 1,8 3-1,-8-5-344,1 1 0,0-1 0,0 0 0,-1-1-1,1 0 1,0 0 0,0 0 0,0-1 0,0 0 0,0 0 0,0-1 0,0 0-1,0 0 1,0-1 0,0 1 0,0-2 0,-1 1 0,1-1 0,-1 0 0,0 0-1,1-1 1,-2 1 0,1-1 0,0-1 0,-1 1 0,5-6 0,4-6 384,-2 0 0,0-1 0,-1 0 0,-1-1 0,0-1-1,-1 1 1,-1-1 0,-1-1 0,-1 1 0,-1-1 0,5-36 0,-3-3 147,-2 0 0,-6-108 0,0 161-20,1-14 38,0 1-1,-2-1 0,0 0 0,-2 0 0,0 1 0,-1 0 1,-1 0-1,-8-18 0,13 35 70,1 1 1,-1-1-1,0 1 0,0 0 1,0-1-1,0 1 0,0 0 1,0 0-1,0 0 1,0-1-1,0 1 0,-1 1 1,1-1-1,-3-2 0,3 3-116,0 0 0,1 0 0,-1 0 0,0 0-1,0 0 1,1 0 0,-1 0 0,0 0 0,0 0-1,1 0 1,-1 0 0,0 0 0,1 1 0,-1-1-1,0 0 1,1 1 0,-1-1 0,0 0 0,1 1-1,-1-1 1,0 1 0,0 0 0,-2 2-230,0 1 0,0 0 0,1 0 0,-1 0 0,1 0 0,0 0 0,0 0 0,-2 9 0,-7 27 173,3 1 1,1 0-1,2 1 1,2-1-1,2 1 1,1 0-1,2 0 1,3-1-1,10 49 1,-12-73 49,1-1 0,1 0 0,1 0 0,0 0 0,1-1 0,0 0 0,2 0 0,12 17 0,-17-26 0,1-1 0,0 0 0,0 0 0,0 0 0,1 0 0,-1-1 0,1 0 0,0 0 0,1-1 0,-1 1 0,1-1 0,-1-1 0,1 1 0,0-1 0,0 0 0,0-1 0,0 0 0,0 0 0,0 0 0,0-1 0,14-1 0,-7-2 0,0 0 0,0 0 0,0-1 0,-1-1 0,0 0 0,0-1 0,0-1 0,0 0 0,-1-1 0,0 0 0,-1 0 0,0-1 0,17-19 0,-11 11 0,-1-1 0,-1-1 0,-1-1 0,0 0 0,-1-1 0,-2 0 0,12-28 0,-18 31 1812,-12 38 646,2-1-415,0 0 1,2 0-1,0 0 0,0 38 1,3-51-1903,0-1 1,0 0-1,1 0 1,0 0-1,0 0 0,0 0 1,0 0-1,1 0 0,0 0 1,0-1-1,0 1 1,1-1-1,0 1 0,-1-1 1,1 0-1,1 0 1,-1 0-1,1 0 0,-1-1 1,1 1-1,0-1 0,1 0 1,-1 0-1,6 2 1,-1-1-142,0 0 0,0-1 0,0 0 0,1 0 0,-1-1 0,1-1 0,0 0 0,0 0 0,-1-1 0,1 0 0,0 0 0,0-1 0,-1-1 0,1 1 0,-1-2 0,16-4 0,-13 2 0,0-1 0,-1 0 0,0-1 0,0 0 0,0 0 0,-1-1 0,0 0 0,-1-1 0,0 0 0,0-1 0,13-18 0,-15 17 0,0 0 0,-1 0 0,0-1 0,-1 0 0,0 1 0,-1-2 0,0 1 0,-1 0 0,-1-1 0,0 0 0,1-23 0,-3 27 0,-1-1 0,0 1 0,0-1 0,-1 1 0,0-1 0,-1 1 0,0 0 0,0 0 0,-1 0 0,0 0 0,-1 1 0,0 0 0,0 0 0,-1 0 0,0 0 0,-12-12 0,7 11 0,0 0 0,0 0 0,-1 1 0,0 0 0,0 1 0,-1 0 0,0 1 0,0 0 0,-1 2 0,-14-5 0,23 8 0,1 0 0,-1 0 0,0 0 0,0 1 0,0-1 0,0 1 0,0 0 0,0 1 0,0-1 0,0 1 0,0 0 0,0 0 0,0 1 0,0-1 0,1 1 0,-1 0 0,0 1 0,1-1 0,0 1 0,0 0 0,0 0 0,0 0 0,0 0 0,0 1 0,1-1 0,0 1 0,-1 0 0,1 0 0,1 0 0,-5 9 0,4-9-15,1 1 1,0-1 0,0 0-1,1 1 1,-1 0 0,1-1-1,0 1 1,1 0 0,-1-1-1,1 1 1,-1 0 0,2 0-1,-1 0 1,0 0-1,1-1 1,0 1 0,0 0-1,0-1 1,1 1 0,0-1-1,-1 1 1,2-1 0,-1 0-1,0 1 1,1-1 0,0 0-1,0-1 1,0 1 0,0 0-1,1-1 1,-1 0 0,1 0-1,0 0 1,0 0 0,0-1-1,0 1 1,0-1 0,10 3-1,2 2-517,1-1 0,1-1 0,24 4 0,-13-5 804,1-1 0,0-2-1,33-2 1,89-17 621,-60-1-3367,25-10 1915</inkml:trace>
  <inkml:trace contextRef="#ctx0" brushRef="#br0" timeOffset="325.55">3769 555 8192,'7'-7'11332,"17"-10"-4642,18-9-6690,24-7 0,16-5 0,7-4 0,0 6 0,-8-2 0,-18 1 0,-20 8 0</inkml:trace>
  <inkml:trace contextRef="#ctx0" brushRef="#br0" timeOffset="528.98">4171 26 8192,'10'-16'9352,"15"7"-1893,18 12-7459,15 13 1211,9 15-1211,0 9 0,-11 12 0,-15 15 0,-15 15 0,-11 11 0,-27 11 0,-25 6-2971,-15-16 2971,3-23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39.1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216 832 8192,'-4'1'577,"1"-1"0,-1 1 0,1 0 0,-1 0 0,1 0 1,0 0-1,-1 0 0,1 1 0,0 0 0,0-1 0,-5 5 0,-29 27 2544,36-32-3002,-10 10 855,0 1 1,1 1-1,1-1 0,0 1 0,1 1 1,-8 16-1,6-7-608,1 0-1,1 1 1,-6 34 0,6-12-473,2 1 1,2 0-1,5 79 1,1-94-377,1 0 0,2 0 0,1 0 0,2-1 0,1 1 1,1-2-1,16 32 0,-18-47-76,0-1 0,0 1 0,2-2 0,-1 0 1,2 0-1,22 21 0,-25-27 361,1 0 1,0 0-1,0-1 0,0-1 1,1 0-1,0 0 1,0-1-1,0 0 1,1-1-1,-1 0 0,15 2 1,-14-3-342,0-1 1,0-1-1,0 0 0,-1 0 1,1-1-1,0 0 0,0-1 1,0-1-1,-1 1 0,1-2 1,12-5-1,-10 3 334,0-2 0,0 1-1,-1-2 1,0 1 0,0-2-1,-1 0 1,15-17 0,-5 1 238,-2 0 0,-1-1-1,-1-1 1,-2 0 0,0-2 0,20-60 0,-24 54-33,-1 0 0,-2 0 0,-2-1 0,-1 0 0,-2 0 0,-1 0 0,-2 0 0,-2-1 0,-1 1 0,-2 0 0,-2 1 0,-1-1 0,-22-59 0,6 41 0,23 52 0,-1-1 0,0 1 0,0 0 0,0 0 0,0 0 0,-1 1 0,1-1 0,-1 1 0,1-1 0,-1 1 0,0 0 0,0 0 0,-4-2 0,6 4 25,0-1 1,0 1 0,0 0 0,0 0-1,0 0 1,0 0 0,0 0-1,0 0 1,0 0 0,0 0 0,0 0-1,0 1 1,0-1 0,0 0-1,0 1 1,0-1 0,1 1-1,-1-1 1,0 1 0,0-1 0,0 1-1,0-1 1,1 1 0,-1 0-1,0 0 1,0-1 0,1 1 0,-1 0-1,1 0 1,-1 0 0,1 0-1,-1 0 1,1-1 0,-1 1 0,1 0-1,-1 2 1,-10 42 1499,8-13-1827,2 0 1,0 0 0,2 0 0,2 0-1,6 32 1,5 7-33,27 79 0,-27-106 334,35 74 0,-41-103 0,0-1 0,1 1 0,0-1 0,1-1 0,1 0 0,0 0 0,1-1 0,15 13 0,-25-23 0,1 0 0,0 0 0,0 0 0,-1 0 0,1 0 0,0 0 0,1-1 0,-1 0 0,0 1 0,0-1 0,1 0 0,-1 0 0,0-1 0,1 1 0,-1-1 0,1 0 0,-1 0 0,0 0 0,1 0 0,-1-1 0,1 1 0,-1-1 0,0 0 0,1 0 0,-1 0 0,0 0 0,0 0 0,0-1 0,0 0 0,0 0 0,0 1 0,0-2 0,4-3 0,19-24 0</inkml:trace>
  <inkml:trace contextRef="#ctx0" brushRef="#br0" timeOffset="653.88">512 1425 8192,'11'17'8004,"-11"-17"-7656,1 0 0,0 1 0,1-1 0,26 5 2703,22-9 1402,0-9-3508,48-27-3321,-84 34 2132,83-41 105,45-39-7757,-75 35 5116,-6-4 3626,-41 34 4385,29-39-1,-35 45-2880,-6 22-2396,5 8 47,-7-11-113,-1-1 0,1 0 0,0 0 0,1 0 0,-1 0 0,0-1 0,1 0 0,-1-1 1,1 1-1,0-1 0,8 0 0,6 0-238,1-2 1,25-4-1,20-1-7817,-65 6 7930,0 0 0,0 0 1,0 0-1,0 0 0,0 0 0,0 0 0,-1 0 0,1 1 0,0-1 0,0 1 0,0-1 0,0 1 0,0 0 0,-1 0 1,1 0-1,0 0 0,0 0 0,-1 0 0,1 0 0,-1 1 0,1-1 0,-1 0 0,0 1 0,0-1 0,1 1 0,-1 0 1,0-1-1,0 1 0,0 0 0,-1 0 0,2 2 0,-1 4 213,0 0 1,0 0-1,-1 1 0,0-1 1,-1 0-1,-2 12 0,-1 30 899,4-48-918,0 1 1,1 0 0,-1-1 0,0 1 0,1-1-1,-1 1 1,1-1 0,0 1 0,0-1 0,0 1-1,0-1 1,0 0 0,3 4 0,-1-3 139,0-1-1,0 1 1,1-1 0,-1 0 0,0 0 0,1 0-1,-1 0 1,1-1 0,0 1 0,0-1 0,-1 0 0,1 0-1,0 0 1,0-1 0,8 1 0,-1-1 152,-1 0 1,1-1-1,0 0 1,18-5-1,-17 2-418,0 0 0,0-1 0,-1-1 0,1 0 0,-1-1 0,-1 0 0,1 0 0,-1-1 0,0 0 0,-1-1 0,0 0 0,-1-1 0,1 0 0,-2 0 0,0 0 0,0-1 0,7-15 0,-6 9 190,0-1-1,-1 0 1,-1 0-1,0 0 1,-1-1-1,-2 0 1,0 0-1,0 0 0,-2 0 1,-1 0-1,-1-20 1,-1 28-21,1 1 0,-2-1 0,1 0 0,-7-15 0,7 22 0,1 1 0,0 0 0,-1 0 0,0 0 0,1 0 0,-1 0 0,0 0 0,-1 1 0,1-1 0,0 1 0,-1-1 0,0 1 0,1 0 0,-1 0 0,0 0 0,0 0 0,-6-2 0,8 4 0,-1-1 0,0 1 0,0 0 0,0 0 0,1 0 0,-1 0 0,0 0 0,0 1 0,1-1 0,-1 1 0,0-1 0,1 1 0,-1-1 0,0 1 0,1 0 0,-1 0 0,1 0 0,-1 0 0,1 0 0,-1 0 0,1 0 0,0 0 0,0 1 0,0-1 0,-1 0 0,1 1 0,0-1 0,1 1 0,-1-1 0,0 1 0,-1 3 0,-2 5 0,-1 0 0,2 1 0,-5 19 0,3-7 0,1 1 0,2 0 0,0 0 0,2 1 0,0-1 0,5 30 0,-3-42 0,1 1 0,0-1 0,1 0 0,0 1 0,12 21 0,-13-27 0,1-1 0,0 0 0,1 0 0,-1-1 0,1 1 0,1-1 0,-1 0 0,0 0 0,1 0 0,0-1 0,8 4 0,1-1 0,1-1 0,0-1 0,0-1 0,0 0 0,0-1 0,1-1 0,-1 0 0,1-1 0,-1-1 0,1-1 0,30-5 0,33-7 0</inkml:trace>
  <inkml:trace contextRef="#ctx0" brushRef="#br0" timeOffset="903.81">2608 1001 8192,'19'6'16796,"14"-19"-16796,18-14 1226,14-9-1226,11-6 0,7 4 0,0-2 0,-7-2-3356,-17 7 3356</inkml:trace>
  <inkml:trace contextRef="#ctx0" brushRef="#br0" timeOffset="1088.82">2904 578 8192,'0'7'11332,"3"14"-11332,2 17 6690,10 16-6690,3 14 0,9 14 0,0 6-3356,7-4 3356,-4-12 0,2-20-5484,1-17 8840,-4-16-3356</inkml:trace>
  <inkml:trace contextRef="#ctx0" brushRef="#br0" timeOffset="1647.61">3878 218 8192,'32'6'14789,"0"8"-10192,28 27-6969,-25-16 3380,-5-5-1008,-10-6 0,1 0 0,1-1 0,1-1 0,-1-1 0,33 10 0,-52-20 0,0 0 0,1 0 0,-1-1 0,0 1 0,0-1 0,0 0 0,1 0 0,-1 0 0,0 0 0,0-1 0,0 1 0,0-1 0,1 0 0,-1 0 0,0 0 0,0 0 0,-1-1 0,1 1 0,0-1 0,3-2 0,-2 1 0,-1-1 0,1 0 0,-1 0 0,0 0 0,0 0 0,0-1 0,-1 1 0,1-1 0,-1 0 0,0 0 0,2-7 0,1-12 0,0-1 0,-2 0 0,-1 0 0,-1-28 0,0 43 0,-5-162 0,4 167-1025,-1 8 222,0 17-300,-1 34-236,1 91-2980,-2 244-4384,7-134 7973,-3-250 730,-1 14 0,1 0 0,0 1 0,2-1 0,7 28 0,0-27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48.3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281 309 8192,'1'-66'7246,"1"-20"133,-3 66-6314,0 0 0,-5-23 0,5 40-1061,1-1 0,-1 1 0,0-1 0,0 1 0,0 0 0,0-1 0,-1 1 0,1 0 0,-1 0 0,0 0 0,0 0 0,0 0 0,0 0 0,-1 1 0,1-1 0,-1 1 0,1 0 0,-1-1 0,0 1 1,0 0-1,0 1 0,0-1 0,0 0 0,0 1 0,-1 0 0,1 0 0,0 0 0,-1 0 0,1 0 0,-1 1 0,1-1 0,-1 1 0,1 0 0,-1 0 0,1 0 0,-1 1 0,1-1 0,-1 1 0,1 0 0,0 0 0,-1 0 0,1 0 0,0 1 0,0-1 0,0 1 0,0 0 0,0 0 1,0 0-1,-4 4 0,-4 4-185,1 1 0,1 0 0,0 1 1,0 0-1,1 0 0,1 1 0,0 0 0,0 0 1,1 1-1,1 0 0,1 0 0,-4 16 1,-3 22-2822,-8 106 1,10 221-5678,26-217 7891,-14-142 760,1 1 1,0-1-1,2 0 1,0 0-1,2-1 1,0 1-1,19 30 1,-23-44 28,0 0-1,0 0 1,1-1 0,0 1-1,0-1 1,0 0 0,1-1 0,0 1-1,0-1 1,0 0 0,0-1-1,0 1 1,1-1 0,0 0-1,-1-1 1,1 0 0,0 0-1,0 0 1,0-1 0,1 0-1,-1-1 1,0 1 0,0-1-1,0-1 1,12-1 0,-11 0-1,0 0 0,-1-1 0,0 1 0,1-2 0,-1 1 0,0-1 0,-1 0 0,1 0 0,-1-1 0,1 0 0,-2 0 0,1 0 0,0-1 0,-1 0 0,0 0 0,0 0 0,-1-1 0,7-12 0,0-3 0,-1 0 0,0-1 0,-2 0 0,10-41 0,1-75 2476,-19 149-2557,0-1 0,1 1 0,0-1 0,1 1 0,0-1 0,0 0 1,1 1-1,0-1 0,1-1 0,0 1 0,0 0 0,1-1 1,0 0-1,0 0 0,1 0 0,0-1 0,12 11 0,-12-12 272,1-1 0,-1 0 0,1 0 0,0 0 0,1-1 0,-1 0 0,1-1 0,-1 0 0,11 3 0,-11-4 365,-1-1 1,1 0-1,0 0 1,0-1 0,-1 0-1,1 0 1,0 0-1,0-1 1,0 0-1,-1 0 1,1-1-1,7-2 1,-7 1 57,0 0 0,0-1-1,0 0 1,-1 0 0,0 0 0,0 0 0,0-1-1,0 0 1,-1-1 0,7-7 0,-5 3-364,1 0 0,-2-1 0,1 0 0,-1 0 0,6-20 0,-3 5-329,-2-2 0,-1 1 0,-1-1 0,3-48 0,-8 72 79,0 4 0,0 13 0,0 0 0,1 0 0,3 21 0,-1-28 0,-1 0 0,1-1 0,1 1 0,-1-1 0,1 0 0,0 0 0,0 0 0,0 0 0,1 0 0,0-1 0,0 0 0,0 0 0,0-1 0,0 1 0,1-1 0,0 0 0,0 0 0,0-1 0,0 0 0,0 0 0,0 0 0,0-1 0,0 0 0,1 0 0,6 0 0,-2-1 0,-1 1 0,1-2 0,0 1 0,-1-1 0,1-1 0,-1 0 0,1-1 0,-1 0 0,0 0 0,0-1 0,0 0 0,0-1 0,-1 0 0,12-9 0,-10 5-232,0 0 0,-1-1 1,0 0-1,-1-1 0,-1 0 1,12-19-1,-12 15-763,0-2 1,0 1-1,-2-1 0,0-1 1,-1 1-1,-1-1 0,4-31 1,-6 21-501,-1 0 0,-1-1 0,-2 1-1,-6-38 1,2 33 1112,-16-46 1,19 70 292,-12-31-24,15 38 114,-1 0 0,0 0 0,0 0 0,-1 0 1,1 0-1,0 0 0,-1 0 0,1 0 0,-1 1 0,1-1 0,-1 1 0,0-1 1,-3-1-1,5 3 0,-1 0 0,0 0 0,1 0 0,-1 0 0,0 0 0,1 0 0,-1 0 0,0 0 0,1 0 0,-1 1 0,1-1 0,-1 0 0,0 0 0,1 1 0,-1-1 0,1 0 0,-1 1 0,1-1 0,-1 0 0,1 1 0,-1-1 0,1 1 0,-1-1 0,1 1 0,-1-1 0,1 1 0,0 0 0,-1-1 0,1 1 0,0-1 0,0 1 0,-1 0 0,1-1 0,0 1 0,0 0 0,0-1 0,0 1 0,0 1 0,-6 29 0,5-3 0,1 1 0,2-1 0,0 0 0,2 1 0,13 47 0,-10-52 0,1-1 0,0 0 0,2 0 0,1-1 0,0-1 0,2 0 0,15 21 0,-22-35 0,1 0 0,-1 0 0,1-1 0,1 0 0,-1 0 0,1-1 0,0 0 0,0 0 0,10 4 0,-14-8 0,-1 1 0,0-1 0,1 0 0,-1 0 0,1 0 0,-1 0 0,1-1 0,0 1 0,-1-1 0,1 0 0,-1 0 0,1-1 0,0 1 0,-1-1 0,1 1 0,-1-1 0,1 0 0,-1 0 0,0-1 0,1 1 0,-1-1 0,0 0 0,0 1 0,0-1 0,5-5 0,8-14 0</inkml:trace>
  <inkml:trace contextRef="#ctx0" brushRef="#br0" timeOffset="124.66">1255 627 8192,'15'-3'8839,"10"-13"-8839,9-14 7957,21-20-7957,19-12-3356,11-3 3356,2 3-5484,-10 11 5484,-19 15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50.0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3391 8192,'-2'-36'13917,"-7"5"-9650,7 28-4274,1 1 0,-1 0 0,1-1 0,-1 1 0,0 0-1,0 0 1,0 0 0,0 1 0,0-1 0,0 0 0,-1 1 0,1-1 0,-1 1 0,1 0 0,-1 0 0,1 0 0,-1 0 0,0 0 0,1 1 0,-1-1 0,0 1 0,-5-1 0,3 1 9,1 0 0,-1 0 0,0 1 0,0 0 0,0 0 0,0 0 0,1 0 0,-1 1 0,1-1 0,-1 1 0,1 0 1,-1 1-1,1-1 0,0 1 0,0 0 0,0 0 0,1 0 0,-1 0 0,1 1 0,-5 5 0,-3 6-122,1-1-1,0 2 0,1-1 1,-10 23-1,0 7-1182,1 0 0,3 1 0,2 0 0,1 1 0,-4 52 0,11-61 69,3 0 1,1 0-1,2 0 0,1 0 1,2 0-1,18 72 1,-18-95 1121,1 0 1,1-1 0,0 0 0,0 0 0,2 0-1,-1-1 1,2 0 0,15 19 0,-17-25 110,0 0 1,0 0-1,1-1 1,0 0-1,0 0 1,1-1-1,0 0 0,-1 0 1,2-1-1,-1-1 1,0 1-1,1-1 1,-1-1-1,11 2 1,-6-2 73,-1-1 1,1 0 0,-1-1 0,1-1-1,-1 0 1,1 0 0,-1-1 0,0-1-1,0-1 1,0 0 0,19-8 0,-16 4-319,-1-1 0,0 0 1,-1-1-1,0 0 0,0-2 1,-1 1-1,-1-2 0,13-14 1,-7 3 884,0 0 1,-2-2-1,-1 1 1,-1-2-1,15-39 1,-17 33 5605,16-69 0,-23 83-4408,-6 46-2994,-1 4 2982,3-20-1787,1 0-1,0 0 1,0 0-1,1-1 1,0 1-1,1-1 1,0 0-1,1 0 1,0 0-1,0 0 1,1-1-1,0 0 1,8 9-1,-10-14-39,-1 0-1,1 0 1,-1-1-1,1 1 1,0-1-1,1 0 1,-1 0-1,0 0 1,1-1 0,0 1-1,-1-1 1,1 0-1,0-1 1,0 1-1,0-1 1,0 0-1,1 0 1,-1 0 0,0-1-1,0 0 1,1 0-1,-1 0 1,0-1-1,0 1 1,0-1-1,0-1 1,0 1-1,0-1 1,7-3 0,-3 0-131,-1 0 1,1 0 0,-2-1-1,1-1 1,-1 1 0,0-1-1,0 0 1,0-1 0,-1 0 0,-1 0-1,1 0 1,-1 0 0,-1-1-1,1 0 1,-1 0 0,-1 0-1,0-1 1,0 1 0,1-11-1,-2 8-670,0 1-1,-1-1 0,0 0 1,0 1-1,-2-1 0,1 0 0,-2 0 1,1 1-1,-2-1 0,1 1 0,-2-1 1,1 1-1,-1 0 0,-1 0 1,-10-16-1,5 13 357,0 0-1,-2 1 1,1 0 0,-17-13-1,21 20 418,0 0 0,0 1 0,0 0 0,-1 1 0,0-1 0,1 2-1,-2-1 1,1 1 0,0 0 0,-11-2 0,16 5 29,0-1 0,0 1 0,0 0 0,0 0 0,0 0 0,0 0 0,0 1 0,0 0 0,1-1 0,-1 1 0,0 0 0,0 0 0,0 0 0,1 1 0,-1-1 0,1 1 0,-5 3 0,2-2 0,2 1 0,-1 0 0,0 1 0,1-1 0,-1 1 0,1-1 0,1 1 0,-1 0 0,-2 6 0,1 1 0,0 1 0,0 0 0,1 0 0,0 0 0,2 0 0,-1 1 0,1 16 0,1-24 0,1-1 0,-1 0 0,1 0 0,0 0 0,0 1 0,0-1 0,1 0 0,0 0 0,0 0 0,0-1 0,1 1 0,-1 0 0,1-1 0,0 0 0,0 0 0,1 0 0,-1 0 0,1 0 0,0 0 0,0-1 0,0 0 0,0 0 0,1 0 0,0 0 0,-1-1 0,1 0 0,0 0 0,0 0 0,0 0 0,0-1 0,10 2 0,-2-2 0,0 0 0,-1 0 0,1-2 0,-1 1 0,1-2 0,0 1 0,-1-2 0,0 0 0,0 0 0,0-1 0,0 0 0,16-10 0,-13 6 0,-1-2 0,0 0 0,-1 0 0,0-1 0,-1-1 0,0 0 0,-1-1 0,0 0 0,-1-1 0,-1 0 0,0 0 0,-1-1 0,0 0 0,-1-1 0,9-31 0,-9 22 0,-1 1 0,-2-1 0,0 0 0,-2-1 0,-1 1 0,0 0 0,-2-1 0,-1 1 0,-2 0 0,-5-25 0,-3 12 0,12 37 0,-1-1 0,0 1 0,1-1 0,-1 1 0,0-1 0,0 1 0,0-1 0,0 1 0,0 0 0,0 0 0,0-1 0,0 1 0,-1 0 0,1 0 0,0 0 0,-1 0 0,1 0 0,-3-1 0,3 2 0,0 1 0,0-1 0,0 0 0,0 0 0,1 0 0,-1 1 0,0-1 0,0 0 0,0 1 0,1-1 0,-1 0 0,0 1 0,0-1 0,1 1 0,-1 0 0,0-1 0,1 1 0,-1-1 0,1 1 0,-1 0 0,1 0 0,-1-1 0,1 1 0,-1 0 0,1 0 0,0-1 0,-1 1 0,1 0 0,0 0 0,0 1 0,-9 32 0,9-30 0,-7 42 0,3 1 0,2 0 0,4 62 0,26 145 0,-15-149 0,136 865 0,-136-906 0,-8-48 10,-2-14-35,0-26 599,-16-397-352,-3 140-1269,16 201 1180,13-117 0,-9 164-133,2 0 0,1 0 0,2 0 0,22-53 0,-27 76 0,0 1 0,1-1 0,0 0 0,1 1 0,0 0 0,1 1 0,0-1 0,0 1 0,1 1 0,-1-1 0,2 1 0,-1 1 0,1-1 0,0 1 0,0 1 0,1 0 0,0 0 0,14-4 0,-20 7 0,0 1 0,0 0 0,0 0 0,0 0 0,0 1 0,0-1 0,0 1 0,1 0 0,-1 1 0,0-1 0,0 0 0,0 1 0,0 0 0,0 0 0,0 0 0,0 1 0,-1-1 0,1 1 0,0 0 0,-1 0 0,1 0 0,-1 1 0,0-1 0,0 1 0,0-1 0,0 1 0,0 0 0,0 1 0,-1-1 0,1 0 0,-1 1 0,0-1 0,3 7 0,-2-1 0,0 0 0,-1 0 0,1 0 0,-2 1 0,1-1 0,-1 0 0,-1 1 0,0-1 0,0 1 0,-1-1 0,0 0 0,0 1 0,-6 16 0,0-6 0,-1 0 0,0-1 0,-2 0 0,0-1 0,-2 0 0,-16 20 0,19-26 0,0-2 0,-1 1 0,0-2 0,0 1 0,-1-1 0,-1-1 0,1 0 0,-1-1 0,-1 0 0,-16 7 0,25-12 147,0-1 0,0 0 0,0 0 1,-1 0-1,1-1 0,0 0 0,0 1 0,-1-1 0,1-1 1,0 1-1,0-1 0,0 1 0,-1-1 0,1 0 1,0-1-1,0 1 0,0-1 0,-3-2 0,-21-16 413</inkml:trace>
  <inkml:trace contextRef="#ctx0" brushRef="#br0" timeOffset="564.39">1657 3539 8192,'27'-16'5800,"-24"15"-5183,-1 1 0,0-1 0,0 0 0,1 1 0,-1-1 0,0 1 0,1 0 0,-1-1 0,0 1 0,1 0 0,-1 1 0,0-1 0,1 0 0,-1 1 0,4 0 0,-5 0-418,1 0 1,-1 0-1,1 0 1,-1 0-1,1 1 0,-1-1 1,0 0-1,1 0 0,-1 1 1,0-1-1,0 1 1,0-1-1,0 1 0,-1-1 1,1 1-1,1 2 0,0 7-505,1 0 0,-1 1 1,-1-1-1,0 0 0,-1 18 0,2 17 1102,-1-42-796,0-1 0,0 0 0,0 1 0,0-1 0,0 0 0,1 0 0,0 0 0,-1 0 0,1 0 0,0 0 0,1-1 0,-1 1 0,0-1 0,1 1 0,-1-1 0,1 0 0,0 0 0,0 0 0,0 0 0,0 0 0,0-1 0,0 0 0,0 1 0,0-1 0,1 0 0,-1-1 0,0 1 0,1 0 0,-1-1 0,1 0 0,3 0 0,0 0 0,1 0 0,0 0 0,0-1 0,0-1 0,0 1 0,-1-1 0,1-1 0,-1 1 0,1-1 0,-1 0 0,0-1 0,12-8 0,-7 3 0,-1-2 0,0 1 0,-1-2 0,0 1 0,-1-1 0,0-1 0,-1 1 0,0-2 0,7-18 0,-2 1 0,-1-1 0,-2 0 0,6-36 0,-16 80 5,0-1 1,0 0 0,1 1-1,4 16 1,14 72-355,-16-87 174,39 182-2809,39 205-3581,-37-39 53,-40-303 6219,-3 0 0,-3 0 0,-2 0 0,-15 72 0,13-104 293,0-1 0,-2 0 0,-1 0 0,-13 24 0,17-39 0,-1 1 0,0-1 0,-1 0 0,0-1 0,-1 1 0,0-1 0,0-1 0,-1 0 0,0 0 0,-18 12 0,23-18 0,1 0 0,-1 0 0,1 0 0,-1-1 0,1 0 0,-1 1 0,0-1 0,0 0 0,1 0 0,-1-1 0,0 1 0,0-1 0,0 0 0,0 0 0,0 0 0,0-1 0,0 1 0,1-1 0,-1 0 0,0 0 0,0-1 0,1 1 0,-1-1 0,1 1 0,-1-1 0,1 0 0,0 0 0,-1-1 0,1 1 0,0-1 0,1 1 0,-1-1 0,0 0 0,1 0 0,0 0 0,-3-5 0,-4-6 0,0-1 0,2 0 0,-1-1 0,2 0 0,0 0 0,1 0 0,-4-25 0,2-6 0,1 0 0,3-1 0,2 0 0,2 0 0,2 1 0,2-1 0,3 1 0,13-49 0,-6 41 0,3 0 0,2 1 0,2 2 0,3 0 0,1 1 0,48-66 0,-54 88 297,2 0 0,0 2 0,2 1 0,1 1 0,1 1 0,1 1 0,1 2 0,1 0 1,58-29-1,-14 21-297</inkml:trace>
  <inkml:trace contextRef="#ctx0" brushRef="#br0" timeOffset="1247.54">620 5635 8192,'0'6'18022,"3"27"-18022,2 23 0,6 28 0,3 39 0,8 28-2971,2 20 2971,-5 3-5849,3-11 5849,-3-25-7957,-4-29 7957,-5-37-1245,-5-37 1245,-2-26 0</inkml:trace>
  <inkml:trace contextRef="#ctx0" brushRef="#br0" timeOffset="1497.48">429 6228 8192,'-9'-14'1054,"2"0"0,0-1 0,0 1 1,1-2-1,1 1 0,-3-19 0,3 10-604,-2-40 1,6 39-962,2 0 0,2 0 1,0 0-1,1 0 0,1 1 1,2-1-1,0 1 0,2 0 1,0 1-1,2 0 0,0 1 1,2 0-1,24-33 0,-12 22 370,1 2 0,2 0-1,1 2 1,1 1 0,2 2-1,0 1 1,58-34 0,-59 42 141,0 1 0,57-21 0,-75 33 0,-1 1 0,1 0 0,0 0 0,0 1 0,0 1 0,0 0 0,0 0 0,0 2 0,0 0 0,18 3 0,-24-2 0,-1 0 0,1 1 0,-1-1 0,1 2 0,-1-1 0,0 1 0,0 0 0,0 0 0,-1 0 0,1 1 0,-1 0 0,0 0 0,-1 0 0,1 1 0,-1 0 0,0-1 0,0 1 0,-1 1 0,0-1 0,0 1 0,0-1 0,-1 1 0,3 12 0,0 5 0,-1 0 0,-1 0 0,-1 1 0,-1 0 0,-3 40 0,-5-4 0,-3 0 0,-2-1 0,-29 85 0,-79 173 0,81-223 0,-1 6 0</inkml:trace>
  <inkml:trace contextRef="#ctx0" brushRef="#br0" timeOffset="2322.25">1551 6566 8192,'5'-10'1022,"1"0"0,-1-1 1,-1 0-1,0 0 1,0 0-1,-1 0 0,-1 0 1,3-19-1,-2-12 2865,-2-41 0,-1 81-3862,-1-15 98,0 0 0,-1 1-1,0-1 1,-2 0 0,0 1 0,-1-1 0,0 1 0,-13-25-1,15 35-125,0 0 0,-1 0-1,1 0 1,-1 1 0,-1-1-1,1 1 1,-1 0 0,0 1-1,0-1 1,0 1 0,-1 0-1,1 0 1,-1 0-1,0 1 1,0 0 0,0 0-1,-1 0 1,1 1 0,-1 0-1,1 1 1,-1-1 0,0 1-1,1 0 1,-10 1 0,10 0 6,0 1 1,1 0-1,-1 0 1,0 0-1,1 1 1,-1 0-1,1 0 1,-1 0-1,1 1 1,0 0-1,0 0 1,0 0-1,1 0 1,-1 1-1,1 0 1,0 0-1,0 0 1,0 1-1,0-1 1,1 1-1,0 0 1,-5 9-1,-1 4-635,1 0 0,1 1 1,0 0-1,1 0 0,-3 27 0,3-16-765,2 0 0,1 0 0,1 0 0,4 48 1,-1-67 977,0 0 0,1 0 0,0-1 0,1 1 0,0-1 0,0 0 0,1 1 0,1-2 0,0 1 0,0 0 0,0-1 0,1 0 0,1-1 0,0 1 0,0-1 0,11 10 0,-15-16 400,0 1-1,0-1 1,1 1 0,-1-1-1,1 0 1,0 0 0,0-1-1,0 1 1,0-1 0,0 0-1,0 0 1,0 0 0,0-1-1,0 1 1,0-1 0,0 0-1,7-1 1,-5 0 47,-2 0 0,1-1 0,0 0-1,0 0 1,0 0 0,-1 0 0,1-1 0,-1 0 0,0 0 0,0 0 0,0 0 0,5-6 0,1-3 386,0 0 0,-1 0 0,-1-1 0,0 0 0,-1-1 0,0 1 0,-1-1 0,6-24 0,-5 13 3739,-2-1-1,4-36 0,-8 16-2532,-1 52-1620,0 0 0,0 0 0,1 0 0,0 0 0,0 0 0,1 0 0,-1 0 0,1 0 0,1-1 0,-1 1 0,1-1 0,0 0 0,0 1 0,7 7 0,-6-8 0,1 0 0,-1-1 0,1 0 0,0 0 0,1 0 0,-1 0 0,1-1 0,-1 0 0,1 0 0,0-1 0,0 1 0,0-1 0,0-1 0,1 1 0,7 0 0,-9-2 0,0 1 0,-1-2 0,1 1 0,0 0 0,0-1 0,0 0 0,0 0 0,-1-1 0,1 1 0,0-1 0,-1 0 0,0 0 0,1-1 0,-1 1 0,0-1 0,0 0 0,0 0 0,0 0 0,-1 0 0,6-7 0,3-6-216,0-1 0,-1 1 0,-1-2 0,0 0 0,8-23 0,27-97-362,4-8 1636,-36 126-401,-13 20-651,1 0 0,-1 0 0,0 0 0,1 0 0,-1 0 0,0 0 0,1 0 0,-1 0 0,0 0 0,0 0 0,1 0-1,-1 0 1,0 0 0,1 0 0,-1 0 0,0 1 0,0-1 0,1 0 0,-1 0 0,0 0 0,0 0 0,1 1 0,-1-1 0,0 0 0,0 0 0,0 0 0,1 1 0,-1-1 0,0 0 0,0 0 0,0 1 0,0-1 0,1 0 0,-1 0 0,0 1 0,0-1-1,0 1 1,10 45-126,-6-23 173,2-8-53,1 0 0,0-1 0,1-1 0,1 1 0,0-1 0,1 0 0,12 12 0,25 34 0,-45-56 1,-1 0 1,1 0-1,-1 0 1,0 0-1,0 0 1,0 0 0,0 0-1,0 0 1,-1 0-1,1 0 1,-1 1-1,0-1 1,0 0-1,0 0 1,0 0 0,-1 1-1,1-1 1,-1 0-1,0 0 1,0 0-1,0 0 1,0 0-1,-1 0 1,1 0 0,-1 0-1,0-1 1,0 1-1,-2 2 1,-4 5-89,0-1 1,-1 0 0,0-1-1,0 0 1,-1 0 0,-11 6-1,-9 4-2307,-50 24 0,70-37 986,-1 0 0,1-2-1,-1 1 1,0-1 0,0-1 0,-1 0-1,1 0 1,-23-1 0,5-7 1408</inkml:trace>
  <inkml:trace contextRef="#ctx0" brushRef="#br0" timeOffset="2601.27">2313 5825 8192,'0'-10'3356,"0"-16"-3356,0-9 5996,0 5 2674,0 17-8670,0 27 0,7 24 0,2 24 0,0 20 0,-2 9-2971,6 5 2971,0-7-5849,5-12 5849,0-26 8820,-4-22-8820</inkml:trace>
  <inkml:trace contextRef="#ctx0" brushRef="#br0" timeOffset="2915.79">2228 6185 8192,'-2'11'17353,"27"-10"-16684,2-7-669,0 0 0,0-2 0,-1-1 0,39-19 0,93-60 0,-125 67 0,-1-1 0,41-38 0,-64 52 0,0-1 0,0 0 0,-1-1 0,0 0 0,-1 0 0,0 0 0,-1-1 0,0 0 0,-1-1 0,0 1 0,6-21 0,-11 29-73,1-1 1,0 0 0,-1 0 0,0 0-1,0 1 1,0-1 0,0 0 0,-1 0-1,1 0 1,-1 1 0,0-1 0,0 0 0,-1 1-1,1-1 1,-1 1 0,1-1 0,-1 1-1,-3-4 1,3 5-113,1 1 0,0 0 0,-1-1 0,0 1 1,1 0-1,-1 0 0,0 0 0,0 0 0,1 0 0,-1 0 0,0 0 0,0 1 0,0-1 0,0 1 0,0 0 0,0-1 0,0 1 0,0 0 1,0 0-1,0 0 0,0 0 0,0 1 0,0-1 0,0 0 0,0 1 0,0 0 0,0-1 0,0 1 0,0 0 0,1 0 0,-1 0 1,0 0-1,0 0 0,-1 2 0,-5 3-631,1 0 1,0 0 0,1 1-1,-1 0 1,1 0 0,1 0-1,-1 1 1,-7 15 0,-9 25-704,8-1 3920,13-43-2167,0 1-1,0 0 1,0-1 0,1 1-1,-1 0 1,1 0-1,1-1 1,-1 1 0,1 0-1,0-1 1,0 1 0,0 0-1,0-1 1,1 1 0,0-1-1,0 1 1,0-1 0,0 0-1,1 0 1,0 0-1,-1 0 1,2-1 0,-1 1-1,0-1 1,5 4 0,-4-4-487,0-1 0,1 1 0,-1-1 1,1 0-1,-1 0 0,1 0 0,0-1 1,0 1-1,8 0 0,2-1-257,1-1 0,0 0 1,0-1-1,-1-1 0,1 0 0,-1-1 0,1-1 0,-1 0 0,21-10 0,5-4-145,-1-1 0,40-27 0,-7-5 451,-17 5 204</inkml:trace>
  <inkml:trace contextRef="#ctx0" brushRef="#br0" timeOffset="3929.9">2017 1634 8192,'-2'14'18022,"22"-10"-18022,26-2 0,34-11 0,30-4 0,12-12 0,9 0 0,-12 3 0,-18-1 0,-27 3 0</inkml:trace>
  <inkml:trace contextRef="#ctx0" brushRef="#br0" timeOffset="4132.82">2715 1275 8192,'3'-17'8819,"13"8"-8819,13 2 7350,18 9-7350,10 11 1853,0 15-1853,-3 13 0,-11 10 0,-12 15 0,-12 14 0,-16 15 0,-23 13 0,-15 2 0,-2-6 0,2-21 0,7-25 0</inkml:trace>
  <inkml:trace contextRef="#ctx0" brushRef="#br0" timeOffset="4945.87">4409 767 8192,'2'-24'8775,"3"0"-3679,-3 16-4306,0 0 0,-1 0-1,0 0 1,0-12 0,-2 13-776,1 0 1,-1 1 0,-1-1-1,0 1 1,0-1 0,0 1-1,0 0 1,-1-1 0,0 1-1,0 1 1,-1-1-1,0 0 1,0 1 0,-6-7-1,8 10-14,-1 0-1,0-1 1,1 1-1,-1 0 0,0 0 1,0 1-1,0-1 1,0 1-1,-1-1 0,1 1 1,0 0-1,-1 0 1,1 0-1,-1 1 0,1-1 1,0 1-1,-1 0 1,1 0-1,-1 0 0,1 0 1,-1 1-1,1-1 1,-1 1-1,1 0 1,0 0-1,-1 0 0,1 1 1,0-1-1,-4 3 1,0 1-11,0 0 0,0 1 0,0-1 0,1 1 0,0 1 1,0-1-1,1 1 0,0 0 0,0 1 0,0-1 0,1 1 0,0 0 1,0 0-1,1 0 0,-3 12 0,-3 12-863,2 0-1,-6 60 1,9-44-315,2 0 1,3 1-1,1-1 0,12 63 0,-7-74-518,1-1 0,3 0 1,20 49-1,-25-72 1516,1 1 1,0-1 0,1-1-1,0 1 1,1-1 0,0-1 0,1 0-1,0 0 1,1-1 0,0 0-1,23 14 1,-26-19 182,0 0 0,0-1 0,0-1 0,1 1 0,0-1-1,-1-1 1,1 0 0,0 0 0,0-1 0,1 0 0,-1 0 0,0-1 0,0 0 0,0-1-1,0 0 1,0 0 0,0-1 0,0 0 0,0-1 0,9-3 0,-5 0 8,0 0 0,-1 0 0,0-2 0,0 1 0,-1-1 0,0-1 0,0 0 0,-1-1 0,0 0 0,16-22 0,-14 14 0,-1 0 0,-1-1 0,0 0 0,-1-1 0,-2 0 0,9-31 0,-5-5 0,-2 0 0,-3 0 0,-2 0 0,-5-87 0,0 105 0,-11-64 0,8 88 0,0 15 0,0 22 0,2 18-41,2 0 0,2-1 0,1 1 0,2 0 0,21 74 0,-16-81 422,1-2-1,1 0 0,2 0 0,1-1 1,2-1-1,1-1 0,31 40 0,-20-37 180</inkml:trace>
  <inkml:trace contextRef="#ctx0" brushRef="#br0" timeOffset="5618.72">4599 1380 8192,'20'-5'15774,"-6"-1"-13389,5-6-3034,1 1 1161,242-138-2702,-95 37-3465,-144 95 3908,-1-1 1,26-27 0,-42 39 1382,-1 0 0,0 0 0,0-1 0,0 1 0,-1-1 0,0 0 1,0 0-1,-1-1 0,0 1 0,0-1 0,-1 0 0,2-11 0,-3 17 357,-1 0-1,0 0 1,0 0-1,1 0 1,-1 0-1,-1 0 1,1 0-1,0 0 1,0 0-1,-1 0 1,1 0-1,-1 0 0,0 0 1,1 0-1,-1 1 1,0-1-1,0 0 1,0 0-1,0 1 1,-1-1-1,1 1 1,0-1-1,-1 1 1,1-1-1,-1 1 1,1 0-1,-1 0 1,0 0-1,-1-1 1,0 1 7,0 0 1,1 1 0,-1-1 0,0 1 0,0 0 0,0-1 0,1 1 0,-1 1 0,0-1 0,0 0 0,1 1-1,-1-1 1,0 1 0,0 0 0,1 0 0,-1 0 0,1 0 0,-1 0 0,-4 4 0,-1 1-6,-1 0 1,1 1-1,1 0 1,-1 0-1,1 1 1,1 0 0,-1 0-1,1 0 1,1 1-1,-7 14 1,10-20 23,0 1 1,1-1 0,-1 1-1,1 0 1,0-1-1,0 1 1,1 0 0,-1 0-1,1-1 1,-1 1 0,1 0-1,1 0 1,-1 0-1,0-1 1,1 1 0,0 0-1,0 0 1,0-1 0,0 1-1,1 0 1,-1-1-1,1 0 1,0 1 0,0-1-1,0 0 1,0 0 0,1 0-1,-1 0 1,1 0-1,5 4 1,1-1 594,1-1 0,0 0 0,-1 0 1,1-1-1,1 0 0,-1 0 0,1-2 0,-1 1 0,1-1 0,0-1 0,19 1 0,-12-1 684,-1-2 0,1 0 0,-1-1-1,1 0 1,-1-2 0,27-8 0,15-15-289,-58 27-1009,-1 0 0,1-1 0,0 1 0,-1 0 0,1 0 0,-1 0 0,1-1 0,-1 1 0,1 0 0,-1 0 0,1 0 0,0 0 0,-1 0 0,1 0 0,-1 0 0,1 0 0,-1 0 0,1 1 0,0-1 0,-1 0 0,1 0 0,-1 0 0,1 1 0,-1-1 0,1 0 0,-1 1 0,1-1 0,-1 0 0,1 1 0,-1-1 0,0 0 0,1 1 0,-1-1 0,0 1 0,1-1 0,-1 1 0,0-1 0,1 1 0,-1 0 0,7 28 0,-4-10 0,-1-16 0,-1 0 0,1 0 0,-1 0 0,1-1 0,0 1 0,0 0 0,0-1 0,0 1 0,0-1 0,1 0 0,-1 0 0,1 0 0,0 0 0,-1 0 0,1 0 0,0-1 0,0 1 0,0-1 0,0 0 0,0 0 0,0 0 0,1 0 0,5 0 0,-5-1 0,1 0 0,0 0 0,0 0 0,-1 0 0,1-1 0,0 0 0,-1 0 0,1 0 0,-1 0 0,1-1 0,-1 0 0,0 0 0,0 0 0,1 0 0,-1-1 0,4-3 0,2-4-259,0 0 1,-1 0 0,-1-1-1,1 0 1,-2-1 0,0 0-1,0 0 1,-1 0 0,-1-1-1,0 0 1,0 0 0,-1 0-1,2-18 1,2-21-1896,-2 0 0,-1-60 0,-5 105 2067,-3-139-5692,-4 77 4843,-17-79-1,23 143 908,-20-74-149,19 74 178,1 0 0,-1 1 1,-1-1-1,1 0 0,0 1 0,-1 0 0,0 0 1,0-1-1,0 2 0,-1-1 0,1 0 1,-6-4-1,8 8 0,0-1 0,0 0 0,0 1 0,0 0 0,-1-1 0,1 1 0,0-1 0,0 1 0,0 0 0,0 0 0,-1 0 0,1 0 0,0-1 0,0 2 0,0-1 0,0 0 0,-1 0 0,1 0 0,0 0 0,0 1 0,0-1 0,0 1 0,0-1 0,-1 1 0,1-1 0,0 1 0,0 0 0,0-1 0,1 1 0,-1 0 0,0 0 0,0-1 0,0 1 0,0 0 0,1 0 0,-1 0 0,0 2 0,-3 3 0,0 0 0,1 1 0,0 0 0,0 0 0,-2 7 0,-2 14 0,1 0 0,1 0 0,2 0 0,0 1 0,2-1 0,1 0 0,2 1 0,8 48 0,-2-38 0,1 0 0,2-1 0,1 0 0,2-1 0,36 65 0,-38-81 0,2 0 0,0-1 0,1 0 0,2-2 0,0 1 0,0-2 0,2-1 0,0 0 0,1-1 0,37 21 0,-39-27 0,0 0 0,1-1 0,0-1 0,1-1 0,0-1 0,0-1 0,0 0 0,0-1 0,0-2 0,1 0 0,-1-1 0,1-1 0,25-4 0,21-10 0</inkml:trace>
  <inkml:trace contextRef="#ctx0" brushRef="#br0" timeOffset="5898.92">6377 957 8192,'7'0'18022,"13"0"-18022,11-3 0,10-2 0,10-10 0,6-4 0,-2-8 0,-4 0 0,-11-6 0,-11-5 0,-12 5 0</inkml:trace>
  <inkml:trace contextRef="#ctx0" brushRef="#br0" timeOffset="6131.45">6419 343 8192,'-1'4'11332,"1"12"-11332,4 17 6690,1 22-6690,7 22 0,1 17 0,14 13-3356,1 0 3356,7-8-5484,1-13 5484,9-14-7956,4-20 6730,1-29 1226,-8-18 0</inkml:trace>
  <inkml:trace contextRef="#ctx0" brushRef="#br0" timeOffset="6568.95">7795 5 8192,'-1'-5'18022,"2"16"-18022,-1 19 0,-4 18 0,-1 19 0,-14 24 0,-4 14 0,-5 3-2971,2-5 2971,6-13-5849,6-30-3353,5-24 9202</inkml:trace>
  <inkml:trace contextRef="#ctx0" brushRef="#br0" timeOffset="6786.2">7245 68 8192,'10'4'18022,"22"12"-18022,28 13 0,24 21 0,20 19 0,6 20-3356,3 16 3356,-7 1-5996,-11-10 5996,-10-21-7460,-17-17 7460,-12-18-1210,-16-15 1210</inkml:trace>
  <inkml:trace contextRef="#ctx0" brushRef="#br0" timeOffset="8123.53">2715 3730 8192,'7'0'11332,"10"0"-11332,16-3 6690,21-2-6690,22-7 0,16-1 0,8 1 0,1-4 0,-7 0-2971,-15 3 2971,-21-3 2971,-20 1-2971</inkml:trace>
  <inkml:trace contextRef="#ctx0" brushRef="#br0" timeOffset="8327.67">3223 3391 8192,'7'-16'11332,"10"14"-4642,9 11-6690,7 12 0,5 9 0,-3 10 0,-8 10 0,-9 10 0,-7 6 0,-13 2 0,-13 1 0,-4-5 0,-6-12 0,1-16 0</inkml:trace>
  <inkml:trace contextRef="#ctx0" brushRef="#br0" timeOffset="9090.14">5065 2777 8192,'-1'-8'1493,"1"0"-1,-1 0 1,0-1 0,-1 1 0,0 0 0,0 0-1,-1 0 1,0 1 0,-7-15 0,5 14-787,0 1 0,-1-1 0,1 1-1,-1 0 1,-12-11 0,10 12-624,0 0 0,-1 0 0,1 0-1,-20-8 1,19 10-310,0 1 1,0 0-1,0 0 0,-1 1 1,1 0-1,-1 1 0,1 0 1,-1 1-1,0-1 0,1 2 1,-1 0-1,-17 3 0,19-2 369,0 0 0,1 1 0,-1 0 0,0 1 0,1 0 0,0 0 0,0 0 0,0 1 0,-12 10 0,8-2-209,0 0 0,0 0 1,1 1-1,1 0 0,1 1 1,0 0-1,0 0 0,2 1 1,0 0-1,1 0 0,-4 18 1,1 4-819,2 1 0,1 0 0,1 67 0,6-66-493,1 0 0,2-1 0,1 1 0,3-1 0,1 0 0,20 51 0,-22-70 1092,1 0 1,0 0-1,2-1 0,0-1 1,1 1-1,1-2 0,1 0 1,0 0-1,1-2 0,1 0 1,0 0-1,1-1 0,25 14 1,-31-22 286,1-1 0,0 0 0,0-1 0,0-1 0,1 1 0,-1-2 0,1 0 0,-1-1 0,1 0 0,0 0 0,0-2 0,0 0 0,-1 0 0,1-1 0,-1 0 0,1-1 0,23-10 0,-5 1 0,-2-2 0,1-1 0,-2-1 0,0-2 0,46-37 0,-52 37 0,-2-1 0,0 0 0,0-2 0,-2 0 0,-1-1 0,-1-1 0,0-1 0,-2 0 0,-1-1 0,-1 0 0,-1-1 0,-1 0 0,-1-1 0,-2 0 0,0 0 0,-2-1 0,-1 1 0,-2-1 0,0 0 0,-2-1 0,-1 1 0,-1 0 0,-10-47 0,9 62 0,0 1 0,0-1 0,-1 1 0,-1 0 0,0 0 0,-1 0 0,0 0 0,-16-20 0,21 30 0,0 0 0,-1 1 1,1-1-1,0 1 1,-1 0-1,1-1 0,-1 1 1,1 0-1,-1 0 0,0 0 1,1 0-1,-1 0 0,0 0 1,0 0-1,0 1 1,0-1-1,0 1 0,0-1 1,0 1-1,1 0 0,-5 0 1,5 0 75,-1 1 1,0 0-1,1 0 1,-1 0-1,0 0 1,1 0-1,-1 0 0,1 0 1,0 0-1,-1 0 1,1 1-1,0-1 1,0 1-1,0-1 1,0 1-1,0-1 1,0 1-1,-1 2 0,-3 7 94,1 1-1,0-1 0,1 1 0,1 0 0,-3 20 1,3 3-388,0 1 1,2 0 0,2-1 0,11 64 0,-7-73 1712,1 1-1,16 36 0,-15-43 901,2-1-1,0 0 0,20 27 0,9 2-1068</inkml:trace>
  <inkml:trace contextRef="#ctx0" brushRef="#br0" timeOffset="9745.83">5149 3349 8192,'42'-3'12407,"-1"-5"-7238,-1-3-6269,41-19-1,-55 19 1272,57-22-2914,-2-4-1,87-55 1,-128 68 1558,-2-3 1,-1-1-1,-1-1 0,-1-3 0,58-68 0,-83 88 1157,0-1 0,-2 0 0,1 0-1,-2-1 1,0-1 0,0 1 0,8-30 0,-14 40 28,0-1 1,0 1-1,-1 0 1,1 0-1,-1-1 1,0 1-1,0 0 1,-1-1-1,1 1 1,-1 0-1,0-1 1,0 1 0,0 0-1,-1 0 1,0 0-1,1 0 1,-1 0-1,-1 1 1,1-1-1,0 0 1,-1 1-1,0 0 1,0-1-1,0 1 1,0 0-1,0 1 1,-1-1 0,1 0-1,-1 1 1,0 0-1,0 0 1,1 0-1,-7-1 1,6 1 2,-1 1 0,0-1 0,0 1 0,0 1 0,0-1-1,0 1 1,0 0 0,0 0 0,0 0 0,0 1 0,0 0 0,0 0 0,1 0 0,-1 0 0,0 1 0,0 0 0,1 0 0,-6 3 0,5-2 246,1 0-1,0 0 1,0 0 0,0 0 0,0 0 0,0 1-1,-6 8 1,8-9 234,0 0 1,1 0-1,-1 0 0,0 0 0,1 0 0,0 1 1,0-1-1,0 1 0,0-1 0,0 1 0,0 5 1,1-7-234,0 0 0,0 0-1,0 0 1,1 0 0,-1 0 0,1 0 0,-1-1 0,1 1 0,-1 0 0,1 0 0,0-1 0,0 1 0,0 0 0,0-1 0,0 1 0,0-1 0,0 1 0,3 1 0,-1 0 144,1-1 0,-1 1 0,1-1 0,0 0-1,-1 0 1,1-1 0,8 4 0,5-1 141,1-1 0,-1 0 0,20 0 0,-29-3-606,188 4 279,-191-4-208,0 0 0,0 1 0,-1 0 0,1-1 0,0 1 0,-1 1 0,1-1 0,0 1 0,-1 0 0,0 0 0,1 0 0,-1 0 0,6 6 0,-7-6 0,-1 0 0,0 1 0,-1-1 0,1 1 0,0-1 0,-1 1 0,1 0 0,-1 0 0,0 0 0,0 0 0,0 0 0,0 0 0,-1 0 0,1 0 0,-1 0 0,0 0 0,0 0 0,0 0 0,0 0 0,0 0 0,-2 5 0,-9 45 0,7-36 0,1-1 0,0 1 0,1-1 0,1 26 0,1-36 0,1-1 0,0 1 0,0-1 0,0 1 0,1-1 0,0 1 0,0-1 0,0 0 0,1 0 0,0 0 0,0 0 0,0 0 0,0 0 0,1-1 0,0 0 0,0 0 0,6 6 0,-4-6 6,0 1 1,-1-1-1,2-1 1,-1 1-1,0-1 1,1 0-1,-1-1 0,1 1 1,0-1-1,0 0 1,0-1-1,0 0 1,0 0-1,0-1 1,0 1-1,0-1 1,0-1-1,0 0 1,0 0-1,0 0 1,0-1-1,0 0 1,7-3-1,-2 0-252,0 0 0,-1-1 0,0-1 0,0 0 0,0 0 0,-1-1 0,0-1 0,-1 0 0,1 0 0,-2 0 0,16-22 0,-11 9-851,0-1 0,-1 0 0,-1 0 1,-1-1-1,-1 0 0,-2-1 0,0 0 0,-1-1 0,3-50 1,-7 42-208,-2 0 1,-6-51 0,0 42 1129,-19-67 1,17 81 173,-1 0 0,-2 1 0,-21-43 0,31 68 0,0 1 0,-1-1 0,1 1 0,-1-1 0,0 1 0,1 0 0,-1 0 0,0 0 0,-1 0 0,1 0 0,0 0 0,0 0 0,-1 1 0,1-1 0,-1 1 0,0 0 0,1 0 0,-1 0 0,-4-2 0,5 3 0,1 1 0,0-1 0,0 0 0,-1 0 0,1 0 0,0 1 0,0-1 0,0 0 0,0 1 0,0-1 0,0 1 0,-1 0 0,1-1 0,0 1 0,1 0 0,-1 0 0,0-1 0,-1 2 0,0 1 0,0 0 0,0 0 0,0 0 0,0 0 0,1 0 0,-1 0 0,1 0 0,-1 7 0,-2 6 0,1 1 0,1 0 0,0 0 0,2 0 0,0 1 0,3 26 0,25 104 0,-20-114 0,2 1 0,1-2 0,1 0 0,2 0 0,1-1 0,26 40 0,-33-60 0,1-1 0,0 0 0,1 0 0,0-1 0,1 0 0,0-1 0,22 15 0,-23-19 0,-1 0 0,1-1 0,0 0 0,1 0 0,-1-1 0,0 0 0,1-1 0,0 0 0,0-1 0,-1 0 0,18-1 0,-8-2 0,39-8 0,11-9 0</inkml:trace>
  <inkml:trace contextRef="#ctx0" brushRef="#br0" timeOffset="9981.33">7287 2693 8192,'12'0'8819,"11"-3"-8819,19-2 7350,16-7-7350,10-1 1853,3-3-1853,-7 3 0,-13-5 0,-9 1 0,-12 3 0</inkml:trace>
  <inkml:trace contextRef="#ctx0" brushRef="#br0" timeOffset="10183.34">7520 2269 8192,'0'11'11332,"0"18"-11332,3 18 6690,2 20-6690,-1 9 0,7 5 0,2 4 0,-2-1 0,4-16 0,0-16 0,8-16 0,0-14 0</inkml:trace>
  <inkml:trace contextRef="#ctx0" brushRef="#br0" timeOffset="10604.25">8494 2015 8192,'4'0'907,"0"0"-1,0 0 1,0-1 0,1 1 0,-1-1 0,0 0 0,0-1 0,0 1-1,0-1 1,0 0 0,-1 0 0,6-3 0,-5 2-559,-1 0 1,1-1-1,-1 1 1,0-1-1,0 1 1,0-1-1,0 0 1,-1 0-1,0 0 1,0-1-1,0 1 0,0 0 1,-1-1-1,1 1 1,-1-1-1,1-9 1,-2 11-340,0 0 0,1 0 1,-1 0-1,0 0 0,-1 0 1,1 0-1,-1 0 0,1 0 1,-1 0-1,0 0 0,0 0 1,0 0-1,0 0 0,-1 0 1,1 1-1,-1-1 0,0 1 1,1-1-1,-1 1 0,-1 0 1,1-1-1,0 1 0,0 0 1,-1 0-1,1 1 0,-1-1 1,1 0-1,-1 1 0,0 0 1,0 0-1,0-1 0,1 2 1,-1-1-1,0 0 0,-4 0 1,-4-1-13,1 1 0,-1 0 1,1 0-1,-1 1 0,0 0 0,1 1 1,-1 0-1,1 1 0,-13 3 1,9 0-40,1 0 1,-1 1 0,1 0 0,0 1 0,1 1 0,0 0-1,0 0 1,0 1 0,-12 14 0,10-9-367,1 2 1,0 0-1,1 0 0,1 1 1,1 1-1,-10 21 0,8-11-358,1 1-1,2 0 0,1 0 1,1 1-1,2-1 0,1 2 1,1-1-1,2 59 0,2-71 12,1-1 0,1 0 0,0 0-1,1 0 1,1 0 0,1-1 0,8 18-1,-9-24 622,1 0 0,0-1 0,0 1 0,1-1-1,0 0 1,1-1 0,0 0 0,0 0 0,1 0-1,0-1 1,18 10 0,-9-7 114,1-2 0,0 0-1,1-1 1,0-1 0,0-1 0,0-1 0,0-1-1,1 0 1,-1-2 0,32-1 0,-20-1 22,-1-3 1,0 0 0,0-2-1,0-1 1,-1-2-1,36-15 1,-50 17-3,0-1 0,18-12 0,13-15 0</inkml:trace>
  <inkml:trace contextRef="#ctx0" brushRef="#br0" timeOffset="11287.33">3287 5847 8192,'10'0'11991,"22"-7"-5960,31-3-6031,37-13-3356,30-4 3356,18 4-5996,6-2 5996,-9 3-7460,-26 5 7460,-33 6-1210</inkml:trace>
  <inkml:trace contextRef="#ctx0" brushRef="#br0" timeOffset="11494.4">4006 5529 8192,'-1'-10'11991,"12"-12"-11991,15-1 6031,9 3-6031,10 8 0,8 17 0,3 19 0,-9 20 0,-12 12 0,-13 12 0,-9 9 0,-17 5 0,-20 3 0,-16-1 0,-9-9 0,4-17 0</inkml:trace>
  <inkml:trace contextRef="#ctx0" brushRef="#br0" timeOffset="12258.54">5869 4852 8192,'-1'-31'10269,"-2"-2"-4306,1 20-5204,-1 0 1,0 0 0,-5-13 0,6 20-973,-1 0 0,1 0 0,-1 0 0,-1 0 0,1 1-1,-1-1 1,0 1 0,0 0 0,0 0 0,-1 1 0,-8-8 0,8 9 431,1 0 0,-1 1 0,1-1 0,-1 1 0,-8-2 0,9 3-217,0 0 1,0 1-1,1-1 1,-1 1-1,0 0 1,0 0-1,0 1 1,1-1-1,-1 1 1,0 0 0,0 0-1,1 0 1,-1 0-1,0 1 1,1-1-1,0 1 1,-1 0-1,1 0 1,0 0-1,0 1 1,0-1-1,0 1 1,0-1 0,1 1-1,-5 6 1,-2 4-92,0 0 1,0 0 0,1 1 0,1 0 0,-6 16-1,3-3-420,2-1 0,0 1 0,-4 35-1,7-28-951,2 0 0,2 1 0,1-1 0,7 53 0,-2-49 100,3-2-1,1 1 1,1-1 0,16 35-1,-13-40 978,2-1 0,25 38-1,-32-56 361,0 0 0,1-1 0,0 0 0,1-1 0,0 1 0,1-2 0,0 0 0,1 0 0,0-1 0,15 9 0,-20-14 55,0 0 0,0-1 0,0 1 0,1-1 0,-1-1 0,0 0-1,1 0 1,-1 0 0,1-1 0,0 0 0,-1 0 0,1-1-1,-1 0 1,1 0 0,-1 0 0,0-1 0,0-1 0,1 1-1,-2-1 1,14-7 0,-10 4 408,0-1 1,0 0-1,-1-1 0,15-13 1,-12 7-683,0-1 0,0 0 1,-2 0-1,15-28 1,-8 5-268,-1-1 0,22-79 0,-18 22 511,-3-1 0,-5 0 0,-4-1 0,-6-138 0,-12 304 0,-5 55 0,6 1 0,13 218 0,-2-317-41,2-1 0,1 0 0,0 0 0,10 25 0,-12-42 208,-1 0 0,1 0-1,0 0 1,1-1 0,0 1 0,0-1-1,0 0 1,1 0 0,0 0-1,0-1 1,0 1 0,1-1 0,0-1-1,0 1 1,0-1 0,0 0 0,8 3-1,18 0 394</inkml:trace>
  <inkml:trace contextRef="#ctx0" brushRef="#br0" timeOffset="12912.37">6017 5402 8192,'13'-1'10252,"1"-3"-4875,2-2-3019,9-7-2981,-3 2 785,95-47-4157,-2-6-1,-4-4 0,174-140 1,-266 193 3677,65-60-741,-76 67 1038,0 0 0,-1-1 1,0 0-1,0-1 0,-1 1 0,-1-1 0,7-15 0,-11 24 73,-1-1 0,1 1 0,-1 0 0,1-1 0,-1 1-1,1 0 1,-1-1 0,0 1 0,0 0 0,1-1 0,-1 1 0,0-1 0,0 1 0,-1 0 0,1-1 0,0 1 0,0-1 0,-1 1 0,1 0 0,0-1 0,-1 1 0,0-1 0,0 1 14,0 0 1,0 1-1,0-1 0,0 0 1,0 1-1,0-1 1,0 1-1,-1 0 1,1-1-1,0 1 1,0 0-1,0 0 0,0 0 1,0 0-1,-1 0 1,1 0-1,0 0 1,0 0-1,0 0 1,-2 1-1,-5 1 186,0 0 0,1 1 0,-1-1 1,1 2-1,0-1 0,-10 7 0,6-2 1670,1 0 0,0 1 0,0 0 0,-13 16 0,20-22-1708,0 0 0,0 1 0,1-1 0,-1 1 1,1 0-1,0 0 0,0 0 0,1 0 0,-1 0 0,1 0 1,-1 0-1,1 1 0,1-1 0,-1 0 0,1 1 1,-1-1-1,2 8 0,-1-10-205,1 0 1,0 0 0,0 0-1,0 0 1,0 0 0,1 0-1,-1-1 1,0 1-1,1 0 1,-1-1 0,1 1-1,0-1 1,-1 1-1,1-1 1,0 0 0,0 0-1,0 0 1,0 0 0,0 0-1,0 0 1,0 0-1,3 0 1,7 2-21,-1 0 0,24 1 0,-28-4 25,13 2-14,0-2 0,0 0 0,0-2 0,0 0 0,0-1 0,-1-1 0,1-1 0,-1 0 0,0-2 0,35-17 0,-30 13 0,-23 11 0,-1 0 0,0-1 0,0 1 0,0 0 0,1 0 0,-1 0 0,0 0 0,1 0 0,-1 0 0,0 0 0,0 0 0,1 0 0,-1 0 0,0 0 0,0 0 0,1 0 0,-1 0 0,0 0 0,0 0 0,1 0 0,-1 0 0,0 0 0,1 0 0,-1 0 0,0 0 0,0 0 0,1 1 0,-1-1 0,0 0 0,0 0 0,0 0 0,1 0 0,-1 1 0,0-1 0,0 0 0,0 0 0,0 0 0,1 1 0,-1-1 0,0 0 0,0 0 0,0 1 0,0-1 0,0 0 0,0 0 0,0 1 0,0-1 0,0 0 0,0 1 0,1-1 0,-1 0 0,-1 0 0,1 1 0,0-1 0,0 0 0,0 0 0,0 1 0,0-1 0,0 0 0,0 0 0,0 1 0,-7 19 0,6-18 0,-5 11 0,1-1 0,0 0 0,0 0 0,1 1 0,1 0 0,-3 17 0,5-26 0,1-1 0,0 0 0,0 0 0,0 0 0,1 0 0,-1 0 0,1 0 0,-1 0 0,1 0 0,0 0 0,0 0 0,0 0 0,1 0 0,-1-1 0,1 1 0,0 0 0,-1-1 0,1 0 0,0 1 0,1-1 0,-1 0 0,0 0 0,0 0 0,1 0 0,0 0 0,-1-1 0,1 1 0,0-1 0,3 2 0,-1-1-2,-1 0 0,1-1 1,-1 1-1,1-1 0,0 0 1,0 0-1,0-1 0,-1 1 1,1-1-1,0 0 0,0 0 1,0-1-1,0 0 0,0 1 1,-1-2-1,7-1 0,-5 0-263,0 0 0,0 0 1,0-1-1,0 1 0,-1-2 0,1 1 0,-1-1 0,0 1 0,0-1 0,5-8 0,1-2-692,-2-1 1,1 0-1,-2 0 1,0-1-1,-2 0 1,1 0-1,6-34 1,-1-37-4390,-10 62 4474,-4-41 1,1 51 837,-1 1 0,-1-1 1,0 1-1,-1-1 0,0 1 0,-1 0 0,-1 0 0,-1 1 1,-11-19-1,16 30 34,0-1 0,0 1 0,0 0 0,-1 1 0,0-1 0,1 0 0,-1 1 0,0-1 0,0 1 0,0 0 0,-1 0 0,1 0 0,0 1 0,-1-1 0,1 1 0,-1-1 0,0 1 0,1 0 0,-1 1 0,0-1 0,-4 1 0,5 0 0,-1 0 0,1 1 0,-1 0 0,1-1 0,0 2 0,-1-1 0,1 0 0,0 1 0,0-1 0,0 1 0,0 0 0,0 0 0,0 0 0,0 0 0,1 0 0,-1 1 0,1-1 0,0 1 0,0 0 0,0 0 0,0 0 0,0 0 0,-2 4 0,-2 9 0,0-1 0,0 1 0,2 0 0,0 0 0,0 1 0,2-1 0,0 1 0,1 0 0,1-1 0,0 1 0,4 20 0,-1-13 0,1 1 0,2-1 0,0 0 0,2-1 0,0 0 0,2 0 0,12 22 0,-15-33 0,1-1 0,0 0 0,1 0 0,0-1 0,1 0 0,0 0 0,0-1 0,1 0 0,0-1 0,1-1 0,0 1 0,0-2 0,0 0 0,20 7 0,-16-8 0,-1-1 0,1 0 0,0-1 0,-1-1 0,1 0 0,0-1 0,1-1 0,-1-1 0,0 0 0,0-1 0,-1 0 0,18-6 0,14-9 0</inkml:trace>
  <inkml:trace contextRef="#ctx0" brushRef="#br0" timeOffset="13145.24">7753 4958 8192,'10'0'11332,"4"-3"-11332,11-2 0,11-7 6690,14-2-6690,17-15 0,29-11 0,20-6-3356,5 5 3356,-12-1-5996,-16 7 5996,-24 1 2971,-25 7-2971</inkml:trace>
  <inkml:trace contextRef="#ctx0" brushRef="#br0" timeOffset="13366.49">8070 4365 8192,'15'7'8819,"0"14"-8819,-3 10 7350,6 14-7350,-2 13 1853,-3 13-1853,-3 7 0,-5-2 0,9-6 0,13-16 0,1-17 0</inkml:trace>
  <inkml:trace contextRef="#ctx0" brushRef="#br0" timeOffset="13752.08">8536 4196 8192,'22'-24'9005,"4"9"-3414,-20 14-5200,-1-1 0,0 1 0,1 0 0,-1 0 0,0 1 0,1 0 0,-1 0 0,1 0 0,6 1 0,-2 1-431,-1 1-1,0-1 1,0 1 0,1 1-1,-2 0 1,1 0 0,0 1-1,-1 0 1,0 0-1,0 1 1,8 7 0,-3 1 40,0 0 0,-1 1 0,0 1 0,14 25 0,34 76 0,-40-74 0,-16-34 80,76 145-838,-61-123-439,0 0-1,43 49 1,-57-75 305,0 1 1,0-1-1,1 0 0,-1-1 1,1 0-1,0 1 1,10 4-1,-14-9 712,0 1-1,0 0 0,0 0 1,0-1-1,0 1 1,0-1-1,0 0 1,0 0-1,0 1 0,0-1 1,0 0-1,0-1 1,0 1-1,0 0 1,0-1-1,0 1 0,0-1 1,0 0-1,0 1 1,0-1-1,0 0 1,0 0-1,-1 0 0,1 0 1,0-1-1,-1 1 1,1 0-1,-1-1 1,1 1-1,1-3 0,3-6 67,0-1 0,0 0-1,-1-1 1,0 1-1,-1-1 1,0 0 0,-1 0-1,3-20 1,-5 27 122,15-82-8,6-139 0,-16-92 0,-6 242 0,0-44 0,-1 31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06.9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 2520 8192,'-20'-18'16583,"20"17"-16179,8-13 631,-2 9-1075,1 0 0,0 0 0,0 0 0,1 1 0,0 0 0,13-5 0,-8 3-240,123-48-3989,208-56 1,152-6-3431,681-124 7086,2 0 0,202-63 613,-829 193 0,225-54 0,5-43 0,-363 95 0,185-53 0,589-148 0,-720 192-47,-8-35 653,-441 145 1302,-18 7-200,1 1 0,-1 0 0,1 1 0,0-1 0,0 1 0,13-2 0,-18 4-1469,-1 0 0,0 0 0,1 0-1,-1 0 1,0 0 0,1 1 0,-1-1 0,0 0 0,0 1 0,0-1 0,1 1 0,-1 0 0,0-1-1,0 1 1,0 0 0,0-1 0,2 3 0,-2-1-293,1 0 0,-1 0 0,0 0 0,0 0 0,0 0 0,0 1 0,0-1 0,0 0 0,0 0 0,-1 1 1,1-1-1,-1 5 0,3 38 54,-4 49 0,1 15 0,22 185-2426,0-22 4356,-18-187-2943,81 1016-660,43-220 3051,107 437-4290,-80-708-6545,40-7 5005,-41-131 5055,63 192-603,40 135 0,-171-467-39,-62-189 4023,-17-108 231,-5-28-2982,0 0 0,-1 0-1,1 0 1,-2 0 0,1 0-1,-1 0 1,0 9 0,-1-15-1233,1 0 0,-1 0 0,1 0 0,-1 0 0,1-1 0,-1 1 0,0 0 0,1 0 0,-1-1 0,0 1 0,0-1 0,0 1 0,1 0 0,-1-1 0,0 0 0,0 1 0,0-1 0,0 1 0,0-1 0,0 0 0,0 0 0,0 1 0,0-1 0,0 0 0,0 0 0,0 0 0,0 0 0,0 0 0,0 0 0,0-1 0,0 1 0,-1-1 0,-44-9 0,29 5 0,5 3 13,-67-16-950,-1 4 1,-127-6-1,50 22 1803,-219 33 0,-156 58-2277,193-18 3586,-170 52-3918,-146 34 3291,-1170 185-2517,1304-255-748,82-17 4495,-585 80-5171,819-128 4887,-372 24-4720,332-39 4259,-29 6-3642,19-1 952,84-12 3419,153-4-2762,-1 2 0,1 1 0,-21 4 0,2 1 0,17-5 0</inkml:trace>
  <inkml:trace contextRef="#ctx0" brushRef="#br0" timeOffset="1745.81">45 2605 8192,'-19'8'16119,"8"12"-12621,2 30-6301,9-43 4011,-4 49-1564,3 0-1,2 0 1,13 85 0,45 164-5977,-3-22-1379,20 360 5120,-35-265 2632,-3-69-40,43 401 0,-40 3 0,-41-505 0,22 395 0,7-388 0,20 224 0,-6 86 2476,-30-431-5656,5 0 6373,13 95 9500,-27-106-9853,-2-63-2840,0 0 0,1 1 0,11 33 0,-2-7 0,-11-42 0,0-1 0,0 1 0,1 0 0,-1-1 0,1 1 0,0-1 0,0 1 0,1-1 0,0 0 0,-1 0 0,1 0 0,1 0 0,-1-1 0,6 6 0,-3-5 0,-1-1 0,1 0 0,-1-1 0,1 1 0,0-1 0,0 0 0,0-1 0,0 1 0,0-1 0,1 0 0,6 0 0,101 2 0,-74-4 0,0 3 0,0 1 0,43 9 0,-5 3-62,1-3 1,94 1 0,160-12-1518,-180-3 2461,-35 1-2493,190 2 1736,-104 15-6881,-65 0 305,2-6 4165,-85-8 2232,0-3 0,107-15 0,-93 2 54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12.45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3035 8192,'1'24'12749,"2"1"-7310,3 4-4045,6 15-3797,0-1 3246,327 1239-18136,-89-433 16564,-13 15 729,-198-714 0,-35-132 0,200 647 0,-197-646 206,2 0 1,0-1-1,1 0 0,14 17 1,9 5 8139,-18-22-1893,-4 0-3905,-10-15-2567,1 0 1,-1 1-1,1-1 0,0 0 0,1 0 0,-1 0 0,0-1 1,1 1-1,-1 0 0,1-1 0,0 0 0,0 0 1,0 0-1,0 0 0,0 0 0,1 0 0,-1-1 0,5 2 1,10 1-62,0 0 0,1-1 0,0-2 1,-1 1-1,1-2 0,37-4 0,116-28-2272,-124 21 2466,183-43 2224,113-41-5789,105-27-2785,-162 58 261,145-25 4243,-46 11 1563,110-25 169,355-77 0,-400 84 0,526-127 0,1037-366 0,-1632 473 0,285-96 0,103-46 0,17 65 0,-650 167 0,470-106 0,-573 123 657,0-2 1,0-1 0,-1-1-1,-1-2 1,54-33-1,-82 45 9,1-1 0,-1 1 0,0-1 0,0 0 0,-1 0-1,1 0 1,-1 0 0,0-1 0,0 0 0,5-9 0,-7 11-303,0-1 1,0 1-1,0-1 1,-1 0 0,1 1-1,-1-1 1,0 0-1,0 1 1,0-1-1,0 0 1,0 1 0,-1-1-1,0 0 1,0 1-1,0-1 1,0 1-1,-2-5 1,-15-34-303,2 0-1,2-2 1,-9-47-1,-14-136-178,19 104-294,4 38-849,-72-382 1940,32 268-3871,-42-83-4534,-14 2 3502,-274-532 2422,-97-2 1802,308 535 0,78 117-77,2 5 2344,-7 5 5708,54 95-1489,39 50-6257,0-1-1,-1 2 1,0-1-1,0 1 0,-10-5 1,15 10-229,1 0 0,-1 0 0,0 0 0,0 0 0,0 1 0,0-1 0,0 1 0,0 0 0,0 0 0,0 0 0,0 0 0,0 0 0,0 1 0,0-1 0,0 1 0,0 0 0,1 0 0,-1 0 0,0 0 0,-2 2 0,-8 4 0,1 0 0,0 1 0,-10 9 0,5-4 0,-72 47-179,-2-3 0,-3-4 0,-2-5 0,-109 39 0,-106 19-2495,-3-17-3353,-49 6-543,-2-4 4696,-455 120 1892,-786 161-18,748-190 0,288-21 0,-63 16 0,300-99 0,-45 12 0,-682 237 0,235-67 0,675-216 0,45-9 1136,65-19 3152,0 1 1,1 3-1,-62 41 1,29-5-4557,32-21 268,-53 42 0,69-63 0,0-1 0,-1-1 0,0-2 0,-29 9 0,27-10 0,-1 3 0,0 1 0,-32 20 0,36-19 0,-1 0 0,-49 18 0,49-25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03.25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593 980 24575,'9'24'0,"-2"-9"0,1 16 0,-1 0 0,-2 1 0,-1 0 0,-1 35 0,4 25 0,27 375 0,-33-452 0,4 63 0,-4-70 0,0 0 0,1 0 0,0-1 0,0 1 0,1-1 0,0 1 0,4 8 0,-7-16 0,0 0 0,0 0 0,0 0 0,0 1 0,0-1 0,1 0 0,-1 0 0,0 0 0,0 0 0,0 1 0,0-1 0,0 0 0,0 0 0,0 0 0,0 0 0,0 0 0,0 0 0,0 1 0,1-1 0,-1 0 0,0 0 0,0 0 0,0 0 0,0 0 0,0 0 0,1 0 0,-1 0 0,0 0 0,0 1 0,0-1 0,0 0 0,0 0 0,1 0 0,-1 0 0,0 0 0,0 0 0,0 0 0,0 0 0,1 0 0,-1 0 0,0 0 0,0 0 0,0 0 0,0 0 0,1-1 0,-1 1 0,0 0 0,0 0 0,0 0 0,0 0 0,0 0 0,1 0 0,-1 0 0,0 0 0,3-13 0,-2-20 0,-27-276 0,-3-56 0,28 347 0,5-212 0,-2 203 0,1 1 0,2 0 0,1 0 0,0 0 0,2 0 0,18-38 0,-23 59 8,-1 0-1,1 0 1,0 0-1,0 1 1,1-1-1,-1 1 1,1 0-1,0 0 1,0 0-1,0 1 1,1-1-1,-1 1 1,1 0-1,0 1 1,10-5-1,-11 6-78,0 0 1,0 0-1,1 0 0,-1 1 0,0-1 1,1 1-1,-1 1 0,0-1 1,1 0-1,-1 1 0,0 0 0,0 0 1,1 0-1,-1 1 0,0-1 1,0 1-1,0 0 0,-1 0 0,1 0 1,4 4-1,23 19-6755</inkml:trace>
  <inkml:trace contextRef="#ctx0" brushRef="#br0" timeOffset="220.68">720 1615 24575,'0'-3'0,"7"-13"0,9-3 0,14-9 0,8 0 0,5-2 0,2 3 0,1 7 0,-7 0 0,-4 2 0,-7 6-8191</inkml:trace>
  <inkml:trace contextRef="#ctx0" brushRef="#br0" timeOffset="546.18">1122 1318 24575,'0'-3'0,"7"-9"0,2 9 0,0 11 0,-1 17 0,-3 13 0,-2 8 0,-1 4 0,-2 0 0,4-5 0,11-10 0,11-10 0,4-11 0,5-17 0,3-20 0,-5-16 0,-8-10 0,-8 5-8191</inkml:trace>
  <inkml:trace contextRef="#ctx0" brushRef="#br0" timeOffset="655.23">1122 1107 24575</inkml:trace>
  <inkml:trace contextRef="#ctx0" brushRef="#br0" timeOffset="1589.55">1440 1403 24575,'-1'17'0,"-1"14"0,2 0 0,1 0 0,8 54 0,-9-84 0,0 0 0,0-1 0,0 1 0,1 0 0,-1 0 0,0 0 0,0 0 0,1 0 0,-1 0 0,0-1 0,1 1 0,-1 0 0,1 0 0,-1-1 0,1 1 0,0 0 0,-1 0 0,1-1 0,-1 1 0,1-1 0,0 1 0,0-1 0,-1 1 0,1-1 0,0 1 0,0-1 0,0 0 0,0 1 0,0-1 0,-1 0 0,1 0 0,0 1 0,0-1 0,0 0 0,0 0 0,0 0 0,0 0 0,0 0 0,0-1 0,0 1 0,-1 0 0,1 0 0,0 0 0,0-1 0,0 1 0,0-1 0,0 1 0,-1 0 0,1-1 0,0 1 0,0-1 0,-1 0 0,1 1 0,0-1 0,-1 0 0,1 1 0,0-2 0,5-4 0,0-1 0,0 0 0,0 0 0,7-14 0,-3 2 0,0-1 0,6-23 0,-10 26 0,0 1 0,1 0 0,1 1 0,13-21 0,-21 35 0,0 0 0,1 0 0,-1 0 0,1 1 0,-1-1 0,1 0 0,-1 0 0,1 1 0,0-1 0,-1 0 0,1 1 0,0-1 0,-1 1 0,1-1 0,0 1 0,0-1 0,-1 1 0,1-1 0,0 1 0,0 0 0,0-1 0,0 1 0,0 0 0,0 0 0,0 0 0,-1 0 0,1 0 0,0 0 0,0 0 0,0 0 0,0 0 0,0 0 0,0 0 0,1 1 0,0 1 0,0 0 0,1 0 0,-1 0 0,0 1 0,0-1 0,0 0 0,-1 1 0,3 4 0,5 7 0,0-2 0,0-1 0,0 0 0,1 0 0,0-1 0,0-1 0,1 1 0,1-2 0,0 0 0,0 0 0,0-1 0,1 0 0,0-1 0,0-1 0,1 0 0,0-1 0,-1 0 0,1-1 0,25 2 0,-18-3 0,-1-2 0,0 0 0,0-1 0,0-1 0,0-1 0,0 0 0,0-2 0,-1 0 0,1-2 0,24-11 0,-36 15 0,-1-1 0,1 0 0,-1-1 0,0 0 0,0 0 0,-1 0 0,0-1 0,1 0 0,-2 0 0,1-1 0,-1 1 0,0-1 0,0-1 0,-1 1 0,0 0 0,-1-1 0,1 0 0,-1 0 0,-1 0 0,0 0 0,0-1 0,0 1 0,-1 0 0,0-1 0,-1 1 0,0-1 0,-1-9 0,1 14 0,-1 0 0,1 0 0,-1-1 0,0 1 0,0 0 0,0 0 0,-1 0 0,0 0 0,1 1 0,-1-1 0,-1 0 0,1 1 0,0-1 0,-1 1 0,0 0 0,0 0 0,0 0 0,0 0 0,-4-3 0,4 5 0,0-1 0,0 1 0,0 0 0,0 0 0,0 0 0,0 1 0,0-1 0,0 1 0,-1 0 0,1-1 0,0 1 0,0 1 0,0-1 0,-1 0 0,1 1 0,0 0 0,0 0 0,0-1 0,0 2 0,0-1 0,0 0 0,0 1 0,1-1 0,-1 1 0,0 0 0,-2 3 0,-3 2 0,0 0 0,1 0 0,-1 1 0,2 0 0,0 1 0,0 0 0,0 0 0,1 0 0,0 0 0,1 1 0,-5 14 0,4-9 0,1 0 0,1 0 0,0 0 0,0 0 0,2 1 0,0-1 0,1 19 0,1-31 0,-1 0 0,0 0 0,1 0 0,-1 0 0,1 0 0,0 0 0,0 0 0,0 0 0,0-1 0,1 1 0,-1 0 0,1-1 0,0 1 0,3 3 0,-3-4 0,-1-1 0,1 0 0,0 0 0,0 0 0,-1 0 0,1 0 0,0 0 0,0 0 0,0 0 0,0-1 0,0 1 0,1-1 0,-1 0 0,0 1 0,0-1 0,3 0 0,0-1 0,0 0 0,0 0 0,0 0 0,0-1 0,-1 1 0,1-1 0,0 0 0,-1 0 0,0-1 0,1 0 0,-1 1 0,0-1 0,-1-1 0,1 1 0,0 0 0,4-6 0,2-6 0,0 0 0,-1-1 0,0 0 0,-1 0 0,-1-1 0,0 0 0,5-26 0,-4 8 0,-2 0 0,4-68 0,-9 67 0,-2 1 0,-2-1 0,-1 1 0,-1 0 0,-2 1 0,-2-1 0,-1 1 0,-16-38 0,3 30 0,22 40 0,0 0 0,0 0 0,-1 0 0,1 0 0,-1 1 0,1-1 0,-1 0 0,0 1 0,0-1 0,1 1 0,-1 0 0,0 0 0,0 0 0,-1 0 0,1 0 0,-3-1 0,4 2 0,0 0 0,0 0 0,0 0 0,0 0 0,0 0 0,0 1 0,0-1 0,0 0 0,0 1 0,0-1 0,0 1 0,0-1 0,0 1 0,1-1 0,-1 1 0,0-1 0,0 1 0,0 0 0,1 0 0,-1-1 0,0 1 0,1 0 0,-1 0 0,1 0 0,-1 0 0,1 0 0,-1 0 0,0 1 0,-9 32 0,10-33 0,-6 28 0,2 0 0,1 0 0,1 0 0,1 1 0,5 31 0,-3-42 0,2 0 0,0-1 0,2 1 0,0-1 0,0 0 0,2-1 0,0 1 0,1-1 0,12 17 0,-15-26 5,1-1 1,0 0-1,0-1 0,1 0 0,0 0 0,0 0 1,0 0-1,1-1 0,0-1 0,0 1 1,0-1-1,1-1 0,-1 1 0,1-1 0,0-1 1,-1 0-1,1 0 0,0-1 0,1 0 0,-1 0 1,0-1-1,15-2 0,-5 1-140,-1-2 0,0 0 0,0-2 0,0 1 0,-1-2 0,0-1 0,0 0 0,0-1 0,-1 0 0,20-15 0,3-8-6691</inkml:trace>
  <inkml:trace contextRef="#ctx0" brushRef="#br0" timeOffset="1920.07">2773 1107 24575,'-4'0'0,"3"0"0,12-3 0,15-9 0,17-10 0,13-7 0,7-7 0,0 3 0,1-4 0,-4 5 0,-12 7-8191</inkml:trace>
  <inkml:trace contextRef="#ctx0" brushRef="#br0" timeOffset="2245.75">3112 726 24575,'-8'0'0,"-2"-7"0,8-3 0,12 1 0,7 2 0,8 1 0,7 14 0,2 12 0,2 13 0,-5 16 0,0 14 0,-6 10 0,-14 8 0,-17 4 0,-17-2 0,-9-10 0,-6-12 0,4-16-8191</inkml:trace>
  <inkml:trace contextRef="#ctx0" brushRef="#br0" timeOffset="3116.36">4064 493 24575,'0'-22'0,"-1"-1"0,-1 0 0,-7-37 0,8 56 0,0-1 0,0 1 0,0-1 0,-1 1 0,0-1 0,0 1 0,0 0 0,0 0 0,0 0 0,-1 0 0,0 0 0,0 0 0,0 1 0,0 0 0,-1-1 0,1 1 0,-1 0 0,0 1 0,0-1 0,0 1 0,0-1 0,0 1 0,-1 0 0,-7-2 0,9 4 0,-1 0 0,1 0 0,-1 0 0,1 0 0,-1 1 0,1-1 0,-1 1 0,1 0 0,-1 0 0,1 0 0,0 0 0,-1 1 0,1-1 0,0 1 0,0 0 0,0 0 0,0 0 0,1 0 0,-1 0 0,0 1 0,1 0 0,0-1 0,0 1 0,-1 0 0,-1 4 0,-4 6 0,1 0 0,0 0 0,1 0 0,0 1 0,-4 15 0,-1 13 0,2 1 0,1 0 0,3 0 0,1 1 0,3-1 0,1 1 0,2 0 0,2-1 0,2 0 0,14 54 0,-15-81 0,0 0 0,1-1 0,1 0 0,0 0 0,1 0 0,1-1 0,0 0 0,1-1 0,0 0 0,25 23 0,-30-31 0,1-1 0,0 1 0,0-1 0,0 0 0,1-1 0,-1 1 0,1-1 0,0-1 0,0 1 0,0-1 0,0 0 0,0-1 0,0 1 0,1-2 0,-1 1 0,0-1 0,1 0 0,-1 0 0,0-1 0,1 0 0,-1 0 0,0-1 0,0 0 0,0 0 0,0-1 0,9-5 0,-1 0 0,-1-1 0,0-1 0,0 0 0,-1-1 0,0 0 0,-1-1 0,-1 0 0,0-1 0,0-1 0,-2 1 0,1-2 0,-2 1 0,0-1 0,8-20 0,-3 1 0,-2 0 0,-1-1 0,-1 0 0,-2 0 0,4-63 0,-8-17 0,-3 98 0,-1 1 0,-1 0 0,-1-1 0,-8-27 0,11 42 0,-1 0 0,1 1 0,-1-1 0,0 0 0,0 1 0,1-1 0,-1 0 0,0 1 0,0-1 0,-1 1 0,1 0 0,0-1 0,-2 0 0,3 1 0,-1 1 0,1 0 0,0 0 0,-1 0 0,1 0 0,-1 0 0,1 0 0,0 0 0,-1 0 0,1 0 0,-1 0 0,1 0 0,0 0 0,-1 0 0,1 0 0,-1 0 0,1 1 0,0-1 0,-1 0 0,1 0 0,-1 0 0,1 1 0,0-1 0,-1 0 0,1 0 0,0 1 0,0-1 0,-1 0 0,1 1 0,0-1 0,0 0 0,-1 1 0,1 0 0,-3 3 0,1 1 0,0 0 0,0 1 0,0-1 0,0 0 0,-1 11 0,-2 27 0,1 0 0,3 0 0,1 0 0,2 0 0,2 0 0,2-1 0,1 1 0,3-1 0,23 65 0,-27-94 17,0 1 0,1-1 1,0 0-1,1-1 0,1 0 0,18 22 0,-23-31-34,-1 0 0,1 0 1,0 0-1,-1 0 0,1 0 0,1-1 1,-1 0-1,0 1 0,0-2 0,1 1 1,4 1-1,-6-3-47,0 1 0,0-1-1,0 0 1,0 0 0,0 0 0,0 0 0,0-1-1,0 1 1,-1-1 0,1 0 0,0 0 0,0 0-1,-1 0 1,1 0 0,0-1 0,-1 1 0,1-1-1,-1 0 1,4-2 0,12-16-6762</inkml:trace>
  <inkml:trace contextRef="#ctx0" brushRef="#br0" timeOffset="3819.1">4149 980 24575,'0'1'0,"0"0"0,0-1 0,0 1 0,0-1 0,0 1 0,1-1 0,-1 1 0,0-1 0,0 1 0,1-1 0,-1 1 0,0-1 0,1 1 0,-1-1 0,1 1 0,-1-1 0,1 0 0,-1 1 0,0-1 0,1 0 0,-1 1 0,1-1 0,0 0 0,-1 1 0,1-1 0,-1 0 0,1 0 0,-1 0 0,1 0 0,0 0 0,-1 0 0,1 0 0,-1 0 0,1 0 0,0 0 0,-1 0 0,1 0 0,26-4 0,1-5 0,-1-1 0,0-1 0,0-1 0,37-25 0,-16 6 0,57-49 0,-76 55 0,37-40 0,-58 57 0,-1-1 0,0 0 0,0 0 0,-1-1 0,0 0 0,-1 0 0,0 0 0,-1 0 0,4-13 0,-8 21 0,1 1 0,-1-1 0,1 0 0,-1 0 0,0 0 0,1 0 0,-1 0 0,0 0 0,0 0 0,-1 0 0,1 0 0,0 0 0,-1 0 0,1 0 0,-1 0 0,1 1 0,-1-1 0,0 0 0,0 0 0,0 0 0,0 1 0,0-1 0,0 1 0,0-1 0,-1 1 0,1-1 0,-1 1 0,1 0 0,-1-1 0,1 1 0,-1 0 0,0 0 0,1 0 0,-1 0 0,-2 0 0,0 0 0,0 0 0,1 0 0,-1 1 0,1 0 0,-1-1 0,0 1 0,1 1 0,-1-1 0,0 0 0,1 1 0,-1 0 0,0 0 0,1 0 0,0 0 0,-1 0 0,1 1 0,-6 3 0,4-1 0,-1 0 0,2 0 0,-1 1 0,1 0 0,-1 0 0,1 0 0,1 0 0,-1 0 0,1 1 0,0-1 0,0 1 0,0 0 0,1 0 0,0 0 0,0 1 0,1-1 0,-2 7 0,3-10 0,-1 1 0,1-1 0,0 1 0,0-1 0,1 1 0,-1-1 0,0 0 0,1 1 0,0-1 0,0 0 0,0 1 0,0-1 0,1 0 0,-1 0 0,1 0 0,0 0 0,0 0 0,0-1 0,0 1 0,0 0 0,1-1 0,-1 1 0,1-1 0,-1 0 0,1 0 0,0 0 0,0 0 0,0-1 0,0 1 0,0-1 0,1 0 0,-1 0 0,4 1 0,12 2 0,0-2 0,1 0 0,-1-1 0,1-1 0,-1 0 0,1-2 0,-1 0 0,25-7 0,-43 9 0,-1 0 0,1-1 0,0 1 0,0 0 0,0 0 0,-1 0 0,1 0 0,0 0 0,0 1 0,0-1 0,-1 0 0,1 0 0,0 0 0,0 1 0,-1-1 0,1 0 0,0 1 0,-1-1 0,1 1 0,0-1 0,-1 1 0,1-1 0,-1 1 0,1-1 0,0 1 0,-1-1 0,1 1 0,-1 0 0,0-1 0,1 1 0,-1 0 0,0 0 0,1-1 0,-1 1 0,0 0 0,0 0 0,1-1 0,-1 1 0,0 0 0,0 0 0,0 0 0,0-1 0,0 2 0,-5 44 0,3-33 0,1-7 0,0 1 0,1-1 0,0 0 0,0 0 0,1 1 0,-1-1 0,1 0 0,1 0 0,-1 0 0,1 0 0,3 8 0,-2-10 0,-1 0 0,1 0 0,0-1 0,0 1 0,0-1 0,0 0 0,1 0 0,-1 0 0,1 0 0,0 0 0,0-1 0,0 1 0,0-1 0,0 0 0,0-1 0,5 2 0,-4-1 0,0-1 0,0 0 0,0 0 0,0 0 0,0 0 0,0-1 0,0 0 0,0 0 0,0 0 0,0-1 0,0 0 0,0 0 0,0 0 0,0 0 0,5-3 0,-2 0 0,0 0 0,-1 0 0,0-1 0,0 0 0,0 0 0,0-1 0,-1 1 0,8-10 0,-2-1 0,1-1 0,-2 0 0,0 0 0,-1-1 0,-1-1 0,12-34 0,-12 20 0,-1-1 0,-1 0 0,-2 0 0,-1 0 0,-2-1 0,-1 1 0,-2-1 0,-1 0 0,-2 1 0,-11-46 0,-7 13 0,19 62 0,1 0 0,-1-1 0,0 2 0,0-1 0,0 0 0,0 0 0,-1 1 0,0 0 0,-6-6 0,9 9 0,0 1 0,0-1 0,0 0 0,0 0 0,0 1 0,-1-1 0,1 1 0,0-1 0,0 1 0,0 0 0,-1-1 0,1 1 0,0 0 0,-1 0 0,1 0 0,0 0 0,0 0 0,-1 0 0,1 0 0,0 0 0,0 0 0,-1 1 0,1-1 0,0 1 0,0-1 0,-1 1 0,1-1 0,0 1 0,0-1 0,-1 2 0,-1 1 0,0 0 0,0 0 0,0 0 0,1 0 0,-1 0 0,1 1 0,0 0 0,-3 5 0,-4 12 0,2 0 0,0 1 0,1-1 0,1 1 0,-4 43 0,7-18 0,4 87 0,0-116 0,0 0 0,1-1 0,0 1 0,2-1 0,0 0 0,1 0 0,1 0 0,0-1 0,12 20 0,-14-30 0,-1 1 0,1-1 0,0 0 0,1 0 0,-1 0 0,1-1 0,0 0 0,1 0 0,-1 0 0,1-1 0,0 0 0,0 0 0,1-1 0,-1 0 0,1 0 0,-1-1 0,1 0 0,0 0 0,0-1 0,0 0 0,0 0 0,13-1 0,-9-1-170,1 0-1,-1-2 0,0 1 1,0-1-1,0-1 0,-1 0 1,17-9-1,19-12-6655</inkml:trace>
  <inkml:trace contextRef="#ctx0" brushRef="#br0" timeOffset="4037.43">5546 641 24575,'7'0'0,"6"-7"0,8-2 0,11-11 0,11-9 0,6 0 0,5-5 0,4 3 0,-1-1 0,-10 5-8191</inkml:trace>
  <inkml:trace contextRef="#ctx0" brushRef="#br0" timeOffset="4285.25">5715 260 24575,'-1'4'0,"1"15"0,1 12 0,-1 15 0,-1 18 0,1 15 0,4 17 0,1-1 0,7-10 0,15-19 0,11-21 0,-1-18-8191</inkml:trace>
  <inkml:trace contextRef="#ctx0" brushRef="#br0" timeOffset="4707.22">6266 175 24575,'3'72'0,"4"-1"0,22 95 0,-2-14 0,-22-116 0,1-2 0,-2 1 0,0 62 0,-12-124 0,-13-81 0,5 0 0,5-1 0,4-177 0,8 271 0,0 0 0,1 0 0,0 0 0,1 0 0,1 0 0,10-27 0,-12 37 0,0 1 0,0 0 0,1 0 0,-1 0 0,1 0 0,0 1 0,0-1 0,0 1 0,1-1 0,-1 1 0,1 0 0,-1 1 0,1-1 0,0 0 0,0 1 0,0 0 0,1 0 0,-1 0 0,0 1 0,1-1 0,0 1 0,-1 0 0,1 1 0,-1-1 0,1 1 0,6 0 0,-6 0 9,0 1-1,0 0 1,0 0-1,-1 0 1,1 0-1,0 1 1,-1 0 0,1 0-1,-1 0 1,1 1-1,-1-1 1,0 1-1,5 5 1,-2-2-257,0 1 1,0 0-1,-1 0 1,0 0-1,9 16 1,1 10-6579</inkml:trace>
  <inkml:trace contextRef="#ctx0" brushRef="#br0" timeOffset="4863.74">6308 493 24575,'7'-3'0,"13"-9"0,18-13 0,16-10 0,11-5 0,-3 3 0,-12 9-8191</inkml:trace>
  <inkml:trace contextRef="#ctx0" brushRef="#br0" timeOffset="5800.63">318 3520 24575,'0'-7'0,"0"5"0,0 13 0,0 23 0,0 24 0,0 27 0,0 31 0,0 25 0,0 14 0,0-5 0,0-21 0,0-26 0,0-40 0,0-31-8191</inkml:trace>
  <inkml:trace contextRef="#ctx0" brushRef="#br0" timeOffset="6207.42">21 4007 24575,'-1'-4'0,"1"1"0,-1-1 0,0 0 0,0 0 0,0 0 0,-3-5 0,-3-15 0,5 9 0,0 0 0,2 0 0,0 0 0,1 0 0,0 0 0,1 0 0,1 0 0,0 1 0,1-1 0,0 1 0,2 0 0,-1 0 0,2 0 0,15-24 0,-3 8 0,2 1 0,1 1 0,2 1 0,0 1 0,32-26 0,-29 29 0,1 2 0,0 0 0,2 2 0,0 2 0,1 0 0,1 2 0,0 2 0,1 0 0,1 3 0,56-12 0,-81 21 0,1 0 0,-1 1 0,1-1 0,-1 2 0,1 0 0,-1 0 0,0 0 0,1 1 0,-1 1 0,0-1 0,0 2 0,0-1 0,-1 1 0,11 6 0,-14-6 0,0 0 0,0 0 0,0 0 0,0 1 0,-1-1 0,0 1 0,0 0 0,0 1 0,-1-1 0,1 0 0,-1 1 0,-1 0 0,1 0 0,-1 0 0,0 0 0,0 0 0,-1 0 0,0 1 0,0-1 0,0 0 0,-1 1 0,0 7 0,-1 4 0,-1 0 0,-1 1 0,-1-1 0,0 0 0,-2-1 0,-8 22 0,-55 101 0,29-69 0,-4-1 0,-2-2 0,-3-2 0,-91 93 0,112-128 0,27-31 0,1 1 0,-1-1 0,1 0 0,0 1 0,-1-1 0,1 1 0,0-1 0,0 0 0,-1 1 0,1-1 0,0 1 0,0-1 0,0 1 0,-1-1 0,1 1 0,0-1 0,0 1 0,0-1 0,0 1 0,0-1 0,0 1 0,0-1 0,0 1 0,0-1 0,0 1 0,0-1 0,1 1 0,-1-1 0,0 0 0,0 1 0,0-1 0,1 1 0,-1-1 0,0 1 0,0-1 0,1 0 0,-1 1 0,0-1 0,1 1 0,-1-1 0,0 0 0,1 0 0,-1 1 0,1-1 0,-1 0 0,1 0 0,-1 1 0,1-1 0,28 5 0,-18-5 0,5 3 0,1 1 0,-1 0 0,1 2 0,-2 0 0,31 15 0,68 51 0,-101-64 0,-7-3-91,1 0 0,-1-1 0,1 0 0,1 0 0,-1-1 0,0 0 0,1 0 0,-1-1 0,1 1 0,0-2 0,0 1 0,0-1 0,0-1 0,10 1 0,14-7-6735</inkml:trace>
  <inkml:trace contextRef="#ctx0" brushRef="#br0" timeOffset="6984.56">868 4218 24575,'3'3'0,"1"-1"0,-1 0 0,1-1 0,0 1 0,0-1 0,0 1 0,0-1 0,0 0 0,0-1 0,0 1 0,1-1 0,-1 0 0,6 0 0,4 1 0,-7-1 0,-1 1 0,1-1 0,0 0 0,-1-1 0,1 1 0,0-1 0,-1-1 0,1 1 0,0-1 0,-1 0 0,0-1 0,0 0 0,0 1 0,0-2 0,0 1 0,0-1 0,-1 0 0,8-7 0,-8 5 0,1 0 0,-1-1 0,-1 0 0,1 0 0,-1 0 0,-1-1 0,1 1 0,-1-1 0,0 0 0,-1 0 0,0 0 0,0 0 0,-1 0 0,1-14 0,-2 12 0,0 1 0,0-1 0,-1 0 0,-1 1 0,1-1 0,-5-9 0,6 16 0,-1 0 0,0 0 0,0 0 0,-1 0 0,1 0 0,0 0 0,-1 0 0,0 0 0,0 1 0,0-1 0,0 1 0,0 0 0,0-1 0,-1 1 0,1 0 0,-1 0 0,1 0 0,-1 1 0,0-1 0,0 1 0,-5-3 0,6 4 0,1 0 0,-1-1 0,0 1 0,1 0 0,-1 0 0,0 0 0,1 1 0,-1-1 0,0 0 0,1 0 0,-1 1 0,1-1 0,-1 1 0,1 0 0,-1-1 0,1 1 0,-1 0 0,1 0 0,-3 2 0,1-1 0,0 1 0,1 1 0,-1-1 0,0 0 0,1 0 0,0 1 0,-3 6 0,-1 4 0,1 0 0,1-1 0,-5 24 0,6-21 0,1 1 0,0-1 0,1 0 0,1 1 0,0-1 0,6 32 0,-5-44 0,0 1 0,0-1 0,1 0 0,0 1 0,-1-1 0,1 0 0,1 0 0,-1 0 0,1-1 0,-1 1 0,1-1 0,6 7 0,-6-8 0,0 0 0,0 0 0,1-1 0,-1 1 0,0-1 0,1 1 0,-1-1 0,1 0 0,-1 0 0,1-1 0,0 1 0,-1-1 0,1 0 0,0 0 0,-1 0 0,1 0 0,-1-1 0,6 0 0,2-2 0,0 0 0,-1-1 0,1-1 0,-1 1 0,1-2 0,-2 1 0,1-1 0,-1-1 0,1 0 0,-2 0 0,15-15 0,-1-2 0,-1 0 0,34-54 0,-33 39 0,-1-1 0,-2-1 0,-1-1 0,-3 0 0,-1-1 0,-3-1 0,-1 0 0,-2-1 0,-2 1 0,-2-1 0,-3-58 0,-1 93 0,-4-44 0,4 51 0,-1 0 0,0 0 0,1 0 0,-1 0 0,0 0 0,0 0 0,-1 0 0,1 0 0,-1 0 0,1 1 0,-1-1 0,0 1 0,-2-4 0,3 6 0,1-1 0,-1 1 0,1 0 0,-1-1 0,1 1 0,-1 0 0,0 0 0,1-1 0,-1 1 0,1 0 0,-1 0 0,0 0 0,1 0 0,-1 0 0,1 0 0,-1 0 0,0 0 0,1 0 0,-1 0 0,0 0 0,1 0 0,-1 0 0,1 0 0,-1 1 0,0-1 0,1 0 0,-1 0 0,1 1 0,-1-1 0,1 0 0,-1 1 0,1-1 0,-1 1 0,1-1 0,-1 1 0,1-1 0,0 1 0,-1-1 0,1 1 0,0-1 0,-1 1 0,1-1 0,0 1 0,0-1 0,-1 2 0,-12 31 0,4 14 0,1 0 0,3 0 0,1 82 0,2-75 0,0 198 0,10-1 0,63 387 0,-60-573 0,39 185 0,-42-227 0,-6-45 0,-27-368 0,8 195 0,9-205 0,10 354 0,15-80 0,-15 115 0,0 0 0,1 0 0,1 0 0,0 1 0,0-1 0,1 1 0,0 0 0,1 1 0,0-1 0,0 1 0,1 0 0,14-13 0,-19 20 0,-1 0 0,2 1 0,-1-1 0,0 0 0,0 1 0,0 0 0,1-1 0,-1 1 0,1 0 0,-1 0 0,1 1 0,-1-1 0,1 0 0,-1 1 0,1 0 0,0-1 0,-1 1 0,1 0 0,0 0 0,-1 1 0,1-1 0,3 1 0,-3 1 0,0-1 0,-1 0 0,1 1 0,-1 0 0,0-1 0,1 1 0,-1 0 0,0 0 0,0 1 0,0-1 0,0 0 0,-1 1 0,1-1 0,-1 1 0,1-1 0,-1 1 0,0 0 0,0-1 0,0 1 0,0 4 0,2 5 7,-1 0-1,0 0 0,-1 0 0,0 1 1,-1-1-1,0 1 0,-1-1 1,-1 0-1,0 0 0,0 1 1,-2-1-1,1-1 0,-1 1 0,-1 0 1,0-1-1,-1 0 0,0 0 1,-10 13-1,3-7-155,0 0 1,-1-1-1,-1-1 1,0 0-1,-1-1 1,-1-1-1,0-1 1,-1 0-1,-37 18 1,26-18-6678</inkml:trace>
  <inkml:trace contextRef="#ctx0" brushRef="#br0" timeOffset="7719.4">1545 4197 24575,'10'0'0,"1"-1"0,-1-1 0,1 0 0,-1 0 0,1-1 0,-1 0 0,0-1 0,0 0 0,0 0 0,-1-1 0,0-1 0,0 0 0,0 0 0,-1 0 0,1-1 0,-2-1 0,1 1 0,-1-1 0,13-18 0,-6 5 0,-1-1 0,0-1 0,-2 0 0,0 0 0,-2-1 0,-1 0 0,8-34 0,-12 33 0,0 0 0,-2-1 0,-1 1 0,-1 0 0,-1-1 0,-5-29 0,-5-7 0,-24-77 0,24 102 0,-1 0 0,-29-57 0,39 91 0,1 0 0,-1 0 0,0 1 0,0-1 0,0 0 0,0 1 0,0-1 0,-1 1 0,-2-3 0,4 5 0,1 0 0,-1-1 0,1 1 0,-1 0 0,1 0 0,0 0 0,-1-1 0,0 1 0,1 0 0,-1 0 0,1 0 0,-1 0 0,1 0 0,-1 0 0,1 0 0,-1 0 0,1 0 0,-1 0 0,1 0 0,-1 1 0,1-1 0,-1 0 0,1 0 0,-1 0 0,1 1 0,-1-1 0,1 0 0,0 0 0,-1 1 0,1-1 0,-1 0 0,1 1 0,-1 0 0,-2 4 0,1 0 0,0 0 0,0 0 0,0 0 0,0 1 0,1-1 0,0 1 0,0-1 0,-1 9 0,-2 33 0,2 0 0,2 1 0,2-1 0,3 1 0,1-1 0,2 0 0,17 53 0,-22-90 0,1 1 0,0 0 0,1-1 0,0 0 0,0 0 0,1 0 0,0-1 0,1 0 0,0 0 0,0-1 0,16 14 0,-15-16 0,0 0 0,1-1 0,-1 0 0,1-1 0,0 0 0,1 0 0,-1-1 0,1 0 0,-1-1 0,1 0 0,0 0 0,0-1 0,14 0 0,0-2 0,-1-1 0,1 0 0,0-2 0,-1-1 0,0 0 0,35-14 0,-23 4 0,-1 0 0,-1-2 0,46-31 0,-72 43 0,0 0 0,0 0 0,0-1 0,-1 0 0,0 0 0,0-1 0,8-11 0,-12 16 0,-1 0 0,0 0 0,0 0 0,0-1 0,-1 1 0,1 0 0,0-1 0,-1 1 0,1 0 0,-1-1 0,0 1 0,0-1 0,0 1 0,0 0 0,-1-1 0,1 1 0,0-1 0,-1 1 0,0 0 0,1-1 0,-1 1 0,0 0 0,0 0 0,-1 0 0,1 0 0,0 0 0,-1 0 0,1 0 0,-1 0 0,1 0 0,-3-1 0,-59-56 0,56 53 0,0 1 0,0 0 0,0 1 0,-1-1 0,0 2 0,1-1 0,-17-4 0,21 7 0,0 1 0,0 0 0,-1-1 0,1 1 0,0 1 0,0-1 0,0 0 0,0 1 0,0 0 0,0 0 0,0-1 0,1 2 0,-1-1 0,0 0 0,0 1 0,1-1 0,-1 1 0,1 0 0,-1 0 0,1 0 0,0 0 0,0 0 0,0 0 0,0 1 0,0-1 0,0 1 0,0-1 0,1 1 0,0 0 0,-2 2 0,-3 8 0,1 0 0,0 1 0,1-1 0,0 1 0,-2 14 0,2-6 0,1 1 0,1-1 0,1 33 0,2-48 0,-1-1 0,1 1 0,1-1 0,-1 1 0,1-1 0,0 0 0,4 8 0,-5-12 0,1 1 0,0 0 0,-1 0 0,1-1 0,1 1 0,-1-1 0,0 0 0,0 0 0,1 1 0,0-1 0,-1-1 0,1 1 0,0 0 0,0-1 0,4 2 0,-3-1 0,0-1 0,0 0 0,0-1 0,0 1 0,0-1 0,1 1 0,-1-1 0,0-1 0,0 1 0,0 0 0,1-1 0,-1 0 0,0 0 0,0 0 0,0-1 0,0 1 0,-1-1 0,1 0 0,0 0 0,-1 0 0,1-1 0,-1 1 0,0-1 0,0 0 0,0 0 0,4-4 0,0-1 0,-1 0 0,-1 0 0,1 0 0,-1-1 0,-1 0 0,1 0 0,-1 0 0,-1 0 0,0 0 0,2-12 0,2-71 0,-7 100 0,-1 0 0,1 1 0,1-1 0,-1 1 0,2-1 0,-1 1 0,1-1 0,0 0 0,1 0 0,0 0 0,0 0 0,1-1 0,0 1 0,0-1 0,1 0 0,0 0 0,0 0 0,0-1 0,1 1 0,10 7 0,-7-6 0,1-1 0,0-1 0,0 0 0,1 0 0,-1-1 0,1-1 0,0 1 0,0-2 0,1 0 0,-1 0 0,1-1 0,0 0 0,0-1 0,18 0 0,-11-3-105,1 0 0,-1-2 0,1 0 0,-1-1 0,0-1 0,-1-1 0,0-1 0,0 0 0,0-1 0,-1-1 0,0-1 0,29-24 0,-5-1-6721</inkml:trace>
  <inkml:trace contextRef="#ctx0" brushRef="#br0" timeOffset="8186.42">2731 3583 24575,'9'-13'0,"3"-3"0,-12 16 0,0-1 0,1 1 0,-1 0 0,0-1 0,0 1 0,0 0 0,0-1 0,1 1 0,-1-1 0,0 1 0,0 0 0,0-1 0,0 1 0,0-1 0,0 1 0,0 0 0,0-1 0,0 1 0,0 0 0,-1-1 0,1 1 0,0-1 0,0 1 0,0 0 0,0-1 0,0 1 0,-1 0 0,1-1 0,0 1 0,0 0 0,-1-1 0,1 1 0,0 0 0,0 0 0,-1-1 0,0 1 0,0 0 0,1-1 0,-1 1 0,0 0 0,0 0 0,0 0 0,0 0 0,0 0 0,0 0 0,0 0 0,1 0 0,-1 0 0,0 1 0,0-1 0,0 0 0,0 1 0,1-1 0,-1 0 0,0 1 0,0-1 0,0 1 0,1-1 0,-2 2 0,-17 14 0,5-1 0,2 1 0,-1 0 0,2 1 0,0 0 0,2 1 0,-1 0 0,2 1 0,1-1 0,0 2 0,1-1 0,-4 24 0,10-39 0,-1 1 0,1-1 0,0 0 0,0 1 0,1-1 0,-1 0 0,1 0 0,0 1 0,0-1 0,0 0 0,0 0 0,1 0 0,0 0 0,0 0 0,0-1 0,0 1 0,1 0 0,-1-1 0,1 0 0,0 1 0,0-1 0,0 0 0,0-1 0,1 1 0,-1 0 0,1-1 0,-1 0 0,1 0 0,0 0 0,0 0 0,0-1 0,0 1 0,7 0 0,-2 1 0,1-1 0,0-1 0,-1 0 0,1 0 0,0 0 0,0-2 0,0 1 0,0-1 0,-1 0 0,1-1 0,0 0 0,-1-1 0,15-6 0,-13 3 0,-1-1 0,0 0 0,0 0 0,0-1 0,-1 0 0,-1-1 0,1 0 0,-1 0 0,-1-1 0,0 0 0,0-1 0,-1 1 0,0-1 0,-1 0 0,0-1 0,-1 1 0,0-1 0,-1 0 0,0 0 0,-1 0 0,-1 0 0,0 0 0,0 0 0,-1-1 0,-2-18 0,1 28 0,1 1 0,-1-1 0,1 1 0,-1 0 0,0-1 0,0 1 0,0 0 0,0 0 0,0 0 0,-2-3 0,2 4 0,1 0 0,-1 1 0,1-1 0,-1 1 0,0-1 0,1 1 0,-1-1 0,0 1 0,1 0 0,-1-1 0,0 1 0,0 0 0,1-1 0,-1 1 0,0 0 0,0 0 0,1 0 0,-1 0 0,0 0 0,0 0 0,-1 0 0,0 0 0,0 1 0,0 0 0,0 0 0,0 0 0,0 0 0,0 1 0,0-1 0,0 1 0,0-1 0,1 1 0,-1-1 0,1 1 0,-1 0 0,1 0 0,0 0 0,0 0 0,-1 0 0,1 0 0,1 0 0,-2 3 0,-1 2 0,0 1 0,1-1 0,0 1 0,1 0 0,0 0 0,0 0 0,1-1 0,-1 1 0,2 0 0,-1 0 0,1 0 0,0 0 0,1-1 0,0 1 0,0 0 0,1-1 0,0 0 0,4 8 0,-4-9 0,0-1 0,1 0 0,-1 0 0,1 0 0,0 0 0,1-1 0,-1 1 0,1-1 0,0 0 0,0-1 0,0 1 0,0-1 0,1 0 0,-1 0 0,1-1 0,0 0 0,0 0 0,0 0 0,0 0 0,0-1 0,0 0 0,0-1 0,12 1 0,3-4-170,0 0-1,0-1 0,0-2 1,-1 0-1,0-1 0,0-1 1,33-18-1,8-7-6655</inkml:trace>
  <inkml:trace contextRef="#ctx0" brushRef="#br0" timeOffset="8687.32">3323 3604 24575,'29'-1'0,"0"-2"0,0 0 0,0-3 0,-1 0 0,44-16 0,132-64 0,-181 75 0,121-61 0,-121 59 0,0-1 0,-1-1 0,38-36 0,-56 48 0,-1 0 0,1 0 0,-1-1 0,0 1 0,0-1 0,0 0 0,-1 0 0,1 0 0,-1 0 0,0 0 0,0 0 0,-1-1 0,1 1 0,-1-1 0,0 1 0,0-1 0,-1 0 0,1 1 0,-1-1 0,0 0 0,0 1 0,0-1 0,-1 1 0,0-1 0,0 0 0,0 1 0,0-1 0,-1 1 0,0 0 0,0-1 0,0 1 0,0 0 0,0 0 0,-1 0 0,0 1 0,0-1 0,0 1 0,0-1 0,-5-2 0,20 19 15,-2 1 0,0 0 0,0 1 0,-2 0 0,0 0 0,0 1 0,8 27 0,-10-27-164,-1 0 1,-1 0-1,-1 1 1,0-1-1,-1 0 1,-1 1-1,-1 0 1,0-1-1,-4 32 1,-9 0-6678</inkml:trace>
  <inkml:trace contextRef="#ctx0" brushRef="#br0" timeOffset="9611.34">4805 2652 24575,'-1'-12'0,"1"0"0,-2 0 0,1 0 0,-2 0 0,1 0 0,-10-23 0,11 32 0,0 0 0,0 1 0,0-1 0,0 0 0,-1 1 0,1-1 0,-1 1 0,0 0 0,0-1 0,0 1 0,0 0 0,0 0 0,0 0 0,-1 1 0,1-1 0,0 0 0,-1 1 0,1-1 0,-1 1 0,0 0 0,0 0 0,1 0 0,-1 0 0,0 1 0,0-1 0,0 1 0,0 0 0,0-1 0,0 1 0,1 1 0,-1-1 0,0 0 0,0 1 0,-5 1 0,3 0 0,0 0 0,0 0 0,0 1 0,1 0 0,-1 0 0,1 0 0,0 0 0,0 1 0,0-1 0,0 1 0,0 0 0,1 1 0,0-1 0,-5 9 0,-2 5 0,1 1 0,-11 32 0,9-17 0,2 2 0,1 0 0,2 0 0,1 0 0,2 0 0,1 1 0,7 69 0,0-65 0,1-1 0,2 1 0,2-2 0,2 0 0,1 0 0,34 68 0,-39-93 0,0 0 0,1 0 0,0-1 0,1 0 0,0-1 0,1 0 0,1-1 0,0 0 0,0 0 0,26 14 0,-31-20 0,1-1 0,0-1 0,-1 0 0,2 0 0,-1 0 0,0-1 0,0-1 0,1 1 0,-1-1 0,1-1 0,-1 1 0,1-1 0,0-1 0,-1 0 0,1 0 0,-1-1 0,0 1 0,0-2 0,1 1 0,-1-2 0,14-6 0,-10 3 0,0 0 0,0-1 0,-1 0 0,0-1 0,0-1 0,-1 1 0,0-2 0,-1 1 0,13-20 0,-11 12 0,-1 0 0,0-1 0,-2 0 0,0-1 0,9-36 0,-7 2 0,-2 0 0,-2-1 0,-3 1 0,-4-61 0,0 90 0,1-8 0,-2 0 0,0 0 0,-13-53 0,14 123 0,5 7-273,3-2 0,1 1 0,3-1 0,22 60 0,-8-44-6553</inkml:trace>
  <inkml:trace contextRef="#ctx0" brushRef="#br0" timeOffset="10293.56">4953 3181 24575,'13'0'0,"0"-2"0,0 1 0,0-2 0,-1 0 0,1 0 0,0-1 0,12-7 0,83-45 0,-99 51 0,47-27 0,92-71 0,-131 90 0,0-1 0,-2-1 0,0-1 0,0 0 0,-2-1 0,0 0 0,-1-1 0,0-1 0,10-25 0,-21 42 0,0-1 0,0 1 0,0-1 0,0 0 0,0 1 0,-1-1 0,1 0 0,-1 0 0,0 0 0,0 1 0,0-1 0,0 0 0,0 0 0,-1 0 0,1 1 0,-1-1 0,0 0 0,0 0 0,0 1 0,0-1 0,0 1 0,-3-5 0,2 5 0,0 1 0,1 0 0,-1 0 0,0-1 0,0 1 0,0 0 0,1 1 0,-1-1 0,0 0 0,0 0 0,0 1 0,-1 0 0,1-1 0,0 1 0,0 0 0,0 0 0,0 0 0,0 0 0,0 0 0,0 0 0,0 1 0,0-1 0,0 1 0,0-1 0,0 1 0,0 0 0,0 0 0,0 0 0,0 0 0,0 0 0,-1 2 0,-5 2 0,1 0 0,0 0 0,0 1 0,0 0 0,1 0 0,0 1 0,-8 10 0,12-14 0,0-1 0,0 1 0,1 0 0,-1-1 0,0 1 0,1 0 0,0 0 0,0 0 0,0 0 0,0 0 0,0 0 0,0 1 0,1-1 0,0 0 0,0 0 0,0 1 0,0-1 0,0 0 0,0 0 0,1 0 0,0 1 0,-1-1 0,3 5 0,-1-5 0,0-1 0,0 1 0,1-1 0,-1 0 0,0 0 0,1 0 0,-1 0 0,1 0 0,0-1 0,-1 1 0,1-1 0,0 0 0,0 0 0,0 0 0,0 0 0,0 0 0,6 0 0,58 3 0,-55-3 0,3-2 0,-1 0 0,1 0 0,-1-1 0,0-1 0,0-1 0,0 0 0,0 0 0,0-2 0,-1 1 0,13-9 0,-25 14 0,-1-1 0,0 1 0,1 0 0,-1 0 0,0 0 0,1 0 0,-1 0 0,0 0 0,1 0 0,-1 0 0,1 0 0,-1 0 0,0 1 0,1-1 0,-1 0 0,0 0 0,1 0 0,-1 0 0,0 0 0,0 1 0,1-1 0,-1 0 0,0 0 0,1 0 0,-1 1 0,0-1 0,0 0 0,1 0 0,-1 1 0,0-1 0,0 0 0,0 1 0,0-1 0,1 0 0,-1 1 0,0-1 0,0 0 0,0 1 0,0-1 0,0 0 0,0 1 0,0-1 0,0 0 0,0 1 0,0-1 0,0 1 0,0-1 0,0 0 0,0 1 0,0-1 0,-1 1 0,1 24 0,-1-22 0,0 9 0,0 0 0,1 0 0,1 0 0,-1-1 0,2 1 0,0 0 0,3 13 0,-3-21 0,0 1 0,0 0 0,1-1 0,0 1 0,-1-1 0,1 0 0,1 0 0,-1 0 0,1 0 0,-1-1 0,1 1 0,0-1 0,0 0 0,0 0 0,1-1 0,-1 1 0,1-1 0,0 0 0,6 2 0,-5-1 0,-1-1 0,1 0 0,0-1 0,0 0 0,0 1 0,0-2 0,0 1 0,0-1 0,0 0 0,0 0 0,0-1 0,0 1 0,0-2 0,0 1 0,0 0 0,0-1 0,-1 0 0,1-1 0,0 1 0,-1-1 0,0 0 0,0 0 0,0-1 0,0 1 0,0-1 0,-1 0 0,1-1 0,-1 1 0,0-1 0,-1 0 0,1 0 0,3-8 0,6-8 0,-2-1 0,-1-1 0,0 1 0,-2-2 0,-1 1 0,0-1 0,-2 0 0,2-27 0,-2 1 0,-3-1 0,-7-96 0,3 124 0,-1 1 0,-1 0 0,-2 0 0,0 0 0,-13-30 0,18 49 0,0-1 0,-1 1 0,1 0 0,-1 0 0,0 0 0,0 1 0,0-1 0,0 0 0,-1 1 0,1-1 0,-1 1 0,1 0 0,-1 0 0,0 0 0,0 0 0,0 0 0,-5-2 0,6 4 0,-1 0 0,1 0 0,0 0 0,0 0 0,-1 0 0,1 0 0,0 1 0,0-1 0,-1 1 0,1 0 0,0-1 0,0 1 0,0 0 0,0 0 0,0 1 0,0-1 0,0 0 0,0 1 0,1-1 0,-1 1 0,0-1 0,1 1 0,-1 0 0,1 0 0,0 0 0,-2 3 0,-5 8 0,0 0 0,2 1 0,0 0 0,0 0 0,1 0 0,1 0 0,0 1 0,1 0 0,-1 23 0,1-5 0,3 1 0,0-1 0,7 42 0,-5-57 0,1 0 0,1-1 0,1 0 0,1 0 0,0 0 0,1-1 0,0 1 0,14 20 0,-16-29 0,1-1 0,-1 0 0,1 0 0,0-1 0,1 1 0,0-1 0,0-1 0,0 1 0,0-1 0,1 0 0,0-1 0,0 0 0,0 0 0,1-1 0,-1 0 0,1 0 0,0-1 0,12 1 0,-9-2-170,1-1-1,0 0 0,0-1 1,0 0-1,0-2 0,0 1 1,18-7-1,21-10-6655</inkml:trace>
  <inkml:trace contextRef="#ctx0" brushRef="#br0" timeOffset="10498.83">6329 2694 24575,'7'0'0,"6"0"0,12-10 0,12-12 0,11-8 0,7 0 0,3-5 0,-2 3 0,-11 4 0,-13 6-8191</inkml:trace>
  <inkml:trace contextRef="#ctx0" brushRef="#br0" timeOffset="10713.83">6456 2313 24575,'0'8'0,"3"5"0,2 12 0,-1 15 0,7 17 0,2 11 0,-2 14 0,-3 2 0,5-1 0,-1-8 0,6-17 0,3-15 0,5-14 0,-1-12-8191</inkml:trace>
  <inkml:trace contextRef="#ctx0" brushRef="#br0" timeOffset="10996.84">6922 2059 24575,'2'-26'0,"2"20"0,3 19 0,6 32 0,-3 0 0,7 57 0,-5-22 0,55 358 0,-63-412 0,12 37 0,-13-55 0,0 0 0,1 0 0,-1 0 0,1-1 0,1 1 0,0-1 0,0 0 0,6 7 0,-10-13-36,0 0 0,-1 0 0,1 0 1,0 0-1,-1 0 0,1 0 0,0-1 0,0 1 0,0 0 0,0 0 0,0-1 0,0 1 0,0-1 0,0 1 0,0-1 0,0 1 0,0-1 1,0 1-1,0-1 0,0 0 0,0 0 0,1 0 0,-1 0 0,0 0 0,0 0 0,0 0 0,0 0 0,1 0 0,-1 0 0,0 0 0,0-1 1,0 1-1,0-1 0,0 1 0,0-1 0,0 1 0,2-2 0,9-14-6790</inkml:trace>
  <inkml:trace contextRef="#ctx0" brushRef="#br0" timeOffset="11343.79">6943 2652 24575,'18'-1'0,"0"-1"0,1 0 0,-1-2 0,0 0 0,0-1 0,-1-1 0,0-1 0,0 0 0,0-1 0,-1-1 0,0-1 0,-1 0 0,0-1 0,0 0 0,-1-2 0,17-19 0,-20 18 0,-1-1 0,0-1 0,-2 1 0,0-2 0,0 1 0,-2-1 0,0 0 0,-1 0 0,-1-1 0,3-21 0,-3 5 0,-1-2 0,-2 1 0,-1 0 0,-6-42 0,-3 26 0,8 49 0,1-1 0,-1 1 0,0 0 0,0 0 0,0 0 0,0-1 0,0 1 0,0 0 0,0 1 0,-1-1 0,1 0 0,-1 0 0,1 0 0,-1 1 0,0-1 0,0 1 0,-3-3 0,4 4 0,0 0 0,0 0 0,0 0 0,0 0 0,0 0 0,-1 0 0,1 0 0,0 0 0,0 0 0,0 0 0,0 1 0,0-1 0,0 0 0,0 1 0,0-1 0,0 1 0,0-1 0,1 1 0,-1-1 0,0 1 0,0 0 0,0-1 0,1 1 0,-1 0 0,0 0 0,1 0 0,-1 0 0,0-1 0,1 1 0,-1 0 0,1 0 0,0 0 0,-1 2 0,-14 38 0,15-41 0,-8 34 0,1 1 0,2 0 0,1 0 0,2 0 0,5 63 0,1-54 0,2 0 0,2-1 0,2 0 0,19 53 0,-20-72-273,1 1 0,2-2 0,0 0 0,30 43 0,-21-40-6553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20.31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33.06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8:03.34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19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6666 3520 8192,'-7'0'18022,"17"-5"-18022,19-11 0,27-13 0,21-13 0,12-7 0,1 0 0,-11 8 0,-17 4 0,-20 8 0</inkml:trace>
  <inkml:trace contextRef="#ctx0" brushRef="#br0" timeOffset="217.67">6854 3149 8192,'5'0'11332,"6"0"-11332,4 2 0,5 9 6690,-2 7-6690,4 9 0,-2 12 0,1 6 0,-4 8 0,3-2 0,-1-6 0,5-12 0,3-10 0,-3-11 0</inkml:trace>
  <inkml:trace contextRef="#ctx0" brushRef="#br0" timeOffset="513.02">7346 3020 8192,'3'-10'13198,"-2"9"-12727,-1 1-230,1 0 1,0 1-1,0-1 0,-1 0 1,0 0-1,1 0 0,0 0 1,-1 0-1,1 1 1,0-1-1,-1 0 0,0 1 1,1-1-1,0 0 0,-1 1 1,0-1-1,1 1 0,18 23-232,13 34-269,-11-17 490,50 72 0,-63-102-602,0-1-1,0 0 1,1-1-1,1 0 1,-1 0-1,2-1 0,0-1 1,0 1-1,-1-2 1,2 0-1,18 8 1,-24-12-96,-1 0 1,1-1 0,0 1-1,-1-2 1,1 1-1,0 0 1,-1-1 0,1 0-1,0 0 1,-1-1-1,1 0 1,-1 0-1,1 0 1,0-1 0,-1 0-1,1 0 1,-1 0-1,0 0 1,7-5 0,-6 3 144,1-1 0,-1 0 0,0-1-1,0 0 1,0 0 0,-1 0 0,0-1 0,0 0 0,-1 1 0,0-2 0,0 1 0,5-15 0,-4 9 310,-2-1 0,0 0 0,-1 0 0,0-1 0,0 1 0,-1 0 0,-1 0-1,-1-1 1,-1 1 0,0 0 0,0-1 0,-2 1 0,1 1 0,-2-1 0,0 1 0,-6-13 0,3 11 14,1 0 0,-2 1 1,1 0-1,-3 1 0,2 1 1,-2-1-1,-1 1 0,1 0 0,-2 1 1,1 1-1,-2 0 0,1 1 0,-26-13 1,-11 3-2</inkml:trace>
  <inkml:trace contextRef="#ctx0" brushRef="#br0" timeOffset="-4342.98">4454 1137 8192,'-1'-25'10077,"0"-1"-4172,-8-22-2737,7 40-3262,0 1 0,0-1 0,-2 2 0,2-1 0,-3 0 0,2 0 0,-1 1 0,-1 0 0,0 0 0,1-1 0,-9-5 0,7 7 94,0 0 0,0-1 0,-1 1 0,-1 1 0,2 0 0,-14-6 0,18 9 0,-1 0 0,1 0 0,-1 0 0,1 1 0,0 0 0,-1-1 0,1 1 0,0-1 0,-1 1 0,1 0 0,-1 1 0,1-1 0,-1 1 0,1-1 0,0 0 0,-1 1 0,1 0 0,0-1 0,0 2 0,0-2 0,-1 2 0,1-1 0,0 0 0,0 1 0,0-1 0,0 0 0,-2 4 0,0 0-31,0-1 0,1 2 1,-1-1-1,1 1 0,1-1 1,-1 1-1,0 0 1,1 0-1,-1 9 0,-2 7-968,-1 30-1,5-47 830,-4 56-3278,6 104-1,2-130 1927,2-1 0,0 0-1,3 0 1,17 50 0,-20-70 1414,1-1 0,1 0 1,-1-1-1,2 0 1,0 0-1,1-1 0,0 0 1,0 0-1,22 18 1,-26-25 108,0-1 1,0 1-1,1 0 1,-1-1-1,1 0 1,-1 0-1,1-1 1,0 0-1,0 0 1,0 0-1,0-1 1,0 0-1,0 0 1,1 0 0,-1-1-1,1 0 1,-1 0-1,1 0 1,-1-1-1,0 0 1,0-1-1,0 1 1,0-1-1,11-4 1,-10 1-2,1 0 0,0 1 0,-1-2 0,0 0 0,0 0 0,0 0 0,-1-1 0,0 1 0,0-2 0,-1 1 0,0-1 0,0 0 0,0 1 0,-2-2 0,4-8 0,1-5 0,0 0 0,-2 0 0,-2-1 0,5-40 0,-7 28-17,-2 1 1,0-2-1,-9-40 1,3 39 3486,-7-3 10909,11 57-14700,3 43-2680,2 2-1,4-2 0,2 1 0,18 60 1,12 14 940,-34-120 2005,1-1 0,1 0 0,1 0-1,-1 0 1,2-1 0,18 22 0,-2-14 56,-5-11 0</inkml:trace>
  <inkml:trace contextRef="#ctx0" brushRef="#br0" timeOffset="-3652.97">4555 1608 8192,'45'-4'11379,"-1"-6"-5749,-28 4-5465,0 0-1,-1-1 0,22-13 1,-19 7-2023,0 1 1,-1-1 0,30-31-1,-13 4 1382,-26 29 1340,-1 1-1,0-1 0,5-13 1,-10 21-544,1 0 1,-2-1-1,0 0 1,0 1-1,0-1 0,0 0 1,0 0-1,-1 0 1,0 1-1,1-1 1,-1 0-1,0 0 1,-1 0-1,0-4 1,1 7-350,-1 0 0,1 0 0,0 0 0,-1 1 0,0-2 0,1 2 0,-1-1 0,0 0 0,1 1 0,-1-1 0,0 0 0,0 0 0,1 1 0,-2-1 1,2 0-1,-1 1 0,0-1 0,0 1 0,0-1 0,0 1 0,0 0 0,0 0 0,0-1 0,0 1 0,0 0 0,0 0 0,-1 0 0,2 0 0,-2 0 0,2 0 1,-2 0-1,2 0 0,-2 1 0,2-1 0,-2 0 0,2 0 0,-3 2 0,-1-1-327,0 1 0,0 0 1,0-1-1,0 1 0,1 1 0,-1-1 1,-6 6-1,7-5-186,-1 0 0,1 1 0,1 1 0,-1-2 0,0 1 0,0 1 0,1-1-1,0 0 1,1 0 0,-1 1 0,1-1 0,0 1 0,0 0 0,0-1 0,0 1 0,1 5 0,0-7 628,0 0 1,1-1-1,-1 1 1,1 0-1,-1 0 1,1 0-1,0-1 0,0 0 1,0 1-1,1 0 1,-1 0-1,2 1 1,-1-2 367,0 0 0,0 0 0,0 0 0,1 0 0,-1 0 0,0 0 0,1 0 0,-1-1 0,1 0 0,-1 1 0,1-1 0,0 0 0,4 1 0,1 0 882,1-1 1,0 1 0,10 0-1,4-2-1245,22-4 0,-1 1 62,-43 3-153,0 0 0,-1 0 0,0 0 0,1 0 0,0 0 0,-1 1 0,1-1 0,0 0 0,-1 0 0,0 0 0,1 0 0,0 0 0,-1 1 0,1-1 0,-1 0 0,1 1 0,-1-1 0,0 0 0,1 1 0,0-1 0,-1 1 0,0-1 0,0 0 0,1 1 0,-1 0 0,1-1 0,-1 0 0,1 1 0,-1 0 0,0-1 0,0 0 0,0 1 0,0 0 0,0-1 0,0 1 0,0 0 0,1-1 0,-1 0 0,0 1 0,-1 0 0,1 0 0,0 4 0,0 1 0,-2-1 0,-2 11 0,0 2 0,4-15-227,-1 1 0,1-1 0,0 0 0,0 1 0,1 0 0,0-1 1,-1 1-1,1-1 0,0 0 0,0 1 0,0-1 0,1 0 1,-1 1-1,1-2 0,0 2 0,0-1 0,0 0 0,0 0 0,0-1 1,5 5-1,-3-5-308,-2 0 1,2 0 0,-1 0-1,1-1 1,0 1 0,-1-1-1,1 1 1,0-2 0,-1 2 0,1-2-1,0 0 1,0 1 0,-1-1-1,1 0 1,0 0 0,0-1-1,0 1 1,-1 0 0,8-3-1,-1-1 315,1 0 0,0 0 0,0-1 0,-1 0 0,-1-1 0,1-1 0,0 1 0,-2-2 0,1 1 0,0 0 0,9-13 0,-6 6 230,0-1 0,-1-1 0,-1 0-1,0 0 1,-2-1 0,9-19 0,-12 23-10,-1 1 0,1-1 0,-3 0 0,1 0 0,-1-1 0,-1 1 0,1 0 0,-2 0 0,-1-1 0,0 1 0,0-1 0,-1 1 0,-1 0 0,0 0 0,-1 0 0,0 0 0,-7-11 0,10 21 0,0 1 0,0 0 0,0-1 0,-1 1 0,0 0 0,1 0 0,-1 0 0,0 0 0,0 0 0,0 1 0,0-1 0,0 0 0,-1 1 0,1 0 0,-3-2 0,4 3 0,1-1 0,-2 1 0,2 0 0,-1 0 0,-1 0 0,2 0 0,-2 0 0,2 0 0,-1 0 0,0 0 0,0 1 0,0-1 0,0 0 0,0 1 0,1-1 0,-1 0 0,-2 2 0,1-1 0,1 0 0,-1 1 0,0-1 0,1 1 0,-1-1 0,1 1 0,-1 0 0,2 0 0,-2 0 0,0 2 0,-3 7 0,1-1 0,-1 0 0,2 2 0,0-1 0,-3 22 0,-1 60 0,7-71 0,0 0 0,2-2 0,0 2 0,0 0 0,3-2 0,0 1 0,12 31 0,-13-42 0,0 0 0,1-1 0,1 0 0,-1 0 0,1 0 0,0-1 0,1 0 0,1 0 0,-1-1 0,1 0 0,0 0 0,0-1 0,1 0 0,0 0 0,0-1 0,0 0 0,15 6 0,-11-7 0,0-1 0,0 0 0,0-1 0,0 0 0,0-1 0,1 0 0,-1-1 0,17-2 0,35-8 0</inkml:trace>
  <inkml:trace contextRef="#ctx0" brushRef="#br0" timeOffset="-3405.27">5784 1408 8192,'2'0'18022,"9"0"-18022,9 0 0,12 0 0,14-6 0,12-5 0,7-7 0,1-3-2971,-5 1 2971,-11 4-5849,-14-1 5849,-12 3-7957</inkml:trace>
  <inkml:trace contextRef="#ctx0" brushRef="#br0" timeOffset="-3170.36">5957 1109 8192,'0'3'2971,"2"0"-2971,2 5 0,-1 8 5848,7 11 2109,1 11-7957,0 11 0,2 7-2971,-1 3 2971,3-1-5849,3-5 5849,4-12 2971,2-13-2971,-1-11 0</inkml:trace>
  <inkml:trace contextRef="#ctx0" brushRef="#br0" timeOffset="-2246.58">6796 767 8192,'-13'4'15812,"6"9"-12159,1 18-6171,6-27 3593,-5 267-1075,7-174 0,-2-78 1284,0 4-10703,1-45-468,-2-93 9887,2-140 0,0 227 0,1 1 0,1 0 0,2 0 0,7-29 0,-9 46 0,1 1 0,0 0 0,0 0 0,1 0 0,0 0 0,8-10 0,-9 14 0,0 1 0,0 0 0,0 0 0,1 0 0,-1 0 0,1 1 0,0-1 0,0 1 0,1 0 0,-1 1 0,10-4 0,-12 5 0,1 0 0,-1 0 0,0 0 0,1 1 0,-1-1 0,1 1 0,0 0 0,-1 0 0,1 0 0,0 1 0,-1-1 0,1 0 0,-1 2 0,0-2 0,1 2 0,-1-1 0,1 0 0,-1 1 0,0-1 0,0 1 0,0 0 0,0 0 0,0 0 0,0 1 0,0-1 0,-1 1 0,0-1 0,0 1 0,4 5 0,-3-4 0,-1 1 0,0 0 0,0-1 0,0 1 0,1 0 0,-2-1 0,0 2 0,0-2 0,0 2 0,-1-1 0,1 0 0,-1 0 0,0 0 0,0 0 0,-1 0 0,1 1 0,-2-1 0,1 0 0,0-1 0,-3 7 0,-8 13 934,-1-1-1,-19 27 1,7-13 5720,23-34-5817,1 0 0,-1-1 0,1 1-1,0 0 1,-1 0 0,2 0-1,-2 0 1,1 4 0,1-6-805,0-1 1,0 2-1,0-2 0,0 1 1,0 0-1,0 0 0,0 0 1,1 0-1,-1 0 1,1-1-1,-1 1 0,1 0 1,-1 0-1,0 0 0,1-1 1,0 1-1,-1 0 1,1-1-1,0 1 0,-1 0 1,1 0-1,0-1 0,-1 0 1,1 1-1,0 0 0,0-1 1,0 0-1,-1 0 1,1 1-1,1-1 0,0 1 1,9 1-33,-1 0 0,1 0 0,0-2 0,0 1 0,0-1 0,14-1 0,-9 0 0,1 1 0,20 2 0,-32-1 0,0-1 0,-1 2 0,1-1 0,-1 0 0,0 1 0,1 0 0,-1 0 0,0 0 0,0 0 0,0 0 0,0 1 0,5 5 0,-8-7 1,1 1 0,0-1 1,-1 1-1,0 0 0,1 0 0,-1-1 1,0 1-1,0 0 0,0 0 1,0 0-1,0 0 0,0 0 0,-1 0 1,0 0-1,1 0 0,0 0 1,-1 1-1,0-1 0,0 0 1,0 0-1,0 0 0,-1 1 0,1-1 1,-1 0-1,1 0 0,0 0 1,-1 0-1,0 0 0,0 0 1,0 0-1,0 0 0,-1 0 0,2-1 1,-2 1-1,1 0 0,-4 2 1,-2 4-89,0-1 0,-1-1 0,1 0 1,-1 0-1,-1 1 0,-15 6 0,-1 0-1585,-1 0-1,-1-3 0,0 0 1,0-1-1,-55 10 1,77-18 1116,0-1 0,0 0 0,0 0 0,0 0 1,0 0-1,0-1 0,0 0 0,1 0 1,-1 0-1,0-1 0,0 0 0,-5-2 1,-11-11 353</inkml:trace>
  <inkml:trace contextRef="#ctx0" brushRef="#br0" timeOffset="-1500.67">6160 2350 8192,'-4'6'8819,"15"-3"-8819,18-3 7350,21-6-7350,17-8-3356,4 0 3356,-4-6-5996,-10-5-821,-14 4 6817</inkml:trace>
  <inkml:trace contextRef="#ctx0" brushRef="#br0" timeOffset="-1295.98">6363 2036 8192,'-1'5'11332,"6"9"-4642,1 11-6690,6 14 0,0 13 0,7 9-3356,6 4 3356,4-4-5484,-1-7 5484,3-14-7956,-5-13 7956</inkml:trace>
  <inkml:trace contextRef="#ctx0" brushRef="#br0" timeOffset="-734.07">7085 1922 8192,'1'24'12586,"1"-1"-6848,1-7-5798,0-1-1,1 0 1,0 0-1,14 26 1,-1-3 60,23 51 0,-35-73 0,1-1 0,-2 1 0,5 30 0,-9-44-23,1-1-1,-1 1 1,0 0 0,0-1 0,0 1 0,0 0 0,-1 0 0,1-1 0,-1 1 0,1-1 0,-1 1 0,1 0 0,-1-1 0,0 1-1,1 0 1,-2-1 0,2 0 0,-1 1 0,0-1 0,-1 0 0,2 1 0,-2-1 0,1 0 0,-1 1 0,1-2 0,-2 2 0,-1 0 29,1 0 0,-1-1 1,0 0-1,0 1 0,0-2 1,0 1-1,0 0 1,0-1-1,-6 0 0,26 0 100,1-2 1,32-6-1,-32 4-1138,-1-1 1,31-14 0,-33 12-183,-2 1 1,1-2-1,-1 0 1,0-1-1,0 1 1,-1-2-1,0 0 1,-2-1-1,18-21 1,-3-11-113,-7 4 1326</inkml:trace>
  <inkml:trace contextRef="#ctx0" brushRef="#br0" timeOffset="-576.25">6652 2007 8192,'4'0'2971,"8"0"2877,13-4-5848,15-8 0,18-7 7957,18-12-7957,14-4-2971,1 3 2971,-6 0-5849,-20 5 5849</inkml:trace>
  <inkml:trace contextRef="#ctx0" brushRef="#br0" timeOffset="1602.43">4497 2735 8192,'-4'-39'13101,"2"31"-11920,1-1-1,-1 1 1,-5-11 0,6 16-1146,-1 0 0,0-1 0,0 1 0,0 0 1,0 0-1,-1 0 0,1 0 0,-5-5 0,5 7-42,0 0 0,0-1 0,0 1 0,1 0 0,-1 0 0,0 0 0,0 1 0,0-2 0,-1 2 0,1 0 0,0-1 0,0 1 0,0-1 1,-1 1-1,1 0 0,-3 0 0,3 0 7,0 1 0,0 0 0,0-1 0,0 1 0,0 0 0,0-1 0,0 1 0,0 0 0,0 0 0,0 0 0,0 1 0,0-1 0,1 0 0,-1 1 0,1-1 0,-1 1 0,1 0 0,-1 0 0,1-1 0,0 1 0,0 0 0,0 0 0,-1 2 0,-1 4 0,-1-1 0,2 2 0,0-1 0,-2 15 0,1 1-506,1-1 0,2 0 1,1 1-1,0 0 0,2-2 1,1 2-1,8 25 0,-4-20-514,1-2 0,2 1 0,1-2 0,1 0 0,23 35 0,-27-47 214,2 0 0,0-1 0,0 0 0,1-1 0,1 0 0,0-1 0,0-1 0,16 10 0,-21-16 773,0 0-1,-1 0 1,1 0-1,1-1 1,0 1-1,-1-2 1,1 0-1,0 0 1,-1-1 0,1 0-1,0 0 1,0-1-1,0 0 1,0-1-1,0 1 1,-1-2-1,12-2 1,-11 1 33,1 0 0,-1-2 0,1 1 0,-1 0 0,0-1 0,0 0 0,-1-1 0,0-1 0,0 1 0,-1 0 0,11-13 0,-9 8 0,-1 0 0,-1-2 0,1 1 0,-1 0 0,-1-1 0,0 0 0,6-20 0,-6 7 0,-1 0 0,-1 0 0,0 0 0,-3 0 0,1 0 0,-3-1 0,-1 0 0,-6-35 0,3 41 140,0 0-1,0 1 1,-16-33 0,20 51-76,1 0 1,-2 0-1,2 0 0,-2 0 0,1 0 1,0 0-1,-1 0 0,1 0 1,-1 0-1,0 1 0,1 0 0,-1-1 1,0 0-1,-3 0 0,5 2-99,-1-1 0,1 1 0,0 0 0,-1 0-1,1 0 1,-1 0 0,1 0 0,0 0 0,-1 0 0,1 0 0,-1 1-1,1-1 1,0 0 0,-1 0 0,1 0 0,-1 0 0,1 0 0,0 0 0,0 0-1,-1 1 1,1-1 0,-1 1 0,1-1 0,0 0 0,0 0 0,0 0-1,-1 1 1,1 0 0,-1 1 34,-1-1 0,1 1 0,1 0 0,-1 0 0,0 0 0,1 0 0,-1 0 0,0 4 0,0 9 666,0 0 0,1 0 1,1 0-1,0-1 0,1 1 0,5 18 1,1-2 1780,21 56 0,-20-67-717,1-1-1,0 1 1,20 26-1,-25-38-1872,0-1-1,1-1 1,0 0-1,0 1 1,0-2 0,1 2-1,0-2 1,0 0-1,1-1 1,-1 1-1,15 5 1,3-4-415</inkml:trace>
  <inkml:trace contextRef="#ctx0" brushRef="#br0" timeOffset="2253.5">4801 2992 8192,'-25'12'15577,"25"-12"-15530,0 0-1,0 0 1,0 0 0,0 0-1,0 0 1,0 0-1,0 0 1,0 0 0,0 0-1,0 0 1,0 0-1,1 0 1,-1 0 0,0 0-1,0 0 1,0 0-1,0 0 1,0 0 0,1 0 186,-1 0-187,0 0 1,0 0-1,0 0 1,0 1 0,0-1-1,0 0 1,0 0-1,0 0 1,0 0 0,0 0-1,0 0 1,0 1-1,0-1 1,0 0 0,0 0-1,0 0 1,0 0-1,0 0 1,0 0 0,0 0-1,0 0 1,0 0-1,0 0 1,0 0 0,0 0-1,0 1 1,0-1-1,0 0 1,0 0-1,0 0 1,0 0 0,0 0-1,12-4-257,43-25 211,-3-3 0,77-59 0,-112 79 0,24-26 0,-37 36 0,-1-2 0,0 1 0,0 0 0,-1-1 0,0 0 0,1 1 0,-1-1 0,0 0 0,0 0 0,-1 0 0,0 0 0,1 0 0,-1-1 0,0-5 0,-1 9 0,1 0 0,-1 1 0,0 0 0,0 0 0,0-1 0,0 1 0,0-1 0,0 1 0,0 0 0,0-1 0,0 1 0,0-1 0,0 1 0,0 0 0,0-1 0,0 1 0,-1-1 0,1 1 0,0 0 0,0 0 0,0-1 0,0 1 0,0-1 0,-1 1 0,1 0 0,-1 0 0,1-1 0,0 1 0,0 0 0,0-1 0,-1 1 0,1 0 0,-1 0 0,1 0 0,0 0 0,-1 0 0,1-1 0,-1 1 0,1 0 0,0 0 0,0 0 0,-1 0 0,0 0 0,1 0 0,0 0 0,0 0 0,-1 0 0,0 0 0,1 0 0,-1 0 0,1 0 0,0 1 0,0-1 0,-1 0 0,1 0 0,-1 0 0,1 0 0,0 0 0,0 1 0,-1-1 0,1 0 0,-1 1 0,1-1 0,-3 2 0,0 0 0,1 0 0,-1 0 0,1 0 0,0 0 0,-4 6 0,5-5 1,-1-1 1,1 0-1,0 0 1,0 1 0,0 0-1,0-1 1,0 1-1,1 0 1,0-1 0,-1 1-1,1 0 1,0 0-1,0-1 1,0 1 0,0 0-1,1-1 1,-1 1 0,0 0-1,1-1 1,0 1-1,0 0 1,0-1 0,0 1-1,0-1 1,1 0-1,3 4 1,-2-2-43,0 0-1,2 0 1,-2 0-1,1-1 1,1 1-1,-1-1 1,1 0 0,0-1-1,-1 1 1,1-1-1,0 0 1,10 3-1,-5-3-555,0 0-1,0 0 0,0-1 0,0-1 1,1 1-1,-1-2 0,0 1 0,0-2 1,12-2-1,-7 1-1597,-1-2 0,0 0 0,14-7 0,-26 12 1979,0-2 0,0 1 1,-1 1-1,1-1 0,0 0 1,0 1-1,0-1 0,0 1 1,0-1-1,0 1 0,-1 0 1,4 0-1,-4 0 237,0 1 0,0 0 1,-1-1-1,1 0 0,0 1 0,-1 0 0,1-1 1,0 1-1,0 1 0,-1-2 0,0 1 0,1 0 1,0-1-1,-1 2 0,0-2 0,0 1 0,1 0 1,-1 0-1,0 0 0,1 0 0,-1 0 0,0 0 1,0 0-1,0 1 0,0 0 539,0 1 0,1 0 0,0 0 0,0 0 0,0 0 0,0-1 0,0 0 0,1 1 0,-1 0 0,1-1 0,-1 0 0,1 0 0,0 0 0,0 0 0,0 0 0,3 3 0,-3-4-253,0 0 1,0 0 0,0 0 0,0 0-1,0 0 1,0-1 0,1 1 0,-1 0-1,0-1 1,1 0 0,-1 0 0,1 0-1,-1 0 1,0 0 0,0 0 0,0 0 0,1-1-1,-1 0 1,0 1 0,4-2 0,1-2-177,0 1 1,0 0 0,-1-1 0,0 0 0,0 0 0,1-1-1,6-6 1,-5 2-647,0 1-1,-1-2 1,0 2 0,7-15-1,-4 6-667,-2-1 0,-1 1 0,0-1 0,-1-1-1,5-26 1,-9 33 194,0 0 0,-1 0-1,-1 0 1,1 0 0,-2 0-1,-2-13 1,2 18 912,-1-1-1,0 2 0,0-1 1,0 0-1,-1 1 0,-1-1 1,1 1-1,0-1 1,-1 1-1,-1 1 0,-4-8 1,7 11 77,0 0 0,0 0 0,0 0 0,0 1 0,0-1 0,0 1 0,0-1 0,-1 1 0,1 0 0,0-1 0,0 2 0,-1-2 0,0 1 0,1 1 0,-1-1 0,-4 0 0,5 1 0,0 0 0,0 1 0,0-1 0,0 1 0,0-1 0,-1 1 0,2 0 0,-1 0 0,0 0 0,1 0 0,-1 0 0,0 0 0,0 1 0,1-1 0,-1 0 0,1 1 0,0-1 0,-1 0 0,1 1 0,0 0 0,-1 0 0,0 2 0,-4 8 0,1-1 0,0 1 0,0 1 0,1-1 0,1 1 0,0-1 0,1 0 0,-2 18 0,4-11 0,-1 0 0,2 0 0,0-1 0,1 1 0,6 22 0,-5-32 0,0 1 0,0 0 0,1-1 0,1 1 0,0-1 0,0 0 0,0 0 0,1-1 0,0 0 0,1 0 0,0-1 0,9 9 0,-9-11 0,0 1 0,0-2 0,0 0 0,1 1 0,-1-1 0,1-1 0,0 0 0,0 0 0,1 0 0,-1-1 0,0-1 0,1 0 0,-1 1 0,1-2 0,9 0 0,-7 0 0,0-2 0,0 0 0,0 0 0,-1 0 0,1-1 0,-1 0 0,14-8 0,12-9 0</inkml:trace>
  <inkml:trace contextRef="#ctx0" brushRef="#br0" timeOffset="3175.41">5090 3990 8192,'-2'-21'10112,"-3"-1"-4196,3 14-5288,0 1 1,-1 1 0,0-1 0,-5-9 0,5 12-679,1 1 0,0 0 0,0 0 0,0 0 0,-1 1 0,1-1 0,-1 0 0,0 0 0,0 1 0,0 0 0,0 0 0,-1 0 0,1 0 0,0 0 0,-1 1 0,1 0 0,-1-1 0,1 2 0,-1-1 0,0 0 0,0 1 0,-5-1 0,6 1 50,1 0 0,-1 1 0,0-1 0,1 1 0,0 0 0,0 0 0,-1 0 0,1 0 0,-1 0 0,1 0 0,0 0 0,0 1 0,0 0 0,0-1 0,0 1 0,0 0 0,0-1 0,1 1 0,0 0 0,-1 1 0,0 1 0,-4 6 0,1 0 0,0 0 0,-5 18 0,1 2-737,1 2 0,2-1 1,1 0-1,1 2 1,2-2-1,1 2 0,2-2 1,1 2-1,2-2 1,0 1-1,18 54 0,-19-75 384,1-1 0,1 1 0,0-1 0,0 0 0,1 0-1,0 0 1,1-2 0,1 1 0,-1 0 0,1-1-1,1 0 1,15 12 0,-18-15 111,2-1 1,-1 0-1,0 0 0,1-1 1,0 0-1,-1 0 1,2-1-1,-1 0 0,0 0 1,0-1-1,0 0 0,1 0 1,-1-1-1,0 0 0,0 0 1,0-2-1,1 2 0,9-4 1,-9 1 227,0 0 0,0 1 0,0-2 0,-1 0 0,0-1 1,0 1-1,0-1 0,0 0 0,-1-1 0,0 0 0,0 0 0,6-7 1,-5 3 173,0 0 0,-1 0 0,-1-1 0,0 0 0,-1 0 0,1-1 0,-2 1 0,3-13 0,1-9-213,-2-1 1,-2 0-1,-1 1 0,-2-2 1,-4-51-1,3 79 319,-8-79 1983,6 75-2628,0 0-1,-1 0 1,-1-1-1,1 2 1,-7-13 0,3 13 1143,2 9 111,5 2-872,0 1 0,-1-1 0,1 0 0,-1 1 0,1-2 0,0 2 0,0-1 0,-1 0 0,1 1 0,0-1 0,1 1 0,-1 1 0,8 46-2185,13 28 3040,25 47 1346,-29-82-2601,15 22 5444,-26-53-3770,1-1 1,0 1-1,1-1 1,0 0 0,1 0-1,18 15 1,-1-7-590</inkml:trace>
  <inkml:trace contextRef="#ctx0" brushRef="#br0" timeOffset="3842.26">5134 4347 8192,'44'-4'8245,"1"-8"-7154,40-23-4083,-46 17 435,69-43 0,-92 51 2381,-1-2 0,-1 1 1,1-1-1,-2-1 0,0-1 0,22-28 1,-31 34 118,1 0 1,-1 0-1,0 0 0,0-1 1,3-17-1,-6 23 233,0-1 0,-1 1-1,0 0 1,1-1 0,-1 1 0,-1 0-1,1-1 1,-1-4 0,0 6 195,1 1 0,0-1 1,-1 0-1,0 0 0,0 1 1,0 0-1,0-1 0,0 0 0,0 1 1,0 0-1,0-1 0,-1 2 1,1-2-1,0 1 0,-1 0 0,1 0 1,-3-1-1,3 1-129,0 0 1,0 1-1,0 0 0,-1 0 0,1-1 1,0 1-1,0-1 0,-1 1 1,1 0-1,0 0 0,-1 0 0,1 0 1,0 0-1,-1 1 0,1-1 1,0 1-1,-1-1 0,2 0 0,-2 0 1,1 1-1,-1 0 0,2 0 1,-2-1-1,1 1 0,0 0 0,0-1 1,0 2-1,1-2 0,-2 1 0,2 0 1,-1 0-1,0 0 0,0 0 1,-1 2-1,0 1-80,0 0-1,0 0 1,0 0 0,-1 1-1,2-1 1,0 0 0,-1 1-1,1-1 1,0 6 0,1-6-154,-1 0 1,1-1 0,1 1 0,-1-1 0,0 1-1,0 0 1,2-1 0,-2 1 0,2 0-1,-2-1 1,2 0 0,0 1 0,-1-1 0,1 0-1,0 1 1,0-2 0,0 2 0,1-1-1,-1-1 1,4 4 0,-2-3-208,1 0 0,-1-1 1,0 1-1,1 0 0,0-1 1,0 0-1,0 0 0,0-1 0,0 1 1,0-1-1,1 0 0,-1-1 0,0 1 1,6-1-1,0 0 453,0-1 0,-1 0 1,1 0-1,0-1 0,-1-1 0,1-1 1,-1 1-1,1 0 0,-2-2 0,11-5 1,-15 7-255,11-4 0,-15 7 0,-1 0 0,0 0 0,1 0 0,-1 0 0,1 0 0,-1 0 0,1 0 0,-1 0 0,0 0 0,1 1 0,-1-1 0,1 0 0,-1 1 0,0-1 0,1 0 0,-1 0 0,1 0 0,-1 1 0,0-1 0,0 1 0,0-1 0,1 1 0,-1-1 0,0 0 0,1 0 0,-1 1 0,0 0 0,0-1 0,0 0 0,0 0 0,0 1 0,0 0 0,0-1 0,0 0 0,0 1 0,0 0 0,3 38 0,-3-30 0,0 1 0,1-2 0,3 18 0,-3-23 0,-1-1 0,1 0 0,0 1 0,0-1 0,0 1 0,1-1 0,-1 0 0,0 0 0,2 0 0,-2 0 0,1 0 0,-1 0 0,1-1 0,0 1 0,0 0 0,0 0 0,1-1 0,2 2 0,-3-3 1,0 1 1,0 0 0,1-1 0,-1 1-1,1-1 1,-1 1 0,0-1 0,0 0-1,1 0 1,-1 0 0,0 0 0,1-1 0,-1 0-1,1 1 1,-1 0 0,0-1 0,0 0-1,1 0 1,-1 0 0,0 0 0,0 0-1,0-1 1,0 1 0,-1 0 0,4-3-1,3-3-101,-2 0-1,1 0 0,-2 0 0,1-1 0,6-10 0,1-5-1241,-2 1-1,0-1 0,-2-1 0,-1 0 0,0-1 1,-2 0-1,4-27 0,-8 29 529,0-1-1,0 1 1,-3-1-1,0 1 1,-1-1-1,-1 0 1,-11-40-1,12 56 795,-1 0-1,0 0 1,0 0-1,-1 0 1,0 1-1,-1-1 1,1 1 0,-1 0-1,-8-9 1,12 15 20,1 0 0,-1 1 0,0-1 0,0 0 0,0 1 0,0-1 0,1 0 0,-1 1 0,0 0 0,0 0 0,0-1 0,0 1 0,0-1 0,0 1 0,0 0 0,1 0 0,-2 0 0,1 0 0,0 0 0,0 0 0,0 0 0,0 0 0,0 0 0,0 0 0,1 0 0,-3 2 0,1-1 0,0 0 0,0 0 0,1 0 0,-1 2 0,1-2 0,-1 0 0,1 1 0,0 0 0,0 0 0,0-1 0,0 1 0,-2 3 0,-2 7 0,1 0 0,-1 0 0,2 0 0,0 1 0,1-1 0,-1 24 0,2-6 0,6 54 0,-2-58 0,1 1 0,1-1 0,2 0 0,1 0 0,15 36 0,-18-52 0,-1-2 0,1 1 0,0 0 0,1 0 0,0-1 0,0-1 0,1 1 0,0 0 0,1-2 0,-1 1 0,1-1 0,0 0 0,1 0 0,0-1 0,-1 0 0,1 0 0,19 5 0,-16-7 0,-1-1 0,0 0 0,0-1 0,1-1 0,0 1 0,-1-2 0,0 1 0,1-2 0,-1 0 0,0 0 0,0 0 0,0-2 0,0 0 0,0 0 0,12-7 0,21-16 0</inkml:trace>
  <inkml:trace contextRef="#ctx0" brushRef="#br0" timeOffset="4837.2">2921 1879 8192,'-7'5'18137,"16"-7"-18252,400-131-445,-394 127-319,64-28-1039,-71 30 445,0-1-1,0 0 0,13-11 0,-20 14 1155,0 2-1,0-1 1,0 0-1,-1 0 1,1 0-1,0 0 1,-1 0-1,1 0 1,0 0-1,-1 0 1,1 0 0,0 0-1,-1 0 1,1 0-1,-1-1 1,0 1-1,0 0 1,0 0-1,0-2 1,0 2 188,0 0 0,0 0 0,-1 0 0,1 0 0,-1 0 0,0-1 0,1 2 0,0-2 0,-1 2 0,0-2 0,1 2 0,-2-1 0,2-1 0,-1 2 0,-2-2 0,-3-2 130,-1 0 1,1 0-1,-1 0 0,-13-4 0,15 6-280,-52-19 2134,11 5 4219,38 6 383,8 10-6353,15-2 3257,-4 2-4200,5 1 800,0 1 0,1 0 1,-1 1-1,0 0 0,0 1 0,-1 2 1,0-1-1,1 2 0,20 11 0,-27-12 96,-1-1 0,1 1 0,-1 0 0,-1 1 0,1 0 0,-1 0 0,0 1 0,-1 0 0,0 0 0,0 0 0,-1 1 0,1 0 0,-2 0 0,1 1 0,-2-1 0,5 15-1,-4-2-1104,-1 0 1,-2 1-1,0-1 0,-1 0 0,-1 0 0,-5 27 0,-2 1 75</inkml:trace>
  <inkml:trace contextRef="#ctx0" brushRef="#br0" timeOffset="5522.99">3354 3234 8192,'-16'22'17889,"16"-22"-17756,6 0-133,0 0 0,0 0 0,0-2 0,-1 2 0,2-2 0,-2 1 0,9-4 0,-3 2 0,229-85-5507,-87 13-3931,-140 69 8786,-7 4 450,-1-1 0,1 0 0,-1 0-1,0 0 1,0-1 0,0 0 0,0 0 0,-1 0 0,0-1 0,0 1 0,4-6 0,-8 10 202,1-1 0,-1 1 0,0-1 0,1 0 0,-1 1 0,0 0 0,0-1 0,0 0 0,0 1 0,0-1 0,0 1 0,0-1 0,0 1 0,0-1 0,0 0 0,0 1 0,0 0 0,0-1 0,0 0 0,0 1 0,0 0 0,-1-1 0,1 0 0,-1 1 0,1 0 0,0-1 0,0 1 0,0-1 0,-1 1 0,1 0 0,-1-1 0,1 1 0,0-1 0,-1 1 0,0 0 0,1 0 0,0-1 0,-1 1 0,1 0 0,-1-1 0,1 1 0,-1 0 0,1 0 0,-1 0 0,0 0 0,1 0 0,-1 0 0,1 0 0,-1 0 0,0 0 0,-30-1 0,23 2 0,3-1 0,-1 0 0,1 1 0,-1 0 0,1 1 0,-1-1 0,-7 3 0,29 1 495,30 2 1762,-37-5-1000,0 0 0,-1 1 0,1 0 0,0 1 0,10 6 0,-14-6-585,1-1 0,-2 1 0,1 0 0,-1 0 1,1 0-1,-1 0 0,0 1 0,0 0 0,2 6 0,-3-7-557,0 2-1,0-1 0,-1 1 0,0-1 0,-1 0 0,2 9 0,-2-1-421,1 0 0,-2 1 1,0-1-1,-1 1 0,-1-1 0,0 0 0,-5 19 0,-33 86-5210,38-115 5344,-22 57-826</inkml:trace>
  <inkml:trace contextRef="#ctx0" brushRef="#br0" timeOffset="6130.71">3803 4447 8192,'-7'14'18575,"15"-11"-19128,4-1 553,-1-2 0,1 0 0,-1 0 0,1-1 0,0 0 0,-1-1 0,0-1 0,18-5 0,-10 4 0,234-73-2782,-208 60 941,-1-2 0,-2-2 0,63-41 0,-91 53-982,25-23 0,-36 29 2667,0-1 1,0 2-1,-1-2 0,1 0 1,0 1-1,-1-1 1,0 0-1,0 0 1,0 0-1,-1 0 0,1 0 1,1-5-1,-3 7 150,0 1 0,0 0-1,0-1 1,0 1 0,0 0 0,0-1-1,0 1 1,0 0 0,0-1-1,0 1 1,-1 0 0,0-1 0,1 1-1,0 0 1,-1-1 0,0 2-1,0-2 1,1 1 0,-1 0 0,0 0-1,0 0 1,0 0 0,0 0-1,0 0 1,0 0 0,0 0 0,0 1-1,0-1 1,-1 0 0,1 1-1,0-1 1,0 1 0,-1-1-1,1 1 1,-3-1 0,3 1 135,0 0 0,0 0 0,0 0 1,-1 0-1,1 0 0,0 0 0,0 0 0,0 0 0,0 1 0,0-1 1,0 0-1,0 0 0,0 1 0,0 0 0,0-1 0,-1 0 1,0 2-1,1 0 201,0-2 1,1 1 0,-1 1 0,0-2-1,1 2 1,-1-2 0,0 2 0,1-1-1,0 0 1,-1 0 0,1 0 0,-1 0-1,1 0 1,0 1 0,0-1-1,0 0 1,0 0 0,0 0 0,0 1-1,0 0 1,9 35 6291,5 1-4838,-7-24-1663,-2 1 1,7 26 0,-11-31-243,0-1 1,-1 1 0,0 0 0,0-1 0,-2 1-1,1-1 1,-1 0 0,0 1 0,-1-1 0,0 1 0,0-1-1,-7 11 1,-4 6-478,-1-2 0,-33 42 1,-13 6 597</inkml:trace>
  <inkml:trace contextRef="#ctx0" brushRef="#br0" timeOffset="7146.13">708 2179 8192,'0'-9'18022,"5"16"-18022,1 16 0,11 19 0,1 14 0,3 13 0,-3 10 0,-3 1 0,0-7 0,-3-11 0,-3-26 0,-3-19 0</inkml:trace>
  <inkml:trace contextRef="#ctx0" brushRef="#br0" timeOffset="7582.44">679 2236 8192,'-1'-12'0,"2"-1"0,0 0 0,0 0 0,1 1 0,1-1 0,0 1 0,1 0 0,0 0 0,1 1 0,6-14 0,-1 8-8,-1 2-1,2-1 1,1 2 0,0 0 0,22-22 0,-23 26 75,0 2 1,0 0-1,0-1 1,1 2 0,0 0-1,1 1 1,-1 0-1,19-5 1,-25 9 322,-2 1 0,2 0 0,-1 0 0,0 0 0,0 1 0,0 0-1,1 0 1,-1 0 0,0 1 0,0 0 0,1-1 0,-1 2 0,0-1 0,0 1 0,0-1 0,-1 1 0,1 1-1,6 2 1,-7-1 142,0-1 0,1 1 1,-1 0-1,0 0 0,0 0 0,-1 0 0,1 1 0,-1 0 0,0 0 0,0-1 0,-1 2 0,0-2 0,0 2 0,0-1 1,0 1-1,1 8 0,-1-3-411,-1-1-1,0 0 1,-1 0 0,0 0 0,-1 0-1,0 1 1,-1-1 0,-5 18 0,1-10-141,-1-1 1,-1 0-1,-18 31 1,23-45 19,-6 16 0,9-19 0,-1 1 0,1 0 0,0-1 0,0 0 0,0 1 0,0-1 0,0 1 0,0-1 0,0 0 0,0 1 0,0-1 0,0 1 0,0-1 0,0 0 0,0 1 0,1 0 0,-1-1 0,0 0 0,0 0 0,1 1 0,-1 0 0,0-1 0,0 0 0,0 0 0,1 1 0,-1-1 0,0 1 0,1-1 0,-1 0 0,0 0 0,1 0 0,-1 0 0,1 1 0,-1-1 0,0 0 0,0 1 0,1-1 0,0 0 0,-1 0 0,0 0 0,1 0 0,-1 0 0,1 0 0,13 1 10,0 0 0,0-1 1,16-2-1,-15 0-144,0 1 0,0 1 0,15 2-1,-22-1-262,-1 0-1,0 1 0,-1-1 1,2 2-1,-2-1 0,1 2 1,0-2-1,-1 2 0,0-1 1,0 1-1,0 0 0,9 8 1,-13-8-69,2-1 0,-1 0 0,-1 1 0,1 0 0,0 0 0,-1 1 0,0-1 0,0 0 0,-1 0 0,1 0 0,-1 0 0,0 1 0,0 0 0,0 0 0,-1-1 0,1 0 0,-1 1 0,0 0 0,-1-1 0,0 9 0,-2 0 195,-1 1-1,-1-1 1,0 1-1,-1-2 1,0 1-1,-1 0 1,0-1-1,-12 15 0,-8 7 209,-44 43-1,49-54 64,-2-1 0,0-1 0,-1 0 0,-37 21 0,59-40 0,1-1 0,-1 1 0,1 0 0,-1-1 0,0 0 0,0 0 0,0 0 0,0 0 0,0 0 0,0-1 0,0 1 0,0-1 0,0 0 0,0 1 0,0-2 0,0 1 0,-1 0 0,2-1 0,-6 0 0,-12-11 0</inkml:trace>
  <inkml:trace contextRef="#ctx0" brushRef="#br0" timeOffset="8656.54">1373 2278 8192,'0'23'12712,"-1"0"-6979,0 7-5945,4 44 1,-2-71 211,-1 1 0,1-2 0,0 2 0,0-1 0,0-1 0,1 2 0,-1-2 0,0 1 0,2 0 0,-2-1 0,1 0 0,0 1 0,0-1 0,0 1 0,1-1 0,-1 0 0,1 0 0,-1 0 0,1-1 0,0 1 0,0 0 0,-1-1 0,1 0 0,0 0 0,0 0 0,0 0 0,0 0 0,1-1 0,-2 1 0,2-1 0,-1 0 0,0 0 0,0 0 0,0 0 0,1-1 0,-1 1 0,0 0 0,0-1 0,0 0 0,0 0 0,0 0 0,0-1 0,-1 1 0,2 0 0,-2-1 0,1 0 0,-1 0 0,1 0 0,-1 0 0,0-1 0,1 1 0,-1 0 0,2-4 0,0 0 0,0-2 0,-1 1 0,0-1 0,0 1 0,0 0 0,-1-2 0,0 1 0,-1 1 0,0-1 0,0 0 0,-1 0 0,0 0 0,0 0 0,0-1 0,-2 1 0,1 0 0,-1 0 0,0 1 0,-4-10 0,2 6 0,0 0 0,-1 1 0,0-1 0,0 1 0,-2 0 0,1 1 0,-1-1 0,-1 1 0,0 1 0,0-1 0,0 1 0,-18-12 0,23 18 0,0 0 0,0 0 0,-1 1 0,1 0 0,0-1 0,-2 1 0,2 0 0,0 0 0,-1 0 0,0 1 0,0 0 0,1-1 0,-2 1 0,-3 1 0,6-1 0,-1 0 0,1 1 0,-1 0 0,0-1 0,1 2 0,0-2 0,-1 2 0,1-1 0,0 0 0,0 1 0,0 0 0,0-1 0,0 0 0,0 1 0,0 0 0,1 1 0,-1-1 0,0 0 0,1 0 0,0 0 0,-1 3 0,-2 2-504,1-1 0,1 1 0,0 0 0,0 0 0,0 0 0,1 1 0,0-1 1,0 0-1,1 0 0,0 0 0,0 1 0,1-1 0,0 0 0,0 0 0,4 12 1,-4-15 113,1 1 1,0 0 0,1 0 0,0-1 0,0 1 0,-1-1-1,2 0 1,-2 0 0,3 0 0,-2 0 0,1 0-1,0-1 1,0 0 0,0 1 0,1-2 0,-1 1 0,1 0-1,0-1 1,0 0 0,-1 0 0,1-1 0,8 3 0,-3-2 324,0-1 1,0 0-1,0-1 0,-1 0 1,2 0-1,-2-1 1,1 0-1,0-1 1,0 0-1,-1-1 1,1 0-1,-1 0 1,0-1-1,0 0 0,0-1 1,11-7-1,-9 4 72,-1 1 0,-1-1 0,1 0 0,-1-1-1,0 0 1,-1-1 0,-1 0 0,1 0 0,-1-1-1,-1 0 1,0 1 0,6-19 0,-7 15-7,-1-1 0,0 1 0,-1-1 0,-1 0 0,0 0 0,-1 0 0,-1 0 0,0-1 0,-4-18 0,3 25 0,-1 0 0,0 1 0,0-1 0,-1 0 0,0 1 0,-1-1 0,0 1 0,0 0 0,-1 1 0,1-1 0,-2 1 0,1-1 0,-1 2 0,-1-1 0,1 1 0,-14-10 0,18 14 108,0 0 1,0 2 0,0-2 0,0 1-1,0 0 1,0 0 0,0 0-1,0 0 1,0 1 0,0-1-1,-1 1 1,1-1 0,0 1-1,-1 0 1,1 0 0,0 0-1,0 0 1,-1 0 0,1 1 0,0-1-1,0 1 1,-2 0 0,1 1 149,1-1 0,0 0 1,0 1-1,0 0 0,0-1 1,1 1-1,-1 0 0,0 0 1,1 0-1,0 0 1,-1 0-1,1 0 0,0 0 1,0 1-1,0-1 0,1 0 1,-1 1-1,0-1 0,1 0 1,-1 4-1,-1 6 284,2-1 0,0 1 0,0 0 0,0 0 0,2-1 0,0 2 0,0-2 0,1 0 0,1 1 0,4 10 0,-2-7 188,1-1 0,0 0 0,15 21 1,-14-25-1668,0 0 1,13 12 0,-8-11 257,1 0-1,0-1 1,1-1 0,0-1 0,0 0-1,1 0 1,0-1 0,0-1 0,1-2-1,0 1 1,0-1 0,32 3 0,-20-5-585,-1-1 1,1-1 0,43-6 0,-42 1 1205,39-10 0,-43 7 43,-1 0 1,38-19-1,-56 23 57,1 0-1,-1 0 1,0 0-1,-1-1 0,1 0 1,-1-1-1,1 1 1,-1-1-1,-1 0 1,1-1-1,-2 0 0,6-7 1,-9 12 16,0 0 0,0 0-1,0-1 1,0 1 0,-1 0 0,1-1 0,-1 1 0,1 0 0,-1-1 0,0 1-1,0-1 1,0 1 0,0 0 0,-1-1 0,1 1 0,-1-1 0,1 1-1,-1-1 1,0 1 0,-1-4 0,0 3-33,0 0 0,-1 0 0,1 0 0,-1 0 0,0 0 1,1 1-1,-1-1 0,-1 1 0,2 0 0,-2 0 0,1 0 0,-7-2 0,5 2 305,1 0 0,-2 0 0,1 1 0,0 0 0,0 0 0,-1 0 0,1 1 0,0 0 0,-7 0-1,9 0 305,-1 0-1,2 0 1,-2 1-1,1 0 0,0 0 1,0 0-1,0 0 1,0 0-1,0 1 0,0-1 1,0 0-1,1 1 0,0 0 1,-1 0-1,-3 3 1,3-1-501,0 0 0,0 0 0,1 0 0,0 1 0,0 0 0,0-1 0,0 1 0,0-1 0,1 2 0,0-2 0,0 1 0,1 0 0,-1 0 0,1 0 0,-1 0 0,2 0 0,0 6 0,0-4-164,0-1 0,0 1 0,1-1 0,0 1 0,0-1 1,1 0-1,0 0 0,0 0 0,0 0 0,0 0 0,1 0 0,5 5 0,-5-7-353,0-1 0,0 1-1,0-1 1,1 1 0,-1-1-1,1 0 1,-1-1 0,1 0-1,0 0 1,7 2 0,-10-2 100,2-2 1,-1 1 0,0-1 0,0 1 0,1-1 0,-1 0 0,0 0 0,0-1 0,0 1 0,0-1 0,1 1 0,-1-1 0,0 0 0,0 0 0,0 0 0,0-1-1,0 1 1,4-4 0,-2 1-658,0 0-1,0 0 0,0-1 0,0 1 0,6-9 1,-4 4 352,-1-2 1,8-15 0,-4 4 441,-2-1 0,9-31 0,-12 34 147,-1 0 0,-1 0 0,-1 0 0,0-1 0,-2 1 0,0 0 0,-1-1 0,-2 0 0,0 1 0,-1 0 0,0 0 0,-3 1 0,1-1 0,-2 1 0,0 1 0,-1-1 0,-22-32 0,28 47 0,-1-1 0,2 2 0,-2-1 0,0 0 0,1 1 0,-1-1 0,0 1 0,-1 0 0,-8-5 0,12 7 0,0 1 0,-1 0 0,1 0 0,0-1 0,-1 1 0,1-1 0,0 1 0,-2 0 0,2 0 0,0 0 0,-1 0 0,1 1 0,0-1 0,-1 1 0,-2-1 0,2 2 0,0-2 0,0 2 0,0-1 0,0 0 0,0 1 0,1 0 0,-2-1 0,2 1 0,-1 0 0,1 0 0,-1 0 0,0 2 0,-6 10 0,2 0 0,0 0 0,0 1 0,2 0 0,0 0 0,1-1 0,-3 30 0,2-7 0,2 0 0,2 0 0,5 48 0,-2-61 0,1-1 0,1 1 0,1 0 0,1-2 0,1 1 0,14 26 0,-18-40 0,1-2 0,0 1 0,0 0 0,1-1 0,0 0 0,0 0 0,1-1 0,0 0 0,0 0 0,9 6 0,-11-9 0,-1-1 0,1 0 0,-1 0 0,1 0 0,0 0 0,0-1 0,0 0 0,0 0 0,0 0 0,0 0 0,0-1 0,1 0 0,-2 0 0,2 0 0,-1-1 0,0 1 0,0-2 0,0 2 0,7-4 0,-5 0 0,1 1 0,-1-1 0,0-1 0,0 1 0,0-1 0,0 0 0,-1 0 0,0-1 0,0 0 0,6-9 0,14-22 0</inkml:trace>
  <inkml:trace contextRef="#ctx0" brushRef="#br0" timeOffset="11275.03">694 3705 8192,'-5'17'15870,"-6"-1"-12137,-20 13-6739,23-23 4431,-8 8-1425,-1-1 0,0-1 0,-27 15 0,36-23 0,0-1 0,1 0 0,-1 0 0,0 0 0,0-1 0,1 0 0,-2-1 0,1 1 0,0-2 0,0 1 0,-17-2 0,22 1 2,-1-1 0,1 0 0,-1-1 0,0 1 0,1 0 0,0-1 1,0 0-1,-1 0 0,2 0 0,-2 0 0,2-1 0,-1 1 0,0 0 0,1-1 1,-1 0-1,1 1 0,0-2 0,0 2 0,0-2 0,0 1 0,1-1 1,-2-2-1,0-3-78,-1-1 0,1 2 0,1-2-1,0 2 1,1-2 0,0 1 0,0-14 0,2 14-683,-1 0-1,2 0 1,-1 0-1,1 0 1,1 0-1,-1 0 1,9-15 0,-10 21 272,0 0 1,1-1 0,0 2 0,0-2 0,0 2-1,0-1 1,0 0 0,1 1 0,0-1 0,-1 0-1,0 1 1,2 0 0,-2 0 0,1 0 0,1 0-1,-1 1 1,0-1 0,0 0 0,1 1 0,-1 0-1,0 0 1,7 0 0,-8 1 474,0 0 0,0 0 0,0 0 0,0 0 0,1 0 0,-1 1 0,0 0 0,0-1 0,0 1 0,0 0 0,0 0 0,0 0 0,0 0 0,-1 0 0,4 3 0,-2-2 8,0 2 0,0-1 1,0 1-1,0-1 0,-1 1 0,1-1 1,1 6-1,2 5 8,-1-2 1,-1 2-1,5 26 1,-1 9-5,-3 1 0,-1 68 0,-18 99 0,13-203 0,-14 84 0,13-88 0,0-1 0,-1 1 0,-1-2 0,1 1 0,-1 0 0,-1 0 0,-9 13 0,13-20-3,0-2 1,1 2-1,-1-1 1,0 0-1,0 0 1,0 0-1,0 0 1,0 0-1,0 0 1,0-1 0,0 1-1,-1 0 1,2-1-1,-2 1 1,1 0-1,0-1 1,-1 0-1,1 1 1,0-1-1,0 1 1,0-1-1,-4 0 1,4 0 86,0-1 1,-1 0-1,1 1 1,0-1-1,0 0 0,0 1 1,0-1-1,0 0 1,-1 0-1,1 0 1,1 0-1,-2 0 1,2 0-1,-1 0 0,0 0 1,1-1-1,-1 2 1,0-3-1,-3-6 124,0 1 1,1-2-1,1 1 0,0 0 0,-2-10 0,1-2-1036,1 0-1,1-25 0,2 37 1347,-1 0-1,2 1 0,2-11 1,-3 15 165,1 0 0,-1 0 0,1-1 0,0 1 0,0 0 0,0 0 1,4-4-1,-4 6-435,-1 1 1,0 0 0,0-1 0,1 2 0,0-2-1,-1 1 1,0 0 0,1 0 0,0 0 0,-1 0-1,1 1 1,0-1 0,-1 0 0,2 1 0,-2-1-1,1 1 1,0-1 0,0 1 0,-1 0 0,1 0-1,1 0 1,-1 0 0,-1 0 0,1 1 0,0-1-1,-1 1 1,1-1 0,3 2 0,3 1 96,1 1 0,-1 0-1,-1 1 1,12 8 0,-14-10-848,46 29-1386,-31-20 2679,43 15 0,-47-21-603,0-1-1,0-1 0,0-1 0,1 0 1,-1-1-1,1-1 0,19 0 0,-29-1-550,-1-1 0,0 0 0,0 0 0,0 0 0,0-1 0,0 0 0,0 0 0,-1 0 1,1 0-1,-1-1 0,1 0 0,-1-1 0,0 1 0,0-1 0,6-5 0,-6 2-402,1 1 1,-1 0-1,-1-1 1,0 0 0,0 0-1,1 0 1,-2-1-1,0 1 1,-1-1-1,1 1 1,1-11 0,-1 1 453,-1-1 0,-1 0 0,0 1 0,-2-1 0,1 0 0,-2 1 0,-5-25 0,0 14 462,-1-1 0,-2 2 1,-20-45-1,27 67 76,-14-27 1166,16 31-1457,0-1 0,1 1 0,-1 0 0,0 0 0,1 0 1,-1 0-1,0 0 0,0 0 0,0 0 0,0 1 0,-1-1 1,2 0-1,-2 1 0,1-1 0,0 0 0,0 1 0,0-1 1,-1 1-1,-2-1 0,4 1 47,-1 0 1,1 0-1,-1 1 0,0-1 1,1 1-1,0-1 0,-1 0 0,0 1 1,1-1-1,0 1 0,-1-1 1,1 0-1,-1 1 0,1 0 1,0-1-1,0 0 0,-1 1 1,1 0-1,0-1 0,-1 1 1,1 0-1,0-1 0,0 0 1,0 1-1,0 0 0,0-1 0,0 2 1,-1 8-20,0-1 1,1 0-1,0 1 0,0-1 1,3 17-1,14 48-147,-14-64 203,-3-10-18,32 103 68,-27-90 1065,14 23 0,-15-30 233,0 1-1,1-1 1,0 0-1,9 8 1,9 2 4912,-3-8-4953</inkml:trace>
  <inkml:trace contextRef="#ctx0" brushRef="#br0" timeOffset="11444.14">781 4004 8192,'2'0'0,"6"-4"3356,9-7-3356,11-9 0,14-13 5996,9-10-5996,8-7-2971,-1 8 2971,-5 4-5849,-7 9 5849,-11 10 2971</inkml:trace>
  <inkml:trace contextRef="#ctx0" brushRef="#br0" timeOffset="12305.21">1417 3876 8192,'-5'-35'10664,"-6"4"-4585,6 23-5684,1 1 0,0 0 0,-1 0-1,-1 1 1,1 0 0,-7-7 0,1 4-893,0 0-1,0 1 0,-1 0 1,0 1-1,-13-6 1,-12-3 2004,31 14-1506,-1 0 0,1 0 0,-1 1 0,1 0 0,-1 0 0,1 0 0,-1 1 0,-7 0 0,11 0 0,0 1 0,0-1 0,0 1 0,0 0 0,0 0 0,0-1 0,0 2 0,0-1 0,1 0 0,-1 1 0,1 0 0,-1-1 0,1 1 0,-1 0 0,1 0 0,0 0 0,0 0 0,0 1 0,0-1 0,-1 3 0,-1 3-99,0 0 0,0 1 0,1-1 0,-1 0-1,2 1 1,0 0 0,0 0 0,1 0 0,0 0 0,0 0 0,1 14 0,0-17-373,1 0-1,0 0 1,0 1-1,0-2 1,1 1-1,-1 0 1,1-1 0,1 1-1,-1 0 1,1-1-1,0 1 1,0-2-1,1 2 1,-1-2-1,2 1 1,-1 0-1,0-1 1,5 4-1,-5-5 47,1 1-1,0-2 1,0 1-1,0 0 0,0-1 1,1 0-1,-2 0 1,2-1-1,-1 1 0,1-1 1,0 0-1,-1-1 1,1 0-1,7 0 1,-6 0 189,-1-1 1,1 0-1,-1-1 1,0 0-1,0 0 1,0 0-1,0 0 1,0-2-1,-1 1 1,1 0-1,6-6 1,-5 4 493,0-1 0,-1 0 0,0 0 0,0-1 0,0 0 1,-1 0-1,0-1 0,4-8 0,-5 10 649,-1-1 0,-1-1 0,1 1 0,-1 0-1,0-1 1,-1 1 0,1-1 0,-1 0 0,-1-10 0,1 17-845,-1 1 0,0-1 0,0 0 0,0 1 0,-1-2 0,1 2 1,0-1-1,0 0 0,0 1 0,0-1 0,0 0 0,-1 1 0,1-1 0,-1 0 1,0-1-1,1 2 0,0 1 1,-1-1 0,1 1-1,0-1 1,0 0-1,-1 0 1,1 1 0,0-1-1,0 1 1,0-1 0,0 0-1,0 1 1,0-1-1,0 1 1,0-1 0,0 0-1,0 1 1,0-1 0,0 1-1,0-1 1,0 0 0,1 0-1,-1 1 1,0-1-1,0 1 1,1-1 0,-1 0-1,0 1 1,13 25 4267,-10-21-4158,1-1 1,-1 0 0,0 0-1,2-1 1,-2 2-1,1-2 1,6 4 0,-8-6-191,0 1 1,1-1 0,0 1 0,0-1-1,-1 0 1,1 0 0,0 0 0,0 0-1,0 0 1,0-1 0,0 0 0,0 1-1,0-1 1,1 0 0,-2 0 0,2 0-1,-1-1 1,0 1 0,0-1 0,-1 0-1,2 1 1,-1-1 0,5-3 0,-1-1 18,1 0 0,-1 0 0,-1-1 0,1 0 0,-1-1 0,0 1 0,-1-1 0,1 0 0,-1 0 0,0-1 0,4-9 0,-4 6 0,0 0 0,-1 0 0,0 0 0,0 0 0,-1-1 0,-1 1 0,0-2 0,0-10 0,-3 11-311,0 0 0,0-1-1,0 1 1,-2 1 0,0-1 0,0 0 0,-7-13 0,5 12-1359,-1 1-1,-1-1 0,-10-13 1,15 22 763,-1 1 1,0 0 0,0 0 0,1-1-1,-2 2 1,1-1 0,-4-2-1,6 5 864,1-1 0,-1 0 0,0 1-1,0 0 1,0 0 0,1-1 0,-2 1-1,1-1 1,1 1 0,-2 0 0,2 0-1,-1 0 1,0 0 0,0 0 0,0 0-1,0 0 1,0 0 0,1 1-1,-2-1 1,2 0 0,-1 1 0,-1-1-1,2 0 1,-1 0 0,0 1 0,1 0-1,-1-1 1,0 0 0,0 1 0,0 0-1,1-1 1,-1 1 0,1 0 0,-1-1-1,1 1 1,-2 1 0,0 3 43,-1 0 0,1 0 0,-1 0 0,1 0 0,1 0 0,-1 1 0,1-1 0,-1 1 0,2 0 0,-1-1 0,1 0 0,0 2 0,1 7 0,1 6 0,1-1 0,9 32 0,-7-33 0,1 0 0,1-1 0,2 0 0,-1 0 0,1-1 0,13 17 0,-17-25 0,0-2 0,1 1 0,0-1 0,0 0 0,1 0 0,-1 0 0,2-1 0,-2 0 0,2-1 0,0 1 0,0-1 0,-1 0 0,1-1 0,1 0 0,10 3 0,-15-6 0,-1 0 0,1 1 0,-1-1 0,1 0 0,-1 0 0,0-1 0,1 1 0,-1 0 0,1-1 0,-1 0 0,0 0 0,0 0 0,1 0 0,-1 0 0,5-4 0,-4 2 0,0 0 0,-1 0 0,1 0 0,0-1 0,-1 0 0,0 0 0,0 0 0,0 0 0,4-8 0,-2 3 0,-2 0 0,0-1 0,1 1 0,-1 0 0,-1-1 0,0 0 0,-1 0 0,0 0 0,-1 0 0,0-12 0,-2 12-40,1 0-1,-1 0 1,-6-18 0,6 23 336,0 1 0,0 0-1,0 0 1,-1-1 0,1 1 0,-1 0-1,0 0 1,0 0 0,-7-6-1,9 9-362,0 0 0,1 1 1,-2-1-1,1 0 0,1 1 0,-2-1 0,2 1 0,-2-1 0,1 1 0,0 0 0,0-1 0,0 1 0,0-1 0,0 1 0,0 0 0,0 0 0,-2 0 0,2 0 54,0 0-1,1 0 0,-1 1 0,0-1 0,1 1 0,-1-1 0,1 0 1,-1 0-1,1 1 0,-1-1 0,1 1 0,-1-1 0,1 0 0,0 1 1,-1 0-1,0-1 0,1 1 0,0-1 0,0 1 0,0-1 0,-1 2 1,-1 1 217,2 0 1,0-1-1,-1 1 1,0 0-1,1 0 1,0 0-1,0 0 1,0-1-1,1 1 1,-1 0-1,1 0 1,1 3-1,1 2 877,0-1-1,0 0 0,2 0 0,-1 0 0,0 0 1,0-1-1,2 0 0,-1 0 0,8 7 0,-9-10-611,0 0-1,0 1 1,1-1-1,0 0 0,-1-1 1,8 3-1,-9-3-468,1-1-1,-1 0 1,1-1-1,-1 1 1,1 0 0,0-1-1,-1 0 1,0 0-1,2 0 1,3-1 0,-1 0 0,-1-1 0,1 0 0,-1 0 0,0-1 0,1 0 0,-1 0 0,-1-1 0,11-6 0,10-12 0</inkml:trace>
  <inkml:trace contextRef="#ctx0" brushRef="#br0" timeOffset="12441.34">1822 3363 8192,'5'0'18022,"1"0"-18022</inkml:trace>
  <inkml:trace contextRef="#ctx0" brushRef="#br0" timeOffset="13018.89">2097 3477 8192,'0'-2'1354,"-1"-1"0,1 1 1,0-1-1,-1 1 1,1 0-1,-1-1 0,0 1 1,-1-3-1,2 4-958,0-1-1,-1 1 1,0 0 0,0 0 0,0 0 0,0 0-1,0 0 1,0 0 0,0 0 0,0 0 0,0 0-1,-2 0 1,2 0-366,-1 1 0,0-1 0,0 0 0,0 1 0,1 0 0,-1 0-1,0 0 1,1 0 0,-1 0 0,-1 0 0,1 0 0,1 0 0,-1 0 0,1 0 0,-1 1-1,0 0 1,0-1 0,0 1 0,1 0 0,-1-1 0,0 2 0,-2 0 0,0 2-30,0-2 0,0 3 0,1-2 0,-1 1 0,1-1 0,-1 1 0,1 1 0,0-1 0,0 1 0,1 0 0,0-1 0,0 1 0,0 0 0,0-1 0,1 1 0,-1 1 0,2-1 0,-2 10 0,2-10 0,0 0 0,0 0 0,0 0 0,0 0 0,1-1 0,0 2 0,-1-1 0,2-1 0,-1 1 0,1 0 0,0-1 0,0 1 0,0-1 0,1 0 0,0 1 0,0-1 0,-1 0 0,2-1 0,6 8 0,-2-5 0,0-2 0,0 1 0,1 0 0,-1-2 0,1 1 0,0-1 0,0 0 0,-1-1 0,2 0 0,0 0 0,-2 0 0,14-1 0,-11-1 0,0 0 0,1-1 0,-1 0 0,0 0 0,0-1 0,1-1 0,-1 0 0,-1-1 0,19-8 0,-23 9 0,-1-1 0,0 1 0,1-1 0,-2 0 0,1 0 0,-1-1 0,0 0 0,0 1 0,0-1 0,-1-1 0,1 1 0,-2 0 0,1-1 0,0 0 0,-1 1 0,0-1 0,0 0 0,-1 0 0,1 0 0,-2 0 0,1-1 0,0 1 0,-1 0 0,0 0 0,-1 0 0,0-1 0,1 1 0,-2 0 0,1 0 0,-1 0 0,-5-11 0,7 16 0,-1-1 0,0 1 0,0-1 0,0 1 0,0 0 0,-1-1 0,1 1 0,0 0 0,0-1 0,0 1 0,-1 0 0,0 0 0,-2-1 0,4 2 0,0 0 0,0 0 0,-1 0 0,1 0 0,0 0 0,0-1 0,0 1 0,0 0 0,-1 0 0,1 0 0,0 0 0,-1 0 0,1 0 0,0 0 0,0 0 0,0 0 0,-1 1 0,1-1 0,0 0 0,-1 0 0,1 0 0,0 0 0,0 0 0,0 0 0,0 0 0,0 0 0,-1 0 0,1 0 0,0 1 0,0-1 0,-1 0 0,1 1 0,0-1 0,0 1 0,0 0 0,0 0 0,-1 0 0,1 0 0,0 0 0,0 0 0,0-1 0,0 2 0,1-2 0,-1 1 0,0 0 0,0 0 0,0 1 0,2 1-64,-1 1 1,1 0-1,-1 0 0,1 0 1,0-1-1,1 1 1,-1-1-1,1 0 1,-1 1-1,1-2 1,0 2-1,0-2 1,0 1-1,1-1 1,-1 1-1,1-1 1,-1 0-1,1 0 1,4 1-1,-2 0-484,1-1 0,-1 0 0,1 0 1,-1-1-1,1 1 0,0-2 0,0 1 0,0-1 0,0 0 0,-1 0 1,8-1-1,-4-1-720,-1-1 1,0 0-1,1 0 0,-1-1 1,14-8-1,3-4-58</inkml:trace>
  <inkml:trace contextRef="#ctx0" brushRef="#br0" timeOffset="13175.77">2285 3192 8192,'2'0'18022,"3"0"-18022,2 0 0</inkml:trace>
  <inkml:trace contextRef="#ctx0" brushRef="#br0" timeOffset="14083.56">2559 3463 8192,'2'-14'9303,"4"1"-3711,13-12-2148,-10 16-3550,0 1 0,20-13 1,-20 16 105,-1 0 0,1 0 0,1 1 0,-2 0 0,2 1 0,16-4 0,-23 6 0,1 1 0,-1-1 0,1 1 0,-1 0 0,1 0 0,0 1 0,-1-1 0,0 0 0,8 3 0,-9-2 0,0-1 0,-1 2 0,1-2 0,0 2 0,0-1 0,0 0 0,0 1 0,-1-1 0,1 0 0,-1 1 0,1 0 0,-1-1 0,1 1 0,-1 0 0,0 0 0,2 4 0,-1-1 0,0 0 0,-1 1 0,2-1 0,-3 1 0,2-1 0,-2 1 0,1-1 0,-1 1 0,0 0 0,-1 5 0,-1 8 0,-10 31 0,7-32 0,-4 32 0,8-44 0,1 0 0,0 0 0,0 0 0,1 0 0,-1 0 0,1 0 0,0-1 0,1 1 0,3 9 0,2-1 25,1-1 0,0-1 0,1 0 0,0 1 1,1-2-1,14 13 0,-13-14-614,-1 1 0,0 0 0,-1 1 0,0 0 1,-1 0-1,12 24 0,-19-33 293,0-1 0,0 1 0,0 0 1,0 0-1,-1-1 0,0 2 0,1-2 0,-1 1 0,0 0 1,0 0-1,0 0 0,-1 0 0,1 0 0,0 0 1,-1-1-1,0 1 0,-2 4 0,1-3-208,0 0 1,-1-1-1,1 1 0,-1-1 1,0 0-1,0 1 0,0-2 1,0 1-1,-1 0 0,-6 4 0,1-2-221,1-1 0,-1 0-1,0-1 1,-14 5-1,14-6 831,-2 0-1,2 0 0,-18 0 0,22-2-104,-1 0 0,0 0 0,1-2 0,-2 2 0,2-2 0,0 1 0,-1-1 0,1 1 0,-1-2 0,1 1 0,0-1 0,0 1 0,0-2 0,1 1 0,-1-1 0,1 1 0,0-1 0,-1 0 0,1 0 0,1 0 0,-1-1 0,1 1 0,0-1 0,0 0 0,0 0 0,-2-7 0,1 0 0,0 1 0,1 0 0,0-1 0,0 1 0,2-1 0,0 0 0,0 1 0,1-1 0,0 0 0,1 0 0,1 1 0,2-13 0,1 3 0,2 1 0,1 0 0,0 1 0,14-25 0,51-70 0,-48 78 0,-2-1 0,26-54 0,-40 66 0,-10 19 0,-2 8 0,-5 10 0,3-3 207,0 1 1,1 0-1,0 0 1,1 0-1,0 0 1,0 0-1,1 0 1,1 1-1,0 18 1,1-25-173,0-1 0,0 0 1,0 1-1,1 0 1,0-1-1,-1 0 1,2 1-1,-2-1 1,2 1-1,0-1 1,-1 0-1,1 0 1,0 0-1,0 0 1,0 0-1,0-1 1,0 1-1,1 0 1,0 0-1,0-1 1,-1 0-1,2 0 1,-1 0-1,0 0 1,0 0-1,0-1 1,1 0-1,-1 1 1,0-1-1,1 0 1,-1-1-1,7 2 1,1-1 26,1-1 1,0 0 0,-1-1 0,1 0 0,-1 0 0,1-1 0,0-1 0,-1 0-1,0-1 1,0 0 0,0 0 0,-1-2 0,20-11 0,-1-4-63</inkml:trace>
  <inkml:trace contextRef="#ctx0" brushRef="#br0" timeOffset="15346">650 5246 8192,'0'-24'19355,"0"27"-19210,0 19-2970,1-2 4172,4 18-1753,1 1 1,19 62-1,36 73-2323,5-27-1690,-50-118 2057,1 0 0,38 47 0,-47-66 2042,0-1-1,0-1 0,1 0 0,-1-1 1,17 11-1,-22-16 285,2 0 0,-1 0 0,0 1 0,0-1 0,0-1 0,0 0 0,0 0 0,0 0 0,1 0 0,-1 0 0,1-1 0,-1 0 0,1 0 1,-1 0-1,0 0 0,1-1 0,6-2 0,-4 1 36,-1 0 0,1-2 0,-1 1 0,0-1 0,0 1 0,-1-1 0,2 0 0,-2-1 0,1 0 0,-2 0 0,1 0 0,0 0 0,7-11 0,0-4 0,-1 0 0,18-42 0,-12 18 0,-2 0 0,-3-1 0,-1-1 0,-2 1 0,4-76 0,-11 83 0,-3 1 0,0-1 0,-3 1 0,-1 0 0,-1 0 0,-3 0 0,-17-49 0,20 70 0,-1 1 0,-10-17 0,14 27 0,0-1 0,-2 2 0,2-2 0,-1 2 0,-1 0 0,1-1 0,-1 1 0,-6-5 0,9 8 0,-1-1 0,1 1 0,-1 0 0,1 0 0,-1 0 0,1 0 0,-1 0 0,0 1 0,0-1 0,1 1 0,-4-1 0,2 1 0,0 1 0,1 0 0,-2-1 0,1 1 0,-4 2 0</inkml:trace>
  <inkml:trace contextRef="#ctx0" brushRef="#br0" timeOffset="17604.9">1373 5403 8192,'0'-11'17381,"2"29"-16466,-2 7-1189,9 42 274,19 77 0,-26-138 0,-2-2 0,1-2 0,0 1 0,-1 1 0,1-2 0,0 1 0,0 0 0,0-1 0,1 1 0,-1 0 0,1-1 0,4 6 0,-6-8 0,0 0 0,1 0 0,-1 0 0,1 0 0,-1 0 0,0 0 0,1 0 0,-1 1 0,1-1 0,-1 0 0,0 0 0,1 0 0,-1-1 0,1 1 0,-1 0 0,0 0 0,1 0 0,0 0 0,-1 0 0,0 0 0,0 0 0,1 0 0,-1-1 0,1 1 0,-1 0 0,1-1 0,-1 1 0,0 0 0,0 0 0,1-1 0,-1 1 0,1-1 0,-1 1 0,0 0 0,0 0 0,0-1 0,0 0 0,10-16 0,-10 17 0,7-22-893,-1 1 1,0 0-1,4-32 1,-8 32-554,2 1 1,1-1-1,1 1 1,8-20 0,-13 37 842,0 0 1,0 1 0,1 0-1,-1 0 1,1-1 0,0 1-1,0 0 1,0 0-1,3-4 1,-4 6 568,0 0-1,0-1 1,-1 1 0,1-1-1,0 1 1,0 0 0,-1 0-1,2 0 1,-2 0 0,1 0-1,0-1 1,0 1 0,0 0-1,-1 0 1,1 1 0,0-1 0,0 0-1,0 0 1,-1 0 0,1 0-1,1 0 1,-2 1 0,1-1-1,0 1 1,-1-1 0,1 0-1,0 1 1,-1 0 0,1-1-1,0 0 1,-1 1 0,1 0-1,-1-1 1,1 2 0,33 38 34,-25-27 0,2 0 0,0 0 0,1-1 0,23 19 0,-31-29 0,0 0 0,-1 1 0,1-1 0,1 0 0,-1 0 0,0-1 0,0 0 0,0 1 0,1-2 0,-1 2 0,0-2 0,1 0 0,-1 1 0,1-1 0,-1-1 0,1 1 0,-1 0 0,0-1 0,0 0 0,1 0 0,-1 0 0,0-1 0,5-2 0,-2 1 365,0-1 1,0-1 0,0 1-1,-1-1 1,0 0 0,-1-1-1,1 1 1,-1-1-1,0 0 1,7-9 0,-9 10-64,1-1 1,-2 1 0,1 0 0,0-1-1,-1 0 1,0 1 0,0-1 0,-1 0-1,1 0 1,-2-1 0,2 1 0,-2 0-1,0-10 1,0 13-676,-1 1 0,0 0-1,1 0 1,0 0 0,-1 0-1,0 0 1,0 0 0,0 0 0,0 0-1,0 0 1,-1 1 0,1-1-1,-1 0 1,1 0 0,0 1 0,-3-2-1,2 1 194,-1 0 0,0 0 0,0 1-1,1 0 1,-2-1 0,1 1 0,0 0 0,0 1-1,0-1 1,-5 0 0,4 0 184,0 0 0,-1 1 0,1 0 0,0 0 0,-1 1 0,1 0 0,0-1 0,0 1 0,0 0 0,0 1 0,0-1 0,0 0 0,0 1 0,0 0 0,0 0 0,-5 5 0,4-2-7,1 0 1,0 0-1,0 0 0,1 0 1,0 1-1,0 0 1,0-1-1,1 1 1,0 0-1,0 0 0,0 0 1,0 0-1,2 0 1,-1 1-1,0-1 0,1 0 1,0 1-1,2 12 1,-2-15 9,1 1-1,0-1 1,0 0 0,1 1 0,-1-1 0,1 1 0,1-1 0,-1 0-1,0 0 1,0 0 0,7 6 0,-7-8 22,0 1 0,1-1 1,0 0-1,0 0 0,-1 0 0,2 0 1,-2-1-1,2 1 0,-1-1 0,0 0 1,0 1-1,1-2 0,-1 1 0,1 0 0,-1-1 1,0 0-1,5 1 0,-5-1 276,0-1 0,1 1 0,-1 0 0,0 0 0,0-2 0,0 2 0,0-1-1,0 0 1,0-1 0,0 1 0,0 0 0,0-1 0,-1 0 0,0 1 0,1-1 0,0 0 0,-1 0 0,0-1 0,0 1-1,0-1 1,0 1 0,0 0 0,0-1 0,0 0 0,-1 1 0,0-2 0,1-1 0,2-7 978,1 0 0,-3-1 0,1 1 0,-1 0 1,1-19-1,-2 8-1866,-1 0 0,-2 1 1,-1-1-1,0 1 1,-1 0-1,-10-29 0,-1 7-2450,-42-83-1,49 111 1926,-1 0 0,-1 0 0,0 1 1,-1 0-1,-19-20 0,28 33 1108,0 0-1,0 0 1,0 1 0,-1-1-1,1 1 1,-1-1 0,1 1-1,-5-2 1,7 3 0,-2 0 0,1 0 0,0 0 0,0 0 0,0 0 0,0 0 0,-1 0 0,2 0 0,-2 0 0,2 0 0,-2 0 0,1 0 0,0 0 0,0 1 0,0-1 0,-1 1 0,-1 1 0,1 0 0,0-1 0,1 1 0,-1 0 0,1 0 0,-1 0 0,0 0 0,1 1 0,-1-1 0,2 0 0,-2 1 0,2-1 0,-2 0 0,2 1 0,-1 0 0,0-1 0,1 3 0,-2 12 0,0 0 0,0 0 0,2 0 0,0 0 0,2 1 0,-1-2 0,2 1 0,0-1 0,7 18 0,-5-16 0,1 0 0,2-1 0,-1 0 0,2-1 0,1 1 0,-1-2 0,2 1 0,15 16 0,-20-26-4,1 0 1,-1-1 0,1 1 0,1-1-1,-2 0 1,3 0 0,-2-1 0,1 0-1,0-1 1,0 0 0,1 0 0,-1 0-1,1-1 1,11 1 0,-15-2 24,-1-1 1,1 0 0,-1 0 0,1 0-1,0-1 1,0 1 0,-1-1 0,1 0-1,-1-1 1,1 1 0,-1-1-1,1 0 1,-1 0 0,0 0 0,0-1-1,0 0 1,0 1 0,0-1 0,-1 0-1,1-1 1,-1 1 0,0-1-1,0 0 1,0 1 0,-1-1 0,1 0-1,2-7 1,0-2 982,0 1-1,-2-1 1,0 0-1,0 0 1,-1 0-1,-1-1 1,0 1 0,-1-1-1,-2-19 1,1 28 65,0-1 0,1 2 0,-2-2-1,-2-6 1,4 11-1023,0 0-1,0 1 0,-1-1 0,1 0 1,0 0-1,-1 1 0,1-1 0,0 0 1,0 1-1,-1 0 0,1-1 1,-1 0-1,0 1 0,1 0 0,0-1 1,-1 0-1,1 1 0,-1 0 0,1 0 1,-1-1-1,0 1 0,1-1 0,-1 1 1,0 0-1,1 0 0,0 0 1,-1 0-1,0 0 0,1-1 0,-1 1 1,0 0-1,1 0 0,-1 0 0,0 0 1,0 0-1,1 1 0,-1-1 0,0 0 1,1 0-1,-1 0 0,0 0 1,1 0-1,-1 1 0,0-1 0,0 1 1,0 1-46,-1-1 0,0 0 0,1 1 0,-1-1 0,1 1 0,0 0 0,0-1 0,0 1 0,0 0 0,0-1 0,0 1 0,0 0 0,1 0 0,-1 0 0,0 0 0,1 0 0,0 0 0,0 0 0,0 0 0,0 0 0,0 0 0,0 0 0,0 0 0,0 0 0,0 0 0,1 0 0,0 0 0,-1 0 0,1 0 0,0 0 0,1 3 0,0-1 0,0 1 0,0-1 0,1 0 0,0 0 0,0 0 0,0-1 0,1 1 0,-1-1 0,1 1 0,-1-1 0,2 0 0,5 4 0,-3-5 0,-1 0 0,1 0 0,-1 0 0,1-1 0,-1 0 0,1 0 0,0 0 0,0-1 0,0 0 0,0-1 0,-1 0 0,1 1 0,0-2 0,-1 1 0,1-1 0,-1 0 0,1-1 0,9-4 0,-11 4 0,0 1 0,-1-1 0,1-1 0,-1 2 0,-1-2 0,2 0 0,-1 1 0,-1-1 0,0 0 0,0 0 0,3-5 0,-4 6 0,0-1 0,-1 1 0,0-1 0,1 1 0,-1-1 0,0 0 0,0 0 0,-1 1 0,0-1 0,0 0 0,0 0 0,0 0 0,0 0 0,0 1 0,-1-1 0,-1-4 0,0 4 0,1 0 0,-1 1 0,0-1 0,0 0 0,0 1 0,-1 0 0,-4-6 0,7 8 0,-1 0 0,0 0 0,1 1 0,-1-2 0,0 2 0,1-1 0,-1 0 0,0 1 0,0-1 0,0 0 0,0 1 0,0 0 0,0-1 0,0 1 0,0-1 0,1 1 0,-2 0 0,2 0 0,-2-1 0,2 1 0,-2 0 0,1 0 0,0 0 0,0 0 0,0 0 0,0 0 0,0 0 0,0 1 0,0-1 0,0 0 0,0 0 0,0 0 0,0 1 0,-1 0 0,1-1 0,0 1 0,1 0 0,0-1 0,-1 1 0,0 0 0,1-1 0,0 1 0,-1 0 0,1-1 0,-1 1 0,1 0 0,0-1 0,0 1 0,0 0 0,0 0 0,0 0 0,0-1 0,-1 1 0,1 0 0,0-1 0,1 2 0,-1-2 0,0 1 0,0 0 0,0-1 0,0 1 0,0 0 0,1 0 0,-1 0 0,1-1 0,-1 1 0,0 0 0,0-1 0,1 1 0,0 0 0,-1 0 0,1-1 0,-1 0 0,1 1 0,1 0 0,1 2 0,0 0 0,0-1 0,1 1 0,0 0 0,-1-1 0,7 2 0,-3-2 0,0 0 0,-1 0 0,1-1 0,0 0 0,1 0 0,-2-1 0,1 0 0,8-1 0,-6 0 0,-1 1 0,0 0 0,0 1 0,14 2 0,-21-3 1,1 1-1,0 0 1,-1-1 0,1 1 0,0 0 0,-1 0 0,0 0 0,1 0 0,-1 0 0,0 1 0,1-2 0,-1 2 0,0-1 0,0 0-1,1 1 1,-2 0 0,1-1 0,0 0 0,-1 1 0,1 0 0,0 0 0,-1-1 0,1 1 0,0 2 0,0 6-37,0-1 1,0 1-1,-1 13 0,0-3-404,0-20 397,1 16-1016,1-1 0,0 0 0,4 17 0,-5-29 567,-1 1-1,2-1 1,-2 0-1,2 0 1,-1 0-1,1-1 1,-1 2-1,1-2 1,0 1-1,-1 0 0,1 0 1,1-1-1,-1 0 1,0 0-1,1 0 1,0 0-1,-1 0 1,1 0-1,0 0 1,0 0-1,6 2 1,-7-4 390,0 1 1,1-1 0,0 0 0,-1 0 0,1 0 0,-1 0 0,1-1-1,-1 1 1,1-1 0,0 0 0,-1 1 0,0-1 0,0 0 0,0 0 0,1 0-1,-1-1 1,0 1 0,0 0 0,0-1 0,0 1 0,0-1 0,1 0 0,-2 1-1,3-4 1,1-2 127,0 0 0,1-1 0,-2 1-1,1 0 1,-2-1 0,5-9 0,-2-4-26,0-1 0,-1 1 0,-1-1 0,-2 0 0,0 0 0,-1 0 0,-1 0 0,-3-30 0,-5-4 0,-3 0 0,-17-57 0,17 78 0,-23-58 0,31 88 0,0 0 0,0 0 0,1 0 0,-7-6 0,9 11 0,0 0 0,0-1 0,-1 1 0,1-1 0,-1 1 0,1 0 0,0 0 0,0-1 0,0 1 0,-1-1 0,1 1 0,-1 0 0,1 0 0,0 0 0,-1-1 0,1 1 0,-1 0 0,1 0 0,0-1 0,-1 1 0,1 0 0,-1 0 0,0 0 0,1 0 0,0 0 0,-1 0 0,1 0 0,-1 0 0,1 0 0,0 0 0,-1 0 0,1 0 0,-1 1 0,1-1 0,0 0 0,-1 0 0,1 1 0,-1-1 0,1 0 0,-1 0 0,0 2 0,0 0 0,0-1 0,0 1 0,0-1 0,1 1 0,-1 0 0,0 0 0,1 0 0,-1 2 0,-1 10 0,0 1 0,1-1 0,1 1 0,1 0 0,-1-1 0,7 27 0,27 88 0,-23-94-12,1-2 0,2 1-1,1-2 1,37 57 0,-43-75 348,1-1-1,1 0 1,0-1 0,1 0-1,19 14 1,-22-20 304,0 0 0,1 0 0,-1-1 0,1 0 0,0-1 0,0 0-1,0-1 1,1 0 0,13 2 0,-20-4-768,0-1-1,-1 1 1,1-1 0,-1 0-1,1 0 1,0-1 0,-1 1-1,0-1 1,1 0-1,0 0 1,-1 0 0,1 0-1,-1 0 1,1-1 0,-2 0-1,2 1 1,3-4-1,-3 1-190,0 1-1,-1 0 1,0-1-1,0-1 0,0 1 1,0 0-1,0 0 0,-1 0 1,0-1-1,0 1 0,2-7 1,-1-1-195,0 0 0,-1 0 1,0 0-1,-1-1 1,0-12-1,-5-26 1390,3 49-877,1 1-1,0 0 1,0-1 0,-1 0 0,1 1-1,-1-1 1,1 1 0,-1 0 0,0-1 0,0 1-1,1 0 1,-3-2 0,3 3 13,0-1 1,0 1-1,0 0 0,0 0 1,-1 0-1,1 0 0,0 0 1,0 0-1,0 0 0,0 0 1,0 0-1,0 0 0,0 0 1,0 0-1,0 0 1,0 0-1,0 0 0,0 0 1,0 0-1,0 0 0,0 0 1,-1 0-1,1 0 0,0 0 1,0 0-1,0 0 0,0 1 1,0-1-1,0 0 0,0 0 1,0 0-1,-1 0 1,1 0-1,0 0 0,0 0 1,0 0-1,0 0 0,0 0 1,0 1-1,0-1 0,0 0 1,0 0-1,0 0 0,0 0 1,0 0-1,0 0 0,0 0 1,0 0-1,0 0 1,0 0-1,0 0 0,0 0 1,0 0-1,0 1 0,1 12 2121,9 19-1882,-8-28 568,0 1 0,1-1 0,0 1-1,0-1 1,-1 0 0,9 7 0,-8-7-271,1-1 0,0 0 0,0 0 0,0 0 0,1-1 0,-1 1 0,1-1 0,0 0 1,0-1-1,-1 0 0,1 1 0,0-1 0,0 0 0,5 0 0,-4 0-439,0-1 0,0 0 0,0 0 0,0-1 0,-1 0 0,2 1 0,-2-2 0,1 1 0,0-1 0,7-3 0,-9 3-264,0 0 0,0-1 0,-1 1 0,1 0 0,-1-1 0,0 0 0,0 0 0,0 0 0,0 0 1,0 0-1,-1-1 0,1 0 0,-1 1 0,0-1 0,2-4 0,10-36 2457,-14 47-2302,0 0 0,0 0 0,1 1 0,-1-1 0,0 0 0,2 0 0,-2 0 0,2 1 0,-2-2 0,2 2 0,-1-1 0,1-1 0,0 2 0,0-2 0,0 1 0,0-1 0,0 1 0,5 3 0,-5-4 0,0-1 0,-1 0 0,1 1 0,0-1 0,0 0 0,0 0 0,0 0 0,0 0 0,0-1 0,0 1 0,1 0 0,-1-1 0,0 0 0,0 0 0,1 0 0,-1 0 0,0 0 0,1 0 0,-1 0 0,0 0 0,1-1 0,-1 0 0,0 1 0,0-1 0,0 0 0,0 0 0,0 0 0,0 0 0,2-2 0,1 0 0,0-1 0,-1 0 0,0 0 0,0 0 0,0 0 0,0-1 0,0 0 0,2-6 0,21-45 0,-2 5 0,-14 38 0,-11 13 0,0-1 0,0 1 0,1-1 0,-1 1 0,1 0 0,-1 0 0,0 0 0,1 0 0,-1 0 0,1 0 0,-1-1 0,0 1 0,1 0 0,0 0 0,-1 0 0,0 0 0,0 0 0,1 0 0,1 1 0,0-1 0,-1 1 0,0 0 0,1 1 0,0-2 0,-1 2 0,0-1 0,1 0 0,-1 1 0,1 0 0,0 2 0,2 1 0,2 1 147,0 0 0,-1 0 0,2 0 0,-1-1 0,1 0 0,0 0 0,1-1 0,-2 0 0,14 5 0,-12-5-685,2-1 1,-1 0-1,0-1 0,1-1 0,0 0 1,-1 1-1,1-2 0,-1 0 1,2 0-1,-2-1 0,1 0 0,14-4 1,-16 3-97,0 0 1,0-1-1,0 0 0,0-1 1,-1 0-1,1 0 1,-1 0-1,0-1 0,0 0 1,0-1-1,-1 1 1,0-1-1,0 0 1,5-9-1,-6 9 361,-1 0 1,0-1-1,-1 0 1,0 0-1,0 0 1,0 0-1,-1-1 0,-1 1 1,1-1-1,0-12 1,-1 11 272,-1-1 0,0 2 0,-1-2 0,1 1 0,-2 0 0,-4-15 0,6 21 0,-2-1 0,1 1 0,-1-1 0,0 1 0,0-1 0,1 1 0,-1 0 0,-1 0 0,1 0 0,-1 1 0,1-1 0,-1 0 0,0 1 0,0-1 0,0 1 0,0 0 0,0 0 0,-7-3 0,9 4 0,-1 1 0,0-1 0,0 0 0,0 1 0,0 0 0,0 0 0,0-1 0,0 1 0,0 0 0,-1 0 0,1 1 0,0-1 0,0 0 0,0 0 0,0 1 0,0 0 0,0-1 0,0 1 0,0 0 0,1 0 0,-1 0 0,0 0 0,0 0 0,1 1 0,-1-1 0,0 0 0,1 1 0,0-1 0,-1 1 0,1 0 0,0-1 0,0 1 0,0-1 0,0 1 0,-1 4 0,-1-1 0,1 0 0,0 1 0,1-1 0,-1 1 0,1 0 0,0-1 0,0 1 0,1 0 0,0 0 0,0 0 0,1 9 0,1-9 0,-1 0 0,1-1 0,0 0 0,0 1 0,1-1 0,0 1 0,-1-2 0,2 2 0,-1-2 0,1 1 0,0-1 0,0 1 0,0-1 0,0 0 0,1-1 0,-1 1 0,1 0 0,0-2 0,1 2 0,-2-1 0,2-1 0,-1 0 0,1 0 0,0 0 0,-1 0 0,1-2 0,7 2 0,-8-1 0,1 0 0,1-1 0,-1 0 0,0 0 0,-1 0 0,1-1 0,1 0 0,-2 0 0,1 0 0,0-1 0,0 0 0,-1 0 0,1-1 0,-1 0 0,0 0 0,0 0 0,0 0 0,0-1 0,0 1 0,0-1 0,-1 0 0,0-1 0,0 1 0,-1-1 0,1 1 0,5-11 0,-7 10 0,0 0 0,0 0 0,0 0 0,-1 0 0,1 0 0,-2-1 0,2 1 0,-2-1 0,0 1 0,0 0 0,-1-10 0,-5-18 0</inkml:trace>
  <inkml:trace contextRef="#ctx0" brushRef="#br0" timeOffset="17712.95">3007 4561 8192,'-9'0'16796,"18"-7"-16796,2-3 0</inkml:trace>
  <inkml:trace contextRef="#ctx0" brushRef="#br0" timeOffset="19129.22">6999 82 8192,'10'-12'2745,"-4"9"-2635,0-1-1,0 1 1,10-5 0,-8 4 651,10-3 3205,24-8-1,22-1-239,-37 12-4098,-2 2 1,2 0-1,-1 1 0,1 1 1,40 6-1,-50-3-137,0 1-1,-1 1 1,1 0 0,-1 1 0,0 1-1,-1 0 1,1 1 0,-1 0-1,-1 2 1,17 13 0,-12-6-439,0 1 0,-1 0 1,-2 1-1,0 1 0,-1 0 1,17 31-1,-8-5 742,-2 0 0,-3 1 0,-1 1 0,-3 1 0,10 53 0,25 256 306,-29-58-100,0 11 0,-11-216 0,29 112 0,-32-178 0,1 0 0,2 0 0,1 0 0,20 37 0,-26-57 0,1 0 0,0 0 0,1-1 0,0 0 0,0 0 0,17 13 0,-19-17 0,1-1 0,0 1 0,0 0 0,0-2 0,0 1 0,1 0 0,0-1 0,-1 0 0,1 0 0,0-1 0,12 1 0,-5-2 0,-1 0 0,2-1 0,-2-1 0,1 0 0,0-1 0,-1 0 0,0-1 0,14-7 0,-9 3 0,-2 0 0,0 0 0,0-1 0,0-1 0,21-19 0,-37 29 0,20-19 252,-20 19-128,1-2-1,0 2 1,0-1-1,0 0 1,-1 0-1,0 0 1,1 0-1,0 0 1,-1 0-1,0 0 1,1 0-1,-1 0 1,1 0-1,-1 0 1,0-1-1,0 2 1,0-3 0,0 2-59,0 1 0,0 0 1,-1 0-1,1-1 1,-1 1-1,1-1 1,0 1-1,0 0 1,-1 0-1,1 0 0,-1-1 1,1 1-1,0 0 1,0 0-1,-1-1 1,1 1-1,-1 0 1,1 0-1,0 0 0,-1 0 1,1-1-1,-1 1 1,1 0-1,0 0 1,-1 0-1,1 0 1,-1 1-1,0-1 0,1 0 1,0 0-1,-1 0 1,1 0-1,-1 1 1,1-1-1,-19 6 2720,18-5-2491,-6 1 367,0 2 0,1-2 0,-1 2 0,1 0 0,0 0 1,1 1-1,-2-1 0,2 1 0,0 0 0,0 0 0,-6 9 0,8-10-529,0 1 0,1 0 0,-1-1 0,1 2 0,0-1 0,0 0 0,0 0 0,1 1 0,0-1 0,1 0 0,-1 1 0,0-1 0,1 1 0,0-1 0,1 1 0,0 5 0,1 0-173,1 0 0,0 0 1,2 0-1,-1-1 0,0 1 1,2-1-1,-1 0 0,12 14 1,7 6-1015,34 34 0,151 128-3644,29 28-2613,-209-188 6757,-1 1 1,-1 1-1,-2 1 0,-2 2 1,26 54-1,-38-66 533,-1 0-1,-1 2 1,-2-1-1,-1 1 0,-1 0 1,-1 0-1,-1 0 1,-2 0-1,-3 48 1,-3-38 24,-1-2 1,-1 1-1,-2 0 1,-1-2 0,-3 1-1,-28 58 1,11-42-3,0-1 0,-3-1 0,-3-2 0,-1-1 0,-2-2 0,-2-3 0,-2 0 0,-2-3 0,-2-1 0,-1-2 0,-2-3 0,0-2 0,-2-2 0,-76 29 0,87-42 0,-1-2 0,-1-2 0,0-1 0,0-3 0,0-1 0,0-2 0,-1-2 0,-54-4 0,-19-12 0</inkml:trace>
  <inkml:trace contextRef="#ctx0" brushRef="#br0" timeOffset="20189.48">347 1623 8192,'-1'-4'1746,"1"0"0,0-1 1,-1 1-1,0 0 1,1 0-1,-3-4 0,2 5-1048,-1 0 0,1-1-1,-1 1 1,0 0-1,0 0 1,-4-5 0,3 6-655,1 0 1,0 0-1,0 0 1,-1 0-1,1 0 1,-1 1-1,0-1 1,1 1-1,-1 0 1,0-1-1,0 2 1,1-1-1,-1 0 1,0 1-1,0-1 1,0 0 0,0 1-1,0 0 1,0 0-1,-4 1 1,3 0-44,2-1 0,-2 1 0,1 0 0,-1 0 0,2 0 0,-2 1 0,1-1 0,1 1 0,-1 0 0,0 0 0,1 0 0,-1 0 0,0 0 0,-2 4 0,-3 3 0,1 0 0,-12 20 0,1 5 0,1-1 0,2 2 0,-12 43 0,-23 116 0,30-96 0,4 1 0,6 1 0,3 1 0,4-1 0,5 0 0,23 148 0,103 302 26,-30-165-48,-78-284-260,14 189 0,-33-264-679,-2 2 0,0 0 0,-1-1 0,-2 0 0,-15 53 0,15-67 249,0-1-1,-1 0 1,-1 0-1,0 0 1,-1-1-1,1 0 1,-2 0-1,0 0 1,0-1-1,-1 0 1,-1-1-1,1 0 1,-2 0-1,-14 9 1,19-15 579,0 0 0,-1 0 1,0 0-1,0 0 0,0-1 0,-7 1 1,12-3 123,1 1 1,-1-1 0,0 0-1,0 0 1,0 0 0,1 0-1,-1 0 1,0-1 0,0 1-1,1-1 1,0 1 0,-1 0-1,-2-2 1,3 2 9,1-1 1,-1 0-1,0 1 1,1-1-1,-1 0 1,0 1-1,1-1 0,0 0 1,-1 0-1,0 0 1,1 0-1,0 1 0,-1-1 1,1 0-1,0 0 1,-1 0-1,1 0 0,0 0 1,0 0-1,0 0 1,0 1-1,0-2 1,0 2-1,0-1 0,1-2 1,0 0 143,-1 0 0,1 1 0,0-1 0,1 0 0,-1 0 0,0 1 0,1 0 0,0-1 1,-1 0-1,1 1 0,0 0 0,0 0 0,0 0 0,1 0 0,-1 0 0,1 0 0,2-1 0,0-1 685,1 2 0,-1-2 0,1 2 0,0 0 0,0-1 0,0 1 0,8-1 0,-11 3-441,-1-1 0,1 1 0,0-1 0,-1 1 1,0 1-1,1-1 0,0 0 0,0 1 0,-1-1 0,0 1 0,1 0 0,-1-1 0,1 1 0,-1 0 0,0 1 0,1-1 0,1 2 0,-1-1-222,0 0-1,0 1 0,-1 0 1,1 0-1,-1 1 0,0-2 1,0 2-1,0-1 0,0 0 1,1 6-1,2 6-277,-1 0-1,-1 0 1,0 1-1,1 28 0,-3 14-1220,-6 76-1,-19 59-1400,13-108 782,-6 48 487,-28 241-4746,36-258 5062,8 142 0,4-212 1042,10 54 0,-9-82 107,0 0-1,1-1 1,1 0 0,1 1 0,14 26 0,-16-37-1,-1 0 0,2 1 0,-1-1 0,1-1 0,0 1 0,0-1 0,1 0 0,13 9 0,-14-11 0,0-1 0,-1 0 0,2 0 0,-1 0 0,1-1 0,-1 0 0,1 0 0,0-1 0,0 0 0,0 0 0,12 0 0,-6-3 0,-1 1 0,1-1 0,-1-1 0,1 1 0,-1-2 0,14-6 0,71-37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58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8192,'-1'0'0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28:58.47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6.6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40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97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8.5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28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8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50.4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06.0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 17 24575,'-8'0'0,"-1"-7"0,0-3-8191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0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67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24575,'0'3'0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1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24575,'7'0'0,"3"0"-8191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24575,'7'0'0,"3"0"-8191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5.0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31.43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85 0 24575,'-4'8'0,"-8"8"0,-9 7 0,-1 5 0,6-1 0,7-6-8191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20:40.5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4466 279 24575,'-7'0'0,"4"0"0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16:31.13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2733 428 24575,'-3'6'0,"-2"13"0,-9 12 0,-8 14 0,-2 13 0,-6 9 0,-4 7 0,4-3 0,-4-4 0,5-6 0,7-8 0,7-15 0,6-22 0</inkml:trace>
  <inkml:trace contextRef="#ctx0" brushRef="#br0" timeOffset="233.86">2367 543 24575,'0'-3'0,"7"-1"0,12 9 0,12 15 0,11 13 0,5 11 0,0 4 0,3 4 0,-1 0 0,-2-9 0,-6-5 0,-3-10 0,-8-9-8191</inkml:trace>
  <inkml:trace contextRef="#ctx0" brushRef="#br0" timeOffset="1275.27">135 659 24575,'0'-1'0,"1"1"0,-1 0 0,0-1 0,0 1 0,0 0 0,0-1 0,0 1 0,0-1 0,0 1 0,0 0 0,0-1 0,0 1 0,0 0 0,0-1 0,0 1 0,0-1 0,0 1 0,0 0 0,-1-1 0,1 1 0,0 0 0,0-1 0,0 1 0,0 0 0,-1-1 0,1 1 0,0 0 0,-1-1 0,1 1 0,0 0 0,0 0 0,-1-1 0,1 1 0,0 0 0,-1 0 0,1 0 0,0 0 0,-1-1 0,1 1 0,-1 0 0,1 0 0,0 0 0,-1 0 0,1 0 0,0 0 0,-1 0 0,1 0 0,-1 0 0,0 1 0,0-1 0,0 1 0,0 0 0,0-1 0,0 1 0,0 0 0,0 0 0,1 0 0,-1 0 0,0 0 0,0 0 0,1 0 0,-1 0 0,1 0 0,-1 0 0,1 0 0,-1 2 0,-5 20 0,2 0 0,0 0 0,0 43 0,6 71 0,-1-124 0,0 0 0,1 0 0,0 0 0,1 0 0,0-1 0,1 0 0,7 15 0,-10-24 0,0 0 0,1 0 0,-1 0 0,1 0 0,0-1 0,0 1 0,0-1 0,0 1 0,0-1 0,1 0 0,-1 0 0,1 0 0,0 0 0,-1 0 0,1 0 0,0-1 0,0 1 0,0-1 0,0 0 0,0 0 0,0 0 0,1 0 0,-1-1 0,0 1 0,0-1 0,0 0 0,1 0 0,-1 0 0,0 0 0,0-1 0,1 1 0,-1-1 0,0 0 0,4-1 0,4-3 9,0 1 1,-1-2-1,1 0 0,-1 0 0,0-1 1,0 0-1,-1 0 0,0-1 0,0-1 0,-1 1 1,0-1-1,10-17 0,-4 5-306,0-1 0,-2 0 0,-1-1 0,16-47 0,-12 16-6529</inkml:trace>
  <inkml:trace contextRef="#ctx0" brushRef="#br0" timeOffset="1417.23">1 543 24575,'3'0'0,"8"0"0,2 0-8191</inkml:trace>
  <inkml:trace contextRef="#ctx0" brushRef="#br0" timeOffset="2504.86">405 794 24575,'0'-2'0,"2"5"0,3 11 0,4 20 0,-3-8 0,15 36 0,-21-61 0,0-1 0,0 1 0,0-1 0,0 1 0,0-1 0,0 1 0,0-1 0,1 1 0,-1-1 0,0 0 0,0 1 0,1-1 0,-1 1 0,0-1 0,0 0 0,1 1 0,-1-1 0,0 1 0,1-1 0,-1 0 0,1 0 0,-1 1 0,0-1 0,1 0 0,-1 0 0,1 1 0,-1-1 0,1 0 0,-1 0 0,0 0 0,1 0 0,-1 0 0,1 0 0,-1 0 0,1 0 0,0 0 0,11-15 0,3-30 0,-9 6 0,8-34 0,-13 69 0,0 0 0,1 0 0,0-1 0,-1 1 0,1 0 0,1 0 0,-1 1 0,0-1 0,1 0 0,0 1 0,0-1 0,5-4 0,-7 7 0,0 1 0,1-1 0,-1 0 0,0 1 0,0-1 0,1 0 0,-1 1 0,0 0 0,1-1 0,-1 1 0,0 0 0,1 0 0,-1-1 0,1 1 0,-1 0 0,0 1 0,1-1 0,-1 0 0,1 0 0,-1 0 0,0 1 0,1-1 0,-1 1 0,0-1 0,0 1 0,1 0 0,-1-1 0,0 1 0,0 0 0,0 0 0,0 0 0,0 0 0,0 0 0,0 0 0,0 0 0,0 0 0,0 0 0,1 2 0,3 6 0,1 0 0,-1 0 0,-1 0 0,4 11 0,-5-12 0,8 27 0,-7-20 0,1-1 0,9 20 0,-13-31 0,0-1 0,0 0 0,1 1 0,-1-1 0,0 0 0,1 0 0,0 0 0,-1 0 0,1 0 0,0-1 0,0 1 0,0-1 0,0 1 0,1-1 0,-1 1 0,0-1 0,0 0 0,1 0 0,-1 0 0,4 0 0,-5-1 0,1 0 0,-1 0 0,0 0 0,1 0 0,-1 0 0,1-1 0,-1 1 0,1-1 0,-1 1 0,0-1 0,1 1 0,-1-1 0,0 0 0,0 0 0,1 1 0,-1-1 0,0 0 0,0 0 0,0 0 0,0-1 0,0 1 0,0 0 0,1-2 0,17-34 0,-17 32 0,17-52 0,-17 46 0,1-1 0,1 1 0,0 0 0,0 1 0,1-1 0,11-15 0,-16 26 0,0-1 0,0 1 0,0 0 0,1-1 0,-1 1 0,0-1 0,0 1 0,1 0 0,-1 0 0,0-1 0,0 1 0,1 0 0,-1-1 0,0 1 0,1 0 0,-1 0 0,1 0 0,-1-1 0,0 1 0,1 0 0,-1 0 0,1 0 0,-1 0 0,0 0 0,1 0 0,-1 0 0,1 0 0,-1 0 0,1 0 0,-1 0 0,0 0 0,1 0 0,-1 0 0,1 0 0,-1 0 0,0 0 0,1 0 0,-1 1 0,1-1 0,-1 0 0,0 0 0,1 1 0,-1-1 0,0 0 0,1 0 0,-1 1 0,0-1 0,0 0 0,1 1 0,-1-1 0,0 0 0,0 1 0,1-1 0,-1 1 0,0-1 0,0 0 0,0 1 0,11 32 0,-8-20 0,2-1 0,0-1 0,0 1 0,1-1 0,1 0 0,0 0 0,0 0 0,1-1 0,13 13 0,-18-20 0,0 0 0,0 0 0,0-1 0,0 1 0,1 0 0,-1-1 0,1 0 0,-1 0 0,1 0 0,0-1 0,0 1 0,0-1 0,0 0 0,0 0 0,0 0 0,0-1 0,1 1 0,-1-1 0,0 0 0,0 0 0,0 0 0,0-1 0,1 0 0,-1 0 0,0 0 0,0 0 0,0 0 0,0-1 0,4-2 0,1-2 0,0-1 0,0 0 0,-1 0 0,0 0 0,-1-1 0,0-1 0,0 1 0,0-1 0,-1 0 0,-1-1 0,0 1 0,8-20 0,-7 13 0,0 0 0,-2 0 0,0 0 0,0 0 0,-2-1 0,0 1 0,0-29 0,-8 24 0,4 15 0,3 10 0,6 6 0,-1-1 0,2 0 0,-1 0 0,1 0 0,1-1 0,-1-1 0,1 1 0,17 9 0,13 14 0,-21-15 0,31 35 0,-44-45 0,-1 1 0,1-1 0,-1 1 0,0-1 0,-1 1 0,1 0 0,-1 0 0,-1 1 0,4 14 0,-6-19 0,0 0 0,0 0 0,0 0 0,0 0 0,-1 0 0,1 0 0,-1 0 0,0 0 0,0 0 0,0-1 0,-1 1 0,1 0 0,0 0 0,-1-1 0,0 1 0,0-1 0,1 0 0,-2 1 0,1-1 0,0 0 0,0 0 0,-1 0 0,1-1 0,-1 1 0,1 0 0,-1-1 0,0 0 0,1 0 0,-6 2 0,-3 1 0,0 0 0,0-1 0,0-1 0,0 0 0,0 0 0,-20 0 0,22-2-151,1-1-1,-1 0 0,1-1 0,-1 0 1,1 0-1,0 0 0,0-1 1,-9-5-1,-14-9-6674</inkml:trace>
  <inkml:trace contextRef="#ctx0" brushRef="#br0" timeOffset="3284.24">1386 659 24575,'0'9'0,"0"3"0,0 0 0,0-1 0,1 1 0,1 0 0,4 14 0,-5-23 0,0 1 0,0-1 0,1 0 0,-1 0 0,1-1 0,0 1 0,0 0 0,0 0 0,0-1 0,0 1 0,1-1 0,-1 0 0,1 0 0,-1 0 0,1 0 0,0 0 0,0-1 0,0 1 0,0-1 0,0 1 0,0-1 0,0 0 0,6 1 0,-6-2 0,1 1 0,0-1 0,0 0 0,-1 1 0,1-2 0,0 1 0,0 0 0,-1-1 0,1 1 0,0-1 0,-1 0 0,1-1 0,-1 1 0,1 0 0,-1-1 0,0 0 0,1 0 0,-1 0 0,0 0 0,0-1 0,0 1 0,-1-1 0,1 1 0,2-5 0,5-6 0,-1-1 0,0 0 0,-1 0 0,8-20 0,3-5 0,-15 38 0,-3 8 0,0 11 0,-1-5 0,0-3 0,0-1 0,0 1 0,1-1 0,0 1 0,3 11 0,-3-18 0,0 0 0,1 0 0,-1 0 0,0 0 0,1-1 0,0 1 0,0-1 0,0 1 0,0-1 0,0 0 0,0 1 0,0-1 0,1 0 0,-1-1 0,1 1 0,-1 0 0,1-1 0,0 1 0,0-1 0,0 0 0,2 1 0,3 0 0,-1 0 0,0 0 0,1-1 0,-1 0 0,1-1 0,-1 1 0,1-1 0,0-1 0,-1 1 0,1-2 0,-1 1 0,0-1 0,1 0 0,-1 0 0,0-1 0,0 0 0,0 0 0,-1 0 0,1-1 0,-1 0 0,0-1 0,0 1 0,0-1 0,0-1 0,-1 1 0,8-11 0,-2 2 0,0-1 0,-1-1 0,-1 1 0,0-2 0,-2 1 0,1-1 0,-2 0 0,-1-1 0,0 1 0,3-24 0,0-25 0,-3 1 0,-3-1 0,-2 1 0,-4-1 0,-15-85 0,18 145 0,-1-1 0,1 0 0,-1 1 0,-1-1 0,-3-6 0,6 13 0,0-1 0,0 1 0,0-1 0,0 1 0,0-1 0,-1 1 0,1-1 0,0 1 0,-1-1 0,1 1 0,0 0 0,-1-1 0,1 1 0,0 0 0,-1-1 0,1 1 0,0 0 0,-1-1 0,1 1 0,-1 0 0,1 0 0,-1-1 0,1 1 0,-1 0 0,1 0 0,-1 0 0,1 0 0,-1 0 0,1 0 0,-1 0 0,1 0 0,-1 0 0,1 0 0,-1 0 0,1 0 0,-1 0 0,1 0 0,-1 0 0,1 1 0,-1-1 0,1 0 0,-1 0 0,1 0 0,-1 1 0,1-1 0,0 0 0,-1 1 0,1-1 0,0 0 0,-1 1 0,0 0 0,-13 25 0,7-1 0,1 0 0,0 0 0,2 0 0,1 0 0,1 1 0,2-1 0,0 1 0,1-1 0,2 1 0,1-1 0,0 0 0,11 29 0,-12-46 0,1 0 0,0 0 0,0 0 0,1-1 0,0 1 0,0-1 0,1-1 0,-1 1 0,2-1 0,-1 0 0,1 0 0,0-1 0,0 0 0,0 0 0,15 7 0,-17-10 0,1 0 0,-1 0 0,1 0 0,-1-1 0,1 0 0,0 0 0,0 0 0,-1-1 0,1 1 0,0-2 0,0 1 0,0 0 0,0-1 0,-1 0 0,1-1 0,0 1 0,-1-1 0,1 0 0,-1-1 0,0 1 0,0-1 0,0 0 0,0 0 0,7-6 0,-5 3 0,-1 0 0,0-1 0,0 1 0,-1-1 0,0 0 0,6-10 0,-9 14 0,-1-1 0,1 1 0,0-1 0,-1 0 0,0 0 0,1 1 0,-2-1 0,1 0 0,0 0 0,-1 0 0,0 0 0,0 0 0,0 0 0,0 0 0,-1-6 0,1 10 0,0-1 0,0 1 0,0-1 0,0 0 0,-1 1 0,1-1 0,0 1 0,0-1 0,0 0 0,0 1 0,-1-1 0,1 1 0,0-1 0,-1 1 0,1-1 0,0 1 0,-1-1 0,1 1 0,-1-1 0,1 1 0,-1-1 0,1 1 0,-1 0 0,1-1 0,-1 1 0,1 0 0,-1 0 0,1-1 0,-1 1 0,1 0 0,-1 0 0,0 0 0,1-1 0,-1 1 0,1 0 0,-1 0 0,0 0 0,1 0 0,-1 0 0,0 0 0,1 1 0,-2-1 0,2 0 0,-1 1 0,1-1 0,-1 1 0,1 0 0,-1-1 0,1 1 0,0-1 0,-1 1 0,1 0 0,0-1 0,-1 1 0,1 0 0,0-1 0,0 1 0,0 0 0,0-1 0,0 1 0,-1 0 0,1 0 0,0-1 0,1 1 0,-1 0 0,0-1 0,0 1 0,0 0 0,0 0 0,0-1 0,1 1 0,-1 0 0,0-1 0,1 1 0,-1-1 0,1 1 0,-1 0 0,1 0 0,1 2 0,1-1 0,0 1 0,-1-1 0,1 1 0,0-1 0,0 0 0,0 0 0,0 0 0,1 0 0,-1-1 0,0 0 0,1 1 0,-1-1 0,1 0 0,0-1 0,-1 1 0,6 0 0,4 0 0,0-1 0,0 0 0,21-3 0,19-6-1365,-6-3-5461</inkml:trace>
  <inkml:trace contextRef="#ctx0" brushRef="#br0" timeOffset="3998.96">482 1505 24575,'13'0'0,"30"-13"0,38-14 0,44-9 0,34-12 0,28-7 0,29-1 0,4 0-929,-13 8 929,-22 7 0,-35 10 0,-44 3 0,-33 8 228,-33 9-228,-22 7-7490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29:4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0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3:42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8413 424 24575,'3'0'0,"-1"0"0,0 0 0,1-1 0,-1 1 0,0-1 0,1 1 0,-1-1 0,0 0 0,0 0 0,0 0 0,0-1 0,0 1 0,0 0 0,0-1 0,0 1 0,-1-1 0,1 1 0,0-1 0,-1 0 0,1 0 0,-1 0 0,0 0 0,0 0 0,0 0 0,0 0 0,0 0 0,0 0 0,0-1 0,-1 1 0,1 0 0,-1-1 0,1 1 0,-1-4 0,1 0 0,-1 1 0,0-1 0,0 1 0,0-1 0,-1 0 0,0 1 0,0-1 0,0 1 0,-1-1 0,1 1 0,-1 0 0,-1 0 0,-3-7 0,1 5 0,0 1 0,-1 1 0,0-1 0,0 1 0,-1 0 0,0 0 0,1 1 0,-2-1 0,1 2 0,0-1 0,-1 1 0,1 0 0,-1 1 0,0-1 0,0 2 0,-15-3 0,5 2 0,0 1 0,-1 1 0,1 0 0,0 2 0,-1 0 0,-26 6 0,26-3 0,1 2 0,0 0 0,0 0 0,0 2 0,1 0 0,0 1 0,1 1 0,0 0 0,0 2 0,-22 22 0,19-15 0,1 2 0,1 0 0,1 1 0,1 1 0,1 0 0,1 1 0,-11 29 0,13-27 0,2 0 0,1 0 0,1 1 0,1-1 0,1 1 0,2 1 0,1-1 0,1 1 0,1-1 0,2 0 0,1 1 0,1-1 0,1 0 0,2-1 0,16 47 0,-17-61 0,1-1 0,0 1 0,0-1 0,1 0 0,1-1 0,0 0 0,0-1 0,1 1 0,0-2 0,1 1 0,0-2 0,1 1 0,22 11 0,-18-13 0,0 0 0,0-1 0,0-1 0,1-1 0,0-1 0,0 0 0,0-1 0,0 0 0,0-2 0,24-1 0,-15-2 0,-1-1 0,0-1 0,0-1 0,0-1 0,-1-1 0,0-1 0,0-1 0,-1-2 0,-1 0 0,0-1 0,0-1 0,-2-1 0,0-1 0,0-1 0,20-24 0,-22 18 0,-1-1 0,-1-1 0,-1 0 0,-1-1 0,-1 0 0,-2-1 0,0-1 0,-2 0 0,-2 0 0,0-1 0,-2 0 0,0 0 0,-3 0 0,0-1 0,-2 1 0,-1-1 0,-1 1 0,-2 0 0,-1 0 0,-1 0 0,-1 1 0,-2 0 0,-1 0 0,-13-27 0,23 54 0,-1 1 0,1-1 0,0 1 0,0-1 0,0 0 0,0 1 0,0-1 0,-1 1 0,1-1 0,0 1 0,0 0 0,-1-1 0,1 1 0,0-1 0,-1 1 0,1-1 0,0 1 0,-1 0 0,1-1 0,-1 1 0,1 0 0,-1-1 0,1 1 0,-1 0 0,1 0 0,-1-1 0,1 1 0,-1 0 0,1 0 0,-1 0 0,1 0 0,-1 0 0,1 0 0,-1 0 0,1 0 0,-1 0 0,0 0 0,1 0 0,-1 0 0,-10 24 0,4 42 0,7 20 0,4-1 0,4 1 0,4-2 0,3 1 0,4-2 0,32 87 0,-43-143 24,2-1 0,1 0 0,0 0 0,26 37 0,-34-57-86,1 0 0,0 0 0,0-1 0,1 0 1,-1 0-1,1 0 0,0 0 0,1-1 0,-1 0 0,1 0 0,0 0 0,0-1 1,0 0-1,0 0 0,0 0 0,1-1 0,0 0 0,-1 0 0,1-1 0,0 0 1,0 0-1,-1 0 0,12-1 0,32-13-6764</inkml:trace>
  <inkml:trace contextRef="#ctx0" brushRef="#br0" timeOffset="661.93">8382 957 24575,'-1'0'0,"1"1"0,-1-1 0,0 1 0,1 0 0,-1-1 0,1 1 0,-1-1 0,1 1 0,-1 0 0,1 0 0,0-1 0,-1 1 0,1 0 0,0 0 0,-1-1 0,1 1 0,0 0 0,0 0 0,0 0 0,0-1 0,0 1 0,0 0 0,0 0 0,0 0 0,0 0 0,0-1 0,0 1 0,0 0 0,1 0 0,-1 0 0,0-1 0,0 1 0,1 0 0,-1 0 0,1-1 0,-1 1 0,1 0 0,-1-1 0,1 1 0,-1-1 0,1 1 0,0 0 0,-1-1 0,1 1 0,0-1 0,-1 0 0,1 1 0,0-1 0,0 0 0,-1 1 0,1-1 0,2 1 0,48 13 0,-17-11 0,0 0 0,0-2 0,0-2 0,1-1 0,-1-1 0,-1-2 0,1-2 0,-1-1 0,41-15 0,-49 14 0,0-1 0,-1-1 0,0-1 0,-1-1 0,0-2 0,-1 0 0,0-1 0,-2-1 0,0-1 0,-1-1 0,0 0 0,20-29 0,-35 41 0,0 0 0,0 0 0,0-1 0,-1 1 0,0-1 0,-1 1 0,1-1 0,1-15 0,-4 21 0,0 1 0,0-1 0,0 0 0,0 0 0,0 1 0,0-1 0,-1 0 0,1 1 0,0-1 0,-1 1 0,0-1 0,1 0 0,-1 1 0,0-1 0,0 1 0,0 0 0,0-1 0,-2-1 0,2 1 0,-1 1 0,0 0 0,0 0 0,0 0 0,-1 0 0,1 1 0,0-1 0,0 1 0,0-1 0,0 1 0,-1 0 0,1 0 0,0 0 0,0 0 0,-1 0 0,1 0 0,0 0 0,-3 2 0,-9 1 0,1 0 0,0 2 0,0 0 0,0 0 0,-15 10 0,22-13 0,1 1 0,0 0 0,0 0 0,0 1 0,1-1 0,-1 1 0,1 0 0,0 0 0,0 1 0,0-1 0,0 1 0,1 0 0,0 0 0,0 0 0,-3 7 0,6-11 0,0 1 0,0-1 0,0 0 0,0 0 0,0 1 0,0-1 0,1 0 0,-1 0 0,0 1 0,1-1 0,-1 0 0,1 0 0,-1 0 0,1 1 0,-1-1 0,1 0 0,0 0 0,0 0 0,0 0 0,-1 0 0,1 0 0,0-1 0,0 1 0,0 0 0,0 0 0,1-1 0,-1 1 0,0 0 0,0-1 0,0 1 0,0-1 0,1 0 0,-1 1 0,0-1 0,2 0 0,51 9 0,-48-8 0,119-1 0,-98-2 0,0 1 0,0 2 0,1 0 0,-1 2 0,35 8 0,-59-10 0,0 0 0,0 0 0,-1 1 0,1-1 0,0 1 0,0-1 0,-1 1 0,1 0 0,-1 0 0,1 0 0,-1 0 0,0 1 0,0-1 0,0 1 0,0-1 0,-1 1 0,1-1 0,0 1 0,-1 0 0,0 0 0,0 0 0,0 0 0,0 0 0,0 0 0,-1 0 0,1 0 0,-1 0 0,0 1 0,0 2 0,-1 12 0,0 0 0,-1 0 0,-2 0 0,-5 21 0,-3 16 0,11-51 0,1 0 0,-1 0 0,1 0 0,0 1 0,0-1 0,1 0 0,-1 0 0,1 0 0,0 0 0,0 1 0,0-1 0,1 0 0,-1-1 0,1 1 0,0 0 0,0 0 0,1-1 0,-1 1 0,5 4 0,-3-4 0,1 0 0,0-1 0,0 0 0,0 0 0,0 0 0,0-1 0,0 1 0,1-1 0,-1-1 0,1 1 0,0-1 0,10 1 0,2 0 0,0-2 0,0 0 0,0-1 0,-1-1 0,1-1 0,0 0 0,-1-1 0,24-9 0,-21 5 0,-1-1 0,0-1 0,0 0 0,-1-2 0,0 0 0,-1-1 0,-1 0 0,0-2 0,-1 1 0,0-2 0,-1 0 0,15-24 0,-15 16 0,0 0 0,-2-1 0,-1 0 0,-1-1 0,-1 0 0,-1 0 0,-2-1 0,0 0 0,1-31 0,-6 45 0,7-113 0,-8 116 0,-1 0 0,0 0 0,0 0 0,-1 1 0,0-1 0,-1 0 0,0 1 0,0-1 0,-1 1 0,-5-9 0,9 17 0,-1-1 0,0 1 0,1-1 0,-1 1 0,0 0 0,0-1 0,0 1 0,0 0 0,0 0 0,0-1 0,0 1 0,-1 0 0,1 0 0,0 0 0,-1 1 0,1-1 0,0 0 0,-1 0 0,1 1 0,-1-1 0,1 1 0,-1-1 0,0 1 0,1 0 0,-1 0 0,1 0 0,-1-1 0,1 1 0,-1 1 0,0-1 0,1 0 0,-1 0 0,1 1 0,-1-1 0,1 1 0,-1-1 0,1 1 0,-1-1 0,1 1 0,-1 0 0,-1 1 0,-2 2 0,1 1 0,-1-1 0,1 1 0,1 0 0,-1 0 0,0 0 0,1 0 0,0 0 0,1 1 0,-3 6 0,-5 16 0,2 0 0,1 1 0,2 0 0,1 0 0,1 0 0,1 1 0,1-1 0,2 1 0,1-1 0,2 1 0,0-1 0,2 0 0,13 37 0,-12-47 0,0 0 0,2 0 0,0-1 0,1 0 0,1-1 0,0 0 0,1-1 0,28 29 0,-28-35 0,-1 0 0,1-1 0,1 0 0,-1-1 0,2 0 0,-1-1 0,1-1 0,0 0 0,0-1 0,1 0 0,-1-2 0,31 5 0,-19-6-195,0-2 0,0 0 0,0-2 0,0-1 0,0-1 0,37-11 0,36-16-6631</inkml:trace>
  <inkml:trace contextRef="#ctx0" brushRef="#br0" timeOffset="912.9">10762 926 24575,'22'-6'0,"22"-1"0,26-10 0,16-3 0,15-8 0,7 1 0,-5 4 0,-14 7 0,-23 6-8191</inkml:trace>
  <inkml:trace contextRef="#ctx0" brushRef="#br0" timeOffset="1130.4">11044 487 24575,'0'11'0,"0"14"0,0 18 0,6 24 0,1 27 0,0 19 0,9 5 0,2-10 0,8-15 0,11-22 0,-1-29 0,-7-21-8191</inkml:trace>
  <inkml:trace contextRef="#ctx0" brushRef="#br0" timeOffset="1615.92">11733 550 24575,'70'1'0,"0"-3"0,0-3 0,117-24 0,-169 25 0,1-1 0,-1-1 0,-1 0 0,1-1 0,-1-1 0,0-1 0,-1-1 0,0 0 0,0-1 0,-1 0 0,-1-1 0,0-1 0,0-1 0,-2 0 0,1 0 0,-2-1 0,0-1 0,12-23 0,-11 13 0,4-10 0,-16 36 0,0 0 0,1 0 0,-1 0 0,0 0 0,0 0 0,0 0 0,0 0 0,0 0 0,0 0 0,0 0 0,0 0 0,0 0 0,0 0 0,0 1 0,0-1 0,0 0 0,0 0 0,0 0 0,0 0 0,0 0 0,1 0 0,-1 0 0,0 0 0,0 0 0,0 0 0,0 0 0,0 0 0,0 0 0,0 0 0,0 0 0,0 0 0,0 0 0,0 0 0,1 0 0,-1 0 0,0 0 0,0 0 0,0 0 0,0 0 0,0 0 0,0 0 0,0 0 0,0-1 0,0 1 0,0 0 0,0 0 0,0 0 0,1 0 0,-5 24 0,-15 77 0,5 1 0,-1 155 0,15-196 0,3 0 0,2 0 0,4 0 0,2-1 0,29 94 0,-34-136 30,2 0 0,-1-1 0,21 32 0,-24-43-154,1 0 0,0 1 1,0-1-1,1-1 0,-1 1 0,1-1 1,0 0-1,1 0 0,-1-1 0,1 0 1,12 5-1,15 0-6702</inkml:trace>
  <inkml:trace contextRef="#ctx0" brushRef="#br0" timeOffset="2396.66">5751 1333 24575,'0'-11'0,"16"-8"0,27-2 0,26-7 0,24 0 0,12 6 0,4 6 0,-6 6 0,-15 16 0,-23 16 0,-22 6-8191</inkml:trace>
  <inkml:trace contextRef="#ctx0" brushRef="#br0" timeOffset="2537.73">6158 1677 24575,'6'0'0,"17"0"0,26-5 0,26-13 0,22-13 0,10-13 0,-2 1 0,-19-2 0,-25 6-8191</inkml:trace>
  <inkml:trace contextRef="#ctx0" brushRef="#br0" timeOffset="2738.58">6534 988 24575,'11'0'0,"24"0"0,28 6 0,36 11 0,21 15 0,1 17 0,-19 11 0,-28 17 0,-26 27 0,-58 38 0,-60 38 0,-45 21 0,-18-9 0,-8-36 0,20-46-8191</inkml:trace>
  <inkml:trace contextRef="#ctx0" brushRef="#br0" timeOffset="3833.69">19 644 24575,'-19'-5'0,"27"-7"0,35-12 0,351-164 0,-317 144 0,-1-3 0,132-111 0,-197 148 0,0 0 0,-1-1 0,17-23 0,-25 31 0,0 0 0,1 0 0,-2-1 0,1 1 0,0-1 0,-1 1 0,1-1 0,-1 0 0,0 1 0,0-1 0,-1 0 0,1 0 0,-1 0 0,0 0 0,0 0 0,0 1 0,0-1 0,-2-8 0,1 11 0,1 0 0,0 0 0,0 0 0,0 0 0,-1 0 0,1 0 0,0 0 0,-1 0 0,1 0 0,-1 0 0,0 0 0,1 0 0,-1 0 0,0 0 0,1 0 0,-1 1 0,0-1 0,0 0 0,0 0 0,0 1 0,1-1 0,-1 1 0,0-1 0,0 1 0,0-1 0,0 1 0,-1 0 0,1-1 0,0 1 0,0 0 0,0 0 0,0 0 0,0-1 0,0 1 0,0 1 0,0-1 0,0 0 0,-1 0 0,1 0 0,0 0 0,0 1 0,0-1 0,0 1 0,0-1 0,0 1 0,0-1 0,0 1 0,0-1 0,0 1 0,1 0 0,-2 0 0,-4 4 0,1 0 0,0 0 0,1 0 0,-1 0 0,1 1 0,0-1 0,-5 11 0,-9 23 0,2 1 0,1 0 0,3 1 0,1 1 0,-7 58 0,-11 219 0,27-275 0,-2 17 0,6 84 0,-2-130 0,2-1 0,0 1 0,1-1 0,0 0 0,1 0 0,0 0 0,2 0 0,-1-1 0,2 0 0,-1 0 0,13 16 0,-16-25-68,1 0 0,-1 0-1,1 0 1,0 0 0,0-1 0,0 0-1,1 0 1,-1 0 0,1 0 0,-1-1-1,1 1 1,0-1 0,0-1 0,0 1-1,0-1 1,0 1 0,1-2-1,-1 1 1,9 0 0,29-9-6758</inkml:trace>
  <inkml:trace contextRef="#ctx0" brushRef="#br0" timeOffset="5005.35">1554 1051 24575,'0'2'0,"0"-1"0,0 1 0,1 0 0,-1 0 0,1-1 0,-1 1 0,1 0 0,-1 0 0,1-1 0,0 1 0,0-1 0,0 1 0,0-1 0,0 1 0,0-1 0,0 0 0,0 1 0,1-1 0,-1 0 0,0 0 0,1 0 0,-1 0 0,1 0 0,0 0 0,-1 0 0,1-1 0,0 1 0,-1 0 0,1-1 0,0 1 0,-1-1 0,1 0 0,0 0 0,0 0 0,0 0 0,-1 0 0,4 0 0,0 0 0,0 0 0,-1-1 0,1 0 0,0 1 0,-1-1 0,1-1 0,-1 1 0,1-1 0,-1 0 0,0 0 0,0 0 0,1 0 0,4-5 0,-1-2 0,-1 0 0,0 0 0,0-1 0,-1 0 0,-1 0 0,0-1 0,0 0 0,-1 0 0,0 0 0,-1 0 0,0 0 0,-1-1 0,0 1 0,0-20 0,-1 11 0,-1 1 0,-1-1 0,-1 1 0,0-1 0,-2 1 0,0 0 0,-14-36 0,15 45 0,-2 1 0,1-1 0,-1 1 0,-1 1 0,0-1 0,0 1 0,0 0 0,-1 0 0,-1 1 0,-14-13 0,18 18 0,0-1 0,0 1 0,-1-1 0,0 1 0,1 1 0,-1-1 0,0 1 0,1-1 0,-1 1 0,0 1 0,0-1 0,0 1 0,0 0 0,0 0 0,0 0 0,0 1 0,0-1 0,0 1 0,0 0 0,0 1 0,1-1 0,-1 1 0,1 0 0,-9 5 0,-10 7 0,0 2 0,1 1 0,1 0 0,0 2 0,1 0 0,2 1 0,0 1 0,-21 31 0,-3 12 0,-61 127 0,-27 103 0,111-241 0,1-1 0,4 2 0,-15 97 0,28-137 0,0 0 0,0 0 0,1 1 0,1-1 0,1 0 0,0 0 0,6 24 0,-6-34 0,-1 0 0,1 1 0,0-1 0,0-1 0,0 1 0,0 0 0,1 0 0,-1-1 0,1 1 0,0-1 0,0 0 0,0 0 0,1 0 0,-1-1 0,1 1 0,0-1 0,-1 1 0,1-1 0,0 0 0,0-1 0,0 1 0,1-1 0,-1 0 0,0 0 0,0 0 0,1 0 0,7-1 0,2-1 0,-1 0 0,1-1 0,-1-1 0,0 0 0,0-1 0,0 0 0,-1-1 0,1-1 0,-1 0 0,0 0 0,-1-1 0,1-1 0,-1 0 0,-1 0 0,19-19 0,-5 2 0,-1-1 0,0-1 0,-2-1 0,-2-1 0,17-31 0,34-91 0,-56 132 0,-8 32 0,-4 51 0,-2-38 0,0-20 0,0-1 0,1 1 0,0 0 0,0 0 0,1 0 0,0-1 0,0 1 0,0-1 0,1 0 0,-1 1 0,1-1 0,1 0 0,-1 0 0,1-1 0,-1 1 0,1-1 0,1 0 0,-1 0 0,0 0 0,1 0 0,0-1 0,0 0 0,0 0 0,8 3 0,-5-3 0,1-1 0,0 0 0,-1 0 0,1-1 0,0 0 0,0-1 0,0 0 0,0 0 0,0-1 0,-1 0 0,1 0 0,0-1 0,-1 0 0,1-1 0,13-6 0,7-5 0,-1-1 0,0-1 0,-1-2 0,-1 0 0,-1-2 0,-1-1 0,-1-1 0,0-1 0,-2-1 0,-1 0 0,0-2 0,-2 0 0,15-30 0,-11 14 0,-2-2 0,-1 0 0,-3 0 0,-1-2 0,-3 0 0,-1 0 0,-3-1 0,4-56 0,-9-62 0,-3 146 0,-2 0 0,0 0 0,-1 0 0,-1 1 0,-1-1 0,-10-24 0,15 42 0,-1 0 0,1 0 0,0 0 0,0 0 0,-1 0 0,1 0 0,-1 0 0,1 0 0,-1 0 0,1 0 0,-1 0 0,1 0 0,-1 0 0,0 1 0,0-1 0,1 0 0,-1 0 0,0 1 0,0-1 0,0 1 0,0-1 0,0 0 0,0 1 0,1 0 0,-1-1 0,0 1 0,-1 0 0,1-1 0,0 1 0,0 0 0,0 0 0,0 0 0,0 0 0,0 0 0,-1 0 0,0 2 0,0-1 0,0 1 0,0-1 0,0 1 0,0 0 0,0 0 0,1 0 0,-1 0 0,1 0 0,-1 0 0,1 1 0,0-1 0,0 0 0,-1 4 0,-7 17 0,1 1 0,1 1 0,1 0 0,-4 46 0,1 109 0,9-159 0,-1 50 0,3 0 0,3 0 0,3-1 0,26 105 0,-25-143 0,2-1 0,1 0 0,1 0 0,35 56 0,-37-70 0,2 0 0,0 0 0,1-1 0,1-1 0,0 0 0,1-1 0,1-1 0,30 19 0,-35-25 0,0 0 0,1-2 0,-1 1 0,1-2 0,1 0 0,-1 0 0,0-1 0,1-1 0,0 0 0,-1-1 0,1 0 0,0-1 0,0-1 0,-1 0 0,1-1 0,0 0 0,17-7 0,-19 6 0,-1-2 0,-1 0 0,1 0 0,0-1 0,-1 0 0,0-1 0,-1 0 0,0 0 0,0-1 0,0-1 0,-1 1 0,0-1 0,-1-1 0,0 1 0,0-1 0,-1 0 0,-1-1 0,1 0 0,-2 0 0,5-13 0,-3 3 0,0 1 0,-1-1 0,-2 1 0,0-1 0,-1 0 0,-1-1 0,-1 1 0,-1 0 0,0 0 0,-2 0 0,-1 0 0,0 1 0,-9-25 0,12 42 0,0 0 0,-1 1 0,1-1 0,-1 1 0,1-1 0,-1 1 0,0 0 0,0 0 0,0 0 0,0 0 0,-4-3 0,6 4 0,-1 1 0,0-1 0,0 1 0,0 0 0,0-1 0,0 1 0,0 0 0,0-1 0,1 1 0,-1 0 0,0 0 0,0 0 0,0 0 0,0 0 0,0 0 0,0 0 0,0 0 0,0 1 0,0-1 0,0 0 0,0 0 0,-1 2 0,0-1 0,0 0 0,0 1 0,1 0 0,-1-1 0,1 1 0,0 0 0,0 0 0,-1 0 0,1 0 0,0 0 0,0 0 0,1 0 0,-1 0 0,0 0 0,1 0 0,-1 1 0,1-1 0,0 0 0,0 0 0,0 1 0,0-1 0,0 0 0,0 0 0,1 1 0,0 2 0,0 0 0,-1 0 0,2 1 0,-1-1 0,0 0 0,1-1 0,0 1 0,0 0 0,1 0 0,-1-1 0,1 1 0,0-1 0,0 0 0,1 0 0,-1 0 0,1 0 0,0-1 0,0 0 0,0 1 0,0-1 0,1-1 0,-1 1 0,1-1 0,-1 1 0,1-1 0,0-1 0,0 1 0,0-1 0,0 1 0,0-2 0,1 1 0,-1 0 0,0-1 0,0 0 0,7-1 0,1 0 0,1-1 0,0 0 0,-1-2 0,1 1 0,-1-1 0,0-1 0,0-1 0,-1 1 0,1-2 0,-1 0 0,20-16 0,-10 3 0,-2 0 0,0-2 0,-1 0 0,-1-1 0,-2-1 0,0-1 0,-1 0 0,-2-1 0,-1-1 0,12-36 0,0-12 0,-3-2 0,16-123 0,-26 137 0,-3 0 0,-3 0 0,-3-1 0,-8-87 0,6 147 0,-1 1 0,1 0 0,-1-1 0,0 1 0,1 0 0,-1 0 0,-1-1 0,1 1 0,0 0 0,-4-5 0,4 8 0,1 0 0,0 0 0,-1-1 0,1 1 0,-1 0 0,1 0 0,-1 0 0,1 0 0,0 0 0,-1 0 0,1 0 0,-1 0 0,1 0 0,-1 0 0,1 0 0,-1 0 0,1 0 0,0 0 0,-1 0 0,1 1 0,-1-1 0,1 0 0,-1 0 0,1 0 0,0 1 0,-1-1 0,1 0 0,0 1 0,-1-1 0,1 0 0,0 1 0,-1-1 0,1 0 0,0 1 0,0-1 0,-1 0 0,1 1 0,0-1 0,0 1 0,0-1 0,-1 1 0,-4 10 0,0 1 0,1-1 0,0 1 0,-4 16 0,-10 64 0,3 0 0,5 1 0,1 101 0,10-119 0,3 1 0,4-1 0,3 0 0,27 99 0,-31-148 0,2-1 0,1 1 0,1-1 0,1-1 0,1 0 0,1-1 0,1 0 0,1-1 0,1-1 0,37 35 0,-40-44 0,0-1 0,1 0 0,0-1 0,1-1 0,0 0 0,0-1 0,1-1 0,0-1 0,1 0 0,-1-1 0,1-1 0,0 0 0,0-2 0,0 0 0,1-1 0,35-2 0,-31-2 0,-1-1 0,0-1 0,0-1 0,-1-1 0,0-1 0,0 0 0,0-2 0,-1 0 0,-1-2 0,0 0 0,0-1 0,-1-1 0,-1 0 0,-1-2 0,25-28 0,-20 19 0,-1-1 0,-1-1 0,-2 0 0,-1-1 0,-1-1 0,-1-1 0,-2 0 0,-1-1 0,-1 0 0,7-39 0,-14 49 0,0 1 0,-2-1 0,0-32 0,-1 48 0,0 1 0,-1-1 0,1 1 0,-1-1 0,0 1 0,0 0 0,0-1 0,0 1 0,-1 0 0,0 0 0,0 0 0,0 0 0,0 0 0,0 0 0,-1 1 0,0-1 0,0 1 0,0-1 0,0 1 0,0 0 0,-1 0 0,-4-2 0,7 4 0,-1 0 0,0 1 0,0-1 0,0 0 0,0 1 0,0 0 0,0-1 0,0 1 0,0 0 0,0 0 0,0 0 0,0 0 0,0 1 0,0-1 0,0 0 0,0 1 0,0-1 0,0 1 0,0 0 0,0 0 0,-3 1 0,1 1 0,0 1 0,0-1 0,0 1 0,0-1 0,1 1 0,0 0 0,-1 0 0,-3 7 0,-2 7 0,0 0 0,1 0 0,-9 31 0,8-21 0,2 0 0,1 1 0,1 0 0,1 0 0,2 0 0,1 0 0,1 1 0,6 40 0,-5-58 0,2 0 0,0-1 0,0 1 0,1-1 0,0 1 0,1-1 0,0-1 0,1 1 0,0-1 0,1 0 0,0 0 0,1-1 0,0 0 0,0 0 0,1-1 0,0 0 0,0 0 0,1-1 0,0 0 0,0-1 0,1 0 0,0-1 0,15 6 0,2-2 11,0-2 0,1-1 0,0-1-1,0-1 1,0-2 0,0 0 0,0-3 0,44-4-1,0-6-497,0-3-1,80-27 1,61-30-6339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29.3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1838 905 24575,'-4'141'0,"-24"151"0,-42 134 0,-23 212 0,92-631 0,0 11 0,1-40 0,14-475 32,41-3-2011,-19 311 1546,9 1 0,9 3-1,106-249 1,-136 378 433,2 1 0,59-88 0,-81 137-8,-1 1-1,1 0 1,0 0 0,1 0 0,-1 1 0,1 0 0,0 0-1,0 0 1,0 0 0,8-4 0,-11 8 13,-1-1 0,0 1 0,1 0 0,-1-1 0,1 1 0,-1 0 0,1 0 0,-1 0 0,1 0 0,-1 0 0,1 0 0,-1 0 0,1 1 0,-1-1 0,1 0 0,-1 1 0,3 0 0,-2 1 25,1 0 0,-1-1 0,0 1 0,1 0 0,-1 0 0,0 1 0,0-1 0,-1 0 0,1 1 0,0-1 0,2 5 0,5 14 332,0 0-1,-1 1 0,-1 0 0,-1 0 0,-1 1 0,2 24 1,5 145 429,-12-142-791,-3-1 0,-2 0 0,-2-1 0,-2 1 0,-2-1 0,-2-1 0,-2 0 0,-2-1 0,-3-1 0,-1-1 0,-2 0 0,-2-2 0,-2-1 0,-2-1 0,-1-1 0,-50 49 0,46-54 0,-1-1 0,-2-1 0,-2-2 0,0-2 0,-2-2 0,-50 25 0,33-28 0,54-21 0,0-1 0,-1 0 0,1 0 0,0-1 0,0 1 0,-1-1 0,1 0 0,0 0 0,0-1 0,-9-1 0,12 2 0,0 0 0,-1-1 0,1 1 0,0-1 0,0 1 0,0-1 0,-1 1 0,1-1 0,0 0 0,0 1 0,0-1 0,0 0 0,0 0 0,1 0 0,-1 0 0,0 0 0,0 0 0,0 0 0,1 0 0,-1 0 0,1 0 0,-1 0 0,1-1 0,-1 1 0,1 0 0,0 0 0,-1 0 0,1-1 0,0 1 0,0 0 0,0-1 0,0 1 0,0 0 0,0 0 0,0-1 0,1 1 0,-1 0 0,0 0 0,1-2 0,1-2 0,0 1 0,0-1 0,0 1 0,1 0 0,-1 0 0,1 0 0,0 0 0,0 1 0,5-6 0,-3 5 0,-1 1 0,1 0 0,0-1 0,-1 2 0,1-1 0,1 0 0,-1 1 0,0 0 0,1 0 0,-1 1 0,0 0 0,1 0 0,0 0 0,-1 0 0,1 1 0,0 0 0,-1 0 0,1 0 0,0 1 0,-1 0 0,1 0 0,-1 1 0,7 2 0,2 1 0,-1 1 0,0 0 0,0 2 0,0-1 0,-1 1 0,0 1 0,-1 0 0,14 14 0,2 6 0,-1 0 0,38 58 0,34 75 0,-56-89 0,-19-35 0,124 191 0,-129-205 0,0-1 0,2-1 0,1-1 0,1-1 0,0-1 0,1-1 0,29 17 0,-42-29 0,0 0 0,1-1 0,-1 0 0,1-1 0,0 0 0,1-1 0,-1 0 0,0-1 0,1 0 0,-1-1 0,1 0 0,0-1 0,-1 0 0,1-1 0,0 0 0,-1-1 0,1 0 0,-1-1 0,0 0 0,0-1 0,0 0 0,0-1 0,12-8 0,-6 2-151,0-1-1,-1-1 0,0 0 0,-2-1 1,1-1-1,-2 0 0,0-1 1,17-27-1,19-43-6674</inkml:trace>
  <inkml:trace contextRef="#ctx0" brushRef="#br0" timeOffset="1532.05">3046 1690 24575,'0'-29'0,"-2"1"0,0-1 0,-11-44 0,11 63 0,0 1 0,-1-1 0,-1 1 0,1 0 0,-1 0 0,-1 0 0,0 0 0,0 1 0,-1 0 0,0 0 0,0 0 0,-1 1 0,0-1 0,0 2 0,-15-12 0,19 16 0,1 1 0,-1-1 0,0 1 0,0 0 0,1 0 0,-1 0 0,0 0 0,0 1 0,0-1 0,0 1 0,0-1 0,0 1 0,0 0 0,0 0 0,0 0 0,0 1 0,0-1 0,-5 3 0,3-2 0,0 2 0,1-1 0,0 0 0,0 1 0,0 0 0,0 0 0,0 0 0,0 1 0,1-1 0,-5 7 0,-3 4 0,2 1 0,0 0 0,1 1 0,0-1 0,-7 26 0,2 2 0,2 0 0,1 1 0,3 0 0,2 0 0,0 75 0,5-112 0,0 1 0,1 0 0,0 0 0,0-1 0,1 1 0,0-1 0,1 1 0,5 13 0,-6-18 0,0 0 0,-1-1 0,1 1 0,0 0 0,0-1 0,1 0 0,-1 1 0,0-1 0,1 0 0,-1 0 0,1-1 0,0 1 0,0 0 0,-1-1 0,1 1 0,0-1 0,0 0 0,1 0 0,-1-1 0,0 1 0,0 0 0,0-1 0,5 0 0,-1 0 0,0-1 0,0 0 0,-1 0 0,1-1 0,0 0 0,-1 0 0,1 0 0,-1-1 0,1 0 0,-1 0 0,0-1 0,-1 0 0,1 0 0,-1 0 0,1-1 0,-1 1 0,4-7 0,5-4 0,-2 0 0,0-2 0,-1 1 0,15-30 0,-14 21 0,-1 0 0,-2-1 0,0 0 0,-2 0 0,7-50 0,-15 99 0,-1-3 0,1 0 0,1 1 0,1-1 0,4 24 0,-4-40 0,-1 0 0,1 0 0,0 0 0,1 0 0,-1 0 0,1-1 0,-1 1 0,1 0 0,0-1 0,1 1 0,-1-1 0,1 0 0,-1 0 0,1 0 0,0 0 0,0 0 0,0 0 0,0-1 0,1 1 0,-1-1 0,1 0 0,-1 0 0,1-1 0,0 1 0,0-1 0,8 2 0,-5-2 0,1-1 0,0 1 0,-1-2 0,1 1 0,0-1 0,-1 0 0,1-1 0,-1 0 0,1 0 0,-1-1 0,0 0 0,0 0 0,0 0 0,0-1 0,-1 0 0,10-8 0,0-1 0,0 0 0,-1-2 0,0 0 0,23-31 0,-16 13 0,26-53 0,-1 2 0,-47 83 0,1-1 0,0 1 0,0 0 0,0 0 0,0 0 0,0-1 0,0 1 0,0 0 0,0 0 0,0 0 0,1 1 0,0-2 0,-1 2 0,-1 0 0,0 0 0,1 0 0,-1 0 0,0 0 0,1 0 0,-1 0 0,1 0 0,-1 0 0,0 0 0,1 0 0,-1 0 0,0 0 0,1 0 0,-1 0 0,0 0 0,1 1 0,-1-1 0,0 0 0,0 0 0,1 0 0,-1 1 0,0-1 0,0 0 0,1 0 0,-1 1 0,0-1 0,0 0 0,1 1 0,-1-1 0,0 1 0,2 4 0,0 0 0,0 0 0,-1 0 0,1 0 0,0 8 0,0 0 0,3 9 0,1 0 0,1-1 0,12 28 0,-15-40 0,1 0 0,0-1 0,1 1 0,0-1 0,0 0 0,0 0 0,1-1 0,1 0 0,14 12 0,-18-17 0,0 1 0,0-1 0,0 0 0,1 0 0,-1-1 0,1 1 0,-1-1 0,1 0 0,-1 0 0,1-1 0,0 1 0,-1-1 0,1 0 0,0 0 0,-1-1 0,1 1 0,0-1 0,-1 0 0,1 0 0,-1-1 0,5-1 0,5-3 0,-1-1 0,0 0 0,0-1 0,-1 0 0,18-16 0,13-16 0,-2-3 0,-2-1 0,51-75 0,-28 36 0,-51 69 0,-7 7 0,1 0 0,0 1 0,1-1 0,-1 1 0,1 0 0,0 0 0,1 1 0,-1 0 0,1 0 0,13-7 0,-19 12 0,0 0 0,0 0 0,0-1 0,0 1 0,0 0 0,0 0 0,0 0 0,0 0 0,0 0 0,0 0 0,0 0 0,0 1 0,0-1 0,0 0 0,0 0 0,0 1 0,0-1 0,0 1 0,0-1 0,-1 1 0,1-1 0,0 1 0,0 0 0,0-1 0,-1 1 0,1 0 0,0 0 0,-1-1 0,1 1 0,0 0 0,-1 0 0,1 0 0,-1 0 0,1 0 0,-1 0 0,0 0 0,1 0 0,-1 0 0,0 1 0,2 6 0,0 1 0,-1-1 0,1 16 0,-2-17 0,1 9 0,1 1 0,0 0 0,8 29 0,-8-40 0,0-1 0,0 1 0,1-1 0,0 0 0,0 0 0,0 0 0,0-1 0,1 1 0,0-1 0,0 1 0,0-1 0,0 0 0,1-1 0,-1 1 0,8 3 0,-2-2 0,0-1 0,1 0 0,-1-1 0,1 0 0,0 0 0,0-2 0,0 1 0,0-1 0,0 0 0,0-1 0,0-1 0,1 0 0,-1 0 0,13-4 0,12-4 0,-1-1 0,0-2 0,35-17 0,-33 12 0,-1-2 0,0-1 0,-1-2 0,45-37 0,-62 44 0,-1-1 0,0-1 0,-1 0 0,-1-1 0,-1 0 0,-1-1 0,0-1 0,-2 0 0,12-26 0,-20 38 0,0 0 0,-1 1 0,0-1 0,0 0 0,-1 0 0,0 0 0,0 0 0,-1-11 0,0 16 0,-1 0 0,1 1 0,0-1 0,-1 0 0,0 1 0,0-1 0,0 0 0,0 1 0,0-1 0,0 1 0,-1-1 0,1 1 0,-1 0 0,1 0 0,-1 0 0,0 0 0,0 0 0,0 0 0,0 0 0,0 0 0,-1 1 0,1-1 0,0 1 0,-1 0 0,1 0 0,-1 0 0,-3-2 0,0 2 0,0 0 0,-1 0 0,1 0 0,0 1 0,0 0 0,0 0 0,-1 1 0,1-1 0,-10 4 0,0 0 0,0 1 0,-23 11 0,11-3 0,2 1 0,0 2 0,0 0 0,2 2 0,-34 30 0,42-33 0,1 1 0,0 1 0,1 0 0,1 1 0,0 1 0,1 0 0,2 0 0,-11 25 0,18-37 0,0 1 0,1 0 0,0 0 0,0 1 0,-1 15 0,3-21 0,0 0 0,0-1 0,0 1 0,0 0 0,1-1 0,0 1 0,-1-1 0,1 1 0,0-1 0,0 1 0,0-1 0,0 1 0,1-1 0,-1 0 0,1 1 0,-1-1 0,1 0 0,0 0 0,0 0 0,0-1 0,0 1 0,3 2 0,1-1 0,1 1 0,0-1 0,1-1 0,-1 1 0,0-1 0,1-1 0,-1 1 0,1-1 0,-1 0 0,1-1 0,0 0 0,-1 0 0,12-2 0,0-1 0,0 0 0,0-2 0,0 0 0,21-9 0,-17 3 0,-1-1 0,0-1 0,0-1 0,23-20 0,32-21 0,-76 54 0,1 0 0,-1 0 0,1 0 0,-1 1 0,1-1 0,-1 0 0,1 1 0,0-1 0,-1 1 0,1-1 0,0 1 0,-1 0 0,1 0 0,0 0 0,0 0 0,-1 0 0,1 0 0,0 0 0,0 0 0,1 1 0,-1 0 0,-1 0 0,1 0 0,-1 0 0,0 0 0,1 0 0,-1 1 0,0-1 0,0 0 0,0 1 0,0-1 0,0 1 0,0-1 0,0 1 0,0-1 0,-1 1 0,2 2 0,1 9 0,-1-1 0,0 1 0,0 0 0,-1 19 0,-1-23 0,-2 440 0,-2-227 0,4-193 0,-9 293 0,3-248 0,-3-1 0,-24 95 0,27-145 0,-1-1 0,-1 1 0,-1-2 0,-22 41 0,27-56 0,1 0 0,-1-1 0,0 1 0,0-1 0,0 0 0,-1-1 0,0 1 0,0-1 0,0 1 0,0-1 0,-1-1 0,0 1 0,0-1 0,0 0 0,0-1 0,0 1 0,0-1 0,-1 0 0,1-1 0,-1 0 0,-8 1 0,9-2 0,1 0 0,-1-1 0,1 0 0,0 0 0,-1 0 0,1-1 0,0 0 0,0 0 0,0 0 0,0-1 0,0 1 0,1-1 0,-1-1 0,1 1 0,0 0 0,-1-1 0,-5-7 0,0-1 0,1 0 0,1 0 0,0-1 0,1 1 0,-9-23 0,3 1 0,1-1 0,2 0 0,2-1 0,1 0 0,-4-61 0,9 40 0,2 0 0,3 1 0,10-59 0,-2 59 0,3 0 0,2 0 0,3 2 0,1 0 0,3 1 0,3 1 0,2 2 0,61-87 0,-5 32 0,3 2 0,168-149 0,-211 212 0,126-122 0,-133 124 0,-2-1 0,40-61 0,-66 86 0,-1 1 0,0-1 0,0 0 0,-2 0 0,0-1 0,0 0 0,3-17 0,-8 30 0,-1 1 0,1-1 0,-1 0 0,0 1 0,1-1 0,-1 0 0,0 0 0,0 1 0,0-1 0,0 0 0,-1 0 0,1 1 0,0-1 0,-1 0 0,1 1 0,-1-1 0,0 1 0,1-1 0,-1 1 0,0-1 0,0 1 0,0-1 0,0 1 0,0-1 0,0 1 0,0 0 0,-1 0 0,1 0 0,0 0 0,-1 0 0,1 0 0,-3-1 0,1 1 0,-1 1 0,1-1 0,0 1 0,-1 0 0,1 0 0,-1 0 0,1 0 0,0 1 0,-1-1 0,1 1 0,0 0 0,-1 0 0,1 0 0,0 1 0,-5 2 0,-5 3 0,1 1 0,0 0 0,0 1 0,1 1 0,0 0 0,1 0 0,0 1 0,0 0 0,1 1 0,1 0 0,0 1 0,1-1 0,0 1 0,1 1 0,0-1 0,-6 25 0,10-28 0,-1 1 0,1 0 0,1 0 0,0 0 0,1 0 0,0 0 0,1 0 0,0 0 0,0 0 0,4 12 0,-2-15 0,0 0 0,0 1 0,1-1 0,0-1 0,0 1 0,1-1 0,0 1 0,0-1 0,1 0 0,0-1 0,0 0 0,0 0 0,13 9 0,0-3 0,0-1 0,1-1 0,-1-1 0,2-1 0,-1-1 0,1 0 0,0-2 0,43 6 0,-11-6 0,1-2 0,81-6 0,8-13-1365,-14-7-5461</inkml:trace>
  <inkml:trace contextRef="#ctx0" brushRef="#br0" timeOffset="2284.11">7165 425 24575,'1'0'0,"-1"0"0,0 0 0,1 0 0,-1-1 0,0 1 0,1 0 0,-1 0 0,0 0 0,1 0 0,-1-1 0,0 1 0,1 0 0,-1 0 0,1 0 0,-1 0 0,0 0 0,1 0 0,-1 0 0,0 0 0,1 0 0,-1 0 0,1 0 0,-1 0 0,0 1 0,1-1 0,-1 0 0,0 0 0,1 0 0,-1 0 0,0 1 0,1-1 0,-1 0 0,0 0 0,0 1 0,1-1 0,-1 0 0,0 0 0,0 1 0,1-1 0,-1 0 0,0 1 0,0-1 0,0 0 0,1 1 0,-1-1 0,2 23 0,-2-23 0,-2 29 0,-1-1 0,-1 0 0,-11 38 0,0-1 0,11-42 0,-28 155 0,27-139 0,1 0 0,4 61 0,0-98 0,5 39 0,-5-40 0,1 0 0,-1 0 0,0 0 0,0 0 0,1 0 0,-1 0 0,0 0 0,1 0 0,-1 0 0,1 0 0,-1 0 0,1-1 0,0 1 0,-1 0 0,1 0 0,0 0 0,-1-1 0,1 1 0,0 0 0,0-1 0,0 1 0,0-1 0,0 1 0,0-1 0,0 1 0,0-1 0,0 0 0,0 0 0,0 1 0,0-1 0,1 0 0,0 0 0,-1-1 0,1 1 0,0-1 0,-1 0 0,1 0 0,-1 1 0,1-1 0,-1 0 0,0 0 0,1 0 0,-1-1 0,0 1 0,0 0 0,0 0 0,0-1 0,0 1 0,0 0 0,0-1 0,1-2 0,15-38 0,-11 17 0,0-1 0,-2 1 0,2-43 0,-8-79 0,1 89 0,-6-87 0,2 61 0,3-1 0,12-114 0,-9 190 0,1-1 0,0 1 0,0-1 0,1 1 0,1 0 0,-1 0 0,1 0 0,1 0 0,-1 1 0,2 0 0,10-15 0,-10 17 0,1 0 0,-1 1 0,1 0 0,0 0 0,0 0 0,1 1 0,-1 0 0,1 0 0,0 1 0,0 0 0,0 0 0,0 1 0,12-2 0,-10 3 0,0-1 0,1 2 0,-1-1 0,1 2 0,-1-1 0,1 1 0,-1 1 0,0 0 0,1 0 0,-1 1 0,0 0 0,0 1 0,-1 0 0,1 1 0,-1 0 0,0 0 0,0 1 0,-1 0 0,9 8 0,-3-1 0,-2 0 0,1 1 0,-2 1 0,0 0 0,0 0 0,-2 1 0,0 1 0,-1-1 0,0 1 0,6 24 0,2 15 10,-3 1 0,13 115 0,-14 125-465,-33 225-1729,-35-1 2336,40-383-248,-21 174 94,-36 358-141,71-643 124,-2 54 3,4-75 16,0-1 1,1 1-1,-1-1 1,1 0 0,0 1-1,1-1 1,0 0 0,-1 0-1,1 0 1,5 8-1,-7-12 0,1-1 0,0 1 0,-1 0 0,1 0 0,0-1 0,-1 1 0,1 0 0,0-1 0,0 1 0,0-1 0,0 1 0,0-1 0,-1 1 0,1-1 0,0 0 0,0 1 0,0-1 0,0 0 0,0 0 0,0 0 0,0 1 0,0-1 0,0 0 0,0-1 0,0 1 0,0 0 0,0 0 0,0 0 0,0-1 0,0 1 0,0 0 0,0-1 0,0 1 0,0-1 0,0 1 0,1-1 0,6-5 0,0 0 0,-1 0 0,0 0 0,0-1 0,0 0 0,8-12 0,35-48 0,-4-3 0,49-100 0,-12 4-148,-7-3-1,-8-4 0,-7-2 0,48-232 1,-72 180-320,-34 205 450,-1 1-1,-2-1 1,0 1 0,-1-1-1,-1 1 1,-1 0 0,-8-31 0,8 44 19,0-1 0,-1 1 1,0 1-1,0-1 1,-1 1-1,0-1 0,0 1 1,-1 1-1,1-1 1,-2 1-1,1 0 0,-1 0 1,1 1-1,-2 0 1,1 0-1,0 0 0,-1 1 1,0 1-1,0-1 1,-11-2-1,-10-2-1,0 1 0,0 1 0,-1 2 0,0 1 0,-42 1 0,-148 17 0,112-1 0,98-12-11,-27 1-101,37-3 115,0 0-1,0 0 0,0 0 0,-1 0 1,1 0-1,0 0 0,0 0 0,0 0 1,0 0-1,0 0 0,0 0 1,0 0-1,-1 0 0,1-1 0,0 1 1,0 0-1,0 0 0,0 0 1,0 0-1,0 0 0,0 0 0,0 0 1,0 0-1,-1 0 0,1 0 1,0 0-1,0-1 0,0 1 0,0 0 1,0 0-1,0 0 0,0 0 1,0 0-1,0 0 0,0 0 0,0 0 1,0-1-1,0 1 0,0 0 0,0 0 1,0 0-1,0 0 0,0 0 1,0 0-1,0 0 0,0-1 0,0 1 1,0 0-1,0 0 0,0 0 1,0 0-1,0 0 0,0 0 0,0 0 1,1 0-1,-1-1 0,0 1 1,0 0-1,0 0 0,0 0 0,0 0 1,0 0-1,0 0 0,0 0 1,1 0-1,18-13 474,60-25 348,24-8-6288</inkml:trace>
  <inkml:trace contextRef="#ctx0" brushRef="#br0" timeOffset="3679.24">4904 3166 24575,'0'-8'0,"0"0"0,-1 0 0,0 0 0,0 0 0,-1 1 0,0-1 0,-1 1 0,-3-9 0,5 15 0,1-1 0,-1 0 0,0 1 0,0-1 0,0 1 0,0 0 0,0-1 0,-1 1 0,1 0 0,0-1 0,-1 1 0,1 0 0,0 0 0,-1 0 0,0 0 0,1 0 0,-1 1 0,1-1 0,-1 0 0,0 1 0,0-1 0,1 1 0,-1 0 0,0-1 0,0 1 0,1 0 0,-1 0 0,0 0 0,0 0 0,0 1 0,1-1 0,-1 0 0,0 1 0,0-1 0,1 1 0,-1 0 0,0-1 0,1 1 0,-1 0 0,1 0 0,-3 2 0,-4 3 0,1 1 0,-1-1 0,2 1 0,-1 1 0,1-1 0,0 1 0,1 0 0,-1 1 0,2-1 0,-6 12 0,-8 18 0,2 1 0,1 1 0,2 1 0,-13 68 0,-9 174 0,33-267 0,-10 215 0,12-197 0,2 1 0,1 0 0,2 0 0,14 50 0,-17-75 0,1 0 0,1 0 0,0 0 0,1 0 0,0-1 0,0 0 0,1 0 0,0 0 0,0-1 0,1 1 0,0-2 0,1 1 0,-1-1 0,2 0 0,-1-1 0,1 1 0,0-2 0,0 1 0,0-2 0,1 1 0,0-1 0,0 0 0,0-1 0,0 0 0,0-1 0,1 0 0,-1-1 0,15 1 0,-1-3 0,-1 0 0,1-2 0,0 0 0,-1-2 0,1-1 0,-1 0 0,-1-2 0,1 0 0,-2-2 0,1-1 0,22-14 0,7-8 0,-1-2 0,-2-2 0,51-53 0,-63 55 0,-1-2 0,-2-2 0,49-75 0,-64 84 0,-2-1 0,0 0 0,-2-2 0,-2 1 0,0-1 0,7-44 0,-16 65 0,0 0 0,-2 0 0,1 0 0,-2 0 0,1 0 0,-2-1 0,0 1 0,0 0 0,-1 0 0,0 0 0,-6-16 0,7 26 0,0-1 0,0 1 0,0 0 0,0-1 0,0 1 0,-1 0 0,1 0 0,-1-1 0,1 1 0,-1 0 0,0 1 0,0-1 0,0 0 0,0 0 0,0 1 0,0-1 0,0 1 0,0 0 0,-1 0 0,1 0 0,-1 0 0,1 0 0,-1 0 0,1 1 0,-1-1 0,1 1 0,-1-1 0,0 1 0,1 0 0,-1 0 0,1 0 0,-1 1 0,1-1 0,-1 1 0,0-1 0,1 1 0,-4 1 0,-1 1 0,0 1 0,1 0 0,-1 0 0,0 0 0,1 1 0,0 0 0,0 0 0,1 0 0,-1 1 0,1 0 0,-6 9 0,1 0 0,1 1 0,1-1 0,1 2 0,0-1 0,1 1 0,0 0 0,2 0 0,0 0 0,-2 22 0,5-31 0,0 1 0,1-1 0,0 0 0,1 0 0,-1 0 0,1 0 0,1 0 0,0 0 0,0 0 0,0-1 0,1 1 0,0-1 0,1 1 0,-1-1 0,1 0 0,1 0 0,-1-1 0,1 1 0,1-1 0,-1 0 0,1-1 0,9 8 0,-6-6 0,1-1 0,0 0 0,0-1 0,1 0 0,0-1 0,0 0 0,0-1 0,0 0 0,0 0 0,1-1 0,18 1 0,-14-3 0,-1-1 0,1-1 0,0 0 0,0 0 0,0-2 0,-1 0 0,27-11 0,-18 4 0,0-1 0,0-2 0,-2 0 0,0-1 0,0-1 0,-1-1 0,-2-1 0,1-1 0,30-41 0,-32 34 0,-1-1 0,-1-2 0,-2 1 0,-1-2 0,-1 1 0,-1-2 0,8-39 0,-6 1 0,-2-1 0,2-85 0,-10 103 0,-3 1 0,-2-1 0,-14-79 0,13 115 0,-1 0 0,-1 0 0,-11-27 0,15 41 0,0 0 0,0-1 0,-1 1 0,1 0 0,0 0 0,-1 0 0,1 0 0,-1 0 0,0 0 0,0 0 0,0 1 0,0-1 0,0 1 0,0-1 0,0 1 0,0 0 0,0-1 0,-5 0 0,5 2 0,0 0 0,0 0 0,0 0 0,0 1 0,1-1 0,-1 1 0,0-1 0,0 1 0,0-1 0,0 1 0,0 0 0,1 0 0,-1 0 0,0 0 0,1 0 0,-1 1 0,1-1 0,-1 0 0,1 1 0,0-1 0,-1 1 0,1-1 0,-2 4 0,-4 6 0,1 0 0,0 0 0,0 1 0,1 0 0,0 0 0,-3 16 0,-16 85 0,13-38 0,2 0 0,4 0 0,5 91 0,1-133 0,2-1 0,2 0 0,1 0 0,1 0 0,2-1 0,1 0 0,1 0 0,2-1 0,1-1 0,19 29 0,-23-44 0,0 1 0,2-2 0,0 0 0,0 0 0,1-1 0,1 0 0,19 12 0,-22-17 0,0-1 0,1 0 0,-1-1 0,1 0 0,0 0 0,1-2 0,-1 1 0,1-2 0,-1 0 0,23 1 0,-16-3 0,1-2 0,0 0 0,-1-1 0,0-1 0,1-1 0,-2 0 0,1-2 0,-1 0 0,0-1 0,0-1 0,-1 0 0,0-2 0,0 0 0,-2 0 0,1-2 0,15-16 0,-8 6 0,-2-1 0,0-1 0,-1-1 0,-2-1 0,-1-1 0,-1 0 0,-1-1 0,-2-1 0,11-34 0,-12 28 0,-3-1 0,-1 0 0,4-44 0,-10 67 0,-1 1 0,-1-1 0,0 0 0,-1 0 0,-1 0 0,0 0 0,0 0 0,-2 1 0,0-1 0,0 1 0,-11-22 0,14 33 0,0 0 0,0 0 0,0 0 0,0 0 0,0 0 0,-1 0 0,1 0 0,-1 1 0,0-1 0,1 0 0,-1 1 0,0-1 0,0 1 0,0 0 0,0 0 0,0-1 0,0 1 0,0 0 0,0 1 0,-1-1 0,1 0 0,0 1 0,0-1 0,-1 1 0,1 0 0,0 0 0,-1 0 0,1 0 0,0 0 0,-1 0 0,-2 1 0,0 1 0,0 1 0,0 0 0,0-1 0,0 1 0,0 1 0,1-1 0,-1 1 0,1 0 0,0 0 0,0 0 0,0 1 0,-4 7 0,-8 11 0,2 1 0,1 1 0,1 0 0,-18 53 0,-18 116 0,37-132 0,-5 76 0,15-109 0,1 1 0,1 0 0,1-1 0,11 49 0,-11-68 0,1 0 0,0-1 0,1 0 0,0 1 0,0-1 0,1-1 0,0 1 0,0-1 0,1 1 0,0-2 0,10 10 0,-11-12 0,1 0 0,0 0 0,1-1 0,-1 0 0,1 0 0,0-1 0,0 0 0,0 0 0,1 0 0,-1-1 0,0 0 0,1-1 0,0 1 0,14-1 0,-3-1 0,-1-1 0,0-1 0,0-1 0,0 0 0,0-1 0,0-2 0,-1 1 0,28-14 0,-2-3 0,-2-2 0,46-34 0,-24 11 0,-3-3 0,-1-2 0,-3-3 0,-3-2 0,-2-2 0,-3-3 0,-2-2 0,70-131 0,-105 175 0,0-2 0,-2 1 0,0-1 0,-2-1 0,0 0 0,4-29 0,-10 50 0,-1-1 0,0 1 0,1 0 0,-1-1 0,-1 1 0,1 0 0,0-1 0,0 1 0,-1 0 0,1-1 0,-1 1 0,0 0 0,0 0 0,0 0 0,0 0 0,0-1 0,0 1 0,-2-1 0,3 2 0,-1 1 0,1 0 0,-1-1 0,1 1 0,-1 0 0,1 0 0,-1-1 0,1 1 0,-1 0 0,1 0 0,-1 0 0,1 0 0,-1 0 0,0 0 0,1 0 0,-1 0 0,1 0 0,-1 0 0,1 0 0,-1 0 0,1 0 0,-1 0 0,1 1 0,-1-1 0,0 0 0,-1 1 0,0 1 0,1-1 0,-1 0 0,1 0 0,-1 1 0,1-1 0,-1 1 0,1-1 0,0 1 0,-2 2 0,-1 4 0,0 0 0,1-1 0,0 2 0,0-1 0,1 0 0,0 1 0,0-1 0,1 1 0,0-1 0,0 1 0,1 0 0,0-1 0,1 1 0,0-1 0,0 1 0,1-1 0,0 1 0,4 9 0,6 17 0,3 1 0,35 61 0,-30-60 0,-16-29 0,0-1 0,-1 1 0,0 0 0,0 0 0,0 0 0,-1 0 0,1 11 0,-3-15 0,0 1 0,0-1 0,0 1 0,-1-1 0,0 1 0,0-1 0,0 0 0,0 1 0,-1-1 0,0 0 0,0 0 0,0 0 0,0 0 0,0 0 0,-7 6 0,-2 3 0,-1 0 0,-1-1 0,-1-1 0,1 0 0,-2 0 0,-25 13 0,-101 43 0,140-67 0,-69 27-455,0-3 0,-129 26 0,120-36-6371</inkml:trace>
  <inkml:trace contextRef="#ctx0" brushRef="#br0" timeOffset="4033.25">10097 3683 24575,'2'1'0,"-1"0"0,1 1 0,-1-1 0,0 0 0,1 1 0,-1 0 0,0-1 0,0 1 0,0-1 0,0 1 0,0 0 0,0 0 0,-1 0 0,1-1 0,-1 1 0,1 0 0,-1 0 0,0 0 0,1 0 0,-1 0 0,0 0 0,0 0 0,0 0 0,-1 0 0,0 2 0,0 0 0,-1-1 0,-1 0 0,1 0 0,0 0 0,-1 0 0,0 0 0,1 0 0,-1-1 0,0 1 0,-1-1 0,1 0 0,0 0 0,-6 2 0,-28 14 0,-1-2 0,-1-1 0,-63 14 0,99-28 0,-193 48 0,-73 10-709,-110 24-2130,-155 40 2129,-193 57-185,-202 63-2687,-190 64 2087,-3465 1114-3738,3943-1201 5894,280-103-496,274-96-113,68-20 151,12-6 117,8 3-244,0 0-1,0 0 1,0 1 0,1-1 0,-1 0 0,0 1 0,1-1 0,-1 1-1,1-1 1,-1 1 0,1 0 0,3-3 0,48-31 1367,110-60 1999</inkml:trace>
  <inkml:trace contextRef="#ctx0" brushRef="#br0" timeOffset="4593.22">7587 1039 24575,'0'1'0,"-1"-1"0,1 1 0,0 0 0,-1 0 0,1 0 0,-1-1 0,1 1 0,-1 0 0,0-1 0,1 1 0,-1 0 0,1-1 0,-1 1 0,0-1 0,0 1 0,1-1 0,-1 1 0,0-1 0,0 1 0,0-1 0,-1 0 0,-2 3 0,-24 11 0,-2-1 0,-48 15 0,61-23 0,-151 48 0,-80 18-604,-102 29-1815,-103 29 1259,-95 29-1059,219-64 1225,-928 271-2147,27 33 701,974-303 2268,227-83 422,1 0 0,-35 22 0,62-33-240,0-1 1,0 1 0,0-1 0,1 1 0,-1-1 0,0 1 0,1-1-1,-1 1 1,0 0 0,1-1 0,-1 1 0,1 0 0,-1 0 0,1-1-1,-1 1 1,1 0 0,-1 0 0,1 0 0,-1 1 0,2-1 5,-1-1-1,1 1 1,-1-1 0,0 1 0,1-1 0,-1 0-1,1 1 1,0-1 0,-1 0 0,1 1 0,-1-1-1,1 0 1,-1 0 0,1 0 0,0 1 0,-1-1-1,1 0 1,-1 0 0,1 0 0,0 0 0,-1 0 0,1 0-1,0 0 1,0 0 0,19-2 632,0-1 1,30-7-1,74-22 1003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39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219 1 24575,'30'2'0,"-1"1"0,1 2 0,47 14 0,-68-16 0,-1-1 0,0 2 0,0-1 0,0 1 0,0 0 0,-1 1 0,1-1 0,-1 2 0,0-1 0,-1 1 0,1 1 0,6 7 0,-6-4 0,0 0 0,0 1 0,-1 0 0,0 0 0,-1 1 0,0-1 0,5 23 0,-2 9 0,-2-2 0,-1 2 0,-3 87 0,-2-113 0,17 338 0,-1-90 0,15 293 0,63 342 0,-62-448 0,-33 0 0,-2-198 0,3-80 0,-25 525 0,-9-232 0,28-351 0,-13 126 0,-5 153 0,26-74 0,-4 150 0,-50 18 0,22-257 0,12-105 0,-8 103 0,24-19 0,-12 171 0,-8-193 0,-26 372 0,48-557 0,-1 10 0,1 0 0,0 0 0,1 0 0,1 1 0,5 17 0,-6-28 0,0-1 0,1 1 0,-1-1 0,1 2 0,0-2 0,0 0 0,0 0 0,1 0 0,-1 0 0,1 0 0,0 0 0,-1-1 0,1 0 0,0 1 0,1-1 0,-1 0 0,0 0 0,1-1 0,-1 1 0,1-1 0,-1 1 0,1-1 0,0 0 0,4 0 0,8 2 0,0 0 0,0-1 0,1-1 0,-1-1 0,1 0 0,-1-3 0,18-2 0,-26 4 0,0-1 0,-1 0 0,1 0 0,0-1 0,-1 0 0,0-1 0,0 0 0,0 0 0,0 0 0,-1-1 0,1 0 0,-1 0 0,-1-1 0,1 0 0,-1 0 0,7-9 0,0-7 0,-1 0 0,-1-1 0,-1 0 0,-2 0 0,0-2 0,-1 2 0,-1-2 0,-1 1 0,1-47 0,-5 64 0,0-1 0,-1 2 0,1-1 0,-1 0 0,0 0 0,-1 1 0,0-1 0,0 0 0,0 1 0,-1-1 0,0 1 0,-6-10 0,7 13 0,0 1 0,-1-1 0,1 1 0,-1-1 0,1 1 0,-1-1 0,0 1 0,0 0 0,0 1 0,0-1 0,0 1 0,0-1 0,0 1 0,-1 0 0,1 0 0,0 0 0,-1 1 0,1-1 0,0 1 0,-1 0 0,1 0 0,-1 0 0,1 0 0,-1 1 0,1-1 0,-6 3 0,3-2 0,0 1 0,1 0 0,-1 1 0,1 0 0,-1 0 0,1 1 0,0-1 0,0 1 0,0-1 0,0 1 0,1 1 0,-1-1 0,1 1 0,0-1 0,1 1 0,-1 0 0,1 2 0,0-2 0,0 0 0,1 1 0,-4 11 0,-1 10 0,0-1 0,2 2 0,-3 48 0,2-17 0,-27 390 0,35 1 0,0-333 0,8 133 0,60 358 0,-19-312 0,66 470 0,-83-503 0,26 375 0,-60-616 0,0 0 0,-2 1 0,-8 41 0,7-52 0,-1 1 0,0-2 0,-1 1 0,0-1 0,0 0 0,-2 1 0,1-2 0,-12 14 0,-16 18 0,-2-2 0,-2-1 0,-1-3 0,-2 0 0,-55 35 0,70-56 0,-1-2 0,0-1 0,-1-2 0,0 0 0,0-1 0,-1-2 0,0-2 0,-1 0 0,1-2 0,-32-1 0,53-1 0,0-2 0,0 1 0,0-1 0,0 0 0,0 0 0,0-1 0,0-1 0,1 1 0,-1-1 0,1 0 0,0-1 0,0 1 0,0-2 0,0 0 0,1 0 0,-1 0 0,1 0 0,0 0 0,1-1 0,-1 0 0,1 0 0,1-2 0,-1 2 0,1-1 0,0 0 0,-5-14 0,0-5-273,2 1 0,0-2 0,2 2 0,-4-46 0,2-25-6553</inkml:trace>
  <inkml:trace contextRef="#ctx0" brushRef="#br0" timeOffset="2325.93">854 5243 24575,'24'-1'0,"-1"-1"0,0 0 0,0-2 0,34-11 0,85-37 0,-108 38 0,40-13 0,-19 6 0,-1 0 0,-1-4 0,60-37 0,-107 58 0,0 0 0,-1 0 0,1 0 0,-1-1 0,0 0 0,-1 0 0,1 0 0,-1-2 0,0 2 0,4-7 0,-7 9 0,-1 1 0,1 0 0,0 0 0,-1 0 0,1 0 0,-1-1 0,0 1 0,0 0 0,0 0 0,0 0 0,0-1 0,0 1 0,0 0 0,-1-1 0,1 1 0,-1-1 0,0 1 0,0 0 0,0 0 0,0 0 0,0 0 0,0 0 0,0 0 0,0 1 0,-1-1 0,1 0 0,-1 1 0,1-1 0,-1 1 0,0-1 0,0 1 0,0 0 0,-2-2 0,-5-3 0,-1-1 0,0 1 0,0 0 0,-1 2 0,0-1 0,0 1 0,0 1 0,0 0 0,0 0 0,-1 1 0,1 1 0,-1 0 0,-13 0 0,23 2 0,1-1 0,-1 0 0,1 1 0,-1-1 0,1 1 0,-1-1 0,1 1 0,0-1 0,-1 1 0,1 0 0,0 0 0,0 0 0,-1 0 0,1 0 0,0 0 0,0 0 0,0 0 0,0 0 0,0 1 0,0-1 0,1 0 0,-1 1 0,0-1 0,1 0 0,-1 1 0,1-1 0,-1 1 0,1-1 0,-1 1 0,1-1 0,0 1 0,0-1 0,0 5 0,1 3 0,-1 0 0,2 0 0,-1 0 0,6 15 0,-7-23 0,63 208 0,30 118 0,32 506 0,-119-789 90,-5-42-122,-1-5-171,0-20-1017,-1-23-5606</inkml:trace>
  <inkml:trace contextRef="#ctx0" brushRef="#br0" timeOffset="3739.72">2357 5826 24575,'0'-7'0,"-1"0"0,0-1 0,0 1 0,-1 0 0,0 1 0,0-1 0,0 0 0,-1 1 0,0 0 0,0-1 0,0 1 0,-1 0 0,0 0 0,-1 0 0,1 1 0,-1 0 0,0 0 0,0 0 0,0 1 0,-1-1 0,1 1 0,-8-4 0,-1 0 0,-1 1 0,-1 0 0,1 0 0,-1 2 0,-1-1 0,1 2 0,0 0 0,-20-1 0,28 4 0,-1 1 0,1 0 0,0 0 0,0 1 0,0 0 0,-1 0 0,1 1 0,0 0 0,1 0 0,-1 1 0,0 1 0,1-1 0,-1 1 0,-9 7 0,9-5 0,0 0 0,1 1 0,0-1 0,0 2 0,1 0 0,0 0 0,0 0 0,1 0 0,0 1 0,0 0 0,-6 18 0,3-3 0,1 1 0,1-1 0,1 1 0,1 0 0,1 1 0,1 47 0,3-57 0,0 1 0,1-1 0,0 0 0,1 1 0,1-2 0,1 1 0,0 0 0,1-1 0,0-1 0,1 1 0,16 24 0,-17-32 0,-1-1 0,1 0 0,0 1 0,0-1 0,1-1 0,0 0 0,0 0 0,0-1 0,0 1 0,1-2 0,0 1 0,0-1 0,0 0 0,0-1 0,0 1 0,0-1 0,1 0 0,-1-1 0,1-1 0,-1 0 0,1 0 0,-1 0 0,1-1 0,-1 0 0,0-1 0,1-1 0,-1 1 0,0-1 0,0 0 0,0 0 0,-1-1 0,1 0 0,-1 0 0,0-1 0,0 0 0,0 0 0,-1-1 0,0 0 0,0-1 0,0 1 0,7-11 0,-2-3 0,-1-1 0,-1 1 0,-1-1 0,0 0 0,-2 0 0,0-2 0,-2 1 0,0-1 0,0-25 0,-4 47 0,0-2 0,0 1 0,0-1 0,0 0 0,1 1 0,-1-1 0,1 0 0,0 1 0,0-1 0,1-3 0,-1 6 0,-1-1 0,1 0 0,0 1 0,0-1 0,0 1 0,0 0 0,0-1 0,0 1 0,-1-1 0,1 1 0,0 0 0,0 0 0,0 0 0,0 0 0,0-1 0,0 1 0,0 1 0,0-1 0,0 0 0,0 0 0,0 0 0,0 0 0,0 1 0,0-1 0,0 0 0,0 1 0,0-1 0,1 1 0,27 10 0,-13-5 0,0-1 0,1 0 0,25 5 0,-37-9 0,0-1 0,0 0 0,0 0 0,0 0 0,0-1 0,-1 1 0,1-2 0,0 1 0,0-1 0,0 1 0,-1-1 0,1 0 0,-1 0 0,1 0 0,-1-1 0,8-5 0,-4 1 0,-1-1 0,0-1 0,0 0 0,0 0 0,-1 0 0,-1-1 0,0 1 0,0-1 0,0-1 0,-2 1 0,1-1 0,3-21 0,1-9 0,4-86 0,-12 96 0,-1 0 0,-1 0 0,-2 1 0,-1-1 0,-1 1 0,-2 0 0,0 1 0,-20-45 0,4 23 0,-1 2 0,-3 0 0,-57-75 0,84 123 0,-44-53 0,42 52 0,1-1 0,0 1 0,-1 0 0,1 0 0,-1 0 0,0 0 0,0 0 0,1 0 0,-1 1 0,0 0 0,-1-1 0,1 1 0,0 0 0,0 1 0,-6-3 0,8 3 0,0 1 0,0-1 0,0 0 0,0 2 0,0-2 0,0 1 0,0 0 0,0-1 0,0 1 0,1-1 0,-1 1 0,0 0 0,0 0 0,1 0 0,-1-1 0,0 1 0,1 0 0,-1 0 0,1 0 0,-1 0 0,1 0 0,-1 0 0,1 0 0,0 0 0,0 0 0,-1 0 0,1 1 0,0-1 0,0 0 0,0 0 0,0 0 0,0 0 0,0 0 0,1 0 0,-1 0 0,1 2 0,8 47 0,-9-50 0,16 51 0,2-1 0,3 0 0,33 59 0,93 137 0,-130-220 0,3 7 0,-2-3 0,40 51 0,-57-79 0,1 0 0,-1-1 0,1 1 0,0 0 0,-1-1 0,1 1 0,0-1 0,0 1 0,0-1 0,0 0 0,0 0 0,0 0 0,0 0 0,1 0 0,-1 0 0,0 0 0,0-1 0,1 1 0,-1-1 0,0 0 0,3 0 0,-3-1 0,0 1 0,0-1 0,0 0 0,-1-1 0,1 1 0,0 0 0,-1 0 0,1-1 0,-1 1 0,1-1 0,-1 0 0,0 1 0,1-1 0,-1 0 0,0 1 0,0-1 0,0 0 0,-1 0 0,1 0 0,0 0 0,-1 0 0,1 0 0,-1-4 0,7-28 0,-2-2 0,-1 2 0,-2-2 0,-1 0 0,-2 0 0,-2 1 0,-8-45 0,7 63 0,1 22 0,3 28 0,2-20 0,1 0 0,0 1 0,1 0 0,0-2 0,12 25 0,-13-31 0,0 0 0,0-1 0,1 0 0,0 1 0,0-2 0,0 1 0,0 0 0,1 0 0,0-1 0,0 0 0,0 0 0,0 0 0,1-1 0,10 5 0,-13-7 0,-1-1 0,1 1 0,0-1 0,0 1 0,0-1 0,0 0 0,0 0 0,0 0 0,0-1 0,0 1 0,0-1 0,0 1 0,-1-1 0,1 0 0,0 0 0,0 0 0,-1 0 0,1-1 0,-1 1 0,1-1 0,-1 0 0,0 0 0,1 0 0,-1 0 0,0 0 0,0 0 0,0 0 0,2-5 0,5-7 0,0 0 0,-1 0 0,12-29 0,-18 39 0,14-38 0,-1-1 0,-2-1 0,-2 1 0,-2-1 0,-2-1 0,2-72 0,-8 62 0,-2 0 0,-3 0 0,-2 0 0,-3 0 0,-15-55 0,23 107 0,-8-28 0,-23-57 0,30 82 0,-1-1 0,-1 1 0,1 0 0,-1 0 0,0-1 0,-1 1 0,1 1 0,-1 0 0,0 0 0,0 0 0,-1 0 0,1 1 0,-1 0 0,-9-6 0,14 9 0,-1 1 0,0-1 0,0 0 0,0 1 0,0-1 0,0 1 0,0 0 0,0-1 0,0 1 0,0 0 0,0 0 0,0 1 0,0-1 0,0 0 0,0 1 0,0-1 0,0 1 0,0-1 0,0 1 0,0 0 0,0 1 0,0-1 0,1 0 0,-1 0 0,0 1 0,1-1 0,-1 0 0,1 1 0,-1-1 0,1 1 0,-2 2 0,-1 3 0,0 0 0,0-1 0,1 1 0,0 0 0,0 2 0,1-2 0,-2 11 0,0 6 0,1-1 0,2 1 0,0 0 0,1-1 0,2 1 0,0 0 0,2 0 0,0-2 0,9 29 0,2-5 0,2-1 0,1 0 0,38 64 0,-36-76 0,1 1 0,1-2 0,29 30 0,-34-45 0,0 0 0,0 0 0,2-2 0,0-1 0,1-1 0,24 14 0,-38-24 0,0 0 0,0 0 0,1-1 0,-1 1 0,1-1 0,-1-1 0,1 1 0,0-1 0,0-1 0,0 1 0,9-1 0,-13-1 0,0 0 0,0 1 0,1-1 0,-1-1 0,-1 1 0,1 0 0,0-1 0,0 1 0,0-1 0,-1 0 0,1 0 0,-1 0 0,0 0 0,1 0 0,-1-1 0,0 1 0,0-1 0,0 1 0,-1-1 0,1 0 0,-1 0 0,1 0 0,-1-1 0,0 1 0,0 0 0,0-3 0,2-8 0,0 0 0,-2 0 0,0 0 0,0 0 0,-1 0 0,-1-1 0,0 1 0,-1 0 0,-1 0 0,0-1 0,-1 2 0,0 0 0,-1 0 0,0-1 0,-1 1 0,-1 1 0,0 0 0,-10-15 0,16 26 0,0-1 0,0 0 0,0 1 0,-1-1 0,1 1 0,0 0 0,-1-1 0,1 1 0,-1 0 0,0 0 0,1 0 0,-1 0 0,0 0 0,1 0 0,-1 0 0,0 1 0,0-1 0,0 1 0,0-1 0,-3 0 0,3 2 0,1 0 0,-1-1 0,1 1 0,0 0 0,-1 0 0,1 0 0,0 0 0,0 0 0,-1 0 0,1 0 0,0 0 0,0 1 0,0-1 0,1 0 0,-1 1 0,0-1 0,0 0 0,1 1 0,-1-1 0,1 1 0,-1-1 0,1 1 0,0 0 0,-1-1 0,1 1 0,0 2 0,-1 10 0,0 0 0,0 1 0,2-1 0,0 1 0,0-1 0,1-1 0,1 1 0,6 20 0,0-6 0,1 0 0,2 0 0,16 28 0,-12-30-136,1-1-1,2 0 1,0-1-1,1-2 1,2 0-1,0-1 1,1-1-1,1-1 0,45 26 1,-11-9-6690</inkml:trace>
  <inkml:trace contextRef="#ctx0" brushRef="#br0" timeOffset="3941.52">1913 7142 24575,'0'3'0,"28"-1"0,50-17 0,55-31 0,50-38 0,43-29 0,28-22-3195,15-2 3195,-14 10 0,-38 29 24,-58 21-24,-54 26-5020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32:49.67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24575,'-1'0'-8191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1:10.87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217 194 24575,'0'4'0,"0"4"0,0 9 0,0 8 0,0 3 0,0 9 0,0 8 0,0 3 0,0 5 0,0-3 0,0 1 0,7-20 0,3-25 0,-1-21 0,-2-8-8191</inkml:trace>
  <inkml:trace contextRef="#ctx0" brushRef="#br0" timeOffset="581.62">48 216 24575,'-1'-8'0,"1"0"0,0 0 0,0 0 0,1 0 0,1 0 0,-1 0 0,1 1 0,0-1 0,1 1 0,0-1 0,0 1 0,0 0 0,1 0 0,0 0 0,1 1 0,-1-1 0,1 1 0,0 0 0,1 0 0,0 1 0,0 0 0,0 0 0,0 0 0,10-5 0,0 1 0,0 1 0,1 1 0,0 0 0,0 1 0,-6 3 0</inkml:trace>
  <inkml:trace contextRef="#ctx0" brushRef="#br0" timeOffset="581.62">417 1 24575,'11'5'0,"-6"-1"0,-1-1 0,1 0 0,-1 1 0,0 0 0,0 0 0,0 0 0,-1 0 0,1 1 0,-1-1 0,0 1 0,0 0 0,-1 0 0,1 0 0,-1 0 0,0 1 0,1 5 0,-1-4 0,-1 0 0,0 0 0,-1 0 0,1 1 0,-1-1 0,0 0 0,-1 0 0,0 0 0,0 0 0,-1 0 0,1 0 0,-1 0 0,-1-1 0,-3 8 0,-3 5 0,-2 0 0,-1-1 0,-16 20 0,27-37 0,0 0 0,0 0 0,0 1 0,0-1 0,1 0 0,-1 1 0,0-1 0,1 1 0,-1-1 0,0 1 0,1-1 0,0 1 0,-1-1 0,1 1 0,0-1 0,0 1 0,0 0 0,0 2 0,0-3 0,1 0 0,-1 0 0,1 0 0,0 0 0,-1 0 0,1 0 0,0 0 0,0 0 0,-1 0 0,1-1 0,0 1 0,0 0 0,0-1 0,0 1 0,0 0 0,0-1 0,0 1 0,0-1 0,2 1 0,8 2 0,-1-1 0,1-1 0,-1 1 0,18-1 0,-7 0 0,-5 0 0,1 2 0,0 0 0,-1 0 0,0 2 0,0 0 0,18 9 0,-29-11 0,0-1 0,-1 1 0,1 0 0,-1 0 0,0 0 0,0 1 0,0-1 0,0 1 0,-1 0 0,5 7 0,-6-8 0,0 0 0,-1 1 0,0-1 0,0 0 0,0 1 0,0-1 0,0 0 0,-1 1 0,1-1 0,-1 1 0,0-1 0,0 1 0,0-1 0,-1 1 0,1-1 0,-1 1 0,-1 5 0,-3 2 0,0 0 0,0 0 0,-1-1 0,0 1 0,0-1 0,-1-1 0,-1 1 0,0-1 0,0 0 0,-1-1 0,-15 12 0,-3 0 0,0-2 0,-1-1 0,-34 16 0,17-12 0,-95 28 0,110-41 0,0-1 0,0-2 0,-1 0 0,-42-1 0,65-4-273,0-1 0,0 0 0,-1 0 0,-7-3 0,-16-9-6553</inkml:trace>
  <inkml:trace contextRef="#ctx0" brushRef="#br0" timeOffset="1043.54">725 406 24575,'-1'0'0,"0"1"0,0-1 0,0 1 0,0-1 0,0 1 0,0-1 0,1 1 0,-1 0 0,0-1 0,0 1 0,1 0 0,-1 0 0,0-1 0,1 1 0,-1 0 0,1 0 0,-1 0 0,1 0 0,-1 0 0,1 0 0,0 0 0,0 0 0,-1 0 0,1 0 0,0 0 0,0 0 0,0 0 0,0 0 0,0 0 0,0 0 0,0 0 0,1 2 0,2 36 0,0-28 0,0 0 0,1 1 0,0-1 0,1-1 0,0 1 0,1-1 0,0 1 0,0-2 0,1 1 0,0-1 0,1 0 0,10 10 0,-13-15 0,1 1 0,-1-1 0,0 1 0,1-2 0,0 1 0,0-1 0,0 0 0,1 0 0,-1 0 0,0-1 0,1 0 0,0 0 0,0-1 0,-1 0 0,1 0 0,0-1 0,0 1 0,0-2 0,0 1 0,0-1 0,-1 0 0,11-2 0,-12 0 0,1 1 0,-1-1 0,1 0 0,-1 0 0,0 0 0,0-1 0,-1 0 0,1 0 0,-1 0 0,0-1 0,0 1 0,0-1 0,0 0 0,-1 0 0,0 0 0,0 0 0,0-1 0,-1 0 0,0 1 0,0-1 0,0 0 0,-1 0 0,0 0 0,0 0 0,0-10 0,0 9 0,-1-1 0,0 1 0,0-1 0,-1 1 0,1 0 0,-2-1 0,1 1 0,-1 0 0,0 0 0,-1 0 0,0 0 0,0 0 0,0 0 0,-1 1 0,0 0 0,0 0 0,0 0 0,-1 0 0,0 0 0,-10-7 0,9 8-49,-1 0 1,0 1-1,0 0 0,-1 1 0,1 0 1,-1 0-1,0 0 0,0 1 0,0 0 1,0 1-1,0 0 0,0 0 0,0 1 1,0 0-1,-1 0 0,1 0 0,0 1 1,0 1-1,0 0 0,0 0 0,0 0 1,1 1-1,-1 0 0,0 0 0,1 1 0,0 0 1,-11 8-1,-5 12-6777</inkml:trace>
  <inkml:trace contextRef="#ctx0" brushRef="#br0" timeOffset="1338.65">1127 343 24575,'0'-8'0,"7"6"0,3 6 0,-1 13 0,-2 15 0,-2 9 0,-1 8 0,-3 4 0,0-5 0,-1-2 0,0-14 0,-1-11-8191</inkml:trace>
  <inkml:trace contextRef="#ctx0" brushRef="#br0" timeOffset="1600.83">1169 300 24575,'0'-1'0,"1"-1"0,-1 1 0,0-1 0,1 1 0,-1 0 0,1-1 0,-1 1 0,1 0 0,0-1 0,-1 1 0,1 0 0,0 0 0,0-1 0,0 1 0,0 0 0,0 0 0,0 0 0,0 0 0,0 0 0,1 1 0,-1-1 0,0 0 0,0 0 0,1 1 0,-1-1 0,1 1 0,-1-1 0,0 1 0,2 0 0,47-7 0,-48 7 0,20-1 0,-1 1 0,0 1 0,1 1 0,-1 1 0,0 1 0,33 10 0,-44-11 0,0 1 0,0 0 0,-1 0 0,0 1 0,1 1 0,-2-1 0,1 1 0,-1 1 0,0 0 0,0 0 0,-1 0 0,1 1 0,-2 0 0,1 1 0,8 14 0,-13-18 0,0 0 0,-1 0 0,1 0 0,-1 0 0,0 0 0,0 1 0,0-1 0,-1 0 0,0 1 0,0-1 0,0 1 0,-1-1 0,0 0 0,0 1 0,0-1 0,0 0 0,-1 0 0,0 0 0,0 0 0,0 0 0,-1 0 0,0-1 0,0 1 0,-4 4 0,-5 6 0,-1 0 0,0 0 0,-1-2 0,-1 0 0,-21 15 0,14-13 0,0 0 0,0-2 0,-1-1 0,-1 0 0,0-2 0,0-1 0,-46 11 0,66-19-72,-1 0 1,0 0-1,0-1 0,1 1 0,-1-1 0,0 0 0,0-1 0,0 1 1,1-1-1,-1 0 0,0 0 0,1 0 0,-1 0 0,1-1 0,-1 0 1,1 0-1,0 0 0,-6-5 0,-15-19-6754</inkml:trace>
  <inkml:trace contextRef="#ctx0" brushRef="#br0" timeOffset="2366.39">1826 279 24575,'1'100'0,"2"-30"0,-4 0 0,-15 118 0,14-184 0,1-5 0,-2-13 0,1-23 0,0-12 0,0 5 0,2 0 0,8-69 0,-8 111 0,0-1 0,0 1 0,1 0 0,-1-1 0,1 1 0,0 0 0,0-1 0,0 1 0,0 0 0,0 0 0,0 0 0,1 0 0,-1 0 0,0 0 0,3-2 0,-3 4 0,1-1 0,-1 1 0,0 0 0,0 0 0,0 0 0,0 0 0,0 0 0,0 0 0,1 0 0,-1 0 0,0 0 0,0 0 0,0 0 0,0 1 0,0-1 0,0 1 0,0-1 0,0 1 0,0-1 0,0 1 0,0-1 0,0 1 0,0 0 0,0-1 0,0 1 0,0 0 0,-1 0 0,1 0 0,0 0 0,-1 0 0,2 1 0,21 27 0,-1 1 0,35 62 0,-25-37 0,-30-51 0,0 0 0,1 0 0,0 0 0,0 0 0,0-1 0,1 1 0,3 3 0,-6-7 0,0 1 0,0-1 0,0 1 0,0-1 0,1 1 0,-1-1 0,0 0 0,0 1 0,0-1 0,0 0 0,0 0 0,0 0 0,0 0 0,0 0 0,1 0 0,-1 0 0,0-1 0,0 1 0,0 0 0,0-1 0,0 1 0,0 0 0,0-1 0,0 1 0,0-1 0,0 0 0,0 1 0,0-1 0,0 0 0,-1 1 0,1-1 0,0 0 0,0 0 0,-1 0 0,1 0 0,1-2 0,7-11 0,-1-1 0,0-1 0,0 1 0,-2-1 0,0-1 0,-1 1 0,0-1 0,1-18 0,5-11 0,1-1 0,-2 8 0,0 1 0,19-41 0,-29 78 0,0 1 0,0-1 0,0 1 0,0 0 0,0-1 0,0 1 0,1-1 0,-1 1 0,0-1 0,0 1 0,0 0 0,1-1 0,-1 1 0,0-1 0,0 1 0,1 0 0,-1-1 0,0 1 0,1 0 0,-1-1 0,1 1 0,-1 0 0,0 0 0,1-1 0,-1 1 0,1 0 0,-1 0 0,0 0 0,1 0 0,-1-1 0,1 1 0,-1 0 0,1 0 0,5 15 0,-2 30 0,-3-34 0,11 167 0,-9-155 0,1 0 0,1-1 0,1 1 0,1-1 0,16 35 0,-20-52-76,-1 0 1,1 0-1,-1-1 0,1 0 0,0 1 0,1-1 0,-1 0 0,1 0 1,0-1-1,0 1 0,0-1 0,0 0 0,1 0 0,-1 0 1,1-1-1,0 1 0,5 1 0,27 1-6750</inkml:trace>
  <inkml:trace contextRef="#ctx0" brushRef="#br0" timeOffset="2853.18">2545 300 24575,'1'-6'0,"2"6"0,5 16 0,6 28 0,-6 12 0,-2 0 0,-2 79 0,-4-133 0,2 17 0,-2-18 0,0-1 0,0 0 0,0 0 0,1 0 0,-1 0 0,0 0 0,0 0 0,0 0 0,0 0 0,0 0 0,0 0 0,0 0 0,0 0 0,0 1 0,0-1 0,0 0 0,1 0 0,-1 0 0,0 0 0,0 0 0,0 0 0,0 0 0,0 0 0,0 0 0,0 0 0,1 0 0,-1 0 0,0 0 0,0 0 0,0 0 0,0 0 0,0 0 0,0 0 0,0 0 0,0 0 0,0-1 0,1 1 0,-1 0 0,0 0 0,0 0 0,0 0 0,0 0 0,0 0 0,0 0 0,0 0 0,0 0 0,0 0 0,0 0 0,0 0 0,0-1 0,1 1 0,-1 0 0,0 0 0,0 0 0,0 0 0,0 0 0,0 0 0,0 0 0,0 0 0,0-1 0,0 1 0,0 0 0,0 0 0,0 0 0,9-35 0,3-44 0,15-70 0,-25 139 0,1 0 0,0 0 0,7-13 0,-9 22 0,-1-1 0,1 1 0,-1 0 0,1 0 0,-1 0 0,1 0 0,0 1 0,-1-1 0,1 0 0,0 0 0,0 0 0,0 1 0,0-1 0,0 0 0,0 1 0,0-1 0,0 0 0,2 0 0,-3 1 0,1 0 0,0 0 0,-1 0 0,1 1 0,0-1 0,-1 0 0,1 0 0,0 1 0,-1-1 0,1 0 0,0 0 0,-1 1 0,1-1 0,-1 1 0,1-1 0,-1 1 0,1-1 0,-1 1 0,1-1 0,-1 1 0,1-1 0,-1 2 0,4 3 0,-1 1 0,-1 0 0,1 0 0,3 12 0,11 65-51,-12-51 125,14 43 0,-16-66-220,0-1-1,1 1 1,0-1 0,0 1 0,1-1 0,0-1 0,0 1-1,1-1 1,9 10 0,2-4-6680</inkml:trace>
  <inkml:trace contextRef="#ctx0" brushRef="#br0" timeOffset="2991.1">2588 533 24575,'-8'0'0,"6"0"0,13-7 0,16-3 0,21-10 0,14-1 0,6-9 0,0 1 0,-6 2 0,-12 6-8191</inkml:trace>
  <inkml:trace contextRef="#ctx0" brushRef="#br0" timeOffset="3302.65">3096 237 24575,'1'-1'0,"1"1"0,0-1 0,0 0 0,-1 0 0,1 1 0,-1-1 0,1 0 0,-1 0 0,1-1 0,-1 1 0,1 0 0,-1 0 0,0-1 0,0 1 0,1-1 0,-1 1 0,0-1 0,0 1 0,0-4 0,16-31 0,-17 36 0,0-1 0,1 1 0,-1-1 0,0 1 0,0-1 0,0 1 0,0 0 0,1-1 0,-1 1 0,0-1 0,0 1 0,0-1 0,0 1 0,0-1 0,0 1 0,0-1 0,0 1 0,0-1 0,-1 1 0,1-1 0,0 1 0,0-1 0,0 1 0,0 0 0,-1-1 0,1 1 0,0-1 0,0 1 0,-1 0 0,1-1 0,0 1 0,-1 0 0,1-1 0,0 1 0,-1 0 0,1-1 0,-1 1 0,1 0 0,-1 0 0,1-1 0,-1 1 0,-1 0 0,1 0 0,0 0 0,0 0 0,0 0 0,0 1 0,0-1 0,0 0 0,0 0 0,0 1 0,1-1 0,-1 1 0,0-1 0,0 1 0,0-1 0,0 1 0,0-1 0,-1 2 0,-1 1 0,0 0 0,1-1 0,-1 1 0,1 1 0,-1-1 0,1 0 0,0 0 0,0 1 0,0-1 0,1 1 0,-1 0 0,1-1 0,0 1 0,0 0 0,0 0 0,0 0 0,1 0 0,0 0 0,0-1 0,0 1 0,0 0 0,0 0 0,1 0 0,0 0 0,1 5 0,1-2 0,-1 0 0,2-1 0,-1 1 0,1-1 0,0 1 0,0-1 0,1 0 0,0-1 0,0 1 0,0-1 0,1 0 0,7 6 0,19 9 0,1 0 0,64 27 0,-46-24 0,-48-22 0,-1 0 0,1 0 0,-1 1 0,1-1 0,-1 1 0,1-1 0,-1 1 0,0 0 0,0 0 0,0 0 0,0 0 0,0 0 0,1 3 0,-2-5 0,-1 1 0,0-1 0,0 1 0,0-1 0,0 1 0,0-1 0,0 1 0,0-1 0,0 1 0,0-1 0,0 1 0,0-1 0,0 1 0,-1-1 0,1 1 0,0-1 0,0 1 0,0-1 0,-1 1 0,1-1 0,0 1 0,0-1 0,-1 0 0,1 1 0,0-1 0,-1 1 0,-23 11 0,-15-3-94,0-2 0,-1-1 0,0-3 0,-60-1-1,59-1-799,-27 0-5932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7:51.5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130 0 24575,'-2'2'0,"0"-1"0,0 1 0,1 0 0,-1 0 0,0 0 0,1 0 0,0 0 0,-1 0 0,1 0 0,0 0 0,0 0 0,0 1 0,0-1 0,0 0 0,0 5 0,-3 4 0,-17 42 0,3 2 0,2 1 0,-16 106 0,22-62 0,3 1 0,8 106 0,0-108 0,1-44 0,3-1 0,2 0 0,2 0 0,23 74 0,-2-8 0,-6 2 0,-5 0 0,5 176 0,21 265 0,-27 136 0,-20-488 0,3 19 0,-16 422 0,14-633 0,-2-1 0,0 0 0,-1 1 0,-12 31 0,14-44 0,-1 0 0,0 1 0,-1-1 0,1 0 0,-1-1 0,0 1 0,0-1 0,-1 0 0,0 1 0,0-1 0,0-1 0,0 0 0,-1 0 0,1 0 0,-11 5 0,14-8 0,0 0 0,0 0 0,1 0 0,-1-1 0,0 1 0,0-1 0,0 1 0,0-1 0,0 0 0,0 1 0,0-1 0,0 0 0,0 0 0,0-1 0,1 1 0,-1 0 0,0-1 0,0 1 0,0-1 0,0 1 0,0-1 0,1 0 0,-1 0 0,0 0 0,0 0 0,1 0 0,-1 0 0,1 0 0,-1-1 0,1 1 0,0-1 0,-1 1 0,1-1 0,0 1 0,0-1 0,0 0 0,0 1 0,0-1 0,1 0 0,-1 0 0,0 1 0,1-1 0,-1 0 0,1-3 0,-2-3 0,0 0 0,1 0 0,0 0 0,1-1 0,0 1 0,0 0 0,1 0 0,0-1 0,3-10 0,-2 13 0,0 0 0,1 0 0,0 1 0,0-1 0,0 1 0,0-1 0,1 1 0,8-9 0,-10 13 0,-1 0 0,0-1 0,1 1 0,-1 0 0,0 0 0,1 0 0,-1 0 0,1 0 0,0 0 0,-1 0 0,1 0 0,0 1 0,-1-1 0,1 1 0,0-1 0,0 1 0,0 0 0,-1 0 0,1 0 0,0 0 0,0 0 0,0 0 0,0 0 0,-1 0 0,1 1 0,0-1 0,0 1 0,-1-1 0,1 1 0,0 0 0,-1 0 0,1 0 0,-1 0 0,4 2 0,-2 0 0,1 1 0,-1 0 0,0-1 0,0 1 0,0 0 0,-1 0 0,1 1 0,-1-1 0,0 1 0,-1-1 0,3 9 0,9 57 0,-10-48 0,42 569 0,-44 7 0,-3-325 0,-1 40 0,6 475 0,50-99 0,-17-284 0,-14-151 0,12 231 0,-20-257 0,51 272 0,-17-285 0,-39-183 0,2-1 0,1 0 0,2-1 0,28 46 0,-35-66 0,1 1 0,0-1 0,1 0 0,0-1 0,0 0 0,1 0 0,0-1 0,1-1 0,0 1 0,14 6 0,-18-11 0,0 0 0,0 0 0,0-1 0,1 0 0,-1 0 0,1 0 0,-1-1 0,1-1 0,0 1 0,-1-1 0,1 0 0,0-1 0,-1 0 0,1 0 0,-1-1 0,1 1 0,-1-2 0,14-5 0,-5-1 0,0 0 0,0-1 0,-1-1 0,-1 0 0,23-23 0,63-81 0,19-54-1365,-11-2-5461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3:34.62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5567 14 24575,'34'-4'0,"-16"0"0,0 1 0,-1 1 0,1 1 0,31 2 0,-42 0 0,0 0 0,-1 1 0,1 0 0,-1 0 0,0 0 0,1 1 0,-1 0 0,0 0 0,0 1 0,-1 0 0,1 0 0,-1 0 0,0 0 0,0 1 0,0 0 0,-1 0 0,0 0 0,7 11 0,-5-5 0,-1 1 0,0 0 0,0 1 0,-2-1 0,1 1 0,-2 0 0,1 0 0,0 25 0,-8 304 0,2-279 0,-17 244 0,10-232 0,-28 108 0,18-98 0,-26 139 0,31-114 0,12-82 0,-1 2 0,-1-1 0,-1-1 0,-1 1 0,-2-1 0,-13 28 0,-41 60 0,35-68 0,2 1 0,-21 56 0,23-30 0,3 1 0,3 1 0,4 0 0,3 0 0,-1 93 0,6-17 0,-6 342 0,12-456 0,5 370 0,28-1 0,-14-244 0,-13-87 0,3-3 0,37 140 0,-9-94 0,56 159 0,-86-263 0,1 1 0,1 0 0,0-1 0,1-1 0,0 0 0,1-1 0,1-1 0,15 15 0,-21-22 0,0-1 0,1 0 0,-1-1 0,1 0 0,0 2 0,0-3 0,0 1 0,1-1 0,-1-1 0,1 1 0,-1-1 0,1 0 0,0-1 0,0 0 0,0 0 0,0-1 0,0 0 0,0 0 0,0-1 0,15-3 0,-15 1 0,0 0 0,0-1 0,0 0 0,0 0 0,-1-2 0,0 1 0,0 0 0,0-1 0,0 0 0,-1 0 0,0-1 0,0 1 0,-1-1 0,0 0 0,0 0 0,-1-1 0,1 0 0,4-13 0,-3 6 0,0-2 0,0 1 0,-2-1 0,0 1 0,-1 0 0,0 0 0,-2-1 0,0-33 0,-1 47 0,0 1 0,0-1 0,0 1 0,-1-1 0,1 1 0,-1 0 0,0-1 0,0 1 0,1 0 0,-1-1 0,-1 1 0,1 0 0,0 0 0,0 1 0,-1-1 0,-1-2 0,1 4 0,1-1 0,0 1 0,0-1 0,0 1 0,-1 0 0,1 0 0,0 0 0,0-1 0,-1 1 0,1 0 0,0 1 0,-1-1 0,1 0 0,0 0 0,0 0 0,-1 1 0,1-1 0,0 1 0,0-1 0,0 1 0,0-1 0,-1 1 0,1 0 0,0-1 0,0 1 0,0 0 0,0 0 0,1-1 0,-1 1 0,0 0 0,-1 1 0,-17 17 0,1 1 0,1 2 0,0 0 0,-13 22 0,-49 101 0,64-114 0,1 2 0,2-1 0,2 0 0,0 1 0,3 2 0,-4 32 0,6-11 0,2-2 0,3 0 0,6 56 0,11 619 0,-19-475 0,2-221 0,-1 47 0,18 147 0,62 300 0,-45 5 0,-33-452 0,0 14 0,-15 127 0,11-202 0,-1-1 0,0-1 0,-1 1 0,-1 0 0,-1-1 0,-1 0 0,0 1 0,-1-2 0,-1-1 0,0 0 0,-18 21 0,12-19 0,-1 0 0,-1-1 0,0-1 0,-1-2 0,0 0 0,-1-1 0,0 0 0,-41 15 0,-4-4 0,-2-1 0,0-4 0,-1-4 0,-1-3 0,0-2 0,-122 0 0,168-9 0,-1-2 0,1 0 0,-25-6 0,37 6 0,1-1 0,-1-1 0,1 0 0,0 0 0,0-1 0,0-1 0,1 2 0,-16-14 0,-24-32-1365,9 0-5461</inkml:trace>
  <inkml:trace contextRef="#ctx0" brushRef="#br0" timeOffset="1996">1799 9137 24575,'7'0'0,"2"4"0,0 3 0,-1 10 0,-3 11 0,-2 13 0,-1 13 0,-1 16 0,-9 17 0,-1 8 0,-1 0 0,-5-7 0,0-11 0,2-14 0,1-18 0,1-21 0,3-14-8191</inkml:trace>
  <inkml:trace contextRef="#ctx0" brushRef="#br0" timeOffset="2475.73">1523 9433 24575,'1'-9'0,"1"0"0,0 1 0,0 0 0,0 0 0,1-1 0,0 1 0,1-1 0,7-11 0,-1 1 0,8-16 0,2 1 0,1-1 0,48-57 0,-49 70 0,0 1 0,0 1 0,2 1 0,1 1 0,0 2 0,32-20 0,-46 32 0,-1-1 0,1 1 0,0 1 0,0-1 0,0 2 0,0-1 0,1 1 0,-1 1 0,16-1 0,-21 2 0,0 0 0,0 1 0,1-1 0,-1 1 0,0 0 0,0 0 0,0 1 0,0-1 0,0 1 0,-1 0 0,1 0 0,0 0 0,-1 0 0,1 1 0,-1 0 0,0-1 0,0 1 0,0 1 0,0 0 0,-1-1 0,1 0 0,-1 1 0,4 6 0,0 3 0,0 1 0,-1 0 0,-1 0 0,0 1 0,0 0 0,-2 0 0,2 22 0,-3 8 0,-4 54 0,0-73 0,-1 0 0,-1 0 0,-1 1 0,-1-3 0,-2 1 0,0-1 0,-24 45 0,10-31 0,-1 0 0,-2 0 0,-53 55 0,73-86 0,-45 43 0,49-48 0,-1 0 0,0 0 0,1 0 0,-1 0 0,0 0 0,0 0 0,-1-1 0,1 1 0,0-1 0,0 0 0,-1 0 0,1 0 0,-1-1 0,1 1 0,-1-1 0,-3 1 0,6-1 0,1 0 0,-1 0 0,0-1 0,1 1 0,-1 0 0,0 0 0,1 0 0,-1 0 0,0-1 0,1 1 0,-1 0 0,1 0 0,-1-1 0,1 1 0,-1-1 0,0 1 0,1 0 0,-1-1 0,1 1 0,-1-1 0,1 1 0,0-1 0,-1 0 0,1 1 0,0-1 0,-1 1 0,1-1 0,0 0 0,-1 0 0,1-1 0,0 1 0,1 0 0,-1-1 0,0 1 0,0-1 0,1 1 0,-1 0 0,1-1 0,-1 1 0,1 0 0,-1 1 0,1-2 0,1-1 0,1 0 0,0-1 0,0 0 0,0 1 0,0 0 0,1 0 0,-1-1 0,1 1 0,6-4 0,-4 5 0,0 0 0,1 0 0,-1 1 0,0-1 0,1 1 0,-1 1 0,0-1 0,1 1 0,-1 0 0,1 1 0,-1 0 0,0 0 0,1 0 0,-1 1 0,0-1 0,0 1 0,0 1 0,0-1 0,0 1 0,0 0 0,-1 2 0,0-2 0,1 1 0,4 5 0,11 10 0,-1 1 0,-1 1 0,-1 1 0,18 28 0,-21-31 0,3 8-99,20 26 319,-35-49-355,0-1 0,0 0 0,0 2 0,1-2 0,-1-1 0,1 1-1,-1 0 1,1-1 0,0 0 0,7 3 0,9-2-6691</inkml:trace>
  <inkml:trace contextRef="#ctx0" brushRef="#br0" timeOffset="3033.41">2180 9835 24575,'0'1'0,"0"0"0,0 0 0,0 0 0,0 0 0,0 0 0,1 0 0,-1 0 0,1 0 0,-1 0 0,1 0 0,-1 0 0,1 0 0,-1 0 0,1 0 0,0 0 0,0 0 0,-1 0 0,1-1 0,0 1 0,0 0 0,0 0 0,1 0 0,2 1 0,-1-1 0,1 1 0,-1-1 0,1 0 0,0 0 0,-1 0 0,5 0 0,2 0 0,-1 0 0,0-1 0,1 0 0,18-3 0,-23 2 0,0-1 0,0 1 0,0-1 0,-1 0 0,1-1 0,0 1 0,-1-1 0,1 1 0,-1-1 0,0-1 0,0 1 0,0-1 0,0 1 0,-1-1 0,1 0 0,-1 0 0,0-1 0,0 1 0,-1-1 0,1 1 0,2-10 0,0 1 0,-2-2 0,1 0 0,-2 1 0,0 0 0,-1-1 0,-1-23 0,0 33 0,0 0 0,-1 0 0,0 0 0,1 0 0,-2-1 0,1 1 0,-1 1 0,1-1 0,-2 0 0,-3-7 0,5 11 0,0-1 0,0 1 0,0 0 0,0 0 0,0 0 0,0 1 0,0-1 0,0 0 0,-1 0 0,1 1 0,0-1 0,0 0 0,-1 1 0,1-1 0,0 1 0,-1 0 0,1-1 0,-1 1 0,1 0 0,0 0 0,-1 0 0,1 0 0,-1 0 0,1 0 0,0 0 0,-1 1 0,1-1 0,-1 0 0,1 1 0,0-1 0,-1 1 0,1-1 0,0 1 0,0 0 0,0 0 0,-1-1 0,1 1 0,0 0 0,0 0 0,0 0 0,-1 2 0,-5 4 0,1-1 0,0 1 0,1 1 0,0 0 0,0 0 0,0 0 0,1 0 0,0-1 0,1 2 0,-5 16 0,0 7 0,-7 55 0,13-73 0,0 0 0,2 0 0,0 0 0,0 0 0,1 1 0,1 0 0,5 17 0,-6-27 0,1 0 0,0 1 0,0-1 0,1 0 0,0 0 0,-1 0 0,2 0 0,-1 0 0,0-1 0,1 0 0,0 1 0,0-1 0,0-1 0,1 1 0,-1-1 0,1 2 0,0-2 0,0-1 0,0 1 0,0-1 0,6 2 0,-3-1 0,1-1 0,-1 0 0,0-1 0,1 0 0,0-1 0,-1 1 0,1-1 0,-1 0 0,1-1 0,0 0 0,14-3 0,-11 0 0,-1 0 0,0-1 0,0 0 0,0-2 0,0 1 0,-1 0 0,16-14 0,-9 5 0,-1-1 0,0-1 0,-1 0 0,-1 0 0,-1-2 0,-1 0 0,0-1 0,14-33 0,-14 21 0,-1-2 0,-2 0 0,-1-1 0,-2 1 0,-1-1 0,-1 0 0,-3 1 0,0-3 0,-3 2 0,-1 0 0,-14-66 0,14 88 0,-1 1 0,-10-21 0,13 30 0,0 1 0,-1-1 0,1 0 0,-1 1 0,0-1 0,0 0 0,0 1 0,0-1 0,0 1 0,0 0 0,-1 0 0,1 1 0,-1-1 0,1 0 0,-1 1 0,-4-2 0,6 3 0,-1-1 0,1 1 0,0 0 0,-1 0 0,1 0 0,-1 0 0,1 0 0,-1 0 0,1 0 0,-1 1 0,1-1 0,-1 0 0,1 1 0,-1-1 0,1 1 0,0 0 0,-1-1 0,1 1 0,0 0 0,0 0 0,-1 0 0,1 0 0,0 0 0,0 0 0,0 0 0,-1 3 0,-2 1 0,0 2 0,1-2 0,0 1 0,0 0 0,-2 7 0,-1 6 0,2 1 0,0-1 0,1 1 0,1 1 0,1-2 0,1 0 0,0 1 0,2 0 0,0-1 0,1 1 0,6 20 0,-1-13 0,0 1 0,2-1 0,1 1 0,1-3 0,1 1 0,1-1 0,20 26 0,-22-36 11,1-1 0,0 0 0,1-1 0,0-1 0,1 0 0,1 0-1,0-2 1,0 0 0,1 0 0,28 11 0,-32-16-104,-1-1 0,1-1 1,1 0-1,-1 0 0,0-1 0,1-1 0,-1 0 0,1 0 1,-1-2-1,1 0 0,-1 0 0,0-1 0,1-1 1,-1 0-1,20-7 0,10-13-6733</inkml:trace>
  <inkml:trace contextRef="#ctx0" brushRef="#br0" timeOffset="3795.55">3280 9899 24575,'2'0'0,"-1"0"0,1-1 0,-1 1 0,0-1 0,1-1 0,-1 2 0,1-1 0,-1 0 0,0 0 0,0 0 0,1 1 0,-1-1 0,0-1 0,0 1 0,0 0 0,0 0 0,0 0 0,-1 0 0,1-1 0,0 1 0,0 0 0,-1-1 0,1 1 0,-1-1 0,1 1 0,-1-3 0,10-41 0,-10 44 0,1-9 0,0 1 0,-1 0 0,0 0 0,-1 0 0,0 0 0,-1-2 0,0 2 0,0 0 0,-1 0 0,0 1 0,0-1 0,-1 0 0,-1 1 0,-5-10 0,7 14 0,0-1 0,0 1 0,-1 1 0,1 0 0,-1-1 0,0 0 0,0 1 0,0 0 0,0 0 0,-1 0 0,1 1 0,-1-2 0,1 2 0,-1 0 0,0 1 0,0-1 0,0 1 0,0 0 0,0 0 0,0 0 0,0 1 0,-1-1 0,1 1 0,0 1 0,0-1 0,0 1 0,-5 1 0,5 0 0,0-1 0,1 1 0,0 0 0,-1 2 0,1-2 0,0 1 0,0 0 0,0 0 0,1 0 0,-1 0 0,1 1 0,0 0 0,0-2 0,0 2 0,0 0 0,1 1 0,-1-1 0,1 0 0,0 1 0,0-1 0,1 1 0,-2 7 0,-2 9 0,0 0 0,2 1 0,-1 34 0,4-43 0,0 0 0,1-1 0,1 1 0,0 0 0,0 0 0,2-1 0,-1 0 0,9 19 0,-10-27 0,0-1 0,0 1 0,0-1 0,1 0 0,-1 1 0,1-1 0,-1 0 0,1-1 0,0 1 0,0 0 0,1-1 0,-1 0 0,5 3 0,-5-4 0,0 0 0,0 0 0,1 0 0,-1 0 0,0-1 0,0 0 0,0 0 0,1 0 0,-1 0 0,0 0 0,0 0 0,1-1 0,-1 0 0,0 1 0,0-1 0,0-1 0,0 1 0,6-3 0,-1-1 0,0 0 0,-1-1 0,1 0 0,-1 0 0,0-1 0,0 0 0,-1 0 0,0 0 0,-1-1 0,1 0 0,-1 1 0,-1-1 0,5-11 0,-2 3 0,-1-1 0,0 0 0,-1 0 0,-1-1 0,0 1 0,1-19 0,-5 32 0,0 0 0,0 0 0,-1 1 0,1-1 0,-1 0 0,1 1 0,-1-1 0,-1 1 0,1-1 0,-2-4 0,2 7 0,1 1 0,0-1 0,-1 1 0,1-1 0,0 1 0,-1-1 0,1 1 0,-1-1 0,1 1 0,-1-1 0,1 1 0,-1 0 0,1-1 0,-1 1 0,1 0 0,-1-1 0,0 1 0,1 0 0,-1 0 0,0-1 0,1 1 0,-1 0 0,0 0 0,-1 0 0,1 1 0,0-1 0,0 1 0,0-1 0,0 1 0,0-1 0,0 1 0,0 0 0,0-1 0,0 1 0,0 0 0,0 0 0,1 0 0,-1 0 0,0 0 0,0 0 0,0 2 0,-2 1 0,1 0 0,1 0 0,-1 0 0,0 0 0,1 0 0,0 0 0,0 1 0,0-1 0,1 0 0,0 1 0,-1 0 0,1-1 0,1 1 0,-1-1 0,1 0 0,-1 1 0,1-2 0,1 1 0,-1 0 0,0 1 0,1-1 0,0 0 0,0-1 0,0 1 0,1 0 0,-1 0 0,1-1 0,0 0 0,0 1 0,0-1 0,4 3 0,-3-2 0,0-1 0,0 0 0,0 0 0,0 0 0,0 0 0,1 0 0,-1-1 0,1 0 0,-1 0 0,1 0 0,0 0 0,0-1 0,0 0 0,0 0 0,0 0 0,0-1 0,0 0 0,0 0 0,0 0 0,0 0 0,0-1 0,0 0 0,0 0 0,0 0 0,0-1 0,0 1 0,5-4 0,-1-1 0,-1 0 0,-1 0 0,1-1 0,-1-1 0,0 1 0,-1-1 0,1 0 0,-2 0 0,1-1 0,-1 1 0,-1-1 0,1 0 0,3-13 0,3-12 0,-1 0 0,7-51 0,1-57 0,-17 124 0,0 1 0,-2-1 0,0 2 0,-2-2 0,-7-32 0,9 50 0,1 0 0,0 0 0,0 1 0,0-1 0,0 0 0,0 0 0,0 0 0,-1 0 0,1 1 0,0-1 0,0 0 0,0 0 0,-1 0 0,1 0 0,0 0 0,0 0 0,0 0 0,-1 0 0,1 1 0,0-1 0,0 0 0,0 0 0,-1 0 0,1 0 0,0 0 0,0 0 0,0 0 0,-1 0 0,1 0 0,0 0 0,0 0 0,0-1 0,-1 1 0,1 0 0,0 0 0,0 0 0,0 0 0,-1 0 0,1 0 0,0 0 0,0 0 0,0-1 0,0 1 0,-1 0 0,1 0 0,0 0 0,0 0 0,0-1 0,0 1 0,0 0 0,0 0 0,-1 0 0,1-1 0,0 1 0,0 0 0,0 0 0,-5 22 0,-3 57 0,3 1 0,10 119 0,-5-199-2,1 31 63,10 47 0,-10-70-196,1 0 0,0 0 0,1 0 0,0 0 0,0-1 0,1 1 0,1-1 0,-1 0 0,0 0 0,12 13 0,7-2-6691</inkml:trace>
  <inkml:trace contextRef="#ctx0" brushRef="#br0" timeOffset="4126.61">3407 9708 24575,'-1'0'0,"0"-1"0,0 1 0,1 0 0,-1 0 0,0 1 0,0-1 0,0 0 0,0 0 0,0 0 0,0 0 0,1 1 0,-1-1 0,0 0 0,0 1 0,0-1 0,1 1 0,-1-1 0,0 1 0,-1 0 0,3 0 0,-1-1 0,1 1 0,-1-1 0,1 0 0,-1 1 0,1-1 0,-1 0 0,1 0 0,0 1 0,-1-1 0,1 0 0,-1 0 0,1 0 0,0 0 0,-1 0 0,1 0 0,-1 0 0,1 0 0,0 0 0,-1 0 0,1 0 0,0 0 0,-1 0 0,1 0 0,-1 0 0,1-1 0,-1 1 0,1 0 0,0-1 0,0 1 0,41-12 0,64-26 0,1-1 0,-105 38 0,0 1 0,0-1 0,-1 1 0,1-1 0,0 1 0,0 0 0,0-1 0,0 1 0,0 0 0,0 0 0,0 0 0,-1 1 0,1-1 0,0 0 0,0 1 0,0-1 0,0 1 0,-1 0 0,1 0 0,0 0 0,-1-1 0,1 1 0,-1 1 0,1-1 0,-1 0 0,1 1 0,-1-1 0,0 1 0,1-1 0,-1 1 0,0-1 0,0 1 0,0 0 0,0-1 0,0 1 0,0 2 0,2 6 0,0-1 0,0 1 0,-1 1 0,-1-1 0,1 14 0,-1-6 0,0-10 0,0 1 0,1 0 0,-1-1 0,2 1 0,-1-2 0,1 1 0,0 0 0,1-1 0,7 13 0,-9-17 0,0 0 0,1-1 0,-1 1 0,1-1 0,-1 1 0,1-1 0,0 0 0,0 0 0,0-1 0,0 1 0,0 0 0,0-1 0,1 0 0,-1 0 0,0 0 0,1 0 0,-1-1 0,1 1 0,-1-1 0,1 0 0,-1 0 0,1 0 0,-1 0 0,1 0 0,-1-1 0,6-1 0,7-3-114,-1-1 1,0 0-1,-1-1 0,1-1 0,-2 0 1,1 0-1,-1-2 0,0 0 0,-1 1 1,0-2-1,13-17 0,22-26-6712</inkml:trace>
  <inkml:trace contextRef="#ctx0" brushRef="#br0" timeOffset="4218.25">3853 9284 24575,'0'0'0,"-8"0"0,-1 8 0,0 1-8191</inkml:trace>
  <inkml:trace contextRef="#ctx0" brushRef="#br0" timeOffset="4836.26">4022 9623 24575,'0'17'0,"1"0"0,1-2 0,1 1 0,0 0 0,7 21 0,-7-28 0,0-1 0,1 2 0,0-2 0,0 0 0,1 0 0,0-1 0,0 0 0,1 1 0,0-1 0,11 10 0,-16-16 0,0 0 0,0 0 0,0 0 0,1 0 0,-1-1 0,0 1 0,0 0 0,1-1 0,-1 1 0,0-1 0,1 1 0,-1-1 0,1 0 0,-1 1 0,0-1 0,1 0 0,-1 0 0,1 0 0,-1 0 0,1 0 0,-1 0 0,0-1 0,1 1 0,-1 0 0,1-1 0,-1 1 0,0-1 0,1 1 0,-1-1 0,0 0 0,0 1 0,1-1 0,-1 0 0,0 0 0,0 0 0,0 0 0,0 0 0,0 0 0,0 0 0,0-1 0,0-1 0,4-4 0,0-1 0,-1 0 0,0 0 0,-1 0 0,4-13 0,1-14 0,-1 0 0,-2 0 0,1-44 0,1-1 0,-7 79 0,0 1 0,1-1 0,-1 1 0,0 0 0,1-2 0,-1 2 0,0-1 0,1 1 0,-1 0 0,1-1 0,-1 1 0,0 0 0,1-1 0,-1 1 0,1 0 0,-1 0 0,1-1 0,-1 1 0,1 0 0,-1 0 0,1 0 0,-1 0 0,1 0 0,-1 0 0,1-1 0,-1 1 0,1 1 0,-1-1 0,1 0 0,0 0 0,-1 0 0,1 0 0,-1 0 0,1 0 0,-1 0 0,1 1 0,-1-1 0,0 0 0,1 1 0,30 12 0,-19-9 0,-3 0 0,1-1 0,0-1 0,0 0 0,0 0 0,0-1 0,0 0 0,0-1 0,0 0 0,1-1 0,13-2 0,-16 1 0,-1 0 0,0-1 0,0 0 0,0 0 0,-1 0 0,1-1 0,-1 0 0,0-1 0,0 0 0,0 0 0,0 0 0,-1 0 0,0-1 0,8-11 0,-6 7 0,-1 1 0,0-2 0,-1 1 0,7-17 0,-10 23 0,0-1 0,-1 1 0,0-1 0,0 0 0,0 1 0,-1-1 0,0 1 0,1 0 0,-1-1 0,-1 1 0,1-1 0,-1 1 0,0-1 0,-2-7 0,2 11 0,1 0 0,-1 0 0,1 0 0,-1 0 0,0 0 0,1 0 0,-1 0 0,0 0 0,0 1 0,0-1 0,0 0 0,0 0 0,0 1 0,0-1 0,0 1 0,0-1 0,0 1 0,0-1 0,0 1 0,0 0 0,0 0 0,-1-1 0,1 1 0,0 0 0,0 0 0,0 0 0,0 0 0,-1 0 0,1 0 0,0 1 0,0-1 0,0 0 0,0 1 0,0-1 0,0 1 0,0-1 0,-1 1 0,0 0 0,-4 2 0,1 1 0,-1-1 0,1 1 0,0 0 0,-9 8 0,4 1 0,0 0 0,1 1 0,1 0 0,0 0 0,0-1 0,2 2 0,0-1 0,0 2 0,1-1 0,1 1 0,1 0 0,0 0 0,1-1 0,1 30 0,1-40 0,0 0 0,0 0 0,1 0 0,0 0 0,0 1 0,1-1 0,-1-1 0,1 1 0,0 0 0,0 1 0,1-2 0,-1 1 0,1-1 0,0 0 0,1 0 0,-1 0 0,0-1 0,1 1 0,6 4 0,-3-4 0,-1 0 0,0-1 0,1 0 0,0 0 0,0-1 0,-1 1 0,1-2 0,1 1 0,-1-1 0,0 0 0,0 0 0,0-1 0,13-1 0,6-2-151,-1-1-1,0-2 0,0 0 0,0-2 1,-1-1-1,0 1 0,-1-3 1,24-16-1,14-11-6674</inkml:trace>
  <inkml:trace contextRef="#ctx0" brushRef="#br0" timeOffset="6426.9">296 10893 24575,'-2'-4'0,"0"1"0,0 0 0,0-1 0,0 1 0,0 0 0,-1 0 0,1 0 0,-1 1 0,0-1 0,0 0 0,0 1 0,0 0 0,0 0 0,0 0 0,-1 0 0,1 0 0,-1 1 0,1-1 0,-1 1 0,0 0 0,0 0 0,1 0 0,-1 1 0,0 0 0,-6-1 0,4 2 0,0 0 0,1 0 0,-1 0 0,1 1 0,-1 0 0,1 0 0,0 0 0,-1 0 0,1 1 0,1 0 0,-1 0 0,0 1 0,1-1 0,-1 1 0,1 0 0,0 0 0,-4 5 0,-5 10 0,1-1 0,1 3 0,0-2 0,1 1 0,2 0 0,0 2 0,-9 38 0,8-20 0,2 0 0,2 1 0,0 59 0,5-88 0,0 0 0,1 1 0,1-2 0,0 1 0,1 0 0,0-1 0,0 1 0,1-1 0,1 0 0,0 0 0,9 13 0,-10-16 0,1-2 0,0-1 0,1 1 0,-1 0 0,1-1 0,0 1 0,0-2 0,1 1 0,0-1 0,0 0 0,0 0 0,0-1 0,0 0 0,1 0 0,-1 0 0,1-1 0,0 0 0,8 0 0,0-1 0,0 0 0,0-2 0,0 0 0,0 0 0,0-2 0,-1 0 0,1 0 0,19-9 0,7-4 0,68-37 0,-69 30 0,0-2 0,44-35 0,-63 40 0,0 1 0,-1-1 0,-2-2 0,32-43 0,-47 60 0,0 0 0,0-1 0,-1 1 0,0-1 0,0 0 0,-1 0 0,1 0 0,-1-1 0,-1 1 0,1 0 0,-1-1 0,0-12 0,0 19 0,-1-1 0,0 0 0,0 1 0,0-1 0,0 0 0,-1 1 0,1-1 0,0 0 0,0 1 0,0-1 0,0 0 0,-1 1 0,1-1 0,0 0 0,-1 1 0,1-1 0,0 0 0,-1 1 0,1-1 0,-1 1 0,1-1 0,-1 1 0,1-1 0,-1 1 0,1 0 0,-1-1 0,0 1 0,1-1 0,-1 1 0,0 0 0,1 0 0,-1-1 0,0 1 0,1 0 0,-1 0 0,0 0 0,1 0 0,-1 0 0,0 0 0,1 0 0,-1 0 0,0 0 0,0 0 0,1 0 0,-1 0 0,0 1 0,1-1 0,-1 0 0,0 0 0,1 1 0,-1-1 0,1 0 0,-1 1 0,0-1 0,0 1 0,-4 2 0,1 0 0,-1 1 0,1-1 0,0 1 0,-7 7 0,4-1 0,-1 1 0,2 1 0,-1-1 0,2 1 0,-1 0 0,2 1 0,-1 0 0,2-1 0,0 1 0,0-1 0,1 1 0,1 1 0,0-1 0,1 0 0,0 0 0,4 22 0,-3-28 0,0 1 0,0-1 0,1 0 0,0 1 0,1-1 0,0 0 0,0-1 0,0 1 0,1 0 0,0-1 0,0 0 0,0 0 0,1 0 0,0 0 0,0-1 0,1 0 0,-1 1 0,1-2 0,0 0 0,1 0 0,-1 0 0,1-1 0,-1 1 0,1-2 0,0 1 0,0-1 0,1 1 0,-1-2 0,0 1 0,11 0 0,-9-2 0,-1 0 0,1 0 0,0-1 0,-1 0 0,1 0 0,0-1 0,-1 0 0,0-1 0,1 0 0,-1 0 0,9-5 0,-6 1 0,0 1 0,0-2 0,-1 0 0,0-1 0,-1 0 0,17-19 0,-12 10 0,-1-1 0,-1 0 0,0-1 0,-2 0 0,0-1 0,-2 0 0,0-1 0,7-31 0,-6 7 0,-2-1 0,-2 0 0,-3-1 0,-5-82 0,2 118 0,0 0 0,-2 0 0,1 1 0,-6-14 0,7 23 0,1 0 0,-1 1 0,0-1 0,0 1 0,1-1 0,-1 1 0,0-1 0,0 1 0,-1 0 0,1-1 0,0 1 0,0 0 0,-1 0 0,1 0 0,-3-2 0,3 3 0,-1 0 0,1 0 0,0 0 0,0 0 0,0 0 0,0 0 0,-1 0 0,1 0 0,0 1 0,0-1 0,0 0 0,0 1 0,0-1 0,-1 1 0,1-1 0,0 1 0,0 0 0,0-1 0,0 1 0,1 0 0,-1 0 0,0-1 0,0 1 0,0 0 0,1 0 0,-2 2 0,-3 5 0,0 0 0,0 1 0,1-1 0,0 0 0,0 1 0,1 0 0,0 0 0,1 0 0,0 0 0,-1 15 0,-1 16 0,2 42 0,2-58 0,1 1 0,2-1 0,0 0 0,2 0 0,1-1 0,15 41 0,-17-53 0,1-1 0,0 0 0,1-1 0,0 1 0,0-1 0,1 0 0,12 11 0,-14-15 0,0-1 0,1 2 0,0-2 0,0-1 0,0 0 0,0 0 0,0 0 0,1 0 0,-1-1 0,1 0 0,0 0 0,13 2 0,-14-4 0,1 1 0,-1-1 0,1 0 0,0-1 0,-1 1 0,1-1 0,-1-1 0,1 1 0,-1-1 0,0 0 0,0-1 0,0 1 0,0-1 0,6-3 0,-4 0 0,0-1 0,-1 1 0,1-1 0,-2 0 0,1 0 0,-1 0 0,0-1 0,9-14 0,-6 4 0,0 0 0,-2 1 0,0-2 0,-1 0 0,0 0 0,-2 0 0,0 0 0,2-37 0,-6 49 0,0 0 0,-1 0 0,0 0 0,0 0 0,0 0 0,-1 0 0,0 1 0,-1-1 0,1 1 0,-6-10 0,7 14 0,0 0 0,0 1 0,0-1 0,0 1 0,0 0 0,-1-1 0,1 1 0,0 0 0,-1 0 0,1-1 0,-1 1 0,1 0 0,-1 1 0,0-1 0,1 0 0,-1 0 0,0 1 0,0-1 0,1 1 0,-1 0 0,0 0 0,0 0 0,0 0 0,1 0 0,-1 0 0,0 0 0,0 0 0,0 0 0,0 0 0,1 0 0,-1 1 0,0-1 0,0 1 0,1 0 0,-1-1 0,1 1 0,-1 0 0,0 0 0,1 0 0,-1 0 0,1 1 0,0-1 0,-2 2 0,-5 4 0,1 1 0,1 0 0,-1 0 0,1 0 0,1 1 0,-1 0 0,2 0 0,-1 0 0,1 0 0,0 1 0,1 1 0,-2 9 0,0 0 0,1 1 0,1 1 0,1-1 0,1 41 0,2-52 0,0 1 0,0-1 0,1 0 0,0 1 0,1-1 0,0 0 0,1 0 0,0-1 0,1 2 0,0-3 0,0 1 0,8 10 0,-7-12 0,0 0 0,1 0 0,0-1 0,0 0 0,1-1 0,-1 0 0,1 0 0,0 0 0,0-1 0,1 0 0,-1-1 0,1 0 0,0 0 0,12 2 0,3-2 14,-1 0-1,1-2 0,0 0 0,0-2 1,0 0-1,0-2 0,-1-1 1,26-7-1,-23 4-225,0-1 0,-1-1 0,0-2-1,0 0 1,-1-2 0,42-28 0,-16-3-6614</inkml:trace>
  <inkml:trace contextRef="#ctx0" brushRef="#br0" timeOffset="6954.62">2645 10787 24575,'-3'0'0,"-2"7"0,0 15 0,2 7 0,0 16 0,1 15 0,1 10 0,1 1 0,0-1 0,0-8 0,0-8 0,1-21 0,-1-15-8191</inkml:trace>
  <inkml:trace contextRef="#ctx0" brushRef="#br0" timeOffset="7325.02">2307 10872 24575,'0'-17'0,"2"1"0,0 1 0,1-2 0,1 1 0,0 0 0,1 0 0,1 1 0,0-1 0,1 2 0,1 0 0,0 0 0,1-1 0,1 2 0,0 0 0,1 0 0,0 1 0,1 1 0,20-16 0,-7 8 0,0 0 0,2 2 0,0 2 0,1 0 0,1 2 0,0 1 0,0 1 0,54-11 0,-66 19 0,-1 0 0,1 1 0,-1 0 0,1 2 0,0 0 0,-1 1 0,1 0 0,16 4 0,-26-3 0,0 0 0,0-1 0,0 2 0,-1-1 0,1 2 0,-1-1 0,0 1 0,0-1 0,0 2 0,0-1 0,-1 1 0,1 0 0,-1 0 0,-1 0 0,1 0 0,-1 1 0,0 0 0,0 0 0,0 0 0,-1 1 0,3 6 0,-2-1 0,-1 1 0,-1-2 0,1 1 0,-2 1 0,0-1 0,0 0 0,-1 0 0,-1 1 0,0-1 0,-1 0 0,0 1 0,-1-1 0,0-1 0,-9 21 0,1-3 0,-3-2 0,0 1 0,-1-2 0,-36 45 0,20-34 0,-2-3 0,-52 44 0,63-59 0,15-14 0,-23 25 0,30-29 0,-1-1 0,1 1 0,-1 0 0,1-1 0,-1 1 0,1-1 0,0 1 0,-1 0 0,1 0 0,0-1 0,-1 1 0,1 0 0,0-1 0,0 1 0,0 0 0,0 0 0,0-1 0,0 1 0,0 0 0,0 0 0,0 0 0,0-1 0,0 1 0,0 0 0,1-1 0,-1 1 0,0 0 0,0 0 0,1-1 0,-1 1 0,1 0 0,-1-1 0,1 1 0,-1-1 0,1 1 0,-1-1 0,1 1 0,-1-1 0,1 1 0,-1-1 0,1 1 0,0-1 0,-1 1 0,2-1 0,121 48 0,-27-12 0,106 61-1365,-156-73-5461</inkml:trace>
  <inkml:trace contextRef="#ctx0" brushRef="#br0" timeOffset="9050.9">3238 11232 24575,'6'0'0,"0"-1"0,1 1 0,-1-1 0,0 0 0,0-1 0,1 1 0,-1-1 0,0-1 0,-1 1 0,1 0 0,0-1 0,-1 0 0,0 0 0,1-2 0,-1 1 0,-1 0 0,1 0 0,-1-1 0,1 1 0,-1-1 0,0 0 0,-1-1 0,1 1 0,-1 0 0,0-1 0,-1 0 0,1 0 0,-1 0 0,0 0 0,2-12 0,-4 17 0,1-1 0,-1 0 0,1 0 0,-1 0 0,0 1 0,0-1 0,0 0 0,1 0 0,-2 0 0,1 1 0,0 0 0,0-1 0,-1 0 0,1 0 0,-1 1 0,1-1 0,-1 0 0,0 0 0,1 0 0,-1 0 0,0 1 0,0-1 0,0 1 0,-1-1 0,1 1 0,0 0 0,0 0 0,-1-1 0,1 1 0,-1 0 0,1 0 0,-1 0 0,1 0 0,-1 1 0,0-1 0,1 0 0,-1 1 0,0-1 0,0 1 0,-2-1 0,-1 1 0,1 0 0,-1 0 0,0 0 0,0 0 0,1 1 0,-1 0 0,0 0 0,1 0 0,-1 0 0,1 1 0,-1 0 0,1 0 0,0 0 0,-6 4 0,4-1 0,0 1 0,0 0 0,0-1 0,1 1 0,0 0 0,0 0 0,1 1 0,0 0 0,0 0 0,0 0 0,1 0 0,0 0 0,1 1 0,-1 0 0,1-1 0,1 1 0,-2 14 0,3-16 0,0-1 0,0-1 0,0 0 0,1 1 0,-1 0 0,1 0 0,0-1 0,1 1 0,-1 0 0,1-1 0,0 0 0,0 1 0,0-1 0,1 0 0,-1 0 0,1 0 0,0 0 0,0-1 0,0 1 0,1-1 0,-1 0 0,1 0 0,0 0 0,0 0 0,0 0 0,0-1 0,1 0 0,-1 0 0,0 0 0,8 1 0,1 0 0,0 0 0,0-1 0,0-1 0,0-1 0,1 0 0,-1 0 0,0-1 0,0-1 0,0 0 0,0-1 0,0 0 0,-1-1 0,1 0 0,-1-1 0,15-8 0,-9 3 0,0-1 0,-1 0 0,0-1 0,0-1 0,-2 0 0,1 0 0,-2-3 0,0 1 0,14-21 0,-14 13 0,-1 1 0,0-2 0,-2 0 0,-1 0 0,0-1 0,-2 0 0,-1 0 0,-1-2 0,-1 1 0,-2 0 0,0-1 0,-2 2 0,-1-3 0,-1 2 0,-6-38 0,-7 16 0,14 46 0,-1 0 0,0 0 0,0 0 0,0 0 0,0 0 0,0 0 0,-1 0 0,1 0 0,-1 1 0,1-1 0,-1 0 0,1 1 0,-1-1 0,0 1 0,0 0 0,0-1 0,-2 0 0,3 2 0,0 0 0,0 0 0,0 0 0,0 0 0,0 0 0,0 0 0,0 1 0,0-1 0,1 0 0,-1 0 0,0 1 0,0-1 0,0 1 0,0-1 0,0 1 0,1-1 0,-1 1 0,0 0 0,0-1 0,1 1 0,-1 0 0,0-1 0,1 1 0,-1 0 0,1 0 0,-1 0 0,1 0 0,-1-1 0,1 1 0,0 0 0,-1 0 0,1 2 0,-11 36 0,11-37 0,-10 56 0,4 2 0,1 103 0,5-99 0,-1 50 0,1 384 0,7-350 0,33 195 0,-37-323 0,0-1 0,2 0 0,0 0 0,1 0 0,1 0 0,17 30 0,-23-47 0,0 0 0,1 0 0,-1 0 0,1 0 0,-1-1 0,1 1 0,0 0 0,0-1 0,-1 1 0,1-1 0,0 1 0,3 0 0,-4-1 0,0-1 0,0 0 0,0 0 0,0 1 0,0-1 0,1 0 0,-1 0 0,0 0 0,0 0 0,0 0 0,0-1 0,0 1 0,0 0 0,0 0 0,0-1 0,0 1 0,0 0 0,0-1 0,0 1 0,1-2 0,1-1 0,0 0 0,0 0 0,0 0 0,0-1 0,0 1 0,-1-1 0,0 0 0,1 0 0,-1 0 0,-1 0 0,1 0 0,1-4 0,5-20 0,-1 0 0,-1-1 0,3-44 0,-3-92 0,-6 141 0,1-112 0,-7 1 0,-36-221 0,39 340 0,0-1 0,-2 1 0,1 1 0,-2 0 0,0-2 0,-1 2 0,0 1 0,-1-1 0,-1 1 0,0 0 0,-15-16 0,19 25 0,3 4 0,0-1 0,0 0 0,0 0 0,1 0 0,-1-1 0,1 1 0,0 0 0,-1 0 0,-1-5 0,3 6 0,1 1 0,-1-1 0,0 0 0,0 0 0,1 0 0,-1 0 0,0 0 0,1 0 0,-1 0 0,1 0 0,-1 1 0,1-1 0,0 0 0,-1 0 0,1 1 0,0-1 0,-1 0 0,1 1 0,0-1 0,0 1 0,-1-1 0,1 1 0,0-1 0,0 1 0,0 0 0,0-1 0,0 1 0,0 0 0,1-1 0,53-21 0,-19 8 0,-1-1 0,39-23 0,-66 33 0,1-1 0,-1 0 0,-1 0 0,1 0 0,-1-1 0,0 0 0,0 0 0,-1-1 0,0 0 0,-1 0 0,1 0 0,-1-1 0,5-13 0,-9 18 0,0 0 0,0 1 0,0-1 0,0 0 0,-1 0 0,0-1 0,0 0 0,0 1 0,0 0 0,-1 0 0,-1-8 0,1 10 0,1 1 0,0 0 0,-1-1 0,0 1 0,1 0 0,-1 0 0,0 0 0,1-1 0,-1 1 0,0 0 0,0 0 0,0 0 0,0 0 0,0 0 0,0 0 0,0 1 0,-1-1 0,1 0 0,0 1 0,0-1 0,-1 0 0,1 1 0,0 0 0,-1-1 0,1 1 0,0 0 0,-1-1 0,1 1 0,0 0 0,-1 0 0,1 0 0,-1 0 0,1 1 0,0-1 0,-1 0 0,1 0 0,0 1 0,-3 0 0,-3 2 0,0 0 0,1 1 0,-1 0 0,1 0 0,0 0 0,0 1 0,1-1 0,-1 1 0,1 1 0,0-1 0,0 2 0,1-1 0,0 0 0,0-1 0,0 2 0,1-1 0,-1 1 0,2 0 0,-4 9 0,4-9 0,0 0 0,0 0 0,1 0 0,-1 0 0,1 0 0,1 0 0,0 0 0,0 0 0,0 1 0,1 0 0,0-2 0,0 1 0,1 0 0,0-1 0,0 1 0,0 0 0,1-1 0,0 1 0,0-1 0,7 9 0,-3-8 0,0 0 0,0 0 0,0-1 0,1 0 0,0 0 0,1-1 0,-1 1 0,1-1 0,0-1 0,0-2 0,0 2 0,1-1 0,-1-1 0,1 0 0,-1 0 0,1-1 0,20 1 0,-21-2 0,0-1 0,0 1 0,0-2 0,0 1 0,0-1 0,0 0 0,0-1 0,-1 0 0,1 1 0,-1-2 0,0 0 0,0-2 0,0 1 0,0 0 0,-1 0 0,0-1 0,0 0 0,-1-1 0,9-9 0,-8 4 0,0-1 0,-1 0 0,0 0 0,-1-1 0,0 2 0,-1-3 0,-1 1 0,0-1 0,-1 1 0,0 0 0,-1-1 0,-2-19 0,1 30 0,0-1 0,0 0 0,-1 0 0,0 1 0,0 0 0,0 0 0,-1-1 0,1 1 0,-1 0 0,0 0 0,0 0 0,0 1 0,-1-1 0,1 0 0,-1 1 0,0 0 0,-4-5 0,5 7 0,0 0 0,0 0 0,0 0 0,0 0 0,-1 0 0,1 0 0,0 0 0,0 1 0,-1-1 0,1 1 0,0 0 0,-1-1 0,1 1 0,0 0 0,-1 0 0,1 1 0,0-1 0,-1 0 0,1 1 0,0 0 0,-1-1 0,1 1 0,0 0 0,0 0 0,0 0 0,0 0 0,0 1 0,0-1 0,0 0 0,0 1 0,0 0 0,1-1 0,-3 4 0,2-3 0,0 0 0,-1 0 0,1 0 0,0 0 0,1 1 0,-1-1 0,0 1 0,1 0 0,-1-1 0,1 1 0,0 0 0,0 0 0,0 0 0,0 0 0,1 0 0,-1 0 0,1 0 0,0 0 0,-1 1 0,2 4 0,-1-6 0,1 1 0,0-2 0,0 2 0,0-1 0,0 0 0,1 0 0,-1 1 0,0-1 0,1 0 0,-1 0 0,1 0 0,0-1 0,0 1 0,0 0 0,0-1 0,0 1 0,0-1 0,0 0 0,0 1 0,1-1 0,-1 0 0,0 0 0,1-1 0,-1 1 0,5 0 0,11 3 0,1-2 0,0 0 0,-1-1 0,1-1 0,0-1 0,32-5 0,-34 6 0,-12 7 0,-16 18 0,2-7 0,4-3 0,0 1 0,0-2 0,1 1 0,1 1 0,1-1 0,-1 18 0,3-28 0,0 0 0,0 0 0,1-1 0,0 1 0,0 0 0,0 0 0,0 0 0,1-1 0,0 0 0,4 8 0,-4-9 0,0-1 0,0 1 0,0-1 0,0 0 0,1 1 0,-1-1 0,1 0 0,0 0 0,-1-1 0,1 1 0,0-1 0,0 1 0,0-1 0,0 0 0,0 0 0,0 0 0,6 0 0,0 0 0,0 0 0,0-1 0,0-1 0,0 0 0,1 0 0,-2 0 0,1-1 0,0-1 0,0 0 0,-1 0 0,1 0 0,14-9 0,-8 3 0,1 0 0,-1-1 0,-1-2 0,0 1 0,19-21 0,-19 16 0,-1-1 0,0-1 0,-1 1 0,-1-2 0,10-21 0,-16 29 0,0 0 0,-1-1 0,0 0 0,-1 0 0,-1 1 0,1-1 0,-2-1 0,0 1 0,0-1 0,-2-13 0,1 22 0,-1-1 0,0 1 0,0 0 0,0 0 0,-1-1 0,1 1 0,-1 0 0,0 0 0,0 1 0,0-1 0,-1 0 0,-3-2 0,5 4 0,0 1 0,-1-1 0,1 1 0,-1 0 0,0 0 0,1 0 0,-1 0 0,0 0 0,1 0 0,-1 0 0,0 1 0,0-2 0,0 2 0,0-1 0,0 1 0,0 0 0,0 0 0,0 0 0,0 0 0,0 0 0,0 0 0,0 0 0,0 0 0,1 1 0,-1-1 0,0 2 0,0-1 0,-3 1 0,-1 1 0,0 1 0,1 0 0,-1-1 0,1 1 0,0 1 0,0-1 0,0 1 0,0 0 0,1 1 0,-5 8 0,-2 3 0,1 2 0,-10 23 0,15-31 0,0 1 0,1 1 0,1-1 0,0 1 0,0 0 0,1 0 0,1 0 0,0 0 0,1 2 0,2 13 0,-1-22 0,0 0 0,0 0 0,1-1 0,-1 1 0,2 0 0,-1-1 0,0 1 0,1-1 0,0 0 0,0 0 0,1 0 0,-1 0 0,1-1 0,0 1 0,1-1 0,-1 0 0,1 0 0,-1 0 0,1 0 0,0-1 0,0 0 0,1 0 0,-1 0 0,10 1 0,0 1 0,0-1 0,0-1 0,0 0 0,0-1 0,0-1 0,0-1 0,1 0 0,-1 0 0,0-2 0,25-4 0,-31 3 0,1 1 0,-1-1 0,0-1 0,0 2 0,0-3 0,0 1 0,-1-2 0,1 1 0,-2-1 0,1 0 0,0 0 0,-1-1 0,0 0 0,-1 0 0,1-1 0,-2 0 0,10-15 0,32-85 0,-47 108 0,0 0 0,0 0 0,0 0 0,0-1 0,0 1 0,0 0 0,0 0 0,0 0 0,0 0 0,0 0 0,0 0 0,0-1 0,0 1 0,0 0 0,0 0 0,0 0 0,1 0 0,-1 0 0,0 0 0,0 0 0,0-1 0,0 1 0,0 0 0,0 0 0,0 0 0,0 0 0,1 0 0,-1 0 0,0 0 0,0 0 0,0 0 0,0 0 0,0 0 0,0 0 0,1 0 0,-1 0 0,0 0 0,0 0 0,0 0 0,0 0 0,0 0 0,1 0 0,-1 0 0,0 0 0,0 0 0,0 0 0,0 0 0,0 0 0,0 0 0,1 0 0,-1 0 0,0 0 0,0 0 0,0 0 0,0 1 0,4 10 0,-2 15 0,-2-13 0,1-1 0,0 1 0,1-1 0,0 0 0,5 13 0,-7-21 0,1-1 0,0 0 0,1 0 0,-1 0 0,0 0 0,1 0 0,0-1 0,0 1 0,-1 0 0,2-1 0,-1 1 0,0-1 0,0 0 0,1 0 0,-1 0 0,1 0 0,0 0 0,0 0 0,-1-1 0,1 1 0,0-1 0,0 0 0,0 0 0,1 0 0,2 1 0,-2-3 0,-1 1 0,1 0 0,-1-1 0,1 0 0,-1 1 0,1-1 0,-1-1 0,0 1 0,0 0 0,1-1 0,-1 0 0,0 0 0,0 0 0,-1 0 0,1 0 0,0 0 0,-1-1 0,1 1 0,-1-1 0,4-5 0,6-9 0,0-1 0,12-25 0,-13 22 0,1-1 0,20-34 0,-29 51 0,1 1 0,-1 0 0,0 0 0,1 1 0,0-1 0,0 0 0,0 1 0,1-1 0,5-3 0,-7 6 0,-1 1 0,1-1 0,-1 1 0,0 0 0,1 0 0,-1 0 0,1 0 0,-1 0 0,0 1 0,1-1 0,-1 1 0,0-1 0,1 1 0,-1 0 0,0 0 0,0 0 0,0 0 0,0 0 0,0 2 0,0-2 0,0 1 0,0-1 0,2 3 0,17 9 0,-1-5 0,1 0 0,-1-1 0,1-1 0,1-1 0,-1-1 0,29 1 0,-2-2 0,87-7 0,-79-1 60,86-20 0,-121 20-246,0-1 1,0-1-1,-1 0 0,0-3 1,0 1-1,-1-2 1,19-13-1,1-10-6640</inkml:trace>
  <inkml:trace contextRef="#ctx0" brushRef="#br0" timeOffset="10591.43">5821 10745 24575,'0'-8'0,"0"0"0,0-1 0,-1 1 0,-1 0 0,1 1 0,-1 0 0,-6-17 0,7 22 0,0 0 0,0 0 0,0 0 0,-1 0 0,1 0 0,-1 0 0,1 1 0,-1-1 0,1 0 0,-1 1 0,0 0 0,0-1 0,0 1 0,0 0 0,0 0 0,0 0 0,0 0 0,0 0 0,0 0 0,0 1 0,-1-1 0,1 1 0,0 0 0,0-1 0,-1 1 0,1 0 0,0 0 0,-1 0 0,1 1 0,0-1 0,0 1 0,-1-1 0,-1 2 0,-1 0 0,-1 0 0,1 1 0,0 0 0,0 0 0,0 0 0,0 0 0,1 1 0,-1 0 0,1 0 0,0 0 0,0 1 0,0 0 0,1 0 0,0 0 0,-1 0 0,2-1 0,-1 1 0,-2 8 0,0 0 0,0 0 0,1 1 0,0-1 0,1 1 0,0 0 0,0 24 0,2-34 0,1 1 0,0 0 0,0 0 0,1 0 0,0 0 0,0 0 0,0 0 0,0 0 0,1 0 0,-1-1 0,1 1 0,0-1 0,1 1 0,-1-1 0,1 0 0,0 0 0,0 0 0,0 0 0,1 0 0,-1-1 0,1 1 0,0-1 0,0 0 0,0 1 0,0-2 0,0 1 0,1-1 0,-1 0 0,1 0 0,0 0 0,-1-2 0,1 1 0,0 0 0,0 0 0,9 0 0,3-1 0,0-2 0,0 0 0,-1 1 0,0-3 0,1 0 0,-1-1 0,0-1 0,-1-1 0,0 1 0,0-2 0,23-15 0,-24 14 0,0-1 0,-1-1 0,0 0 0,0-1 0,-1 0 0,-1 0 0,0-3 0,-1 2 0,0-2 0,-1 1 0,9-22 0,-16 32 0,0-1 0,0 0 0,0 1 0,-1-1 0,0 1 0,0-1 0,0 0 0,-1-9 0,-1 19 0,-5 29 0,7-29 0,0 0 0,1 0 0,-1 0 0,1 0 0,1 0 0,-1 0 0,0 0 0,1 0 0,0-1 0,0 0 0,1 1 0,-1-1 0,1 0 0,0-1 0,0 1 0,0-1 0,0 1 0,1-1 0,-1-1 0,10 5 0,-9-4 0,1-1 0,0 2 0,-1-2 0,1-1 0,0 1 0,0-1 0,0 0 0,0 0 0,0-1 0,1 0 0,-1 0 0,0 0 0,0-1 0,0 0 0,0 0 0,0 0 0,0-1 0,7-4 0,1-2 0,0 0 0,-1-1 0,14-12 0,-6 4 0,-20 16 0,0 0 0,0 0 0,0 0 0,0 0 0,0 1 0,0-1 0,1 0 0,-1 1 0,0-1 0,0 1 0,0 0 0,1-1 0,-1 1 0,0 0 0,1 0 0,-1-1 0,0 1 0,1 0 0,-1 0 0,0 1 0,1-1 0,-1 0 0,0 0 0,1 1 0,-1-1 0,0 0 0,0 1 0,0 0 0,1-1 0,-1 1 0,0 0 0,0-1 0,0 1 0,0 0 0,0 0 0,0 0 0,0 0 0,0 0 0,0 0 0,-1 0 0,1 0 0,0 0 0,0 2 0,0-2 0,0 1 0,0-1 0,0 1 0,0-1 0,0 0 0,0 1 0,1-1 0,-1 0 0,0 0 0,1 0 0,-1 0 0,1 0 0,-1 0 0,1-1 0,-1 1 0,1 0 0,0-1 0,-1 1 0,1-1 0,0 0 0,-1 1 0,1-1 0,0 0 0,0 0 0,-1 0 0,1 0 0,0 0 0,0-1 0,2 0 0,4-3 0,-1 0 0,0-1 0,0 0 0,0-1 0,0 1 0,-1-1 0,0-1 0,-1 1 0,1-1 0,-1 0 0,7-11 0,17-22 0,-26 36 0,0 0 0,1 1 0,0-1 0,0 1 0,0 0 0,0-1 0,6-2 0,-8 5 0,0 1 0,0-1 0,1 0 0,-1 1 0,0-1 0,1 1 0,-1 0 0,1-1 0,-1 1 0,0 1 0,1-1 0,-1 0 0,1 0 0,-1 1 0,0 0 0,1-1 0,3 3 0,43 18 0,-30-12 0,1 0 0,-1-1 0,1-1 0,1 0 0,-1-2 0,1-1 0,32 2 0,-47-7 0,0 0 0,1 1 0,-1-1 0,0-1 0,0 0 0,0 0 0,0-1 0,0 1 0,0-1 0,-1-1 0,1 0 0,-1 0 0,0 0 0,0 0 0,0 0 0,-1-1 0,0 1 0,1-1 0,3-6 0,-2 1 0,1 1 0,-1-1 0,-1-1 0,0 1 0,0-1 0,-1 1 0,0-1 0,-1-1 0,3-19 0,-5 29 0,-1-1 0,0 1 0,0-1 0,0 1 0,0-1 0,0 1 0,0-1 0,-1 1 0,1-1 0,-1 1 0,0-1 0,0 1 0,0 0 0,0-1 0,0 1 0,0 0 0,0 0 0,-1 0 0,1 0 0,-4-3 0,4 4 0,-1 0 0,0 0 0,1 0 0,-1 1 0,0-1 0,0 0 0,1 1 0,-1-1 0,0 1 0,0 0 0,0 0 0,1 0 0,-1 0 0,0 0 0,0 0 0,0 0 0,0 0 0,0 1 0,1-1 0,-1 1 0,0 0 0,0-1 0,1 1 0,-1 0 0,0 0 0,1 0 0,-1 0 0,-1 1 0,-6 5 0,1 0 0,-1 0 0,1 1 0,1 0 0,0 0 0,0 0 0,0 1 0,1 1 0,0-1 0,1 2 0,0-1 0,0-1 0,1 1 0,1 0 0,0 1 0,0 0 0,-2 18 0,5-27 0,0 1 0,0-1 0,0 1 0,0-1 0,1 1 0,-1-1 0,1 0 0,-1 1 0,1-1 0,0 0 0,0 1 0,0-1 0,0 0 0,1 0 0,-1 0 0,0 1 0,1-1 0,0 0 0,-1 0 0,1 0 0,0-1 0,0 1 0,0-1 0,0 1 0,0-1 0,0 0 0,0-1 0,1 1 0,-1 0 0,0 0 0,1 0 0,-1-1 0,0 1 0,1-1 0,-1 1 0,1-1 0,-1 0 0,4 0 0,2-1 0,0 1 0,-1-1 0,1 0 0,0-1 0,0 1 0,-1-1 0,1-1 0,-1 0 0,0 0 0,12-8 0,33-33 0,-19 14 0,-32 29 0,-1 1 0,0 0 0,1-1 0,-1 1 0,1 0 0,-1-1 0,0 1 0,1 0 0,-1 0 0,1 0 0,-1-1 0,1 1 0,-1 0 0,1 0 0,-1 0 0,1 0 0,-1 0 0,1 0 0,-1 0 0,1 0 0,-1 0 0,1 0 0,-1 0 0,1 0 0,-1 0 0,1 0 0,-1 0 0,1 0 0,-1 1 0,1-1 0,-1 0 0,1 0 0,-1 1 0,1-1 0,-1 0 0,0 1 0,1-1 0,-1 0 0,1 1 0,-1-1 0,0 1 0,0-1 0,1 1 0,-1-1 0,0 0 0,0 1 0,1-1 0,-1 1 0,0-1 0,0 1 0,0-1 0,0 1 0,0-1 0,0 1 0,0-1 0,0 2 0,4 38 0,-4-35 0,-1 458 0,-2-223 0,2-183 0,-10 444 0,11-493 0,-1 17 0,0 0 0,-2 0 0,0 0 0,-2 0 0,-15 45 0,19-66 0,0-3 0,-1 2 0,1 0 0,0-1 0,-1 0 0,0 1 0,0-1 0,1 0 0,-1 0 0,-1 0 0,1 0 0,-3 2 0,4-3 0,0-1 0,0 1 0,-1-1 0,1 1 0,0-1 0,0 0 0,0 1 0,-1-1 0,1 0 0,0 0 0,-1 0 0,1 0 0,0 0 0,0 0 0,-1-1 0,1 1 0,0 0 0,0-1 0,-1 1 0,0-1 0,-2-2 0,-1 0 0,1 0 0,0 0 0,0 0 0,1-1 0,-1 0 0,1 0 0,0 1 0,0-2 0,0 1 0,0-1 0,-2-5 0,-24-54 0,3-2 0,-30-118 0,43 139 0,3 0 0,1-1 0,3 2 0,-1-65 0,7 87 0,1-1 0,1 1 0,1 0 0,1 0 0,1 0 0,1 1 0,1-1 0,1 1 0,1 1 0,0 0 0,14-20 0,30-31 54,-38 51-409,0 0 0,-1 0 1,14-27-1,-15 17-6471</inkml:trace>
  <inkml:trace contextRef="#ctx0" brushRef="#br0" timeOffset="10731.17">6181 10449 24575,'0'-8'0,"4"0"0,8-10 0,9 1 0,8 3 0,0 3-8191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4:03.8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8192,'18'0'5089,"-1"1"-1,33 7 1,9 9-1243,-3 10-3500,-37-16-1031,-1 1 0,0 1 0,26 25 0,14 25 1989,-31-28-656,42 73 0,-41-55-2576,-2 3-1,22 71 0,59 292-10779,-86-320 12088,34 255 396,-27 5 260,-23-277-52,8 153 16,-21 273 0,-4-370 0,-6-1 0,-5-1 0,-56 180 0,-117 282 0,100-319 0,36-114 0,-38 180 0,73-224 0,5 1 0,5 1 0,2 144 0,15-199 0,3-1 0,24 115 0,-17-134 0,1-1 0,3 0 0,2-2 0,34 64 0,-41-88 128,1-2 1,1 1-1,1-1 1,18 18-1,-25-30 423,-1-1 0,1 0-1,0 0 1,1 0 0,-1-1-1,1 0 1,0 0 0,1-1 0,-1 0-1,1-1 1,-1 0 0,1 0 0,13 2-1,-17-5-39,0 0-1,0 0 0,0 0 1,1 0-1,-1-1 0,0 0 0,0 0 1,0 0-1,0 0 0,0-1 1,-1 0-1,9-4 0,-4 1-149,-1-1 1,-1 0-1,1 0 0,-1 0 0,0-1 0,8-10 0,1-4-260,-1-1 1,-1-1-1,-1 0 1,11-25 0,-12 15-102,-1 0 0,-1 0 0,-2-1 0,-2-1 0,-1 1 0,-1-1 0,-2-69 0,-2 96 0,-1 0 0,0 0 0,0 0 0,0 0 0,-1 0 0,0 0 0,-7-14 0,9 20 0,-1 1 0,0 0 0,0-1 0,0 1 0,0 0 0,0 0 0,0-1 0,0 1 0,0 0 0,0 0 0,0 0 0,-1 0 0,1 0 0,0 1 0,-1-1 0,1 0 0,-1 1 0,-2-2 0,2 2 0,0 0 0,0 0 0,-1 1 0,1-1 0,0 0 0,0 1 0,0-1 0,0 1 0,0 0 0,0 0 0,0 0 0,0 0 0,0 0 0,1 0 0,-1 0 0,0 1 0,0-1 0,-1 2 0,-5 6 0,-1 0 0,1 0 0,1 1 0,0 0 0,0 0 0,1 1 0,1 0 0,-1 0 0,2 0 0,-1 0 0,2 1 0,0 0 0,-3 15 0,-1 20 0,3 0 0,0 50 0,4-83 0,0-13-25,-2 362-1433,26 3 465,-9-272-2458,42 141 1,49 89-4044,-46-146 6550,103 419 719,-143-492 229,-5 0 1,-5 1-1,-5 193 1,-7-268-5,-1 0 0,-1 0 0,-2-1 0,-1 1 0,-2-1 0,-1-1 0,-1 0 0,-23 44 0,25-58 0,0 0 0,-1-1 0,-1 0 0,-1 0 0,0-1 0,0-1 0,-1 0 0,-1-1 0,0 0 0,0-1 0,-1 0 0,-1-2 0,1 0 0,-1 0 0,-1-1 0,-24 6 0,24-9 0,-1-1 0,1 0 0,-1-1 0,1-1 0,-1-1 0,0 0 0,1-1 0,-1-1 0,1-1 0,-1-1 0,1 0 0,0-1 0,1-1 0,-1 0 0,1-1 0,0-1 0,-21-14 0,7 1 0,2-1 0,0-1 0,2-1 0,1-1 0,1-2 0,1 0 0,-31-48 0,-14-35 0</inkml:trace>
  <inkml:trace contextRef="#ctx0" brushRef="#br0" timeOffset="1961.25">1651 2689 8192,'-2'166'14900,"-4"1"-10048,-8 31-7640,-18 93-12646,27-266 14035,5-25 1395,0 0-1,0-1 0,0 1 1,0 0-1,0 0 0,0 0 1,0 0-1,0 0 0,0 0 1,0 0-1,0 0 0,0-1 1,0 1-1,0 0 0,0 0 1,0 0-1,-1 0 0,1 0 1,0 0-1,0 0 0,0 0 1,0 0-1,0 0 0,0 0 1,0-1-1,0 1 1,0 0-1,0 0 0,0 0 1,0 0-1,0 0 0,-1 0 1,1 0-1,0 0 0,0 0 1,0 0-1,0 0 0,0 0 1,0 0-1,0 0 0,0 0 1,0 0-1,-1 0 0,1 0 1,0 0-1,0 0 0,0 0 1,0 0-1,0 0 0,0 0 1,0 0-1,-1 0 0,0-46 121,20-602-116,-18 626 0,1-35 0,-2 10 0,3 0 0,1-1 0,2 2 0,16-58 0,-22 102 60,1-1 0,-1 1 0,1-1 0,0 1 0,0-1-1,0 1 1,0 0 0,0-1 0,0 1 0,1 0 0,-1 0 0,1 0 0,0 0 0,-1 0 0,1 0 0,0 1 0,0-1 0,0 1 0,0-1 0,0 1 0,4-2 0,-5 3 26,0 0 0,1 0 0,-1 0 0,0 0 0,0 0 0,0 0 0,0 0 0,0 1 0,1-1 0,-1 0 0,0 1 0,0-1 0,0 1 0,0 0 0,0-1 0,0 1 1,1 1-1,20 25 991,8 31 2665,24 61 0,-21-43 279,46 117-2905,25 101-9781,-70-195 7394,-15-45-5359</inkml:trace>
  <inkml:trace contextRef="#ctx0" brushRef="#br0" timeOffset="2112.66">1630 3324 8192,'7'0'11991,"14"0"-11991,20-11 6031,26-14-6031,22-18-3356,11-8 3356,-1 5-5484,-10 2 5484,-20 9 0</inkml:trace>
  <inkml:trace contextRef="#ctx0" brushRef="#br0" timeOffset="2952.68">2329 3303 8192,'6'8'16921,"4"-18"-15820,-5-4-1101,0-1 0,-1 0 0,-1 0 0,0 0 0,-1 0 0,-1 0 0,-1-30 0,1 15 0,1-323-5415,-18 180 1556,-17 6-3359,30 156 6679,-16-49-462,18 57 1001,0 1 1,0 0-1,0 0 1,0-1-1,0 1 1,0 0-1,-1 0 1,1 0 0,-1 0-1,1 1 1,-1-1-1,0 0 1,0 1-1,0-1 1,0 1-1,0 0 1,0-1-1,-4-1 1,4 3-1,1 0 0,0 1 0,-1-1 0,1 0 0,0 0 0,-1 1 0,1-1 0,0 1 0,0-1 0,-1 1 0,1 0 0,0 0 0,0-1 0,0 1 0,0 0 0,0 0 0,0 0 0,0 0 0,0 0 0,0 0 0,0 0 0,1 0 0,-1 1 0,0-1 0,1 0 0,-1 0 0,1 1 0,-1-1 0,1 3 0,-14 47 0,13-48 0,-7 46 0,3 1 0,1 0 0,3 0 0,2 0 0,10 69 0,-3-60 0,4-1 0,2-1 0,2 0 0,31 70 0,-39-107 0,2-1 0,0-1 0,21 31 0,-28-45 0,0 0 0,0-1 0,0 1 0,1 0 0,-1-1 0,1 0 0,0 0 0,-1 0 0,1 0 0,1-1 0,-1 1 0,0-1 0,1 0 0,-1 0 0,1-1 0,0 1 0,-1-1 0,1 0 0,0-1 0,0 1 0,8-1 0,-9-1 27,0 0 0,0 0 0,0-1 0,0 1 1,0-1-1,0 0 0,-1 0 0,1-1 0,-1 1 0,1-1 0,-1 0 1,0 0-1,0 0 0,0 0 0,0 0 0,-1-1 0,1 1 0,-1-1 1,0 0-1,0 0 0,0 0 0,0 0 0,-1 0 0,2-5 1,1-7 516,0 0 1,0 0-1,-2 0 0,0 0 1,0-19-1,-2 12 1358,-1 0 0,-6-30 0,7 47-1319,-2 0 0,1 0 0,0 0 0,-1 0 0,0 0 0,-1 0 0,1 1 1,-1-1-1,0 1 0,0 0 0,-1 0 0,0 0 0,-6-7 0,9 11-577,1 1 0,0 0-1,-1-1 1,1 1 0,-1-1-1,1 1 1,-1 0 0,1-1 0,-1 1-1,0 0 1,1 0 0,-1 0 0,1-1-1,-1 1 1,1 0 0,-1 0 0,0 0-1,1 0 1,-1 0 0,1 0 0,-1 0-1,0 0 1,1 0 0,-1 0 0,1 1-1,-1-1 1,0 0 0,1 0 0,-1 0-1,1 1 1,-1-1 0,1 0 0,-1 1-1,-1 1-2,1-1 0,0 1 0,0-1-1,0 1 1,0 0 0,0-1 0,0 1-1,1 0 1,-1 0 0,0 3 0,-5 46-21,6-44 18,0-1 0,1 1 0,0 0 0,1-1 0,-1 1 0,1-1 0,0 1 0,1-1 0,-1 0 0,1 0 0,1 0 0,-1 0 0,6 6 0,-6-9 0,0 1 0,0-1 0,1 0 0,-1-1 0,1 1 0,-1 0 0,1-1 0,0 0 0,0 0 0,0 0 0,0-1 0,1 1 0,-1-1 0,0 0 0,1 0 0,-1 0 0,0-1 0,1 0 0,-1 1 0,1-2 0,6 0 0,-4 0-1,1-1 0,-1 0 0,1 0 1,-1-1-1,0 0 0,0-1 0,0 1 1,0-1-1,-1 0 0,0-1 0,0 0 1,0 0-1,0 0 0,-1-1 0,9-10 1,0-3-616,-1-1 0,0 0 0,18-41 0,20-58-2683,-12-3-7415,-37 114 10061,5-25-222,-7 33 875,0-1 0,1 0 0,-1 0 0,0 0-1,0 0 1,0 1 0,0-1 0,0 0 0,0 0-1,0 0 1,0 1 0,-1-1 0,1 0 0,0 0 0,0 0-1,-1 1 1,1-1 0,0 0 0,-1 0 0,1 1-1,-1-1 1,1 0 0,-1 1 0,1-1 0,-1 1-1,0-1 1,1 1 0,-2-2 0,1 2 0,1 0 0,-1 0 0,0 0 0,0 1 0,0-1 0,0 0 0,1 0 0,-1 0 0,0 0 0,0 1 0,1-1 0,-1 0 0,0 1 0,0-1 0,1 1 0,-1-1 0,0 1 0,1-1 0,-1 1 0,0-1 0,1 1 0,-1 0 0,1-1 0,-1 1 0,1 0 0,0-1 0,-1 1 0,1 0 0,0 0 0,-1-1 0,1 1 0,0 0 0,0 0 0,0 0 0,-1-1 0,1 1 0,0 0 0,0 0 0,1 1 0,-2 3 0,0 0 0,1-1 0,0 1 0,0 0 0,0 0 0,2 6 0,0-5-2,0-1 0,0 0-1,1 1 1,-1-1 0,1 0 0,1-1 0,-1 1 0,1 0 0,0-1 0,0 0 0,0 0 0,0 0-1,7 4 1,9 6 115,42 21-1,-37-22 252,-3-2 549,-2 1 0,0 0 0,0 2 0,-1 0 0,26 27 0,-41-37-621,0-1 0,-1 1 0,0 0 0,0 0 0,0 1 0,0-1 0,-1 1 0,1-1 0,-1 1 0,-1 0 0,1 0 0,0 0 0,-1 0 0,0 0 0,-1 0 0,1 0 0,-1 0 0,0 0 0,0 0 0,0 0 0,-1 1 0,1-1 0,-1 0 1,-1 0-1,1 0 0,-1 0 0,0-1 0,0 1 0,0 0 0,-1-1 0,1 1 0,-4 3 0,-5 6 64,-1 0 0,0-1 0,0-1 0,-1 0 0,-1-1-1,-26 17 1,19-14-384,-2-2-1,1-1 0,-2 0 0,-26 7 1,43-16 28,1 0 0,0 0 0,-1-1 0,0 0 0,1 0 0,-1-1 0,1 0 0,-1 0 0,0-1 0,1 1 0,-8-3 0,10 2 0,0-1 0,0 1 0,0-1 0,1 0 0,-1 0 0,0 0 0,1-1 0,0 1 0,-1-1 0,1 0 0,0 0 0,0 0 0,1 0 0,-1-1 0,1 1 0,-1-1 0,-2-6 0,-14-40 0</inkml:trace>
  <inkml:trace contextRef="#ctx0" brushRef="#br0" timeOffset="4061.59">3387 2710 8192,'-12'15'10206,"3"2"-4321,-3 24-2292,4 43-6596,7-69 4344,0 6-1341,1 0 0,1 0 0,0 0 0,7 29 0,-7-46 0,0 1 0,1 0 0,-1-1 0,1 1 0,0-1 0,0 0 0,1 0 0,-1 0 0,1 0 0,0 0 0,4 4 0,-5-6 0,0 0 0,1-1 0,-1 0 0,0 1 0,0-1 0,1 0 0,-1 0 0,1 0 0,-1 0 0,1-1 0,0 1 0,-1-1 0,1 1 0,-1-1 0,1 0 0,0 0 0,-1 0 0,1-1 0,0 1 0,-1-1 0,6-1 0,-5 1-3,0 0 1,0 0 0,0 0 0,0-1 0,0 0-1,0 1 1,0-1 0,0 0 0,-1 0 0,1-1 0,-1 1-1,1 0 1,-1-1 0,3-4 0,-1 1 13,-1 0 1,0 0 0,0-1-1,0 1 1,-1-1 0,3-12-1,-2 0-132,-1 0-1,-1-1 1,0 0-1,-3-23 0,-1 14-890,-1-1-1,-2 1 1,-9-30 0,11 44 553,-2 0 0,0 0 0,0 1 0,-1 0 0,-1 0 1,-1 1-1,-15-19 0,22 29 677,-1 0 1,0 0-1,0 0 1,1 0-1,-2 1 1,1 0 0,0-1-1,0 1 1,-1 0-1,1 1 1,-1-1-1,0 1 1,1-1-1,-1 1 1,0 0-1,0 1 1,0-1-1,0 1 1,-6-1 0,6 2-57,1 0 1,-1 0-1,1 0 1,-1 0-1,0 0 1,1 1 0,0 0-1,-1-1 1,1 1-1,0 1 1,0-1-1,0 0 1,0 1-1,1-1 1,-1 1 0,1 0-1,-1 0 1,1 0-1,0 0 1,-2 5-1,-1 1-598,0 1 0,1 0 0,0-1-1,1 1 1,0 1 0,0-1-1,1 0 1,1 1 0,0-1-1,0 1 1,1 13 0,1-16-172,0 0 1,0 0-1,0-1 1,1 1-1,1 0 1,-1-1-1,1 1 1,0-1 0,1 0-1,0 0 1,0 0-1,0 0 1,1-1-1,0 0 1,10 10-1,-4-6 420,0-1 0,1-1 0,0 0-1,0-1 1,1 0 0,0-1 0,0 0 0,1-1-1,0-1 1,0 0 0,0-1 0,0 0-1,26 1 1,-30-4 191,-1 0 0,0 0-1,1-1 1,-1 0 0,0-1 0,0 0 0,0 0-1,0-1 1,0 0 0,0-1 0,-1 1-1,1-2 1,-1 1 0,0-1 0,-1-1-1,1 0 1,-1 0 0,0 0 0,0 0-1,-1-1 1,0-1 0,7-10 0,-4 2-3,-1 1 0,-1-2 0,0 1 0,-2-1 0,0 0 0,0 0 0,-2-1 0,0 1 0,-1-1 0,-1 1 0,0-1 0,-3-26 0,-4-6 0,-1 0 0,-3 0 0,-18-53 0,1 13 0,-75-164 0,71 202 0,31 52 0,-1-1 0,1 0 0,-1 0 0,1 0 0,-1 1 0,1-1 0,-1 0 0,1 1 0,-1-1 0,0 1 0,1-1 0,-1 1 0,0-1 0,0 1 0,0-1 0,1 1 0,-1 0 0,0-1 0,0 1 0,0 0 0,0 0 0,0-1 0,1 1 0,-1 0 0,0 0 0,0 0 0,0 0 0,-1 1 0,1 0 0,0 0 0,0 0 0,0 0 0,0 0 0,0 0 0,0 0 0,0 0 0,1 1 0,-1-1 0,0 0 0,1 1 0,-1-1 0,1 0 0,0 1 0,-1-1 0,1 3 0,-3 21 0,2 0 0,0 0 0,1 1 0,2-1 0,7 38 0,-4-24 0,42 224 0,-39-230 0,2-1 0,1 0 0,2-1 0,1 0 0,34 54 0,-43-77 85,0-1 0,1 1 0,1-1 1,-1 0-1,1-1 0,0 0 0,0 0 0,1 0 1,0-1-1,11 6 0,-16-9 162,1-1 0,-1 0 0,1 0 1,-1 0-1,1 0 0,-1-1 0,1 1 0,-1-1 1,1 0-1,0 0 0,-1 0 0,1-1 0,-1 1 0,1-1 1,-1 0-1,1 0 0,-1 0 0,1 0 0,-1-1 0,0 0 1,0 1-1,1-1 0,-1 0 0,0 0 0,-1-1 1,1 1-1,0 0 0,-1-1 0,3-3 0,3-4 580,0 0 0,-1-1 0,0 0 0,-1 0 0,0-1 0,5-14 0,22-80 2946,-13 37-3665,-20 68-108,0 0 0,0 0 0,0 0 0,1 1 0,-1-1 0,0 0 0,1 0 0,-1 0 0,1 0 0,-1 0 0,1 0 0,-1 1 0,1-1 0,-1 0 0,1 0 0,0 1 0,-1-1 0,2 0 0,3 14 0,-4 39 0,-1-47 0,0 6 0,0 0 0,1 0 0,0 0 0,1 0 0,0 0 0,1 0 0,0 0 0,0-1 0,8 15 0,-8-20 0,0 0 0,0-1 0,0 1 0,1-1 0,-1 0 0,1 0 0,0 0 0,0 0 0,1-1 0,-1 0 0,1 0 0,0 0 0,-1 0 0,1-1 0,0 0 0,1 0 0,-1 0 0,0-1 0,0 1 0,1-1 0,6 0 0,-6 0 0,0-1 0,0 0 0,0 0 0,0 0 0,0-1 0,0 0 0,0 0 0,0-1 0,0 1 0,0-1 0,-1-1 0,1 1 0,-1-1 0,7-3 0,-5 1 0,-1-1 0,1 1 0,-1-1 0,0 0 0,-1-1 0,1 1 0,-1-1 0,-1 0 0,6-9 0,-1-5 0,0 0 0,-1-1 0,-1 0 0,-2 0 0,0 0 0,3-36 0,-5 28 0,-1-43 0,-5 56 0,3 17 0,0 0 0,0-1 0,0 1 0,0 0 0,0 0 0,0 0 0,0 0 0,0 0 0,0 0 0,0 0 0,0 0 0,0 0 0,0 0 0,-1-1 0,1 1 0,0 0 0,0 0 0,0 0 0,0 0 0,0 0 0,0 0 0,0 0 0,0 0 0,0 0 0,-1 0 0,1 0 0,0 0 0,0 0 0,0 0 0,0 0 0,0 0 0,0 0 0,0 0 0,-1 0 0,1 0 0,0 0 0,0 0 0,0 0 0,0 0 0,0 0 0,0 0 0,0 0 0,0 0 0,0 0 0,-1 1 0,1-1 0,0 0 0,0 0 0,0 0 0,0 0 0,0 0 0,0 0 0,0 0 0,0 0 0,0 0 0,0 0 0,0 1 0,-9 25 0,7-13 0,0 1 0,1-1 0,1 1 0,0 0 0,0-1 0,2 1 0,0 0 0,0-1 0,7 19 0,-8-28 0,0 0 0,1 1 0,0-1 0,0 0 0,1 0 0,-1 0 0,1-1 0,-1 1 0,1 0 0,0-1 0,1 0 0,-1 0 0,0 0 0,1 0 0,0 0 0,0-1 0,0 0 0,0 0 0,0 0 0,0 0 0,0 0 0,1-1 0,-1 0 0,1 0 0,-1 0 0,1 0 0,-1-1 0,1 0 0,-1 0 0,1 0 0,-1 0 0,6-2 0,-4 1-38,1-1 0,0 1 1,-1-2-1,1 1 0,-1-1 1,0 0-1,0 0 0,0 0 1,0-1-1,-1 0 0,1 0 1,-1-1-1,0 1 0,0-1 1,-1 0-1,0-1 0,1 1 1,-2-1-1,1 0 1,-1 0-1,0 0 0,0 0 1,4-12-1,0-5-1119,0 0 0,-2-1 0,-1 1 0,0-1 1,0-35-1,-3 35-412,-1 0 1,-1 0 0,0 0-1,-2 1 1,-11-44 0,14 65 1682,-1 0 0,1 0 0,-1 0 0,0 0 1,1 0-1,-1 1 0,0-1 0,0 0 0,0 0 1,0 1-1,0-1 0,-1 1 0,1-1 1,0 1-1,-3-2 0,4 3-140,-1 0 0,0 0 1,1 0-1,-1 0 0,1 0 0,-1 1 1,1-1-1,-1 0 0,1 0 0,-1 1 1,0-1-1,1 0 0,0 0 0,-1 1 0,1-1 1,-1 1-1,1-1 0,-1 0 0,1 1 1,0-1-1,-1 1 0,1-1 0,0 1 1,-1-1-1,1 1 0,0-1 0,0 1 1,0 0-1,-1-1 0,1 1 0,0 0 1,-3 10-265,-1 0 0,2 0 0,0 1 0,-1 11 1,-2 48 115,7 122 0,0-166 178,1 0-1,2 0 0,0 0 1,2-1-1,1 1 0,1-2 0,21 42 1,-25-57-4,1-1 0,0 0 0,1 0 0,0 0 0,1-1 0,0 0 0,14 11 0,9 0 0</inkml:trace>
  <inkml:trace contextRef="#ctx0" brushRef="#br0" timeOffset="4385.09">4466 2329 8192,'10'10'5473,"-10"-9"-5130,1-1-1,0 1 0,0-1 0,0 0 0,0 0 0,-1 1 0,1-1 0,0 0 0,0 0 1,1 0-1,25 3 7217,-3-3-7457,-1-1 0,0 0 0,1-2 0,-1-1 0,39-11 1,-48 11-42,1-2 0,-1 1 1,-1-1-1,1-1 0,-1-1 0,0 0 1,0 0-1,-1-2 0,20-19 1,-25 21-62,-1 0 0,0-1 0,-1 0 0,0 0 0,0-1 0,-1 1 0,-1-1 0,1 0 0,2-15 0,-4 16 0,0 1 0,-1-1 0,0 1 0,-1-1 0,0 1 0,0-1 0,-1 0 0,0 1 0,0-1 0,-1 1 0,-5-15 0,7 22 0,-1-1 0,0 0 0,0 0 0,1 1 0,-1-1 0,0 1 0,-1-1 0,1 1 0,0-1 0,0 1 0,-1 0 0,1 0 0,-1-1 0,1 1 0,-1 0 0,1 0 0,-1 1 0,0-1 0,1 0 0,-1 0 0,0 1 0,0-1 0,0 1 0,1 0 0,-1-1 0,0 1 0,-3 0 0,2 1 0,-1-1 0,1 1 0,0 0 0,0 0 0,0 0 0,0 1 0,0-1 0,0 1 0,0-1 0,0 1 0,0 0 0,1 0 0,-1 0 0,1 1 0,-4 3 0,-2 5-39,0 0 0,1 0-1,0 1 1,1 0 0,0 0 0,1 0 0,0 1 0,-4 19 0,1 6-1183,-6 67-1,12-80 659,1 1-1,1 0 1,1 0 0,1 0-1,2-1 1,10 40 0,-11-54 51,1 1 0,0-1-1,1 0 1,0 0 0,1-1 0,0 0 0,0 0 0,1 0 0,1 0 0,0-1 0,0-1-1,1 1 1,0-1 0,0-1 0,1 1 0,14 7 0,-11-9 345,0 0-1,0-1 1,1 0 0,0-1 0,0-1-1,0 0 1,0-1 0,0-1 0,1 0-1,-1 0 1,0-2 0,1 0 0,19-4-1,-12 1 145,0-2-1,-1 0 1,0-2-1,0 0 1,-1-1-1,1-1 0,31-23 1,29-29 24</inkml:trace>
  <inkml:trace contextRef="#ctx0" brushRef="#br0" timeOffset="5880.67">1418 4615 8192,'0'-5'1108,"0"1"1,-1-1 0,1 0 0,-1 0-1,0 1 1,-1-1 0,1 1-1,-1-1 1,0 1 0,0 0 0,-4-7-1,2 6-621,0 0-1,1 1 0,-1-1 1,-1 1-1,1 0 0,-1 1 1,1-1-1,-11-5 0,10 6-467,-1 0 0,0 1 0,-1-1 0,1 1 0,0 0 0,-1 1 0,1 0 0,-1 0 0,1 0-1,-1 1 1,1-1 0,-1 2 0,0-1 0,1 1 0,-1 0 0,1 0 0,-11 4 0,7 0-30,0 0 0,0 1 0,1 0-1,-1 0 1,2 1 0,-1 0 0,1 1 0,0 0 0,0 0 0,1 1 0,0 0 0,1 0 0,0 1 0,-7 13 0,-4 14-759,2-1 0,-19 69 0,19-51 153,3 0 1,-11 111-1,21-133-215,2-1 1,1 1 0,1 0-1,2-1 1,1 1-1,16 52 1,-16-70 230,0 0-1,1-1 1,0 0 0,1 0 0,1 0 0,0-1 0,1 0-1,0-1 1,1 0 0,0 0 0,22 17 0,-21-20 568,1 0 0,0-1-1,0-1 1,1 0 0,-1-1 0,1 0 0,0-1 0,1 0 0,-1-1 0,1-1 0,-1 0 0,1-1-1,0 0 1,0-1 0,-1-1 0,1 0 0,0-1 0,-1 0 0,22-7 0,-14 2 13,1-1 0,-1-1 0,-1-1 0,1-1 0,-2 0 0,1-2 0,-2 0 0,0-1 0,0-1 0,-2-1 0,22-25 0,-21 20 324,-1-1-1,-1 0 1,-1-1 0,-1-1-1,-1 0 1,-1 0-1,-1-1 1,-1-1 0,7-37-1,-13 47-455,0 0-1,-2 1 0,1-26 1,-2 36 285,-1 0 0,1 0 0,-1 0 0,0 0 0,0 0 0,0 0 0,-1 0 0,0 0 0,0 1 0,0-1 0,0 1 0,-1-1 0,0 1 0,-4-6 0,6 9 37,0 0 0,0 0 0,0 0 0,0 0 0,0 1 0,0-1 0,-1 0 0,1 0 0,0 1 0,0-1 0,0 1 0,-1-1 0,1 1 0,0 0 0,-1-1 0,1 1 0,0 0-1,-1 0 1,1 0 0,0 0 0,-1 0 0,1 0 0,0 0 0,-1 0 0,1 1 0,0-1 0,-1 1 0,1-1 0,0 1 0,0-1 0,-1 1 0,1-1 0,0 1 0,0 0 0,0 0 0,0 0 0,0 0 0,-1 1 0,-3 2 565,1 1 0,0 1-1,0-1 1,0 0-1,0 1 1,-4 9 0,1 2-502,0 0 1,1 0-1,1 0 0,1 1 1,0-1-1,1 1 1,1 0-1,0 30 0,2-40-234,1 0 0,-1 0-1,1 0 1,0-1-1,1 1 1,0 0 0,0-1-1,1 1 1,0-1 0,0 1-1,1-1 1,0 0-1,0-1 1,0 1 0,1-1-1,0 0 1,1 0 0,-1 0-1,1-1 1,0 0-1,0 0 1,8 4 0,-5-4-12,1 0 0,-1-1 0,1 0 0,0-1 0,1 0 0,-1 0 1,0-1-1,1-1 0,0 0 0,-1 0 0,17-2 0,-12 0 61,-1-1 0,1-1 0,-1-1 0,1 0 0,-1-1 0,-1 0 0,24-12 0,-19 6-300,1-1 0,-1 0 0,-1-2-1,-1 1 1,0-2 0,0 0 0,-2-1 0,0-1 0,0 0-1,-2-1 1,15-27 0,-15 19-687,-1-1-1,-1 1 1,-2-2 0,0 1 0,-2-1 0,4-42-1,-8 52 512,-1 1 0,-1-1 0,-1 0-1,0 1 1,-1-1 0,-1 1 0,-1 0 0,0-1-1,-1 2 1,-1-1 0,-12-24 0,14 35 267,1 0 0,-1 1-1,0-1 1,-1 1 0,1 0 0,-1 0 0,0 1 0,0-1 0,0 1-1,-1 0 1,0 0 0,-8-4 0,12 8 138,-1-1 0,1 0-1,0 0 1,-1 1 0,1-1 0,0 1 0,-1 0-1,1 0 1,-1 0 0,1 0 0,0 0 0,-1 0 0,1 1-1,0-1 1,-1 1 0,1 0 0,0 0 0,-1-1-1,1 1 1,0 1 0,0-1 0,0 0 0,0 0-1,0 1 1,0-1 0,1 1 0,-1 0 0,0 0 0,1-1-1,-1 1 1,1 0 0,0 0 0,-1 0 0,1 0-1,0 1 1,-1 3 0,-3 6 397,1-1 0,0 1 0,1 0-1,0 0 1,0 0 0,2 1 0,0-1 0,0 1-1,1-1 1,0 0 0,1 1 0,1-1 0,0 0 0,1 1-1,0-1 1,0-1 0,1 1 0,9 16 0,-8-18-542,0 0 0,1-1 1,0 1-1,1-1 1,0 0-1,1-1 0,0 0 1,0 0-1,1 0 1,0-1-1,0-1 1,18 11-1,-14-11-177,0 0-1,0-1 1,0 0-1,1-1 1,0-1 0,0 0-1,0-1 1,0 0-1,0-1 1,0-1 0,1 0-1,-1-1 1,17-3-1,-14 0 282,1-1-1,-1 0 0,0-1 0,-1-2 1,1 1-1,-1-2 0,-1 0 0,0-1 1,27-22-1,-22 14 65,-1 0 0,-1-1 0,-1-1 0,-1-1 0,-1-1 0,-1 0 0,0-1 0,-2 0 0,10-26 0,-14 30 0,-2 0 0,0 0 0,-1 0 0,-1-1 0,-1 1 0,0-1 0,-2 0 0,0 0 0,-1 0 0,-1 0 0,-1 0 0,-7-28 0,8 42 0,-1 0 0,0-1 0,-1 1 0,1 0 0,-1 0 0,-1 0 0,1 1 0,-1-1 0,-4-4 0,7 8 0,0 1 0,0 0 0,-1 0 0,1 0 0,0 0 0,-1 0 0,1 0 0,-1 1 0,1-1 0,-1 0 0,1 1 0,-1-1 0,1 1 0,-1-1 0,0 1 0,1 0 0,-1 0 0,0 0 0,1 0 0,-1 0 0,0 0 0,1 0 0,-1 0 0,0 1 0,1-1 0,-1 1 0,1-1 0,-1 1 0,1 0 0,-1-1 0,1 1 0,-1 0 0,1 0 0,0 0 0,-1 0 0,1 0 0,0 0 0,0 1 0,-1 1 0,-5 4 0,0 1 0,1 0 0,1 0 0,-1 0 0,1 1 0,1 0 0,0 0 0,0 0 0,0 1 0,1-1 0,-1 12 0,-3 11 0,3 0 0,-2 38 0,5-47 0,1 0 0,1 0 0,1 0 0,1-1 0,1 1 0,1-1 0,13 40 0,-13-50 0,1 0 0,0-1 0,0 0 0,1 0 0,0 0 0,1-1 0,0 0 0,1-1 0,0 1 0,1-2 0,0 1 0,0-2 0,0 1 0,1-1 0,19 9 0,-12-9 0,0 0 0,0-2 0,1 0 0,0-1 0,0 0 0,0-2 0,0 0 0,0-1 0,1-2 0,-1 1 0,0-2 0,28-6 0,-6-2 0,-1-1 0,0-2 0,0-2 0,59-32 0,19-19 0</inkml:trace>
  <inkml:trace contextRef="#ctx0" brushRef="#br0" timeOffset="6726.5">1651 6520 8192,'0'4'11332,"0"4"-11332,0 16 0,0 18 6690,0 19-6690,0 26 0,7 25 0,3 20-2971,-1 6 2971,-2-8-5849,-1-13 5849,-3-25-7957,-1-34 6712,-2-27 1245</inkml:trace>
  <inkml:trace contextRef="#ctx0" brushRef="#br0" timeOffset="7052.53">1355 6584 8192,'1'-9'0,"0"1"0,0 1 0,1-1 0,1 0 0,-1 0 0,1 1 0,8-15 0,-2 2 0,0 0 0,0 1 0,2 1 0,0 0 0,1 0 0,0 1 0,2 0 0,0 1 0,32-28 0,-36 36 0,0 1 0,1-1 0,0 2 0,0 0 0,0 0 0,1 1 0,0 0 0,0 1 0,0 0 0,0 1 0,1 1 0,0 0 0,-1 0 0,1 2 0,0-1 0,17 3 0,-22-1 0,-1 0 0,0 1 0,0 0 0,0 0 0,0 1 0,0-1 0,0 2 0,-1-1 0,1 1 0,-1 0 0,0 0 0,0 1 0,0 0 0,-1 0 0,0 0 0,0 0 0,0 1 0,0 0 0,-1 0 0,0 0 0,-1 1 0,1-1 0,-1 1 0,0 0 0,2 9 0,0 0 0,-1 0 0,-1 0 0,-1 0 0,0 1 0,-1-1 0,-1 1 0,0-1 0,-1 1 0,-1-1 0,-6 26 0,4-25-38,-2 1 0,0-1 1,-1-1-1,-1 1 1,-1-1-1,-19 28 0,10-22 855,0 0 0,-1-1 0,-37 30-1,47-44 2088,5-4-1508,-1 1-1,1-1 0,1 1 1,-1-1-1,0 1 1,-3 5-1,7-8-1267,0-1 0,-1 1 0,1 0 0,0-1 0,0 1 0,-1 0-1,1-1 1,0 1 0,0 0 0,0-1 0,0 1 0,0 0 0,0-1 0,0 1 0,0 0 0,0 0 0,0-1 0,0 1 0,0 0 0,1 0 0,0 0-151,0 1 0,0-1 1,0 0-1,0 0 0,0 0 1,0 0-1,0 0 0,0-1 1,0 1-1,0 0 0,0 0 1,1-1-1,-1 1 0,2 0 1,47 21-1356,-1 3 0,-1 1 0,-2 3 1,65 52-1,3 21-7301,-83-70 7435</inkml:trace>
  <inkml:trace contextRef="#ctx0" brushRef="#br0" timeOffset="8722.67">2138 6965 8192,'16'23'12389,"5"-6"-6443,6-5-4534,-23-11-1667,1 0 1,0 0-1,-1 0 1,1-1-1,0 0 1,-1 0-1,1 0 1,0 0-1,-1-1 1,1 0 0,0 0-1,6-2 1,11-9 1837,-13 5-1583,-1 0 0,0-1 0,0 0 0,-1 0 0,0-1 0,-1 0 0,0 0 0,0 0 0,-1-1 0,0 0 0,6-19 0,-8 21 0,0 0 0,-1-1 0,0 1 0,0-1 0,-1 0 0,0 1 0,-1-1 0,1 0 0,-2 1 0,1-1 0,-1 0 0,-1 1 0,0-1 0,0 1 0,-5-12 0,7 18 0,-1 0 0,0 0 0,1 0 1,-1 0-1,0 1 0,0-1 1,0 0-1,0 1 0,-1-1 0,1 1 1,0-1-1,-1 1 0,1 0 0,-1-1 1,1 1-1,-1 0 0,1 0 1,-1 0-1,0 0 0,0 0 0,1 1 1,-1-1-1,0 1 0,0-1 0,0 1 1,0-1-1,0 1 0,0 0 1,0 0-1,0 0 0,0 0 0,0 0 1,0 1-1,0-1 0,1 0 0,-1 1 1,0 0-1,0-1 0,0 1 1,0 0-1,1 0 0,-1 0 0,0 0 1,1 0-1,-3 3 0,-4 2-351,1 0 0,0 1 0,0 0 0,1 0-1,0 1 1,1 0 0,-10 16 0,11-17-123,1-1-1,0 1 1,1 0 0,-1 0-1,1 0 1,1 0 0,-1 0-1,1 0 1,0 0 0,1 1-1,0-1 1,0 0 0,0 0-1,1 1 1,0-1-1,1 0 1,0 0 0,0 0-1,0 0 1,1 0 0,0-1-1,0 1 1,0-1 0,1 1-1,0-1 1,5 5 0,-3-5 252,0 0 0,0-1 1,0 0-1,0 0 1,1 0-1,0-1 0,0 0 1,0 0-1,11 3 1,-10-4 213,-1-1 0,0 0 0,1 0 0,-1-1 0,1 0 0,-1 0 1,1-1-1,-1 0 0,1 0 0,0-1 0,-1 0 0,1 0 1,-1-1-1,1 0 0,-1 0 0,0 0 0,0-1 0,0-1 1,0 1-1,-1-1 0,1 0 0,-1 0 0,0-1 0,0 0 1,0 0-1,-1 0 0,5-7 0,5-6 10,-2 0 0,0-1 1,-1-1-1,0 0 0,-2 0 0,-1-1 1,13-42-1,-12 26-2,-1 1 0,-3-1 0,-1-1 0,-1 1 0,-2-1 0,-5-61 0,-3 46 0,-3-1 0,-1 1 0,-35-102 0,14 77 0,28 71 0,-1-1 0,0 1 0,-1 0 0,0 0 0,0 0 0,-11-12 0,16 19 0,-1-1 0,1 0 0,-1 1 0,1-1 0,-1 1 0,0-1 0,1 1 0,-1-1 0,1 1 0,-1-1 0,0 1 0,1 0 0,-1-1 0,0 1 0,0 0 0,1 0 0,-1-1 0,0 1 0,0 0 0,1 0 0,-1 0 0,0 0 0,0 0 0,0 0 0,1 0 0,-1 0 0,0 0 0,0 1 0,1-1 0,-1 0 0,0 0 0,0 1 0,1-1 0,-1 0 0,0 1 0,1-1 0,-1 1 0,1-1 0,-1 1 0,0-1 0,1 1 0,-1-1 0,1 1 0,-1 0 0,1-1 0,-1 2 0,-1 3 0,-1 0 0,1 0 0,0 0 0,1 0 0,-2 10 0,-2 15 0,1 0 0,2 0 0,1 0 0,3 41 0,25 127 0,-23-175 0,236 1088 0,-219-1024 0,-8-34 0,209 779 0,-205-774 0,3 1 0,47 92 0,-66-148 0,0-1 0,0 0 0,1 1 0,-1-1 0,1 0 0,-1 0 0,1 0 0,0 0 0,0 0 0,0 0 0,0 0 0,0-1 0,0 1 0,4 1 0,-6-3 0,1 0 0,-1 0 0,1 0 0,-1 0 0,1 0 0,-1 0 0,0 0 0,1 0 0,-1 0 0,1-1 0,-1 1 0,1 0 0,-1 0 0,1 0 0,-1-1 0,0 1 0,1 0 0,-1-1 0,0 1 0,1 0 0,-1-1 0,0 1 0,1 0 0,-1-1 0,1 0 0,7-22 0,-3-5 0,-1 0 0,-1 0 0,-1 0 0,-4-39 0,-21-120 0,-4 53 0,-5 1 0,-7 1 0,-5 2 0,-67-137 0,90 222-44,-2 1 0,-2 1 0,-31-39 0,45 67 242,-1 1 0,-1 0-1,0 0 1,0 2 0,-1 0-1,-1 0 1,0 1-1,-1 1 1,0 1 0,-32-14-1,9 11 5810,37 12-5674,0-1 0,-1 1-1,1 0 1,0 0 0,0-1 0,0 1-1,0 1 1,-1-1 0,1 0 0,0 1-1,0-1 1,0 1 0,0-1 0,-3 3 243,5-3-515,0 0 0,0 0 0,0 0 0,0 0 0,0 0 0,0 1-1,0-1 1,0 0 0,0 0 0,0 0 0,0 0 0,0 1 0,0-1 0,1 3 1279,-1-3-1279,1 0 0,-1 0 0,0 0 0,0 0-1,0 0 1,0 0 0,1 0 0,-1 0 0,0 0 0,0 0 0,0 0 0,0 0 0,1 0 0,-1 0 0,0 0-1,0 0 1,0 0 0,0 0 0,1 0 0,-1 0 0,0 0 0,0 0 0,0 0 0,0 0 0,1 0 0,6 1 60,1-1 1,0 0-1,-1 0 0,1 0 1,0-1-1,-1 0 1,1-1-1,10-2 1,61-26-210,-53 19 88,-1-2 0,0 0 0,-1-2 0,0-1 0,21-18 0,-33 24 0,-1 0 0,-1-1 0,1 0 0,-2-1 0,1 0 0,-2 0 0,0-1 0,0 0 0,-1-1 0,-1 1 0,5-16 0,-9 25 0,-1 0 0,0 0 0,-1 0 0,1 0 0,-1 0 0,1-1 0,-1 1 0,0 0 0,-1 0 0,1 0 0,-1 0 0,0-1 0,0 1 0,0 0 0,-2-4 0,2 6 0,0 1 0,0-1 0,-1 0 0,1 1 0,0-1 0,-1 1 0,1-1 0,-1 1 0,0 0 0,1 0 0,-1-1 0,0 1 0,0 0 0,0 1 0,0-1 0,0 0 0,0 1 0,0-1 0,0 1 0,0-1 0,0 1 0,0 0 0,0 0 0,0 0 0,0 0 0,0 0 0,0 0 0,0 1 0,0-1 0,-3 2 0,0-1-313,0 1 0,-1 0 0,2 0 0,-1 0 0,0 1 0,0-1 0,1 1 0,-1 0 0,1 1 0,0-1 0,0 1 0,0 0 0,1 0 0,-1 0 0,1 0 0,0 0 0,0 1 0,0 0 0,1-1 0,0 1 0,0 0 0,-3 10 0,3-9-120,1 0-1,0 0 1,0 0 0,1 0-1,-1 0 1,1 0-1,0 0 1,1 0-1,0 0 1,0 0-1,0 0 1,0 0-1,1 0 1,0 0 0,1-1-1,-1 1 1,1-1-1,0 1 1,0-1-1,5 5 1,2 0 980,0 0 1,0 0-1,1-1 0,1-1 1,0 0-1,0-1 0,0 0 1,1-1-1,0 0 0,0-1 1,22 6-1,-14-6-340,0-1-1,36 3 1,-37-6-1251,0-1-1,35-5 1,-45 4 728,0-2 0,0 1 1,-1-1-1,1-1 1,-1 0-1,1 0 1,-1 0-1,0-2 0,-1 1 1,1-1-1,-1 0 1,0-1-1,-1 1 1,0-2-1,7-7 0,-5 4 215,-1-1 0,0 0 0,-1-1-1,0 0 1,-1 0 0,-1 0 0,0 0 0,0-1-1,-1 0 1,2-17 0,-4 17 160,-1 0 0,0-1 0,-1 1 0,0 0-1,-1 0 1,-1-1 0,0 1 0,-1 0 0,0 1 0,-8-19 0,7 23-45,0 0 1,0 0 0,-2 0-1,1 1 1,-1-1 0,0 1-1,0 1 1,-1-1-1,0 1 1,-1 0 0,1 1-1,-1 0 1,-1 0 0,1 0-1,-12-4 1,15 8 53,0 0 0,0 0 0,0 0 0,0 1 0,-1 0 0,1 0 0,0 0 1,-1 1-1,1 0 0,-1 0 0,1 0 0,0 1 0,-1 0 0,1 0 0,0 0 0,-9 4 0,11-4-36,1 0 0,0 0 0,0 0-1,-1 1 1,1-1 0,0 1 0,1 0 0,-1-1-1,0 1 1,0 0 0,1 0 0,-1 0 0,1 0-1,0 1 1,-1-1 0,1 0 0,0 0 0,0 1-1,0-1 1,1 1 0,-1-1 0,1 1 0,-1-1-1,1 1 1,0-1 0,0 1 0,0-1 0,0 1-1,0-1 1,1 1 0,-1-1 0,1 1 0,0-1-1,0 1 1,-1-1 0,2 0 0,1 4 0,-1-1-89,1 1 0,0-1 1,0 0-1,1 0 0,0-1 1,0 1-1,0-1 0,0 0 1,0 0-1,1 0 0,0 0 1,0-1-1,0 0 0,0 0 0,1 0 1,-1-1-1,1 1 0,-1-1 1,1-1-1,0 1 0,11 1 1,0-1 334,0-1 1,0 0-1,0-1 0,-1-1 1,1-1-1,25-5 1,-40 7 430,0-1 1,0 1 0,-1 0-1,1 0 1,0 0 0,0 0 0,0 0-1,0 0 1,0 0 0,0 1-1,0-1 1,0 1 0,0-1-1,0 1 1,3 1 0,-3 0-387,0-1 1,-1 0 0,1 1 0,-1-1 0,1 1-1,-1 0 1,1-1 0,-1 1 0,0 0-1,0 0 1,0 0 0,1 3 0,1 7-684,0 0 0,-1 0 1,0-1-1,0 22 0,4 19 1054,-6-49-694,1 1 0,1 0 0,-1-1 0,0 1 0,1-1 0,0 1 0,0-1 0,0 1 0,0-1 0,0 0 0,1 0 0,-1 0 0,1-1 0,0 1 0,0-1 0,0 1 0,0-1 0,0 0 0,1 0 0,-1 0 0,0-1 0,1 1 0,0-1 0,-1 0 0,1 0 0,0 0 0,0 0 0,-1-1 0,1 1 0,0-1 0,0 0 0,0 0 0,0-1 0,-1 1 0,1-1 0,0 1 0,0-1 0,-1-1 0,1 1 0,-1 0 0,8-5 0,3-2-84,0-1 1,-1 0 0,1-1 0,-2-1 0,0 0-1,0-1 1,-1 0 0,0-1 0,-1 0 0,0-1-1,-2 0 1,12-22 0,-7 9 117,-1-1-1,-1-1 1,-2 0-1,-1-1 1,9-56-1,-16 77-158,-1 0-1,0 0 0,0 0 0,-1 0 0,-3-17 0,3 24 107,1 1 0,-1-1-1,1 0 1,-1 1-1,1-1 1,-1 1-1,0-1 1,0 1-1,0-1 1,0 1-1,0-1 1,0 1-1,-1 0 1,1 0-1,-3-2 1,3 2 81,0 1 1,0 0-1,-1-1 1,1 1-1,0 0 1,-1 0-1,1 0 1,0 0-1,-1 0 1,1 0-1,0 0 1,0 0-1,-1 1 0,1-1 1,0 0-1,-1 1 1,1-1-1,0 1 1,0-1-1,0 1 1,0 0-1,-1 0 1,1-1-1,-1 2 1,-4 3-249,1 1 0,-1-1 0,1 1 0,0 1 0,0-1 0,1 0-1,0 1 1,0 0 0,0 0 0,1 0 0,0 1 0,-3 13 0,-3 12 1254,-7 51 0,16-82-960,-3 16-6,1 0-1,1 1 0,1 0 1,0-1-1,6 37 1,-5-49-110,1-1 1,-1 0-1,1 1 1,0-1-1,1 0 1,-1 0-1,1 0 1,0 0 0,0 0-1,6 6 1,-6-9 9,0 1 0,0-1-1,0 1 1,0-1 0,1 0 0,-1 0 0,1-1 0,-1 1 0,1-1 0,-1 1 0,1-1 0,0 0 0,0-1 0,0 1 0,0-1 0,7 1 0,-6-1-167,0-1 1,0 1 0,0-1 0,1 0-1,-1 0 1,0-1 0,0 1 0,0-1-1,-1 0 1,1 0 0,0-1 0,-1 0-1,1 0 1,4-3 0,-2-1-471,0 0 1,0 0 0,-1 0 0,0-1-1,0 0 1,0 0 0,4-10-1,-1-2-559,0 0 0,-1 0 0,6-25 0,0-18 1509,-7 21 10237,-6 25-9104,0 24-1448,-1-1 0,1 0 0,0 0 0,1 0 0,-1 0 0,1 0 0,0 0 0,1 0 0,-1 0 0,1-1 0,1 1 0,5 7 0,1 1 0,0-1 0,1-1 0,22 20 0,-31-30 0,0 0 0,0 0 0,0-1 0,0 1 0,0-1 0,0 1 0,0-1 0,0 0 0,1 0 0,-1 0 0,0 0 0,1 0 0,-1-1 0,1 1 0,-1-1 0,1 1 0,-1-1 0,1 0 0,0 0 0,-1 0 0,1 0 0,-1-1 0,1 1 0,-1-1 0,1 1 0,-1-1 0,1 0 0,-1 0 0,0 0 0,0 0 0,1-1 0,-1 1 0,0 0 0,0-1 0,0 0 0,0 1 0,0-1 0,-1 0 0,1 0 0,-1 0 0,1 0 0,-1 0 0,1 0 0,-1-1 0,1-2 0,4-7-322,-1-1 0,0 1 1,-1-1-1,0 0 1,1-15-1,5-14-3354,6 2-6296,-16 39 9906,0 0 0,1 0-1,-1 1 1,1-1 0,-1 0 0,1 1-1,-1-1 1,1 0 0,0 1 0,-1-1 0,1 1-1,0-1 1,-1 1 0,1-1 0,0 1-1,0 0 1,-1-1 0,1 1 0,0 0 0,0 0-1,0-1 1,-1 1 0,1 0 0,0 0-1,0 0 1,0 0 0,0 0 0,0 0-1,-1 0 1,1 0 0,0 1 0,0-1 0,0 0-1,-1 0 1,1 1 0,0-1 0,0 1-1,-1-1 1,2 1 0,35 27 423,-17-11-509,-6-8 152,0-1 0,0 0 0,1-1 0,0-1 0,0 0 0,0-1 0,1-1 0,0 0 0,0-1 0,0-1 0,0 0 0,1-1 0,21-2 0,-16-1 0,1-2 0,-1 0 0,1-1 0,-1-2 0,-1 0 0,1-1 0,-1-1 0,37-23 0,11-13 0</inkml:trace>
  <inkml:trace contextRef="#ctx0" brushRef="#br0" timeOffset="10117.84">4657 6245 8192,'-6'-8'9044,"-6"7"-3957,-14 7-2218,21-2-2804,0 0 1,0 0 0,1 0-1,-1 0 1,1 1-1,0-1 1,0 1-1,0 0 1,1 1-1,-1-1 1,1 1-1,1-1 1,-1 1-1,1 0 1,0 0-1,-2 8 1,-2 13-106,1 0 1,-2 35 0,6-57 65,0 10-26,0 0 0,0 0 0,2 0 0,0 0 0,0 0 0,6 21 0,-6-31 0,1-1 0,0 1 0,-1-1 0,1 1 0,1-1 0,-1 0 0,1 0 0,-1 0 0,1 0 0,0 0 0,1-1 0,-1 1 0,1-1 0,-1 0 0,1 0 0,0 0 0,0 0 0,0-1 0,0 0 0,1 0 0,-1 0 0,1 0 0,8 2 0,-4-3 0,-1 0 0,1-1 0,-1 0 0,0 0 0,1-1 0,-1 0 0,1 0 0,-1-1 0,0 0 0,0 0 0,0-1 0,0 0 0,0-1 0,-1 0 0,1 0 0,-1 0 0,0-1 0,0 0 0,-1 0 0,8-9 0,1 0 0,-1 0 0,-1-2 0,0 0 0,-1 0 0,-1-1 0,-1 0 0,13-29 0,-12 18 0,-1 0 0,10-48 0,-16 59 0,-2 0 0,0 0 0,-1 0 0,0 0 0,-1 0 0,-3-17 0,-3 13 0,-2 16 0,7 6 0,0 0 0,-1 1 0,1-1 0,0 0 0,0 1 0,0-1 0,0 0 0,0 1 0,1-1 0,-1 1 0,0-1 0,1 1 0,-1 0 0,1-1 0,0 1 0,-1 0 0,1 2 0,-5 19 0,2 1 0,0 0 0,2 0 0,1 0 0,3 29 0,-2-42 0,0-1 0,1 1 0,0 0 0,1-1 0,0 1 0,1-1 0,0 0 0,0 0 0,1-1 0,0 1 0,1-1 0,0 0 0,1 0 0,8 8 0,-12-14-14,0 0 1,1-1 0,0 1-1,-1-1 1,1 1 0,0-1-1,0 0 1,0-1 0,1 1-1,-1-1 1,0 1 0,1-1-1,-1-1 1,1 1 0,-1-1 0,1 1-1,-1-1 1,1 0 0,-1-1-1,1 1 1,-1-1 0,0 0-1,1 0 1,-1 0 0,0-1-1,0 0 1,1 0 0,-1 0-1,-1 0 1,1 0 0,0-1-1,0 1 1,-1-1 0,0 0-1,1-1 1,-1 1 0,0 0 0,-1-1-1,1 1 1,-1-1 0,4-6-1,4-10-1672,-1-1-1,-1 0 1,11-40-1,-11 33-3671,13-32 0,-17 65 5358,-1 0 0,0 1 0,0 0 0,-1-1 0,0 1 0,2 10 0,-1-9 0,-1-2 212,0 0-1,0 0 1,0-1 0,1 1 0,-1-1 0,1 1 0,5 5 0,-7-9-61,0 0 0,0-1 1,-1 1-1,1 0 0,0-1 1,0 1-1,0 0 0,0-1 0,0 0 1,0 1-1,0-1 0,0 1 1,0-1-1,0 0 0,0 0 1,0 1-1,0-1 0,0 0 1,0 0-1,0 0 0,0 0 0,0 0 1,0-1-1,0 1 0,0 0 1,0 0-1,0-1 0,0 1 1,0 0-1,0-1 0,0 1 1,0-1-1,0 0 0,0 1 0,0-1 1,0 0-1,-1 1 0,1-1 1,0 0-1,0 0 0,-1 0 1,1 1-1,0-3 0,7-7 1358,-1-1 0,0 0 0,10-21 0,12-40-292,-20 46-1680,1 1 0,17-29 0,-26 52 609,0 0-1,0 0 0,0 0 1,0 0-1,0 1 1,0-1-1,1 0 0,-1 1 1,1-1-1,-1 1 1,1 0-1,-1-1 0,1 1 1,0 0-1,0 0 1,0 0-1,0 0 0,-1 0 1,4-1-1,-3 3-262,-1 0 0,1-1 0,-1 1-1,0 0 1,1-1 0,-1 1 0,0 0-1,0 0 1,0 0 0,0 0 0,0 0-1,0 0 1,0 1 0,0-1 0,0 0-1,0 0 1,-1 1 0,1-1 0,0 1-1,-1-1 1,1 0 0,-1 1 0,0-1-1,1 1 1,-1 1 0,2 4-1307,0-1 0,1 1 1,0-1-1,0 0 0,1 0 1,6 9-1,-7-11 1026,1 0 0,-1 0 1,1-1-1,0 1 0,0-1 1,0 0-1,0 0 0,7 3 1,-6-4 370,0 0 1,0-1-1,0 1 1,1-1-1,-1 0 0,0 0 1,0-1-1,1 1 1,-1-1-1,0-1 1,1 1-1,-1-1 1,0 0-1,0 0 0,1 0 1,-1-1-1,0 1 1,0-1-1,8-5 1,-3 1 26,0 0 0,0 0 0,-1-1 0,0-1 0,0 1 0,-1-2 0,0 1 0,0-1 0,-1 0 0,0 0 0,-1-1 0,0 0 0,0 0 0,-1-1 0,0 0 0,-1 1 0,0-2 0,-1 1 0,0 0 0,-1-1 0,-1 1 0,1-1 0,-2 1 0,1-1 0,-4-23 0,3 33 0,-1-1 0,1 0 0,-1 1 0,1-1 0,-1 1 0,0-1 0,0 1 0,0 0 0,-1-1 0,1 1 0,-1 0 0,1 0 0,-1 0 0,0 0 0,1 0 0,-1 0 0,0 0 0,0 0 0,0 1 0,-1-1 0,1 1 0,0 0 0,-1-1 0,1 1 0,-1 0 0,1 1 0,-1-1 0,1 0 0,-1 1 0,1-1 0,-1 1 0,0 0 0,1 0 0,-1 0 0,0 0 0,1 0 0,-1 1 0,-4 0 0,1 1 0,0-1 0,0 1 0,0 1 0,0-1 0,0 1 0,1 0 0,-1 0 0,1 0 0,0 1 0,0 0 0,0 0 0,0 0 0,1 1 0,0 0 0,-5 6 0,6-6 34,0 0 0,1 1 1,0 0-1,0-1 1,0 1-1,0 0 0,1 0 1,0 0-1,0 0 0,1 0 1,0 0-1,0 0 0,0 0 1,1 0-1,0 0 0,0 0 1,0 0-1,4 9 0,-3-11 253,-1-1-1,1 1 1,0-1-1,0 0 1,0 1-1,0-1 0,1 0 1,-1 0-1,1-1 1,0 1-1,0-1 0,0 1 1,3 1-1,-2-2 389,-1 0-1,0-1 0,1 0 0,0 1 0,-1-1 1,1-1-1,-1 1 0,1-1 0,0 1 1,0-1-1,-1 0 0,1 0 0,0 0 1,-1-1-1,6-1 0,-3 1-493,-1-1 0,0 0-1,0 0 1,-1-1 0,1 1-1,0-1 1,-1 0 0,0 0 0,1-1-1,-1 1 1,-1-1 0,1 0 0,0 0-1,-1 0 1,0-1 0,0 1 0,0-1-1,3-7 1,-2 4-767,-1 0 0,0-1 0,0 1-1,2-13 1,-2-6-4495,-5 2-3347,2 26 8384,0-1-1,0 0 1,0 0 0,0 0 0,0 0-1,0 0 1,0 1 0,-1-1-1,1 0 1,0 0 0,0 0-1,0 0 1,0 0 0,0 0-1,-1 0 1,1 1 0,0-1 0,0 0-1,0 0 1,0 0 0,-1 0-1,1 0 1,0 0 0,0 0-1,0 0 1,-1 0 0,1 0 0,0 0-1,0 0 1,0 0 0,0 0-1,-1 0 1,1 0 0,0 0-1,0-1 1,0 1 0,0 0-1,-1 0 1,1 0 0,0 0 0,0 0-1,0 0 1,0 0 0,0-1-1,-1 1 1,1 0 0,0 0-1,0 0 1,0 0 0,0 0-1,0-1 1,0 1 0,0 0 0,0 0-1,0 0 1,0 0 0,0-1-1,0 1 1,-1 0 0,-7 18 258,-12 55-214,3 1 0,4 1 0,3 0 0,-1 93 0,27 305 0,16-193 0,3 43 0,-35-310 0,1 0 0,-2 0 0,1 0 0,-2 0 0,0 0 0,-4 14 0,5-24 0,0 0 0,0 0 0,0 0 0,0 0 0,-1 0 0,1-1 0,-1 1 0,0 0 0,1-1 0,-1 1 0,0-1 0,-1 0 0,1 0 0,0 0 0,-1 0 0,1 0 0,-1 0 0,0-1 0,1 1 0,-1-1 0,0 0 0,0 0 0,0 0 0,0 0 0,0 0 0,0 0 0,0-1 0,0 0 0,-6 0 0,0 0-3,0-1 1,0 0-1,1-1 1,-1 0-1,0-1 1,1 0 0,-1 0-1,1 0 1,0-1-1,0-1 1,0 1-1,0-1 1,1-1-1,0 1 1,0-1 0,1 0-1,-1-1 1,1 0-1,-7-10 1,4 4 57,0-1 0,1 0 1,0-1-1,1 0 0,1 0 1,1-1-1,0 1 0,1-1 0,0 0 1,-1-18-1,3-2 203,1 0 1,2 0-1,2 0 1,1 0-1,9-36 1,56-179-2821,-24 98 3014,-29 94-452,-3 0 0,-2-1 0,-3 0 0,0-65 0,-8 96 0,-2 0 0,0 0 0,-2 1 0,-1 0 0,-2-1 0,0 2 0,-2-1 0,-1 1 0,-1 0 0,-26-44 0,16 40 0,-30-35 0,-23-17 0</inkml:trace>
  <inkml:trace contextRef="#ctx0" brushRef="#br0" timeOffset="10227.41">5017 5610 8192,'-33'0'0,"-35"-11"0,-21-3 0,1 0 0,16-4 3356,20-7-3356,22 2-3356,16 3 3356</inkml:trace>
  <inkml:trace contextRef="#ctx0" brushRef="#br0" timeOffset="39282.9">1926 8870 8192,'0'-18'16699,"0"28"-13911,0 21-5742,0-20 4443,-2 170-1515,-7 93-9043,5-150 6089,0-1 3297,1 40 8437,3-152-6012,0-19-2195,1-28-832,16-425-3544,-13 264-695,-4 148 4141,-1 22-914,1 0-1,1 0 0,1 0 0,1 1 0,2-1 0,12-39 1,-16 62 1288,1 0 1,0 0 0,0 0 0,0 0 0,0 0 0,1 0 0,-1 1 0,1-1 0,0 1 0,0 0 0,0 0 0,1 0 0,-1 0 0,1 1 0,0-1 0,-1 1-1,1 0 1,0 0 0,0 0 0,0 1 0,1 0 0,-1-1 0,0 1 0,1 1 0,-1-1 0,0 0 0,1 1 0,4 0 0,11 2 366,-1 0 1,0 1-1,0 1 0,0 1 1,18 8-1,-21-8 320,63 22-118,-8 0-560</inkml:trace>
  <inkml:trace contextRef="#ctx0" brushRef="#br0" timeOffset="39455.74">2011 9378 8192,'-21'18'18022,"51"-31"-18022,34-12 0,35-10-3356,18-9 3356,4 3-5996,-11 4 5996,-25 9 0</inkml:trace>
  <inkml:trace contextRef="#ctx0" brushRef="#br0" timeOffset="40081.82">2667 8700 8192,'-7'3'15075,"1"9"-11400,2-1-4403,-4 23 559,2 2 0,-4 63-1,8 74-2652,2-138 2206,0-11-214,1 0 0,1 0 0,1 0 1,7 30-1,-8-48 1062,0 0 0,0 0-1,1 0 1,0-1 0,0 1 0,0-1 0,0 0 0,1 0 0,7 8-1,-8-10 56,0-1-1,0 1 0,0-1 0,1 0 0,-1 0 1,1 0-1,0 0 0,0-1 0,0 1 0,-1-1 1,1 0-1,0 0 0,0 0 0,1-1 1,-1 1-1,5-1 0,-1-1-390,0 0 0,1-1 0,-1 0 1,0 0-1,0-1 0,0 0 0,-1 0 0,1 0 0,-1-1 1,0-1-1,0 1 0,0-1 0,0 0 0,-1-1 0,0 1 1,6-8-1,3-4-1032,0-1 1,-1 0 0,0-1-1,16-33 1,-20 32-584,-1 1 0,11-34 0,-14 15 7861,-8 29-3979,-4 11-586,-5 15 1137,4 2-3040,0 1 0,2-1 0,0 1 0,-3 28 0,-2 88-3713,9-105 2696,-1-6 1076,-1 102 1528,4-114-509,0-1 0,1 1 1,0-1-1,1 0 0,0 1 0,1-1 0,9 19 1,-11-27-696,0 0 0,0 0 0,1-1 0,0 1 0,-1-1 0,1 0 1,1 1-1,-1-1 0,0-1 0,1 1 0,-1 0 0,1-1 0,0 0 0,0 0 0,6 3 1,22 2-58</inkml:trace>
  <inkml:trace contextRef="#ctx0" brushRef="#br0" timeOffset="40751.75">3535 9272 8192,'-3'14'18470,"3"-14"-18480,0 0-1,-1 0 1,1 0 0,0 1-1,0-1 1,0 0-1,-1 0 1,1 0-1,0 0 1,0 0 0,-1 1-1,1-1 1,0 0-1,0 0 1,0 0-1,-1 0 1,1 0 0,0 0-1,0 0 1,-1 0-1,1 0 1,0 0-1,0 0 1,-1 0-1,1 0 1,0 0 0,0 0-1,-1 0 1,1 0-1,0 0 1,0-1-1,-1 1 1,1 0 0,0 0-1,0 0 1,-1 0-1,1 0 1,0-1-1,0 1 1,0 0-1,0 0 1,-1-1 0,1 1-28,-21 11-165,5-8-3007,56-12-10417,-30 11 13533,1 2 0,-1-1 0,0 2 0,0-1 0,-1 1 1,1 1-1,-1 0 0,0 0 0,0 0 0,12 14 0,-9-9 105,-1 1 0,0 1 0,-1 0 1,0 1-1,-1-1 0,-1 2 0,8 16 0,-10-17-11,-2 0 0,1-1 0,-2 1 0,0 0 0,-1 1 0,0-1 0,-1 1 0,-2 25 0,-1-19 0,-1 0 0,-1 0 0,0 0 0,-2-1 0,-13 30 0,4-18 0,-1 0 0,-2-1 0,-1 0 0,-2-2 0,0-1 0,-47 47 0,45-53 0,-27 19 0,-14 3 0</inkml:trace>
  <inkml:trace contextRef="#ctx0" brushRef="#br0" timeOffset="42059.9">4149 7981 8192,'-5'13'19380,"-1"9"-22057,4-13 3996,-7 129-1319,17 276 0,1-297 0,-7-102 0,0-24 0,-1-27 0,0-457-976,-1 23-5974,0 452 6710,5-84-2415,-4 92 1725,1 0 0,0 0 1,1 1-1,4-11 0,-7 18 858,1 1-1,-1-1 1,1 0 0,0 1-1,0-1 1,0 1 0,0-1 0,0 1-1,0-1 1,0 1 0,0 0-1,1-1 1,-1 1 0,0 0 0,1 0-1,-1 0 1,1 0 0,-1 0-1,1 0 1,0 0 0,-1 1 0,1-1-1,3 0 1,-3 1 24,1 0 0,0 0 0,-1 1 0,1-1 0,-1 1 0,1 0 0,-1 0 0,0 0 1,1 0-1,-1 0 0,0 0 0,0 0 0,0 1 0,4 2 0,5 6 28,-1 0 1,0 1-1,-1 0 0,14 20 1,46 90 2815,-42-66-2236</inkml:trace>
  <inkml:trace contextRef="#ctx0" brushRef="#br0" timeOffset="42230.91">4149 8235 8192,'11'-4'2971,"17"-1"2877,20-14-5848,22-4 0,14-12-3356,3 0 3356,-9 5-5463,-18 8 5463</inkml:trace>
  <inkml:trace contextRef="#ctx0" brushRef="#br0" timeOffset="42714.83">4636 8129 8192,'13'21'18339,"-6"-5"-17137,2 9-3719,-3-5 3515,4 13-998,-9-27 0,0 0 0,1 0 0,-1-1 0,1 1 0,1 0 0,-1-1 0,1 0 0,4 7 0,-6-11 0,-1-1 0,1 1 0,-1-1 0,0 0 0,1 1 0,-1-1 0,1 0 0,-1 1 0,1-1 0,-1 0 0,1 0 0,-1 1 0,1-1 0,-1 0 0,1 0 0,-1 0 0,1 0 0,-1 0 0,1 0 0,0 0 0,-1 0 0,1 0 0,-1 0 0,1 0 0,-1 0 0,1 0 0,-1 0 0,1 0 0,0-1 0,0 1 0,15-15 0,9-25 0,-11 6 0,-1-1 0,11-47 0,-18 56 0,1 0 0,1 0 0,2 0 0,1 1 0,24-42 0,-34 66-1,-1 0 0,1 0 0,-1 0 0,1 0 0,0 0 0,0 0 0,0 0 0,-1 1 0,1-1 0,0 0 0,0 1 1,0-1-1,0 0 0,0 1 0,0-1 0,0 1 0,0 0 0,0-1 0,2 1 0,-2 0 3,-1 0 0,1 0 0,0 0 0,0 1 0,-1-1 0,1 0 0,0 0 0,0 1 0,-1-1 0,1 1 0,-1-1 0,1 1 0,0-1 0,-1 1 0,1-1 0,-1 1 1,1-1-1,-1 1 0,1 0 0,0 1 0,2 4-97,0 0 1,0 1-1,-1 0 1,3 11-1,-4-15-16,14 58-1912,-8-27 802,1-1-1,2-1 0,15 34 1,-21-58 1305,0 1-1,0-1 1,1-1 0,0 1 0,1-1 0,-1 0 0,1 0 0,1 0 0,-1-1 0,1 0 0,1 0 0,-1-1-1,1 0 1,-1 0 0,1-1 0,12 5 0,-14-7-361,1 0-1,-1-1 1,1 1-1,-1-2 1,1 1-1,0-1 1,-1 0 0,1 0-1,-1-1 1,1 1-1,-1-2 1,1 1-1,-1-1 1,1 0-1,-1 0 1,7-4-1,0 0-231,-2-1 0,1 0 0,-1-1 0,0 0 0,-1-1 0,17-17 0,10-17 509</inkml:trace>
  <inkml:trace contextRef="#ctx0" brushRef="#br0" timeOffset="43350.58">4149 9483 8192,'3'0'2971,"13"-14"2877,17-12-5848,25-9 7957,17 1-7957,7 0 1246,-4 5-1246,-15 8 0</inkml:trace>
  <inkml:trace contextRef="#ctx0" brushRef="#br0" timeOffset="43600.54">4276 9166 8192,'7'-7'2971,"10"-3"2877,18 13 2109,-22 21-7957,-5 23 1246,-3 24-1246,-3 18 0,-1 5 0,6-2 0,2-11 0,3-18 0,6-20 0,8-18 0,3-20 0,-3-10 0</inkml:trace>
  <inkml:trace contextRef="#ctx0" brushRef="#br0" timeOffset="43988.59">4826 9081 8192,'1'16'12389,"1"5"-6443,1 8-4534,11 43-4720,-8-47 4891,71 248-1583,-74-262 0,9 23 0,-12-32 0,1-1 0,-1 1 0,1-1 0,-1 0 0,1 1 0,0-1 0,0 0 0,0 1 0,0-1 0,0 0 0,0 0 0,0 0 0,0 0 0,0 0 0,2 1 0,-3-2 0,1-1 0,-1 1 0,1 0 0,-1-1 0,0 1 0,1 0 0,-1-1 0,1 1 0,-1-1 0,0 1 0,1-1 0,-1 1 0,0 0 0,0-1 0,1 0 0,-1 1 0,0-1 0,0 1 0,0-1 0,0 1 0,0-1 0,0 1 0,1-1 0,-1 1 0,-1-1 0,1 0 0,0 1 0,0-1 0,0 1 0,0-2 0,0-33-339,0 0 0,-3 0 0,-10-57 1,0 7-2103,8 40 313,-22-215-1170,20 103 1394,10 55-2538,-1 79 3954,0 0 1,1 0 0,13-43 0,-14 61 466,-1 0 0,1 0 0,0 0 0,0 1 0,0-1 0,1 1 0,-1-1 0,1 1-1,0 0 1,0 0 0,1 0 0,-1 0 0,1 1 0,0 0 0,0-1 0,0 1 0,0 1 0,1-1 0,-1 1 0,1-1 0,-1 1 0,1 0 0,7-1 0,-6 3 21,-1 0 0,0 0 0,0 1 0,0 0 0,0 0 0,0 0 0,0 0 0,-1 1 0,1 0 0,0 0 0,-1 0 0,1 1 0,-1-1 0,0 1 0,1 0 0,-2 1 0,1-1 0,0 1 0,-1-1 0,1 1 0,4 8 0,13 18 0</inkml:trace>
  <inkml:trace contextRef="#ctx0" brushRef="#br0" timeOffset="44145.54">4805 9060 8192,'0'7'0,"7"3"3356,14-1 2127,9-5-5483,15-4 7957,21-16-7957,18-15-2971,5-4 2971,-6-2-5849,-16-3 5849,-21 7 0</inkml:trace>
  <inkml:trace contextRef="#ctx0" brushRef="#br0" timeOffset="45039.66">5546 8425 8192,'-7'6'18034,"4"1"-16659,-2 5-3636,2-3 3135,1-5-874,-19 40 0,2 0 0,1 2 0,-22 94 0,39-136 0,1 0 0,-1 0 0,1 0 0,0 1 0,0-1 0,0 0 0,0 0 0,1 1 0,0-1 0,-1 0 0,2 0 0,-1 0 0,0 0 0,1 0 0,0 0 0,0-1 0,0 1 0,0 0 0,0-1 0,1 0 0,0 1 0,6 4 0,-3-3 0,1 0 0,0-1 0,0-1 0,0 1 0,1-1 0,-1 0 0,1 0 0,-1-1 0,1 0 0,0-1 0,9 1 0,-8-1 0,0 0 0,-1-1 0,1 0 0,0 0 0,0-1 0,0 0 0,-1-1 0,1 0 0,-1 0 0,1-1 0,-1 0 0,9-4 0,-6 0 0,-1 0 0,1 0 0,-1-1 0,0 0 0,-1-1 0,1 0 0,9-14 0,-6 13 0,-7 17 0,-3 26 0,-3-29 0,0 58-2530,2 84 4281,8-74-3177,9-2-5813,-9-49 5351</inkml:trace>
  <inkml:trace contextRef="#ctx0" brushRef="#br0" timeOffset="46753.35">3683 10669 8192,'0'-23'16552,"-2"23"-16319,-1 0-96,-1-1 1,1 2-1,-1-1 1,1 0-1,-1 1 0,1-1 1,-1 1-1,-5 2 1,3 0-138,1 0 0,-1 1 0,1 0 0,-1 0 0,1 0 0,1 0 0,-1 1 0,1 0 0,-1 0 0,1 0 0,1 0 0,-1 1 0,1-1 0,-5 11 0,7-12 0,-1-1 0,1 1 0,0 0 0,0 0 0,0 0 0,0 0 0,1 0 0,-1 0 0,1 0 0,0 0 0,0 0 0,1 0 0,-1 0 0,1 0 0,0 0 0,0 0 0,1 0 0,-1 0 0,1 0 0,-1-1 0,1 1 0,0-1 0,1 1 0,4 5 0,7 4 0,1-1 0,0-1 0,1 0 0,0-1 0,1-1 0,0 0 0,25 8 0,-20-8 0,-1 1 0,0 1 0,0 1 0,25 19 0,-43-29 0,0 0 0,0 0 0,0 1 0,0-1 0,-1 1 0,0 0 0,1 0 0,-1-1 0,0 2 0,0-1 0,0 0 0,-1 0 0,1 1 0,-1-1 0,0 0 0,0 1 0,0 0 0,0-1 0,0 1 0,-1 0 0,0-1 0,0 1 0,0 0 0,0-1 0,0 1 0,-1 0 0,0-1 0,1 1 0,-1-1 0,-1 1 0,1-1 0,0 1 0,-1-1 0,0 0 0,0 0 0,0 0 0,0 0 0,-4 5 0,-8 7-310,0-1 0,0 0 0,-1-1 0,-1-1 0,0 0 0,-1-1 0,-32 16 1,-133 48-5057,156-65 4325,-1 0 1,-1-2-1,0-1 1,0-1-1,0-1 1,-1-2-1,-34 1 1,13-10 1040</inkml:trace>
  <inkml:trace contextRef="#ctx0" brushRef="#br0" timeOffset="47063.02">3577 10542 8192,'8'0'0,"1"-8"3356,24 5 10099,-18 21-13455,3 18 1211,-2 22-1211,-3 25 0,3 21 0,0 4 0,-4-7 0,3-12 0,4-22 0,-3-33 0,-3-23 0</inkml:trace>
  <inkml:trace contextRef="#ctx0" brushRef="#br0" timeOffset="47326.75">3958 10161 8192,'4'0'0,"8"0"2971,9 0-2971,12 0 5848,12 0-5848,8 10 7350,6 23-7350,0 19-3356,-2 19 3356,-11 19 0,-14 12-5996,-12 18 5996,-27 17-6817,-31-1 6817,-16-12 0,-9-20 0,-5-28 0,9-26 0</inkml:trace>
  <inkml:trace contextRef="#ctx0" brushRef="#br0" timeOffset="47665.74">2900 10478 8192,'-7'0'3356,"-6"4"-3356,-8 11 5996,-8 26-5996,1 23-2971,6 23 2971,6 39-5849,20 31 5849,21 17-532,27-6 532,34-17 0,31-35 0,38-37 0,30-31 0,15-46 0,3-42 0,-34-13 0</inkml:trace>
  <inkml:trace contextRef="#ctx0" brushRef="#br0" timeOffset="48167.04">4001 10648 8192,'-8'-9'3356,"-5"5"-3356,-11-7 5483,-13-2-5483,-15 6 7957,-12 11-7957,-6 12 1226,1 10-1226,12 12 0,17 6 0,14-3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4:45.54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6935 850 24575,'0'-1'0,"0"0"0,-2 0 0,2 0 0,2 0 0,-2 1 0,0 0 0,0-2 0,0 1 0,0 0 0,1 0 0,-1 0 0,0 0 0,1-1 0,-1 2 0,1-1 0,-1 0 0,1 1 0,0-1 0,-1 0 0,1 0 0,1 1 0,-2-2 0,1 1 0,0 1 0,0 0 0,0 0 0,-1-1 0,1 1 0,1-1 0,-1 1 0,0 0 0,0-1 0,0 1 0,0 0 0,1 0 0,-1-1 0,2 1 0,0 0 0,-1 1 0,0-1 0,2 0 0,-2 1 0,0-1 0,1 1 0,-1 0 0,0-1 0,1 0 0,-1 1 0,0 1 0,1 0 0,-2-1 0,1 0 0,1 0 0,1 4 0,4 3 0,-1 3 0,0-2 0,-1 0 0,0 2 0,0-1 0,-1 1 0,-1-1 0,3 12 0,20 96 0,-22-97 0,32 426 0,-36-387 0,-7-202 0,-2-13 0,21-233 0,-7 339 0,2 1 0,2 0 0,3 2 0,2-1 0,3 2 0,2-1 0,2 3 0,1-1 0,39-49 0,-47 73 0,1 0 0,2 1 0,35-30 0,-48 46 0,1-3 0,1 3 0,-1-2 0,1 1 0,-2 1 0,2-1 0,0 1 0,0 1 0,0-1 0,2 1 0,-2 0 0,1-1 0,-1 3 0,1-1 0,0 0 0,-1 1 0,13 0 0,-17 0-151,1 1-1,-1 0 0,2-1 0,-2 1 1,1 1-1,-1-1 0,1 1 1,6 3-1,18 18-6674</inkml:trace>
  <inkml:trace contextRef="#ctx0" brushRef="#br0" timeOffset="171.01">6880 1306 24575,'0'8'0,"4"4"0,16-2 0,33-18 0,39-20 0,42-26 0,30-19 0,6-7 0,-16 12 0,-30 16 0,-36 18-8191</inkml:trace>
  <inkml:trace contextRef="#ctx0" brushRef="#br0" timeOffset="464.05">8003 923 24575,'0'-9'0,"9"-10"0,4 15 0,-6 19 0,-4 20 0,-3 16 0,0 8 0,-1 6 0,5-1 0,5-10 0,17-15 0,20-13 0,24-28 0,26-30 0,20-34 0,1-31 0,-20-14 0,-28 11-8191</inkml:trace>
  <inkml:trace contextRef="#ctx0" brushRef="#br0" timeOffset="559.29">8331 443 24575,'-14'0'0,"-4"12"0,0 5-8191</inkml:trace>
  <inkml:trace contextRef="#ctx0" brushRef="#br0" timeOffset="1336.73">8688 803 24575,'-1'54'0,"-2"-16"0,3-2 0,9 60 0,-9-94 0,0-2 0,0 1 0,0-1 0,0 1 0,0-1 0,0 1 0,1-1 0,-1 1 0,0-1 0,0 1 0,0-1 0,1 0 0,-1 0 0,0 2 0,1-2 0,-1 0 0,0 1 0,1-1 0,-1 1 0,0-1 0,1 0 0,-1 1 0,2-1 0,-2 0 0,1 0 0,-1 1 0,0-1 0,1 0 0,-1 0 0,1 0 0,-1 0 0,2 1 0,19-10 0,17-27 0,44-67 0,-59 71 0,1 2 0,0 0 0,59-50 0,-79 78 0,-2-1 0,0 1 0,2 1 0,-2-1 0,2 0 0,-1 0 0,-1 1 0,2 0 0,-1 1 0,6-4 0,-8 4 0,0 0 0,0 0 0,0 0 0,0 0 0,1 0 0,-1 1 0,0-1 0,0 0 0,0 0 0,0 2 0,1-2 0,-1 0 0,0 1 0,0-1 0,0 0 0,-1 0 0,1 1 0,1 0 0,-1-1 0,0 1 0,-1 0 0,1-1 0,0 2 0,-1-1 0,1 0 0,-1-1 0,2 1 0,-2 0 0,1 0 0,-1-1 0,0 2 0,1 1 0,5 11 0,1 0 0,0 0 0,16 23 0,-17-31 0,0 0 0,-1 1 0,2-1 0,-1 0 0,1-1 0,1 0 0,-1 0 0,2-1 0,7 6 0,-2-6 0,0 2 0,1-1 0,-1-2 0,1 1 0,0-2 0,0 0 0,1 0 0,-1-1 0,1 0 0,-1-2 0,0 1 0,0-3 0,1 2 0,-1-1 0,0-2 0,0 1 0,18-8 0,-11 4 0,-2 1 0,1-4 0,-2 1 0,1-2 0,-1 1 0,-1-2 0,0-1 0,-1 1 0,0-1 0,-1-2 0,14-17 0,-26 29 0,1-4 0,-2 2 0,1 0 0,-1-2 0,-1 3 0,2-2 0,-2 0 0,-1-1 0,4-8 0,-5 14 0,0 0 0,0-1 0,0 1 0,0-1 0,0 1 0,-1-2 0,1 3 0,0-1 0,0-1 0,-1 1 0,1 0 0,-2-2 0,1 3 0,1-1 0,-1 0 0,0-1 0,-1-2 0,-1 4 0,2-1 0,-1 0 0,0 0 0,0-1 0,0 1 0,0 0 0,-1 0 0,2 1 0,-1-1 0,0 1 0,-1 0 0,1 0 0,0 0 0,-1 0 0,1 0 0,-4 0 0,-3 0 0,1 1 0,-2 0 0,1 1 0,1 1 0,0-1 0,-2 0 0,2 3 0,0-3 0,0 3 0,1-1 0,-1 0 0,1 1 0,0 0 0,0-1 0,-11 13 0,11-12 0,0 2 0,0 2 0,1-4 0,1 4 0,0-2 0,0 0 0,1 1 0,-1 0 0,1 0 0,1 0 0,1 0 0,-1 2 0,1-2 0,0 13 0,1-20 0,1 1 0,0 1 0,0-1 0,1 0 0,-1 1 0,0-1 0,1-1 0,-1 1 0,1 1 0,-1-1 0,1-1 0,0 2 0,0-1 0,1 0 0,-1-1 0,1 2 0,-1-1 0,0-1 0,2 2 0,-2-2 0,1 0 0,1 0 0,-2 1 0,1 0 0,0-1 0,1-1 0,-1 1 0,0 0 0,1 0 0,-1 0 0,0 0 0,4 1 0,0-1 0,0-1 0,0 0 0,0 0 0,-1 0 0,1 0 0,0 0 0,0-1 0,0-1 0,0 1 0,-1-1 0,1 1 0,-1 0 0,8-6 0,4-1 0,-2-2 0,2 1 0,-2-2 0,-1 0 0,0-1 0,0-1 0,-2 2 0,0-3 0,0 1 0,-2-1 0,17-28 0,-12 14 0,-1 0 0,-1-2 0,-2 1 0,-2-2 0,9-49 0,-12 39 0,-1-1 0,-5-81 0,-1 106 0,-2 0 0,1-1 0,-3 2 0,1 0 0,-1-1 0,-2 1 0,0-1 0,0 2 0,-21-29 0,26 40 0,-2 0 0,2 1 0,-1-1 0,-1 1 0,1-2 0,-2 3 0,1-2 0,0 2 0,-1-2 0,2 2 0,-2 0 0,0-1 0,1 1 0,-2 0 0,1 1 0,0-1 0,0 1 0,-6-1 0,6 2 0,2 0 0,-2 0 0,2 1 0,-2 0 0,1-1 0,0 1 0,1 1 0,-2-1 0,1 0 0,1 1 0,-2 1 0,2-2 0,-1 0 0,1 2 0,0 0 0,0-2 0,-1 2 0,2 0 0,-1-1 0,0 2 0,1-1 0,0-1 0,-4 8 0,-5 6 0,1 2 0,2-1 0,-1 2 0,3-2 0,0 1 0,0 0 0,1 2 0,3-1 0,0-1 0,-1 31 0,3-24 0,3-2 0,-1 2 0,1-2 0,3 0 0,0 0 0,1 1 0,2-2 0,13 27 0,-12-34 0,-1 0 0,2 0 0,0-1 0,1 0 0,1-1 0,1 0 0,-2 0 0,4-1 0,-1-1 0,27 16 0,-21-17 0,0 0 0,1 0 0,1-2 0,-1-1 0,2 0 0,0 0 0,46 4 0,-36-7 0,-1-3 0,2 1 0,-1-4 0,0 0 0,0-1 0,0-2 0,-2 0 0,2-3 0,-1 0 0,-2-1 0,1-3 0,47-22 0,-62 26-455,-2-1 0,26-18 0,7-16-6371</inkml:trace>
  <inkml:trace contextRef="#ctx0" brushRef="#br0" timeOffset="-980.03">5125 1595 24575,'-5'0'0,"4"0"0,11 0 0,22-12 0,35-12 0,22-3 0,13-5 0,-9 4 0,-18 6-8191</inkml:trace>
  <inkml:trace contextRef="#ctx0" brushRef="#br0" timeOffset="-636.46">5291 1763 24575,'8'-2'0,"1"1"0,0 0 0,1 0 0,-2-1 0,1-1 0,-1 1 0,16-7 0,-5 0 0,50-15 0,88-49 0,-134 62 0,-2-2 0,0 0 0,-2-1 0,1-1 0,-1-1 0,-2 0 0,30-34 0,-42 45 0,-1-1 0,0-1 0,-1 2 0,1 0 0,-2-2 0,2 0 0,-2 1 0,-1 0 0,1-1 0,1-12 0,-3 15 0,0-2 0,-1 1 0,1 1 0,-2-2 0,1 1 0,-1-1 0,1 2 0,-2-1 0,1 0 0,0 1 0,-2-1 0,2 0 0,-9-7 0,2 2 0,-7-8 0,16 15 0,11 10 0,5 5 0,-1 0 0,0 0 0,-1 1 0,-1 1 0,-1 0 0,0 0 0,-1 1 0,-1 0 0,-1 2 0,1-1 0,-2 0 0,7 25 0,-10-27 0,-2 1 0,-1-1 0,1 1 0,-2 0 0,0 1 0,-2-2 0,1 1 0,-2 0 0,-1 0 0,1-1 0,-3 0 0,1 0 0,-1 1 0,-1-1 0,-11 18 0,10-18-170,-3 0-1,1-2 0,-1 2 1,-1-2-1,-1 1 0,1-2 1,-23 17-1,11-15-6655</inkml:trace>
  <inkml:trace contextRef="#ctx0" brushRef="#br0" timeOffset="-5086.97">522 2603 24575,'9'0'0,"4"-5"0,-1 0-8191</inkml:trace>
  <inkml:trace contextRef="#ctx0" brushRef="#br0" timeOffset="-3245.82">386 1498 24575,'0'-19'0,"0"2"0,-3-3 0,1 2 0,-2-1 0,-5-18 0,8 32 0,0 3 0,-1-3 0,0 3 0,0-2 0,0 1 0,-1-1 0,1 1 0,0 0 0,-1 0 0,0 1 0,1-1 0,-2 1 0,-6-5 0,7 5 0,0 0 0,-1 1 0,1 0 0,-1 1 0,1 0 0,-1-1 0,1 1 0,-1-1 0,1 1 0,-1 0 0,1 0 0,-1 1 0,0-1 0,0 0 0,1 1 0,-1-1 0,1 1 0,0 0 0,-6 3 0,0-1 0,-2 3 0,2 0 0,0-1 0,0 2 0,0-2 0,1 2 0,0 0 0,1 0 0,-1 0 0,1 2 0,1-1 0,0 0 0,-8 15 0,-3 8 0,1 0 0,-19 56 0,17-26 0,1 1 0,6-1 0,0 2 0,5 1 0,3-1 0,9 97 0,-4-141 0,2 0 0,-1 2 0,2-2 0,1 1 0,1-2 0,1 1 0,20 34 0,-22-44 0,1 0 0,1 0 0,0 0 0,0-1 0,0 0 0,1 1 0,1-2 0,0 0 0,1 0 0,-1-1 0,1 0 0,0 0 0,1-2 0,0 1 0,15 4 0,-15-6 0,1 0 0,1 0 0,-1-2 0,0 1 0,1-1 0,-1-1 0,1 0 0,-2 0 0,1-1 0,1-1 0,-1 1 0,20-8 0,-17 4 0,1-1 0,0 0 0,-1-1 0,-1-1 0,0-2 0,0 1 0,-1 0 0,19-18 0,-9 6 0,0-2 0,-3-2 0,0 1 0,-3-2 0,0 1 0,-1-3 0,-2 1 0,-2-1 0,13-36 0,-7-2 0,-5 2 0,-3-1 0,-3-1 0,-3-1 0,-4 1 0,-10-94 0,0 104 0,3 41 0,2 14 0,-3 24 0,0 64 0,5 0 0,12 120 0,-5-147 0,3-1 0,4 1 0,33 99 0,-40-146 15,0-2 0,0 0 0,1 0 0,1-1 0,0 1 0,1-1 0,16 16 0,-21-23-68,0 0 0,0 0 0,1-1 0,-1 0 0,1 1 0,-1-1 0,1 0 0,-1 0 0,2-1 0,-2 1 0,2 0 0,-2-1 0,2 0-1,-2 0 1,2-1 0,0 1 0,-2 0 0,2-1 0,0 0 0,-1 0 0,0 0 0,0-1 0,1 1 0,-1-1 0,0 0 0,1 0 0,3 0 0,27-18-6773</inkml:trace>
  <inkml:trace contextRef="#ctx0" brushRef="#br0" timeOffset="-2586.98">577 2003 24575,'-1'1'0,"-1"-1"0,1 1 0,0-1 0,0 1 0,0-1 0,0 0 0,-1 1 0,1-1 0,0 1 0,0 1 0,0-1 0,0 0 0,-1 0 0,1 0 0,1-1 0,-1 1 0,0 1 0,1-1 0,-1 0 0,1 0 0,-1 0 0,1 0 0,0-1 0,-2 3 0,2-2 0,0 0 0,0 0 0,0 2 0,0-3 0,0 1 0,0 0 0,0 2 0,2 0 0,-1-3 0,0 2 0,0-1 0,0 2 0,2-2 0,-2 0 0,0 0 0,1 1 0,-1 0 0,2-1 0,-2 0 0,1 0 0,-1-1 0,2 1 0,-1 0 0,0-1 0,0 2 0,0-1 0,0-1 0,1 1 0,-1-1 0,3 0 0,11 2 0,1-1 0,1-1 0,-1 0 0,1 0 0,-1-1 0,19-5 0,105-25 0,-129 27 0,237-72 0,-206 58 0,-1-1 0,-1 0 0,63-42 0,-94 53 0,1 1 0,-2-1 0,0-2 0,1 1 0,-2 0 0,0-1 0,-1 1 0,12-21 0,-17 26 0,-1 3 0,0-2 0,0 0 0,1 1 0,-2 0 0,1-2 0,-1 2 0,1-1 0,-1 0 0,0 1 0,0-1 0,0 0 0,0 1 0,0-2 0,-1 2 0,1-1 0,-1 1 0,-1-1 0,1 0 0,0 1 0,0-2 0,0 3 0,-1-1 0,0-2 0,0 2 0,1 1 0,-1-1 0,-1-1 0,1 1 0,0 1 0,-1-2 0,1 2 0,0-1 0,-1 1 0,0 0 0,0-1 0,0 1 0,1 0 0,-2 0 0,2 0 0,-2 0 0,-2 1 0,-1-2 0,2 1 0,-1 0 0,-1 1 0,1-1 0,-1 1 0,1 0 0,-1 1 0,1-1 0,0 1 0,0 0 0,0 1 0,0-1 0,0 1 0,0 0 0,0 1 0,1-1 0,-12 6 0,14-5 0,-2 0 0,2-2 0,-1 2 0,1 0 0,-1-1 0,1 2 0,0-1 0,0 0 0,0 0 0,1 1 0,-1-1 0,1 1 0,0-1 0,0 2 0,1-2 0,-2 1 0,2-1 0,0 2 0,1-2 0,-1 2 0,1-1 0,-1 0 0,1 0 0,0 0 0,1 5 0,0-6 0,-1 1 0,1-1 0,0-1 0,2 2 0,-2-2 0,0 2 0,1-1 0,1 0 0,-1 0 0,0 1 0,1-3 0,-1 2 0,0 0 0,2-1 0,-2 0 0,5 3 0,0-2 0,-1 1 0,1-2 0,1 2 0,-1-1 0,0-2 0,1 2 0,11 1 0,9 0 0,0-2 0,0 0 0,37-3 0,65-10 0,-125 11 0,-1-1 0,0 1 0,0 0 0,0 0 0,0 0 0,1 0 0,-2 1 0,2-1 0,-2 1 0,1 0 0,4 1 0,-6-2 0,-1 2 0,2-1 0,-2 0 0,0 1 0,1-1 0,0 0 0,-1 1 0,0-1 0,1 1 0,-1-1 0,-1 2 0,2-2 0,-1 0 0,0 1 0,0 1 0,-1-2 0,1 1 0,-1-1 0,0 2 0,1-1 0,-1 3 0,2 18 0,-2 0 0,-6 41 0,3-46 0,1-2 0,1 2 0,1-1 0,1 1 0,0-1 0,7 32 0,-5-44 0,-2-2 0,1 2 0,0-3 0,1 3 0,-1-2 0,0 2 0,2-3 0,-2 2 0,2-1 0,-1 1 0,1-1 0,-1 0 0,1-1 0,0 1 0,0-1 0,1 1 0,-2-1 0,2 1 0,-1-2 0,1 0 0,0 1 0,-1-1 0,1 1 0,0-1 0,1-1 0,-2 0 0,1 1 0,8-1 0,0 0 0,-1-1 0,1 1 0,0-3 0,-1 1 0,0 0 0,0 0 0,1-2 0,-1 1 0,-1-2 0,12-7 0,0 1 0,-4-2 0,2-1 0,-1 0 0,-1-1 0,-2-2 0,1 1 0,-2-1 0,-1-2 0,0 0 0,-2 1 0,0-2 0,-1 0 0,16-41 0,-19 39 0,-1-1 0,-1 0 0,-2-1 0,-1 1 0,0 0 0,-2-2 0,-1 2 0,-2 0 0,0-2 0,-1 2 0,-2 0 0,-2-1 0,-6-23 0,8 41 0,2-1 0,-2 0 0,1 1 0,-2-1 0,0 0 0,-4-5 0,8 11 0,1 0 0,-1 0 0,0 0 0,0-1 0,-1 1 0,2 1 0,-1 0 0,0-1 0,0 0 0,0 1 0,0-1 0,-1 0 0,1 1 0,-1-2 0,1 2 0,0 0 0,-1-1 0,1 1 0,0 0 0,0 0 0,-1-1 0,0 1 0,1 0 0,0 0 0,0 1 0,-1-1 0,0 0 0,1 0 0,0 0 0,0 1 0,0-1 0,-2 2 0,2-2 0,0 1 0,0-1 0,0 1 0,0 0 0,-1-1 0,1 1 0,0-1 0,1 1 0,-1 1 0,-1 0 0,-4 4 0,0 1 0,0 0 0,1 0 0,1 0 0,0 0 0,0 1 0,0-1 0,2 1 0,-5 12 0,-12 79 0,18-84 0,-6 29 0,4-2 0,3 76 0,1-104 0,1 1 0,0 0 0,1-1 0,1-1 0,1 2 0,0-1 0,0-1 0,2 1 0,0-1 0,2 1 0,17 21 0,-19-30 9,0 4-1,2-4 1,-2 0-1,1 1 1,1 0 0,-1-2-1,1 1 1,0-1-1,0 0 1,1-1-1,0 0 1,-1 1-1,13-1 1,4 2-380,-1-3-1,2 0 1,48-2 0,-4-3-6455</inkml:trace>
  <inkml:trace contextRef="#ctx0" brushRef="#br0" timeOffset="-2210.27">2851 1835 24575,'-9'0'0,"11"0"0,24-12 0,25-12 0,28-11 0,10 1 0,8-6 0,3 3 0,-22 10 0,-24 7-8191</inkml:trace>
  <inkml:trace contextRef="#ctx0" brushRef="#br0" timeOffset="-1977.71">3126 1475 24575,'0'-8'0,"5"4"0,0 18 0,1 16 0,-1 21 0,-2 21 0,0 20 0,7 9 0,3 1 0,8-9 0,10-21 0,9-22 0,-3-20-8191</inkml:trace>
  <inkml:trace contextRef="#ctx0" brushRef="#br0" timeOffset="-1571.72">3811 1306 24575,'3'1'0,"1"-1"0,-1 1 0,1 0 0,-1 1 0,1-1 0,-2 0 0,2 0 0,-1 0 0,1 0 0,-2 2 0,2-1 0,-2-1 0,0 2 0,2-1 0,-2 0 0,0-1 0,4 8 0,35 45 0,-39-49 0,17 26 0,-3 2 0,-1 1 0,19 65 0,10 109 0,-34-145 0,0 92 0,-12-137 0,-5-32 0,-48-326 0,49 274 0,5-1 0,2 0 0,13-76 0,-11 128 0,0 1 0,2-1 0,-1 1 0,2 1 0,0-1 0,1 0 0,0 1 0,19-23 0,-24 33 0,2-1 0,-2 1 0,1-1 0,1 1 0,-1 0 0,2 0 0,-1-1 0,-1 3 0,2-2 0,-1 0 0,1 1 0,-1 1 0,0-2 0,1 2 0,1-1 0,-2 1 0,1 1 0,0-1 0,0-1 0,0 2 0,0-1 0,1 1 0,-2 0 0,1 0 0,1 1 0,-2 1 0,1-2 0,1 1 0,-1 0 0,-1 0 0,1 0 0,7 4 0,24 17-1365,-10 3-5461</inkml:trace>
  <inkml:trace contextRef="#ctx0" brushRef="#br0" timeOffset="-1399.01">3947 1763 24575,'5'0'0,"11"0"0,6-4 0,16-2 0,13-11 0,13-3 0,0-7 0,-2 2 0,-11 5-8191</inkml:trace>
  <inkml:trace contextRef="#ctx0" brushRef="#br0" timeOffset="2601.25">906 3732 24575,'3'-2'0,"0"2"0,0-1 0,0 0 0,-1 1 0,1-1 0,0 1 0,0-1 0,-1-2 0,0 2 0,1 0 0,-1-1 0,0 1 0,1-1 0,-1 0 0,0 0 0,1-1 0,-2 2 0,1-1 0,-1 0 0,0-1 0,2 2 0,-2-2 0,0 0 0,0 2 0,0-2 0,-1 0 0,2-1 0,1-5 0,-1 1 0,1-1 0,-2 1 0,0 0 0,0-2 0,-1 2 0,-1-9 0,0 10 0,-1 0 0,-1 0 0,1 0 0,-2-1 0,1 2 0,-1-1 0,1 1 0,-2 0 0,1-1 0,-1 1 0,-1 1 0,0-1 0,0 1 0,1 0 0,-1 0 0,-9-5 0,10 7 0,0-1 0,1 3 0,0-2 0,-2 0 0,2 1 0,-1 1 0,0 0 0,0-2 0,0 2 0,-1 0 0,1 0 0,0 1 0,0 0 0,-1-1 0,0 1 0,2 0 0,-2 1 0,1-1 0,-1 0 0,2 1 0,-2 0 0,1 0 0,-1 2 0,2-2 0,-1 0 0,-8 6 0,4 0 0,-1 0 0,2 1 0,0 0 0,0 2 0,1-2 0,0 1 0,1 0 0,0 1 0,1-1 0,0 1 0,0 1 0,-3 10 0,-8 25 0,2 2 0,2 0 0,3 0 0,2 0 0,2 0 0,3 59 0,5-40 0,4 2 0,4 0 0,34 119 0,-33-155 0,1 0 0,1-2 0,2 0 0,0 0 0,4-1 0,0-1 0,2 0 0,42 41 0,-51-57 0,1-2 0,0 0 0,0 0 0,1-2 0,1-1 0,1 1 0,-1 0 0,31 8 0,-35-12 0,2-2 0,0 0 0,0 0 0,2-3 0,-3 2 0,1-2 0,2 2 0,-2-4 0,0 1 0,1 0 0,-1 0 0,21-7 0,-20 3 0,-1 2 0,0-3 0,0 0 0,-1 0 0,-1 0 0,1-2 0,0 0 0,-1 0 0,13-11 0,-8 5 0,-3-1 0,1 0 0,-2-1 0,-1-1 0,19-28 0,-14 12 0,-2-1 0,-1 1 0,-2-2 0,-2-1 0,0 2 0,3-56 0,-8 46 0,-2-3 0,-3 2 0,-3-1 0,-15-86 0,17 126 0,-2 0 0,2 0 0,-1 0 0,-1 2 0,0-2 0,-4-7 0,7 13 0,0 0 0,0 0 0,0-1 0,-1 1 0,1 0 0,0-1 0,0 1 0,0 0 0,-1 0 0,1 0 0,0 0 0,0 0 0,-2 0 0,2 0 0,0 0 0,-1-2 0,1 2 0,0 0 0,-1 0 0,1 0 0,0 0 0,-1 0 0,1 0 0,0 0 0,-1 0 0,1 0 0,0 0 0,-1 0 0,1 0 0,0 0 0,-2 0 0,2 0 0,0 0 0,-1 0 0,1 0 0,0 0 0,0 0 0,-1 2 0,1-2 0,0 0 0,-1 0 0,1 0 0,0 0 0,0 0 0,-1 0 0,1 0 0,0 1 0,0-1 0,0 0 0,-1 0 0,1 1 0,0-1 0,0 0 0,0 1 0,0-1 0,-2 1 0,-1 11 0,-1-2 0,2 3 0,0-2 0,1 1 0,-1 0 0,2 0 0,2 18 0,0 5 30,0 0 0,4 0 0,17 63 0,-16-80-216,2 2 1,-1 0-1,1-1 0,3-2 1,-2 1-1,3-1 1,28 31-1,3-7-6640</inkml:trace>
  <inkml:trace contextRef="#ctx0" brushRef="#br0" timeOffset="3241.12">1262 4547 24575,'0'2'0,"0"-2"0,0 2 0,0 0 0,1-1 0,-1 0 0,0 2 0,0-3 0,1 1 0,-1 0 0,1 1 0,-1-1 0,1 1 0,1-1 0,-2-1 0,1 2 0,0-1 0,0 0 0,0 1 0,0-1 0,1 0 0,-1-1 0,0 0 0,0 1 0,0 0 0,0-1 0,1 1 0,-1 1 0,1-2 0,-1 1 0,0-1 0,2 0 0,-2 1 0,4-1 0,0 1 0,1-1 0,0 0 0,0 0 0,0 0 0,0-1 0,1 0 0,-2 0 0,7-3 0,24-6 0,-1-3 0,0 0 0,51-30 0,92-63 0,-134 77 0,-4 0 0,73-68 0,-99 83 0,-1-1 0,0 1 0,-1-1 0,-1-1 0,0 0 0,-2 0 0,-1-2 0,0 1 0,-1-1 0,6-24 0,-12 35 0,1 2 0,-1-2 0,-1 0 0,0 0 0,0 0 0,0 1 0,-1-1 0,-1 0 0,1 0 0,-1 1 0,0-1 0,-1 1 0,-3-7 0,5 12 0,1 0 0,-1 0 0,1 0 0,-1 0 0,1-1 0,-1 1 0,0 0 0,-1 0 0,1 1 0,1-1 0,-1 1 0,0-1 0,0-1 0,0 2 0,-1-1 0,1 0 0,-1 1 0,1-1 0,0 1 0,-1 0 0,1-1 0,0 1 0,-1 0 0,1-1 0,-3 1 0,2 1 0,-1-1 0,1 1 0,0 0 0,-1-1 0,1 1 0,1 0 0,-1 1 0,-1-1 0,2 0 0,-1 0 0,1 0 0,-2 2 0,2-2 0,-2 2 0,-4 4 0,0 1 0,1 2 0,0-2 0,0 1 0,-5 13 0,7-12 0,1-1 0,0 0 0,1 1 0,0-1 0,0 0 0,1 1 0,1-2 0,0 2 0,1 0 0,-1-1 0,4 11 0,-3-16 0,1 1 0,0 0 0,0-2 0,0 2 0,1-1 0,0 1 0,-1-1 0,2 0 0,-1 0 0,1-1 0,-1 1 0,1-1 0,0 2 0,1-3 0,-1 2 0,0-2 0,1 0 0,0 1 0,0 0 0,0-2 0,0 2 0,1-2 0,6 2 0,0 0 0,1-1 0,0 0 0,-2 0 0,2-2 0,0 0 0,0 0 0,14-2 0,9-3 0,38-9 0,18-4 0,-89 17 0,-1 1 0,-1 0 0,1 0 0,0 0 0,0 0 0,0 0 0,-1 0 0,2 0 0,-2 0 0,1 1 0,-1-1 0,2 0 0,-2 1 0,1 0 0,-1-1 0,2 2 0,-2-1 0,0 0 0,1-1 0,0 0 0,-1 1 0,0 1 0,1 0 0,-1-1 0,1 0 0,-1 0 0,0 0 0,0 0 0,-1 1 0,1 0 0,0-1 0,-1 0 0,2 0 0,-2 2 0,1-2 0,-1 1 0,1 2 0,0 9 0,0-2 0,0 1 0,-1 0 0,-3 18 0,1 13 0,3-40 0,-1 2 0,1-1 0,-1 0 0,1 0 0,1 0 0,0 0 0,-1 1 0,1-3 0,0 3 0,1-2 0,-1 1 0,0-1 0,1 1 0,0-1 0,1-1 0,-1 2 0,1-1 0,-1 0 0,1 0 0,-1-1 0,1 0 0,5 3 0,-3-3 0,0-1 0,-1 1 0,2-1 0,-1 0 0,0 1 0,0-2 0,0 0 0,1 0 0,-1 0 0,-1 0 0,1-2 0,1 1 0,-1 0 0,0 0 0,0-1 0,0 0 0,5-2 0,4-3 0,-1 0 0,1-1 0,-1 0 0,-1-2 0,1 1 0,-2-2 0,1 2 0,-2-3 0,0 1 0,-1 0 0,1-2 0,-3 1 0,1-1 0,9-20 0,-2 2 0,-2-2 0,-1 1 0,-1-1 0,-3-1 0,5-39 0,-11 45 0,0 1 0,-3-41 0,0 59 0,-2-1 0,1 0 0,-1 1 0,0 0 0,-1-1 0,0 1 0,-1 0 0,0-1 0,-11-15 0,15 24 0,-2 1 0,2-3 0,-1 2 0,0 0 0,0 0 0,1 0 0,-1-1 0,0 2 0,-1-1 0,1 0 0,0 0 0,0 0 0,-1 0 0,0 1 0,1-2 0,0 1 0,0 1 0,-1 0 0,0 0 0,1-1 0,-1 1 0,1 0 0,0-1 0,-2 1 0,2 0 0,0 0 0,-1 0 0,0 0 0,0 0 0,1 0 0,0 0 0,-2 1 0,2-1 0,0 1 0,-1-1 0,1 0 0,-1 0 0,1 1 0,0-1 0,-1 2 0,1-1 0,-1 0 0,1 0 0,0 0 0,0 0 0,0-1 0,0 2 0,-1-1 0,2 0 0,-2 2 0,-5 6 0,1 0 0,0-1 0,1 0 0,0 1 0,-7 21 0,1 6 0,0 0 0,3 1 0,2-1 0,2 2 0,1-1 0,2 0 0,2 0 0,12 68 0,-9-93 0,-2 0 0,1-2 0,2 0 0,0 2 0,-1-3 0,2 2 0,0-1 0,10 13 0,-11-18 0,0 0 0,0-1 0,0 1 0,1-1 0,0 1 0,0-2 0,-1 1 0,2-1 0,-1 1 0,1-2 0,0 0 0,0 0 0,0 1 0,0-1 0,12 2 0,37 0-1365,-5-5-5461</inkml:trace>
  <inkml:trace contextRef="#ctx0" brushRef="#br0" timeOffset="3443">3207 4212 24575,'14'0'0,"10"0"0,14-5 0,15 0 0,17-12 0,10-4 0,1-6 0,-4 3 0,-14 3-8191</inkml:trace>
  <inkml:trace contextRef="#ctx0" brushRef="#br0" timeOffset="3647">3564 3803 24575,'0'12'0,"0"13"0,0 22 0,9 27 0,4 18 0,-1 6 0,6-4 0,1-6 0,2-20 0,-2-22-8191</inkml:trace>
  <inkml:trace contextRef="#ctx0" brushRef="#br0" timeOffset="3912.42">4249 3467 24575,'0'-5'0,"9"14"0,4 14 0,8 20 0,0 20 0,-2 11 0,-5 10 0,-5 1 0,5-3 0,1-17-8191</inkml:trace>
  <inkml:trace contextRef="#ctx0" brushRef="#br0" timeOffset="4240.42">4331 3779 24575,'10'-1'0,"1"0"0,-2 0 0,0 0 0,2-2 0,-2 1 0,0 0 0,15-8 0,64-32 0,-62 28 0,-1 2 0,0-2 0,-2-2 0,0 0 0,0 0 0,-2 0 0,0-3 0,-2-1 0,21-24 0,-30 30 0,0 1 0,-1-1 0,-2-1 0,1 1 0,-2 0 0,1-1 0,-2 0 0,-1 0 0,0-1 0,-2 0 0,1 1 0,-2 0 0,0-2 0,-3-22 0,-4 21 0,6 17 0,0 1 0,0 0 0,0 0 0,0 0 0,0 0 0,0 0 0,0 0 0,0 0 0,0 0 0,0 0 0,-1 0 0,1-1 0,0 1 0,0 0 0,0 0 0,0 0 0,0 0 0,0 0 0,-2 0 0,2 0 0,0 0 0,0 0 0,0 0 0,0 0 0,0 0 0,0 0 0,-1 0 0,1 0 0,0 0 0,0 0 0,0 0 0,0 0 0,0 0 0,0 0 0,-1 0 0,1 1 0,0-1 0,0 0 0,0 0 0,0 0 0,0 0 0,0 0 0,0 0 0,0 0 0,0 0 0,-1 0 0,1 1 0,0-1 0,0 0 0,0 0 0,0 0 0,0 0 0,0 0 0,-11 32 0,7 23 0,1-1 0,3 2 0,13 76 0,-9-110 30,-1 0 0,3 1 0,16 38 0,-16-49-195,0-1 0,0 1 0,1 0 0,1-3 0,-1 3 0,2-2 0,0-1 0,14 12 0,10 3-6661</inkml:trace>
  <inkml:trace contextRef="#ctx0" brushRef="#br0" timeOffset="4780.18">3893 4043 24575,'0'-4'0,"9"-2"0,-1 5 0,-12 10 0,-14 14 0,-18 8 0,-23 9 0,-17 4 0,-16-2 0,6-12-8191</inkml:trace>
  <inkml:trace contextRef="#ctx0" brushRef="#br0" timeOffset="5501.24">5838 3372 24575,'9'0'0,"14"0"0,23-13 0,25-12 0,24-10 0,13 2 0,3-2 0,-13 3 0,-24 10-8191</inkml:trace>
  <inkml:trace contextRef="#ctx0" brushRef="#br0" timeOffset="5654.54">6002 3490 24575,'10'-3'0,"17"-11"0,17-11 0,11-7 0,10-9 0,-6-1 0,-4-1 0,-11 8-8191</inkml:trace>
  <inkml:trace contextRef="#ctx0" brushRef="#br0" timeOffset="5824.85">6359 3132 24575,'-9'-5'0,"-13"-1"0,-8 1 0,18 1 0,27 10 0,25 10 0,16 16 0,7 16 0,-7 11 0,-11 10 0,-16 4 0,-31 0 0,-18-2 0,-18-15 0,-10-8 0,4-13-8191</inkml:trace>
  <inkml:trace contextRef="#ctx0" brushRef="#br0" timeOffset="6727.53">7620 2579 24575,'2'49'0,"14"69"0,-2-21 0,11 408 0,-25-554 0,14-327 0,54 2 0,-44 295 0,1 2 0,67-129 0,-73 171 0,44-61 0,-56 87 0,1 1 0,0-2 0,2 2 0,-1-1 0,0 2 0,2-1 0,-2 1 0,3 0 0,-2 0 0,16-5 0,-23 10 0,1 1 0,0-1 0,0 1 0,-1 0 0,2 0 0,-1 1 0,0 0 0,0-1 0,0 1 0,0 0 0,1 0 0,-2 0 0,2 0 0,-2 1 0,1-1 0,0 0 0,0 1 0,5 3 0,-3-1 0,-1-1 0,-1 1 0,1 0 0,0 1 0,-1-1 0,1 0 0,-2 1 0,2 0 0,-1 0 0,-1 0 0,4 8 0,2 3 0,1 1 0,-3 0 0,0 1 0,-2-1 0,0 1 0,4 25 0,-5-10 0,-2-2 0,-1 2 0,-2-1 0,-1-1 0,-3 1 0,1 0 0,-3-1 0,-3 1 0,-21 53 0,19-60 0,-2 2 0,0-2 0,-1-1 0,-2 1 0,-1-1 0,0-2 0,-2 0 0,-1 0 0,-1-1 0,-2-3 0,-36 25 0,48-35 0,-1 1 0,0-2 0,1-1 0,-26 9 0,34-14 0,-1 2 0,-1-1 0,2 0 0,-2-1 0,1 2 0,-1-2 0,2 0 0,-2 0 0,1 0 0,-1-2 0,2 2 0,-2-1 0,1 0 0,-1 0 0,-7-4 0,12 5 0,1 0 0,-1 0 0,0 0 0,1 0 0,-1 0 0,1-1 0,-1 1 0,1 0 0,-2 0 0,2-1 0,-1 1 0,1 0 0,-1-1 0,1 1 0,-1-1 0,1 1 0,0 0 0,-1 0 0,1 0 0,0-2 0,-1 2 0,1-1 0,0 0 0,-2 1 0,2-1 0,0 1 0,0-1 0,0 1 0,0-1 0,-1-1 0,1 2 0,0 0 0,0 0 0,0-1 0,0 1 0,1-1 0,-1 0 0,0 1 0,0-1 0,0 1 0,0-1 0,0-1 0,2 2 0,-2-1 0,0 1 0,1 0 0,-1 0 0,0-1 0,1 1 0,-1-1 0,0 1 0,1 0 0,-1-1 0,1 1 0,-1 0 0,1-1 0,4-3 0,-1 3 0,0-1 0,0-1 0,0 1 0,1 2 0,0-2 0,4-1 0,5 1 0,1 1 0,-1 0 0,0 1 0,0 0 0,1 1 0,-1-1 0,0 1 0,0 3 0,0-2 0,14 6 0,25 8 0,62 27 0,-82-27 0,48 17 0,-44-15 0,1-2 0,0-1 0,2-2 0,47 9 0,-78-19-114,0-2 1,0 0-1,0-1 0,1 0 0,-2 0 1,1 0-1,0-1 0,1-2 0,-2 2 1,1 0-1,10-5 0,22-12-6712</inkml:trace>
  <inkml:trace contextRef="#ctx0" brushRef="#br0" timeOffset="7454.87">8688 2795 24575,'-4'1'0,"1"-1"0,-2 0 0,2 1 0,-1 0 0,1 1 0,-1-1 0,1 0 0,0 1 0,0-2 0,-1 2 0,2 1 0,-1-1 0,0-1 0,0 2 0,-3 2 0,5-5 0,0 2 0,0-1 0,-1 0 0,1 0 0,0 0 0,1 0 0,-1 1 0,0-1 0,1 0 0,-1 0 0,-1 0 0,2 0 0,-1 2 0,1-3 0,0 1 0,0 1 0,-1-1 0,1 1 0,0 0 0,0-2 0,0 1 0,0 1 0,0 0 0,1-1 0,-1 1 0,0-1 0,1-1 0,-1 3 0,0-2 0,2 0 0,-1 0 0,-1 1 0,1-2 0,0 2 0,0-1 0,0 1 0,1-1 0,-1-1 0,0 1 0,0-1 0,0 2 0,0-2 0,1 0 0,-1 0 0,0 0 0,0 0 0,0 1 0,0-1 0,0 0 0,1 0 0,-1 0 0,0 0 0,0 0 0,0 0 0,0 0 0,1-1 0,-1 1 0,0 0 0,0 0 0,0 0 0,0 0 0,-1-2 0,2 2 0,-1-1 0,0 1 0,0-1 0,0 0 0,-1 1 0,1-1 0,1 0 0,-1-1 0,-1 2 0,1 0 0,-1-1 0,1 0 0,-1 0 0,2-3 0,3-1 0,0-1 0,-2-1 0,2 1 0,2-10 0,-2 4 0,-1-1 0,-1 2 0,0-2 0,1-13 0,-4 23 0,1-2 0,-1 0 0,0 1 0,-1-1 0,1 0 0,-2 2 0,1-2 0,0 0 0,0 2 0,0-3 0,-2 3 0,1-2 0,0 1 0,-3-4 0,4 7 0,0 1 0,1-1 0,-1 0 0,-1 0 0,2 1 0,-1-1 0,0-1 0,0 2 0,1 0 0,-1 0 0,0-1 0,-1 1 0,1-1 0,0 1 0,0 0 0,0-1 0,0 1 0,-1 0 0,1 0 0,0 0 0,0 0 0,0 0 0,0 0 0,-1 0 0,1 0 0,0 0 0,0 0 0,0 0 0,0 1 0,-1-1 0,1 0 0,1 1 0,-1-1 0,0 1 0,0-1 0,0 0 0,-1 0 0,1 2 0,1-1 0,-1-1 0,0 1 0,1 0 0,-1 0 0,0-1 0,-1 3 0,-2 1 0,0 1 0,1 1 0,-1-3 0,1 3 0,-1 0 0,-3 8 0,5-10 0,1 2 0,0-1 0,0 1 0,-1 0 0,2-2 0,0 2 0,0-1 0,0 1 0,0-1 0,2 0 0,-1 0 0,0 1 0,0-1 0,1 0 0,1 0 0,-1-1 0,0 2 0,1-1 0,0-1 0,1 1 0,-1-1 0,1 0 0,-1 0 0,2 0 0,-2 0 0,2-1 0,10 8 0,-8-6 0,1-1 0,0 0 0,1 0 0,-1-1 0,1 0 0,-1 1 0,2-3 0,-1 2 0,-1-1 0,1 0 0,1-1 0,-1-1 0,0 0 0,1 0 0,-1 0 0,0 0 0,1-1 0,9-3 0,0 0 0,-2-3 0,2 1 0,-1 0 0,-1-2 0,-1 0 0,2-2 0,-3 1 0,1-1 0,26-23 0,-22 16 0,-1-2 0,-2-2 0,1 1 0,-2-2 0,-2 1 0,13-24 0,-4-3 0,-3 1 0,-3-1 0,-2 0 0,-3-1 0,-1-2 0,3-55 0,-12 89 0,-1-3 0,-1 2 0,0-1 0,-1 0 0,-1-1 0,-2 2 0,-5-19 0,9 34 0,-1 2 0,-1-2 0,1 0 0,0 1 0,0 1 0,0-3 0,0 2 0,-1 1 0,1-2 0,-1 1 0,1 1 0,-2-1 0,1 0 0,0 0 0,1 1 0,-2-1 0,1 0 0,0 2 0,-1-2 0,0 1 0,1 0 0,-1 0 0,-5-2 0,6 3 0,-1 1 0,1-1 0,-1 2 0,0-1 0,1-1 0,0 1 0,-1 0 0,1 0 0,0 0 0,-1-1 0,1 3 0,0-2 0,0 1 0,0-1 0,0 1 0,1-1 0,-2 1 0,2 0 0,0 1 0,-1-2 0,0 1 0,1 1 0,0-1 0,0-1 0,0 1 0,0 3 0,-8 14 0,1 2 0,1-3 0,1 3 0,-5 35 0,0 89 0,9-101 0,-5 239 0,13-1 0,68 402 0,-65-640 0,-6-29 0,1 2 0,-2-2 0,-1 29 0,-2-43 0,-5-12 0,-13-49 0,-21-115 0,9-73 0,22 126 0,11-199 0,3 271 0,2 0 0,2 1 0,3 0 0,2 2 0,2-2 0,44-81 0,-50 113 0,2 1 0,1-2 0,-1 3 0,2 0 0,2 0 0,-1 1 0,1-1 0,2 3 0,26-17 0,-34 22 0,1 2 0,-1-1 0,2 2 0,-2 0 0,2 1 0,0-2 0,-1 4 0,18-5 0,-20 5 0,-2 1 0,1 0 0,0 0 0,0 0 0,0 1 0,0 0 0,1 1 0,-1 0 0,-1 0 0,1-1 0,-1 3 0,1-1 0,9 5 0,-11-5 0,-1 0 0,0-1 0,-1 2 0,1-1 0,0 1 0,-1-1 0,1 1 0,-2 1 0,1-2 0,-1 2 0,1-1 0,-1 1 0,0 0 0,-1 1 0,0-2 0,1 0 0,-1 2 0,-1-1 0,0 0 0,1 1 0,-1-1 0,0 0 0,-1 0 0,0 1 0,0 0 0,-1-2 0,1 1 0,-1 1 0,-4 7 0,1 1 0,-1-3 0,-1 2 0,0-2 0,-1 1 0,0-1 0,-1 0 0,0 0 0,-2-2 0,1 2 0,-22 17 0,0-6-227,1-1-1,-3-3 1,1 0-1,-3-1 1,-57 21-1,16-13-6598</inkml:trace>
  <inkml:trace contextRef="#ctx0" brushRef="#br0" timeOffset="7801.12">9455 2650 24575,'16'-1'0,"-1"0"0,1 0 0,-1-3 0,1 1 0,0 1 0,-2-4 0,1 1 0,18-8 0,10-7 0,53-34 0,-56 29 0,-1-2 0,-3-1 0,0 1 0,-2-5 0,-3 1 0,39-47 0,-50 53 0,-3-2 0,0 2 0,-2-3 0,-1 2 0,-2-3 0,0 1 0,-3-1 0,1 1 0,5-61 0,-14 43 0,-2-1 0,-3 1 0,-1-1 0,-4 0 0,-1 2 0,-23-59 0,27 86 0,-1 0 0,1-1 0,-4 2 0,1-1 0,0 2 0,-3 0 0,-15-17 0,26 31 0,-1 0 0,0-1 0,0 2 0,1 0 0,-1-1 0,-1 0 0,1 0 0,0 1 0,-1 1 0,1-2 0,0 0 0,-1 1 0,1 0 0,0 1 0,-2-1 0,2 0 0,-1 1 0,0 0 0,1 0 0,-1 0 0,-4 0 0,4 0 0,1 0 0,-1 1 0,0 0 0,0 0 0,1 0 0,0 1 0,-1 0 0,1-2 0,0 2 0,-1-1 0,1 2 0,0-1 0,1-1 0,-2 2 0,1-1 0,-2 4 0,-4 5 0,1 1 0,1 2 0,1-2 0,-1 0 0,1 2 0,-2 17 0,2-9 0,2 0 0,1-1 0,0 2 0,2-1 0,2 1 0,0-2 0,1 2 0,2-2 0,1 1 0,0 0 0,11 20 0,-10-27 0,0-2 0,3 1 0,-2 0 0,2-1 0,1 1 0,-1-3 0,2 2 0,1-2 0,-1 0 0,1 0 0,1-2 0,1 2 0,-1-3 0,2 1 0,0-2 0,22 9 0,-13-7 15,-2-2 0,2-2 0,-1 0 0,2 0 0,-2-3 0,2 0 0,46 0 0,-35-5-312,1 1 0,-1-4 0,-1-1 0,57-15 0,4-11-6529</inkml:trace>
  <inkml:trace contextRef="#ctx0" brushRef="#br0" timeOffset="8255.81">10879 1883 24575,'0'-9'0,"-1"2"0,-1-1 0,1 1 0,-2-1 0,0 1 0,1 0 0,-2 0 0,1 0 0,-2-1 0,0 1 0,1 1 0,-1 0 0,-1 1 0,0-2 0,1 1 0,-1 1 0,-1-1 0,0 2 0,0-1 0,0 0 0,0 1 0,-1 0 0,-11-4 0,12 6 0,1 0 0,-1 1 0,1 1 0,-1-1 0,0 1 0,1 0 0,0 0 0,0 0 0,-1 1 0,0-1 0,1 1 0,-1 1 0,-7 3 0,3-2 0,1 1 0,-1 1 0,1 1 0,1-1 0,-1-1 0,1 3 0,-12 10 0,12-9 0,1-1 0,-1 1 0,1 1 0,0-1 0,1 0 0,1 2 0,0-1 0,1 2 0,-1-1 0,1 1 0,2-2 0,-1 1 0,1 1 0,0-1 0,0 13 0,3-21 0,0 1 0,0 1 0,0-3 0,1 2 0,-1 1 0,1-2 0,-1 2 0,1-2 0,0 0 0,1 2 0,0-2 0,-1 1 0,0-1 0,2 1 0,-2 0 0,1-2 0,0 1 0,1 2 0,-1-3 0,4 4 0,-1-2 0,-1-2 0,2 3 0,-1-2 0,1-1 0,-1 2 0,0-2 0,1 0 0,0 1 0,0-2 0,10 1 0,-1-1 0,0 0 0,0 0 0,-1-1 0,1 0 0,1-2 0,-2 0 0,0 0 0,19-8 0,-15 3 0,-2-1 0,0-2 0,1 2 0,-2-2 0,-1 0 0,1-1 0,14-17 0,-3 5 0,-24 22 0,-1 2 0,0-1 0,1 0 0,0 0 0,-1 0 0,1 0 0,0 1 0,-1-2 0,1 1 0,0 1 0,0 0 0,0 0 0,-1-1 0,1 1 0,1 0 0,-2 0 0,1 0 0,1 0 0,-2 0 0,1 0 0,0 0 0,0 0 0,0 1 0,-1-1 0,1 0 0,0 0 0,0 1 0,-1 1 0,4 0 0,5 3 0,-1 0 0,1 1 0,-1 0 0,9 8 0,5 4 0,-10-11-76,-2 0 1,2-2-1,1 0 0,-1 1 0,1-2 0,0 1 0,0-3 0,0 2 1,1-2-1,-1 1 0,0-2 0,1 0 0,0-1 0,-1 0 1,1-1-1,-1-2 0,23-2 0,44-14-6750</inkml:trace>
  <inkml:trace contextRef="#ctx0" brushRef="#br0" timeOffset="8644.49">11428 1595 24575,'-11'-1'0,"-1"2"0,0-1 0,1 2 0,-1-1 0,0 2 0,-18 5 0,23-6 0,0 2 0,0-1 0,0-1 0,0 3 0,1-1 0,0 0 0,1 1 0,-1 0 0,0-1 0,-8 11 0,3-1 0,2 3 0,0-3 0,1 1 0,1 0 0,0 1 0,1 1 0,1-1 0,1 0 0,1 1 0,0 0 0,2-1 0,-1 2 0,2-2 0,6 34 0,-5-43 0,2-1 0,-1 1 0,0 0 0,2 0 0,-1-1 0,1 0 0,-1 1 0,2-3 0,0 2 0,-1 0 0,1 0 0,1-2 0,-2 1 0,2 0 0,0-1 0,1 1 0,-1 0 0,1-3 0,0 3 0,0-3 0,0 2 0,0-2 0,1 0 0,-1 1 0,1-1 0,-1-1 0,11 0 0,-3 2 0,0-2 0,0 0 0,-1-1 0,1-1 0,0 0 0,0-2 0,-1 2 0,2-2 0,-2-1 0,1 1 0,-1-2 0,-1 0 0,23-11 0,-20 7 0,0-2 0,-1 1 0,1-3 0,-2 1 0,0-1 0,-2 1 0,0-2 0,0-2 0,-1 2 0,16-29 0,-13 15 0,0-2 0,-2 1 0,-2 0 0,0-3 0,3-31 0,-11 56 0,-1-1 0,0 0 0,-1 0 0,0 0 0,-1 1 0,1-1 0,-1-1 0,-2 1 0,-1-8 0,4 15 0,-1 0 0,-1-2 0,2 2 0,-1-1 0,0 2 0,0-1 0,0-2 0,0 2 0,-1 0 0,1 0 0,0 0 0,-1 0 0,1-1 0,-1 1 0,0 1 0,1-1 0,-1 0 0,-3-1 0,3 2 0,-1 0 0,0 0 0,0 0 0,0 0 0,1 0 0,-1 0 0,0 0 0,0 0 0,1 1 0,-1-1 0,0 1 0,1 0 0,0 0 0,-2 0 0,2 1 0,-4 0 0,-2 4 0,0-2 0,1 2 0,0 0 0,0 0 0,0 0 0,1 1 0,-1 0 0,2 0 0,-1 0 0,2 1 0,-1-1 0,0 1 0,-2 7 0,2 0 0,-1 0 0,1 2 0,0-2 0,3 1 0,-1-1 0,0 19 0,3-29 0,0 1 0,1-1 0,-1 0 0,2 1 0,-1-1 0,0-1 0,1 2 0,1-1 0,-1-1 0,0 2 0,1-2 0,0 1 0,-1-1 0,2 2 0,-1-3 0,2 2 0,-1-2 0,0 2 0,1-3 0,0 3 0,-1-3 0,1 2 0,0-1 0,0 0 0,1-1 0,-1 0 0,1 1 0,-1-2 0,11 4 0,10 0 0,0 0 0,1-1 0,0-1 0,-2-2 0,39-1 0,-14-1-455,1-4 0,83-13 0,-37-4-6371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1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415 1692 24575,'2'-45'0,"-2"-40"0,0 78 0,-2-1 0,2 4 0,0-4 0,-1 1 0,-1 1 0,1 0 0,0 0 0,0-1 0,-5-9 0,5 14 0,0 0 0,1 0 0,-1 0 0,-1-1 0,1 2 0,0 0 0,-2-1 0,2 1 0,0 0 0,0-1 0,-1 0 0,1 1 0,0 0 0,-1 1 0,1-2 0,-2 2 0,2-1 0,-1 1 0,1 0 0,-1 0 0,1 0 0,0 0 0,-2 0 0,2 0 0,-1 1 0,0-1 0,1 2 0,0-2 0,0 1 0,-2 0 0,0 3 0,-6 2 0,1 3 0,-1-1 0,-14 21 0,0 2 0,-29 52 0,43-68 0,2 2 0,-1 1 0,0-1 0,1 1 0,-11 36 0,18-50 0,-1-1 0,-1 1 0,1 0 0,1-1 0,-1 2 0,1-1 0,0-2 0,0 2 0,0 0 0,0 1 0,0-3 0,0 3 0,0-1 0,0 0 0,0-1 0,0 1 0,0 0 0,1 1 0,0-3 0,0 2 0,0 0 0,0 0 0,0-2 0,0 3 0,1-3 0,-1 1 0,0 0 0,1 0 0,-1 0 0,0-1 0,1 2 0,4 2 0,1 3 0,1-3 0,1 3 0,1-3 0,-1 1 0,-1-2 0,15 5 0,80 25 0,19 7 0,-107-35 0,2 3 0,-1 0 0,1 1 0,-2 3 0,15 15 0,-25-25 0,0 4 0,0-3 0,-1 2 0,2 0 0,-3 0 0,2 0 0,-1 2 0,5 10 0,-8-13 0,0-2 0,0 0 0,0 0 0,0 2 0,0-2 0,0 0 0,-1 2 0,2-1 0,-1-1 0,-1 1 0,0 0 0,0 1 0,0-1 0,0 0 0,-1 0 0,1 0 0,-2-1 0,1 2 0,-1 6 0,-4 8 0,0-1 0,-1 0 0,0 0 0,0-2 0,-2 1 0,1-1 0,-2-1 0,-18 26 0,-6 8 0,-1-1 0,-1-4 0,-2-3 0,-1-3 0,-1-3 0,0-2 0,-2-4 0,1-3 0,-51 20 0,87-44 15,-3-2 0,1 2 0,1-2-1,-1-1 1,-1 0 0,2 0 0,-15-4 0,19 3-86,-1-1 0,0 1 1,0 0-1,1-2 0,-1 1 1,1-1-1,-1 0 0,1 1 1,0-1-1,0 0 0,-1-1 1,2 1-1,-1-1 1,-1 1-1,2-1 0,0 0 1,-2-1-1,2 1 0,0 0 1,-1-9-1,-10-53-6755</inkml:trace>
  <inkml:trace contextRef="#ctx0" brushRef="#br0" timeOffset="1">629 1936 24575,'0'25'0,"0"-1"0,2 1 0,1-1 0,-2 1 0,2-1 0,0 0 0,8 30 0,-10-46 0,3 1 0,-3-2 0,2 2 0,-1-3 0,1 3 0,1-2 0,-1 0 0,0-1 0,2 0 0,-2 0 0,0 0 0,2-1 0,-1 1 0,0-2 0,1 2 0,-1-3 0,1 1 0,-1 0 0,1-1 0,1 0 0,-2-2 0,1 2 0,6 0 0,-8-3 0,0 1 0,1-1 0,-2 0 0,2 0 0,-1-1 0,0 1 0,1-2 0,-2 1 0,2-1 0,-1 1 0,0 0 0,-1-2 0,2 0 0,-2 1 0,1 0 0,-1-2 0,2 1 0,0-4 0,1 0 0,-1 0 0,-1-2 0,0 2 0,2-1 0,-3 0 0,0-2 0,1 1 0,0 1 0,2-15 0,0-12 0,0 2 0,-1-1 0,-2-1 0,3-60 0,-5 88 0,0 1 0,0 0 0,-1-2 0,0 3 0,0-2 0,-2-8 0,3 15 0,0-2 0,0 2 0,0 0 0,-1-1 0,1 1 0,0-2 0,0 2 0,0 0 0,0-1 0,0 1 0,0 0 0,0 0 0,0-2 0,-1 2 0,1 0 0,0 0 0,-1-1 0,1 1 0,0 0 0,0 0 0,0 0 0,0-1 0,-1 1 0,1 0 0,0 0 0,-1 0 0,1 0 0,0 0 0,-1 0 0,0 0 0,1 1 0,0-1 0,-1 1 0,-1 1 0,1-2 0,1 1 0,-1 1 0,1-1 0,0 1 0,-1-1 0,0 0 0,1-1 0,-1 2 0,1-1 0,0 0 0,0 3 0,-1 5 0,-1-2 0,0 2 0,0-1 0,1-1 0,1 1 0,-1 0 0,1 1 0,0-1 0,0 1 0,0-1 0,1 1 0,-1-1 0,1 1 0,-1-1 0,3-1 0,-1 1 0,-1-1 0,0 2 0,2-2 0,-2 1 0,3-1 0,-2 0 0,0 0 0,7 10 0,-8-13 0,2 0 0,0 0 0,0 0 0,0 0 0,-1 0 0,1-2 0,1 3 0,-1-3 0,0 2 0,1-3 0,-2 2 0,3-2 0,-3 0 0,2 1 0,-1-1 0,1 0 0,0-1 0,-1 0 0,0 0 0,2 0 0,-3-1 0,2 1 0,0-1 0,0-1 0,-2 1 0,1 0 0,2-2 0,-3 0 0,1 0 0,1 0 0,-1 0 0,0 1 0,5-8 0,-2 0 0,2-1 0,-1 0 0,-1-1 0,1 0 0,-2-1 0,1 1 0,-1-2 0,1-1 0,-2 2 0,1-3 0,-2 2 0,1-1 0,-2-1 0,2-1 0,-1 2 0,1-34 0,-9 189 0,5-125 0,1 2 0,-1 0 0,0-1 0,2 0 0,0 0 0,6 24 0,-8-37 0,1 0 0,-1 0 0,1-1 0,-1 0 0,0 1 0,1 0 0,-1-1 0,3 0 0,-2 1 0,-1 0 0,1-2 0,1 2 0,-1-2 0,0 1 0,-1 0 0,2 0 0,-1 0 0,0-2 0,2 2 0,-2 0 0,0-2 0,0 2 0,1-2 0,0 2 0,-2-1 0,3-1 0,-1 0 0,-1 1 0,1-1 0,-1 0 0,0 0 0,1 0 0,1 0 0,-3-1 0,2 1 0,0-1 0,-1 1 0,1-2 0,-1 2 0,0-2 0,2 2 0,-2-2 0,0 0 0,0 2 0,1-2 0,-1 0 0,0 0 0,3-3 0,10-17 0,-1-1 0,0-2 0,-1-2 0,0 1 0,14-35 0,-12 20 0,27-49 0,-39 88 0,-1-2 0,1 0 0,-1 2 0,1 0 0,0 0 0,-1-2 0,2 2 0,-1 0 0,0 1 0,-1-2 0,1 2 0,2-1 0,-3 1 0,1 0 0,0 1 0,1-2 0,-2 2 0,5-2 0,-2 4 0,1 0 0,0-1 0,-2 2 0,3-2 0,-3 2 0,2 0 0,3 4 0,14 10 0,-12-12 12,0-1 0,1 0 0,-1 0 0,1 0 0,-2-3 0,2-1 0,-2 1 0,1-2 0,18-4 0,-12-1-260,-1-1 1,1-1-1,-1-2 1,2 0-1,13-17 1,22-21-6579</inkml:trace>
  <inkml:trace contextRef="#ctx0" brushRef="#br0" timeOffset="2">1763 1451 24575,'-1'-4'0,"1"0"0,-1 1 0,0-2 0,1 3 0,-2-2 0,1 1 0,0-1 0,0 1 0,1 0 0,-1-1 0,-1 1 0,1 0 0,0 1 0,0-1 0,-2 0 0,2 0 0,-1 2 0,0-2 0,2 0 0,-3 2 0,2-1 0,-4-2 0,0 0 0,-1-2 0,0 2 0,0 1 0,0-1 0,0 1 0,-9-1 0,10 3 0,1 1 0,0 0 0,-1 1 0,0-1 0,1 1 0,0 1 0,-1 1 0,0-2 0,1 2 0,-1 0 0,1 1 0,1-1 0,-1 1 0,0 0 0,0 0 0,-1 0 0,3 2 0,-1 0 0,-2-1 0,3 1 0,-1 0 0,0 1 0,0-1 0,-3 13 0,0-4 0,2 2 0,-2 0 0,2 0 0,2-1 0,-1 3 0,-1-1 0,2 0 0,0 0 0,1 32 0,1-44 0,0 1 0,0 0 0,0 0 0,0 1 0,0-3 0,1 2 0,1 0 0,-1 0 0,0-2 0,4 11 0,-5-15 0,1 3 0,0-4 0,0 4 0,0-4 0,-1 4 0,0-3 0,1 0 0,1 1 0,-1-1 0,1 2 0,-1-2 0,0-1 0,0 2 0,0-1 0,0 0 0,1-1 0,-1 2 0,0 0 0,1-2 0,0 0 0,-1 1 0,1-1 0,-1 0 0,0 0 0,0 0 0,2 0 0,-2 0 0,0-1 0,0 1 0,3-2 0,2-2 0,-2-1 0,2 1 0,-2-2 0,1 2 0,0-1 0,-1-1 0,1-1 0,-1 0 0,0 2 0,0-4 0,0 2 0,-2 1 0,3-3 0,-3 1 0,1-1 0,4-13 0,-1-6 0,2 0 0,-3 0 0,1-2 0,2-34 0,-2 9 0,-3-1 0,1 0 0,-3 0 0,-1 0 0,-1 0 0,-3 1 0,0-1 0,-15-99 0,19 153 0,-13-61 0,12 61 0,1-1 0,-1-2 0,1 3 0,-1-1 0,-1 0 0,1 1 0,1-2 0,-3 2 0,1 0 0,2 0 0,-1-1 0,-1 1 0,1 0 0,-1 0 0,-2-2 0,4 4 0,-1 0 0,1 0 0,-1 0 0,0 0 0,0 0 0,1 0 0,0 0 0,0 2 0,-1-2 0,0 0 0,1 0 0,-1 0 0,0 0 0,1 0 0,0 2 0,-1-2 0,1 2 0,-2-2 0,1 1 0,1-1 0,0 1 0,0-1 0,-1 2 0,1-1 0,-1-1 0,1 2 0,0-1 0,0-1 0,0 1 0,0 1 0,-1-2 0,1 1 0,0 0 0,0 1 0,0 0 0,-8 46 0,8-45 0,-3 31 0,1 1 0,1 0 0,0 0 0,1 0 0,1 0 0,1-1 0,0 1 0,3-2 0,11 68 0,-14-84 0,3-2 0,-2 2 0,1-1 0,2-1 0,-2-1 0,2 0 0,1 0 0,-1 0 0,0-2 0,2 1 0,-1-1 0,0-1 0,1-1 0,1 1 0,-2-1 0,2-2 0,0 0 0,0-1 0,-1 1 0,2-4 0,0 2 0,9 3 0,-8-6 0,0 0 0,0-2 0,0-1 0,1 0 0,-1-1 0,0-1 0,0-1 0,1-1 0,-2 0 0,19-13 0,-23 14 0,-1-1 0,0 1 0,-1-1 0,1-2 0,-1 2 0,1-2 0,-2 1 0,2-1 0,-1 0 0,1 0 0,-3-1 0,2 0 0,-1 0 0,1 0 0,-2-2 0,1 1 0,-1 1 0,1-1 0,-1-1 0,0-1 0,-1 2 0,0-1 0,1-1 0,-1-15 0,1 20 0,-2 0 0,0 0 0,0-1 0,0 2 0,-2-2 0,2 1 0,0 1 0,-1-2 0,0 2 0,0 0 0,1-2 0,-1 2 0,0 0 0,-1 0 0,1-2 0,-1 3 0,0-1 0,0 0 0,0 0 0,0 1 0,1-1 0,-3 1 0,3-1 0,-1 1 0,0 0 0,-1 0 0,1 1 0,-2 0 0,2 0 0,-6-2 0,5 2 0,-1 0 0,0 1 0,-1 1 0,2-2 0,-1 2 0,-1 0 0,0 2 0,1-2 0,1 1 0,-3 1 0,3-1 0,-1 0 0,0 3 0,0-2 0,0 0 0,0 2 0,1 0 0,0 0 0,-2-1 0,-1 7 0,1-4 0,2-1 0,-1 2 0,1-2 0,0 3 0,0-2 0,1 1 0,-2 1 0,2 0 0,0-1 0,0 1 0,1 0 0,-1 0 0,0 0 0,0 1 0,1-1 0,1 0 0,-1 1 0,1 1 0,0 11 0,0-15 0,1 2 0,-1-2 0,1 1 0,0 1 0,0-2 0,1 2 0,0-1 0,-1-1 0,1 0 0,0 1 0,0-1 0,1 0 0,-1-1 0,1 0 0,-1 1 0,2 0 0,-2-2 0,1 1 0,0-1 0,1 1 0,0-1 0,-1-1 0,6 6 0,-5-5 0,2-2 0,-2 2 0,1 0 0,0-2 0,0 0 0,0-1 0,-1 0 0,2 1 0,-2-2 0,3 1 0,-3-2 0,2 1 0,8-4 0,-11 2 0,1 0 0,0-2 0,0 2 0,0-2 0,-1 0 0,0 1 0,1-2 0,0 0 0,-2 1 0,1-2 0,1 2 0,-2-2 0,1 1 0,-1-1 0,1-1 0,-1 2 0,3-11 0,-1 3 0,-1 0 0,-1 0 0,2 0 0,-3 0 0,3-2 0,-3 1 0,1 0 0,-1 1 0,-1-2 0,0 1 0,0-18 0,-3 14 0,-2 30 0,0 32 0,5-36 0,0 1 0,0-1 0,0 0 0,1 1 0,0-1 0,0 0 0,1 0 0,-2 0 0,3 1 0,-1-3 0,-1 3 0,1-2 0,0 0 0,5 10 0,-5-13 0,1 0 0,-2 0 0,3 0 0,-2-1 0,0 1 0,0-1 0,3 0 0,-4 0 0,2 0 0,0-1 0,1 0 0,-1 0 0,-1 0 0,1 0 0,1-1 0,-1-1 0,0 1 0,1-1 0,-1 0 0,-1 0 0,3 0 0,3-1 0,1-4 0,1 1 0,-1 0 0,1-2 0,-2 0 0,0 0 0,1-3 0,0 1 0,-1 0 0,11-18 0,-12 18 0,-1-2 0,1 1 0,-2-1 0,0-2 0,1 1 0,-1-1 0,-1 1 0,1-2 0,-1 0 0,0 0 0,4-16 0,-7 25 0,-1 0 0,0 0 0,0-1 0,0 1 0,0 0 0,0-2 0,0 2 0,0 0 0,0 0 0,0 0 0,-2-7 0,2 11 0,-1-2 0,1 2 0,0-2 0,0 2 0,0-2 0,0 2 0,0-2 0,-2 1 0,2 0 0,-1 1 0,1-2 0,-1 2 0,1-1 0,-1-1 0,1 2 0,0-1 0,-1 1 0,1-1 0,0 1 0,-1 0 0,0-2 0,1 2 0,-1 0 0,0-1 0,1 1 0,-1 0 0,1 0 0,0 0 0,-2-1 0,1 1 0,0 0 0,1 0 0,0 0 0,-1 0 0,0 1 0,0-1 0,0 0 0,1 0 0,-1 0 0,1 1 0,0-1 0,0 0 0,-1 2 0,0-2 0,0 1 0,-2 2 0,2 0 0,-1-1 0,1 2 0,-1-2 0,0 0 0,2 3 0,-2-2 0,0 1 0,1-1 0,1 1 0,-1 0 0,-1-1 0,2 2 0,0-1 0,-1 0 0,1 0 0,0-1 0,0 1 0,-1 6 0,1-1 0,0 0 0,0 0 0,0 0 0,1-1 0,-1 2 0,1-1 0,2 16 0,-3-22 0,1-1 0,0 3 0,0-3 0,1 2 0,-2-2 0,0 1 0,1 0 0,0-2 0,1 2 0,-1 0 0,0 0 0,0-2 0,0 2 0,0-2 0,2 1 0,-2 0 0,0 0 0,0 0 0,1-2 0,0 2 0,0 0 0,0-2 0,-1 0 0,1 2 0,0-2 0,-1 2 0,1-2 0,1 0 0,-2 0 0,1 0 0,-1 0 0,1 0 0,0 0 0,-1-2 0,2 2 0,-2-2 0,1 2 0,0 0 0,-1-2 0,0 0 0,3 0 0,3-5 0,0 0 0,-1-2 0,1 3 0,-2-5 0,2 3 0,-1-2 0,-1 1 0,6-14 0,-3 5 0,-2 0 0,1-1 0,-1 0 0,0-1 0,-1-1 0,0 2 0,-2-2 0,0 0 0,1-1 0,1-32 0,26 657 0,-6-203 0,-21-295 0,7 226 0,-10-278 0,-3 0 0,1 2 0,-14 101 0,13-140 0,-2-1 0,1-1 0,0 1 0,-2 0 0,1-1 0,-2 0 0,2-1 0,-1-1 0,-12 22 0,15-30 0,1-2 0,-1 2 0,1 0 0,-2-2 0,0 1 0,2-2 0,-2 3 0,1-2 0,-1 0 0,2-1 0,-3 2 0,3-2 0,-3 1 0,2-2 0,0 1 0,0 0 0,-1-1 0,0 0 0,1 0 0,-1 0 0,1 0 0,-2 0 0,2-1 0,0 1 0,-1-1 0,1-1 0,-1 1 0,1 0 0,-1-2 0,1 1 0,0 0 0,-1 0 0,1-1 0,0 0 0,0 1 0,0-1 0,-3-6 0,-1-6 0,-2 0 0,1-1 0,1-1 0,-1-1 0,2 1 0,-1-1 0,2 0 0,-1-2 0,1 1 0,1 1 0,-3-32 0,1 13 0,3-1 0,-1 0 0,2 0 0,1 0 0,4-50 0,-1 46-273,2 0 0,2 0 0,0 0 0,17-66 0,7-7-6553</inkml:trace>
  <inkml:trace contextRef="#ctx0" brushRef="#br0" timeOffset="3">2940 1531 24575,'-4'-4'0,"-6"-3"0,8-7 0,12-3 0,18-16 0,20-13 0,17-5 0,4 3 0,-6 4 0,-10 5 0,-12 3 0,-15 8-8191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289 1557 24575,'0'-10'0,"0"-1"0,-1 2 0,0-3 0,1 3 0,-1-1 0,-1 1 0,0-1 0,1 0 0,-3 0 0,2 2 0,-1-1 0,1 0 0,-10-15 0,9 17 0,-1 1 0,1 1 0,-2 0 0,1 0 0,0 0 0,0 0 0,0 1 0,-2 1 0,3-1 0,-2 1 0,0 1 0,0 0 0,-1-1 0,2 1 0,-2 0 0,1 1 0,-9 0 0,8 2 0,0-1 0,-1 1 0,2 1 0,-2 0 0,0 1 0,2 0 0,-2 0 0,2 0 0,-1 2 0,1-1 0,-1 1 0,1 2 0,0-3 0,-1 2 0,2 1 0,-1-1 0,0 1 0,1 1 0,0-1 0,1 0 0,-7 14 0,4-5 0,1-2 0,-2 3 0,3-1 0,0 0 0,-1 1 0,3-1 0,-2 2 0,1-1 0,1 2 0,1-2 0,-1 20 0,2-32 0,0 0 0,0 2 0,1-2 0,-1-1 0,1 2 0,-1-1 0,1 0 0,0 0 0,0 0 0,1 0 0,0-1 0,0 1 0,-1-1 0,0 1 0,2-1 0,1 4 0,-2-5 0,1-1 0,-2 2 0,2-2 0,-1 0 0,1 1 0,-2-2 0,2 1 0,0 0 0,0-2 0,-1 2 0,1-1 0,0 1 0,0-2 0,-1 0 0,0 0 0,3 0 0,-4 0 0,2 0 0,0 0 0,3-2 0,4-1 0,1-1 0,-2-1 0,0-2 0,2 2 0,-1-2 0,-1-2 0,1 2 0,-2-1 0,1-3 0,0 1 0,0-1 0,6-13 0,-5 8 0,0-1 0,-1 0 0,-1-2 0,1 1 0,-1-1 0,0-1 0,-2-1 0,7-29 0,-5 18 0,-3-2 0,0 2 0,-2-1 0,-1-1 0,0 0 0,0-1 0,-2 2 0,-2 0 0,0-1 0,-1 0 0,-9-55 0,11 83 0,-1-2 0,-1 2 0,1 0 0,1 0 0,-2-1 0,1 1 0,-2 0 0,2 1 0,-1-1 0,0 1 0,-1 0 0,-3-7 0,4 12 0,2 0 0,0-2 0,0 1 0,-1 0 0,2 1 0,-1-1 0,0 1 0,-1-2 0,0 2 0,1 0 0,0 0 0,0 0 0,-1 0 0,2 0 0,-2 0 0,0 0 0,2 0 0,-5 2 0,4-1 0,0 0 0,-1 2 0,1-3 0,-1 2 0,-1 0 0,3-1 0,-2 2 0,1 0 0,-1-1 0,1 1 0,0-1 0,0 1 0,-1-1 0,2 1 0,-1-1 0,-1 4 0,-1 9 0,0 0 0,-1 1 0,3 0 0,-2-1 0,2 1 0,0 0 0,1 1 0,0-1 0,0 0 0,0 0 0,4 22 0,1 5 0,1-1 0,2 0 0,12 43 0,-11-46 0,2 0 0,1-1 0,21 44 0,-25-64 0,0-1 0,2 0 0,-2-3 0,2 2 0,0-2 0,-1 0 0,3-2 0,15 18 0,-21-26-59,-1 0 0,0 0-1,0-1 1,2-1-1,-3 1 1,0-2 0,3 2-1,-1-2 1,-1-1 0,0 1-1,1-1 1,1 0 0,-2-1-1,0 0 1,1-1-1,-1 1 1,1-1 0,-2 0-1,3-3 1,-3 3 0,2-1-1,7-9 1,23-24-6767</inkml:trace>
  <inkml:trace contextRef="#ctx0" brushRef="#br0" timeOffset="1">810 1246 24575,'0'-5'0,"0"2"0,-1-3 0,1 3 0,-1-2 0,0 1 0,1-1 0,-2 1 0,1 1 0,0-2 0,1 1 0,-3 0 0,1 0 0,1 0 0,-1 1 0,0 1 0,1-2 0,-3 1 0,3-1 0,-1 2 0,0-1 0,-1 1 0,1-1 0,-1 1 0,1-1 0,-1 3 0,0-2 0,-4-2 0,2 2 0,1 1 0,1-2 0,-2 2 0,2 1 0,-1-1 0,-1 1 0,1 0 0,-1 0 0,1 0 0,0 1 0,-1 0 0,2 0 0,-1 1 0,0 0 0,0-1 0,0 2 0,-1 0 0,-2 4 0,-1 3 0,0-1 0,2 3 0,-2-1 0,1 1 0,2 0 0,-2 0 0,1 0 0,-4 21 0,2-12 0,2 2 0,0 0 0,0 0 0,-4 38 0,9-52 0,1-1 0,-2 1 0,2 0 0,0 0 0,0-1 0,2 1 0,-2 0 0,1-1 0,0 1 0,4 15 0,-5-20 0,1-2 0,-1 1 0,1-1 0,1 2 0,-1-1 0,0-1 0,0 1 0,0-1 0,1-1 0,-1 1 0,0 1 0,0-2 0,2 2 0,-2-2 0,0 2 0,2-2 0,-2 0 0,1 0 0,-1 1 0,2-2 0,-1 2 0,-1-2 0,1 1 0,0-1 0,1 0 0,-1 2 0,-2-2 0,3 0 0,-2 0 0,2 0 0,-2-2 0,2 2 0,-1-1 0,2-1 0,4-2 0,0-1 0,-1 0 0,0 0 0,1-2 0,-2 0 0,2 0 0,-2 0 0,1-2 0,0 1 0,-2-2 0,0 2 0,1-3 0,7-17 0,4-10 0,-3-1 0,18-65 0,-19 55 0,-2 1 0,-1-1 0,9-95 0,-11 54 0,1-118 0,-8 187 0,-1 0 0,-1 1 0,1-1 0,-4 1 0,-2-32 0,6 49 0,0 2 0,-1-2 0,1 2 0,0-1 0,-1 0 0,0 0 0,1 0 0,-1 0 0,1 1 0,-2-1 0,1 2 0,0-3 0,-1-1 0,2 4 0,-1 0 0,1 0 0,-1 0 0,1-1 0,-1 1 0,0 0 0,1 0 0,0 0 0,0 0 0,-1 0 0,1 0 0,-2 0 0,2 0 0,0 0 0,0 0 0,-1 0 0,0 1 0,1-1 0,0 0 0,0 0 0,-1 0 0,1 2 0,-1-2 0,1 0 0,0 0 0,-2 2 0,2 1 0,-3 0 0,0 1 0,1 1 0,1-1 0,0-1 0,-1 2 0,0 0 0,1-1 0,-2 10 0,-3 14 0,2 0 0,1 3 0,1-1 0,1-1 0,0 1 0,1 0 0,1 0 0,4 54 0,2-36 0,0 0 0,1-2 0,2 1 0,23 75 0,-27-105 24,-1 0 0,3 0 0,-2 0 0,11 14 0,-15-27-89,-1 0 1,1-1-1,0 0 1,1 0-1,-1 0 1,0 1-1,0-2 0,0 1 1,1-1-1,0-1 1,-1 2-1,1 0 1,0-2-1,0 0 0,-1 0 1,1 1-1,-1-2 1,2 0-1,-2 2 1,1-2-1,1 0 1,3-2-1,9-9-6761</inkml:trace>
  <inkml:trace contextRef="#ctx0" brushRef="#br0" timeOffset="2">1253 983 24575,'-1'-3'0,"1"2"0,0-2 0,0 1 0,0 1 0,-1-2 0,1 2 0,0-2 0,-1 2 0,0-2 0,0 3 0,1-3 0,-1 2 0,-1 0 0,1-2 0,0 2 0,1 0 0,-1-1 0,0 1 0,0 0 0,-1 0 0,2-1 0,-2 1 0,2 1 0,-3-1 0,2-1 0,-2 1 0,-1 0 0,-1-2 0,3 3 0,-2-2 0,-1 1 0,2 1 0,-1-1 0,-7 2 0,4 0 0,2 1 0,-1 1 0,1-1 0,-1 2 0,1 0 0,-1 0 0,1 0 0,-1 1 0,2-1 0,-1 3 0,0-2 0,1 0 0,-1 2 0,2-1 0,-2 2 0,1-1 0,1 0 0,1 1 0,-2 0 0,-2 9 0,0 2 0,1 0 0,-2 1 0,4 0 0,-1 0 0,1 0 0,-1 1 0,1 36 0,3-52 0,-1 2 0,1-2 0,1 0 0,-1 2 0,1-1 0,0-1 0,-1 1 0,1 0 0,-1-1 0,2 0 0,0 0 0,-1 1 0,4 7 0,-4-11 0,1 1 0,-1 0 0,0-1 0,2-1 0,-2 1 0,1 1 0,-1-1 0,1 0 0,0-1 0,0 0 0,-2 1 0,4 0 0,-3-2 0,2 1 0,-2 1 0,1-1 0,2-1 0,-4 0 0,3 1 0,-1-1 0,0 0 0,1 0 0,-1-1 0,2 0 0,3-1 0,-1-1 0,0 0 0,0 0 0,0-2 0,-1 1 0,1-1 0,-1 0 0,1 0 0,0-2 0,-1 1 0,-1 0 0,2-1 0,-3 0 0,8-12 0,0-5 0,1-1 0,-2 0 0,14-46 0,-14 34 0,-1 1 0,-2-1 0,0-2 0,6-60 0,-8 33 0,0-124 0,-5 179 0,0 1 0,0 0 0,0-1 0,-1 0 0,-1 2 0,0-1 0,0-1 0,1 1 0,-1 1 0,-1-1 0,-3-9 0,5 19 0,1-2 0,-1 0 0,1 2 0,-1-2 0,1 1 0,-1 0 0,1 0 0,0-1 0,-1 1 0,1 1 0,-1-1 0,-1 0 0,1 1 0,1-2 0,-1 1 0,0 1 0,1-1 0,-1 1 0,0 0 0,0-1 0,0 1 0,0 0 0,0 0 0,0 0 0,1 0 0,0 0 0,-2 0 0,1 0 0,-1 0 0,2 0 0,-1 0 0,0 0 0,0 1 0,1-1 0,-1 1 0,1-1 0,-1 1 0,0-1 0,-1 2 0,1-2 0,0 1 0,1 0 0,-1 2 0,-2 2 0,-1-1 0,2 1 0,-2 2 0,3-1 0,-2-1 0,0 1 0,-1 13 0,-1 1 0,1 1 0,1 0 0,1 0 0,-1 0 0,1 1 0,1-1 0,1 2 0,0-2 0,6 41 0,-4-34 0,2-2 0,0-1 0,1 1 0,1 1 0,-1-2 0,3 0 0,14 38 0,-16-49 10,0-2 0,1 0 0,0 1 0,2-1 0,-2-2 0,1 2 0,0-3 0,1 0 0,-1 0 0,2-1 0,17 13 0,-9-12-258,1 1 1,-1-3-1,1 2 1,1-5-1,25 4 1,18-3-6579</inkml:trace>
  <inkml:trace contextRef="#ctx0" brushRef="#br0" timeOffset="3">1803 959 24575,'0'-4'0,"0"2"0,0-2 0,0 0 0,0 2 0,-1-2 0,1 1 0,-1 0 0,1 1 0,-1-2 0,0 1 0,0-1 0,0 2 0,0-1 0,0 1 0,0-1 0,0 0 0,-2 0 0,1 2 0,1-1 0,0-1 0,-1 1 0,1 0 0,-2 0 0,1 1 0,1-1 0,-2 1 0,2 0 0,0 0 0,-3-1 0,2 1 0,1 1 0,-1-1 0,-2 1 0,-1-2 0,2 2 0,1 0 0,-3 0 0,2 0 0,0 0 0,-1 2 0,0-2 0,2 1 0,-1 0 0,-1 2 0,0-2 0,1 2 0,0-1 0,0 1 0,1-1 0,-2 1 0,1 0 0,1 0 0,-1 0 0,-3 6 0,1 4 0,-2-1 0,2 2 0,-1-1 0,2 1 0,-7 26 0,10-34 0,-1 0 0,1 1 0,1 0 0,-1-1 0,-1 2 0,1-2 0,0 1 0,1 1 0,0-2 0,0 2 0,1-3 0,-1 3 0,1-2 0,2 1 0,-1 10 0,-1-15 0,0 1 0,-1-1 0,1 1 0,1 0 0,-1-1 0,-1 1 0,1-1 0,2 0 0,-1-1 0,-1 2 0,0-2 0,0 2 0,1-2 0,1 0 0,-2 1 0,0-1 0,1 0 0,2 2 0,1-3 0,-2 2 0,1-2 0,0 1 0,0-1 0,-2 0 0,3-1 0,-1 1 0,-1-2 0,5 0 0,2-3 0,-2 0 0,1 0 0,0-1 0,1 0 0,-2-2 0,15-15 0,-13 9 0,1-1 0,-2 0 0,0-1 0,1 0 0,-1-1 0,0-1 0,6-27 0,-4 15 0,-1-3 0,-1 1 0,10-69 0,-8 16 0,-3 0 0,3-158 0,-9 201 0,-2 2 0,-2-3 0,-1 2 0,-8-69 0,8 101 0,2 1 0,0-1 0,-2 1 0,1 0 0,-7-14 0,9 21 0,0 0 0,0-1 0,-1 1 0,0 0 0,0 1 0,1-1 0,0-1 0,-1 1 0,0 1 0,-1-1 0,1 0 0,1 1 0,0-2 0,-1 2 0,0 0 0,0 0 0,0 0 0,0-2 0,1 2 0,-1 0 0,0 0 0,1 0 0,-1 0 0,-1 0 0,1 0 0,0 0 0,0 0 0,0 0 0,1 0 0,0 2 0,-1-2 0,0 0 0,0 0 0,0 0 0,1 2 0,-1-2 0,-1 1 0,1 0 0,0-1 0,1 1 0,-1 1 0,1-1 0,-1 0 0,-3 7 0,0-1 0,-1 0 0,3 2 0,-3-1 0,3 0 0,-1 1 0,1 0 0,-1 1 0,-2 14 0,-13 101 0,17-114 0,-5 50 0,1 0 0,2 0 0,1 0 0,7 94 0,-2-111 0,2 1 0,1 0 0,0-1 0,3-1 0,0 0 0,25 77 0,-27-100-50,0-2-1,2 1 1,-2-1-1,2 0 0,0-1 1,2-1-1,-1 1 1,1-3-1,0 0 1,0 0-1,1-2 0,1-1 1,-2 1-1,2-2 1,1-1-1,-1 0 1,1-2-1,-1 0 0,1-2 1,0 0-1,0-1 1,1-2-1,-1-1 1,0 1-1,0-2 1,17-5-1,50-15-6775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170 1774 24575,'3'-6'0,"2"0"0,-2 0 0,-1-1 0,1-1 0,-2 2 0,3-2 0,-3 1 0,1 0 0,1-11 0,-2 11 0,0 2 0,1-1 0,-2-1 0,1 1 0,-1 1 0,0-2 0,0 1 0,0 0 0,-1 0 0,1 0 0,-2 0 0,-1-6 0,3 10 0,0 1 0,-1-2 0,0 2 0,0-1 0,1 1 0,-1 0 0,1 1 0,-1-2 0,0 1 0,-1 0 0,1 0 0,1 1 0,-1-2 0,0 1 0,0 1 0,0-1 0,0 1 0,0-2 0,0 2 0,0 0 0,0 0 0,-1-1 0,-1 1 0,0 0 0,0 0 0,-1 1 0,0-1 0,1 2 0,0-1 0,-1 0 0,-5 3 0,-3 4 0,0 0 0,1 1 0,-13 13 0,17-14 0,-1 0 0,1-1 0,1 2 0,-1 0 0,0 0 0,2 2 0,-1-1 0,1 0 0,-7 17 0,10-22 0,1 1 0,-1 0 0,0 0 0,1 0 0,1-1 0,-1 2 0,1-1 0,-1-1 0,1 2 0,0-1 0,0 1 0,0-2 0,1 1 0,0-1 0,-1 2 0,1-1 0,0-1 0,2 2 0,-3-2 0,2 0 0,0 0 0,3 7 0,2 1 0,0 0 0,-1-1 0,3-1 0,-1 1 0,-1-2 0,2 0 0,18 18 0,73 47 0,-78-60 0,74 47 0,63 48 0,-150-102 0,0-1 0,1 2 0,15 22 0,-23-31 0,0 3 0,-1-1 0,0-2 0,0 4 0,1-4 0,-2 3 0,1-1 0,0 0 0,0 1 0,0-2 0,-1 2 0,1-1 0,-1 1 0,2-1 0,-2 1 0,1 0 0,-1-1 0,0 1 0,1-2 0,-1 2 0,0-1 0,0 1 0,0-1 0,-1 1 0,1-1 0,0 1 0,-1 0 0,-1-1 0,2 1 0,-1-1 0,1 0 0,-1 0 0,-1 3 0,-1 1 0,0 0 0,-2-1 0,1 0 0,-1-1 0,1 1 0,0-1 0,-1 1 0,0-2 0,-1 1 0,2 0 0,-2-1 0,-6 1 0,-12 5 0,-36 7 0,51-14 0,-130 19 0,120-19 0,4-1 0,-3-2 0,0-2 0,2 1 0,-2-2 0,-17-8 0,30 10-80,1 0 0,1 0-1,-1 0 1,1 0 0,0-3-1,-1 3 1,1-1 0,-1-1-1,2 1 1,-2 1 0,2-2 0,-1-1-1,1 1 1,-1-1 0,1 0-1,-3-9 1,-7-26-6746</inkml:trace>
  <inkml:trace contextRef="#ctx0" brushRef="#br0" timeOffset="1">630 1972 24575,'-1'-38'0,"-2"31"0,0 25 0,-9 58 0,7-58 0,1 0 0,-1 0 0,4 1 0,-2-1 0,2 1 0,1 1 0,0 18 0,0-33 0,0-1 0,0-1 0,1 3 0,-1-3 0,1 1 0,0 0 0,0 0 0,0 0 0,1 0 0,-1-2 0,1 2 0,0 0 0,0 0 0,-1-2 0,1 1 0,0 1 0,0-1 0,1-1 0,-2 1 0,2-1 0,-1 1 0,1-1 0,-1 0 0,1 0 0,1 0 0,-2-1 0,1 0 0,-1 0 0,0 1 0,2-1 0,-2-1 0,1 1 0,-1-1 0,3 0 0,2-1 0,3 0 0,0-1 0,0 0 0,-1-1 0,1-1 0,-2-1 0,2 1 0,0-2 0,-1 1 0,12-12 0,-8 3 0,1 0 0,-1-2 0,1 0 0,-3-2 0,2 0 0,-3 0 0,2-1 0,-4 0 0,1-3 0,1 2 0,-2-2 0,-1 0 0,0 0 0,-2 0 0,1-1 0,-2-1 0,0 0 0,-1 1 0,-1-2 0,-1 2 0,0-28 0,-6 5 0,5 46 0,0-1 0,0 1 0,0-2 0,0 2 0,0-1 0,-1 1 0,1-1 0,0 1 0,0-1 0,0 1 0,-1-2 0,1 2 0,0 0 0,0-1 0,0 1 0,0-1 0,-2 1 0,2 0 0,0-2 0,-1 2 0,1 0 0,-1-1 0,1 1 0,-1 0 0,1 0 0,0-1 0,0 1 0,0 0 0,-1 0 0,1 0 0,-1 0 0,0 0 0,1 0 0,-1 0 0,1 0 0,-1 0 0,1 0 0,0 0 0,0 0 0,-1 0 0,1 0 0,-1 0 0,1 0 0,-2 1 0,2-1 0,-1 0 0,1 0 0,0 1 0,0-1 0,0 0 0,-1 2 0,1-2 0,0 0 0,-1 1 0,1-1 0,0 0 0,-2 1 0,2 1 0,-6 7 0,3 0 0,-1 0 0,0 1 0,1 0 0,0-1 0,0 2 0,0-1 0,0 1 0,2 0 0,-3 20 0,3-9 0,-1 0 0,1 2 0,1-2 0,3 32 0,-2-45 0,0-2 0,1 1 0,-1 1 0,1-1 0,0 0 0,3-1 0,-3 2 0,1-2 0,1 0 0,-2 0 0,1 0 0,1-1 0,1 1 0,0-1 0,0-1 0,-1 2 0,0-2 0,1 0 0,0-1 0,1 1 0,-1-1 0,1-1 0,-1 0 0,2 0 0,-2 0 0,1-1 0,7 2 0,-4-3 0,-3 2 0,2-3 0,0 1 0,-2-1 0,2 0 0,-2-1 0,3 0 0,-2-1 0,1 0 0,-1-1 0,0 1 0,-1-2 0,2 0 0,-1 0 0,-1-1 0,0 0 0,0-1 0,2 0 0,-3 0 0,1-1 0,-1 1 0,7-12 0,-5 4 0,0-2 0,-2 1 0,2-1 0,-2-1 0,-1 0 0,0 0 0,0-1 0,-2 2 0,1-2 0,-1 0 0,0-1 0,-1 1 0,-1 0 0,0 1 0,-1-1 0,-5-29 0,6 45 0,0 2 0,0-1 0,0-1 0,0 2 0,0-1 0,0 1 0,0-1 0,0 1 0,0-2 0,0 2 0,0-1 0,0 1 0,0-1 0,-1 1 0,1-1 0,0 1 0,0-2 0,-1 2 0,1 0 0,0-1 0,0 1 0,-1-1 0,1 1 0,0 0 0,0-2 0,0 2 0,-1 0 0,0-1 0,-3 20 0,-1 40 0,4-35 0,-1-3 0,2 1 0,0-2 0,0 3 0,0-3 0,2 1 0,0 1 0,8 35 0,-10-56 0,0 1 0,0-2 0,0 2 0,0 0 0,1-2 0,-1 0 0,1 2 0,-1-1 0,1 1 0,-1-2 0,2 0 0,-2 2 0,0 0 0,1-1 0,0-1 0,1 1 0,-2-1 0,0 1 0,1-1 0,0 2 0,0-2 0,0 0 0,0 0 0,-1 0 0,2 2 0,0-2 0,-1 0 0,0-2 0,0 2 0,1 0 0,-2 0 0,1-2 0,1 1 0,0 1 0,-1-1 0,-1 0 0,1-1 0,0 0 0,1 2 0,-2-2 0,2 1 0,0-3 0,4-10 0,1 1 0,-2-1 0,6-19 0,-9 29 0,15-50 0,-6 18 0,1 1 0,24-52 0,-35 85 0,0 0 0,-1 0 0,1-1 0,1 1 0,-1 0 0,0 0 0,1 1 0,0-1 0,-1 0 0,1 0 0,-1 1 0,0 0 0,1-1 0,1 1 0,-2 0 0,4 0 0,-4 1 0,1 0 0,-2 0 0,3 0 0,-2 0 0,0 0 0,0 1 0,1-1 0,-1 0 0,0 1 0,0-1 0,1 1 0,0 1 0,-2-2 0,1 1 0,1 0 0,-1 1 0,2 2 0,3 5 0,0 1 0,0 1 0,-1-2 0,2 2 0,3 19 0,-1-10 0,2 6 0,1-1 0,1 0 0,-1-1 0,2-1 0,0-1 0,3-1 0,-2-1 0,31 29 0,-36-40 0,1 0 0,0-2 0,0 1 0,0-2 0,2 0 0,-2-1 0,1 0 0,0-1 0,0-2 0,0 1 0,0-2 0,2 1 0,-2-2 0,0-2 0,1 1 0,15-5 0,-22 4-62,-1 1 0,1-2 0,-1 1 0,0-1 0,0 1 0,1-2 0,-1 1 0,-1-1 0,1-1 0,-1 1 0,0-1 0,1 0-1,-2 0 1,2 0 0,-2 0 0,0-2 0,1 1 0,-1-1 0,1 0 0,-2 1 0,4-10 0,4-30-6764</inkml:trace>
  <inkml:trace contextRef="#ctx0" brushRef="#br0" timeOffset="2">2151 1874 24575,'8'-9'0,"11"-3"0,18-6 0,15-2 0,17-5 0,13 0 0,5 7 0,-5-4 0,-13 3 0,-24 4 0,-21 4 0</inkml:trace>
  <inkml:trace contextRef="#ctx0" brushRef="#br0" timeOffset="3">3337 1153 24575,'1'-6'0,"-1"-1"0,-1 1 0,1-1 0,0 1 0,-1-1 0,0 0 0,0 1 0,0 0 0,-1 0 0,-1 0 0,1 1 0,0-2 0,-2-2 0,3 5 0,-2 2 0,1 1 0,2-1 0,-2-2 0,0 3 0,1 0 0,-2 0 0,1-2 0,0 2 0,0-1 0,0 2 0,0-1 0,-1 0 0,1 1 0,0-1 0,0 1 0,0 0 0,-1 0 0,2-2 0,-2 4 0,1-2 0,-2 0 0,3 0 0,-1 1 0,0 0 0,0-1 0,0 1 0,-4 2 0,2 1 0,-2 0 0,1 0 0,0 1 0,0-1 0,1 1 0,-1 0 0,0 1 0,0 0 0,2 0 0,-1 0 0,0 1 0,1 0 0,-5 11 0,-2 4 0,4 0 0,-2-1 0,-5 33 0,7-27 0,0 1 0,-1-1 0,4 2 0,1-1 0,-2 47 0,4-68 0,0-1 0,0 0 0,0 3 0,1-3 0,-1 0 0,2 0 0,-1 1 0,0 0 0,0-1 0,1 1 0,1-1 0,-1-1 0,1 2 0,-1-2 0,2 0 0,-2 1 0,1 0 0,0-3 0,-1 3 0,3-1 0,-2-1 0,2-1 0,-1 1 0,-1 0 0,2-1 0,-1 1 0,0-2 0,1 1 0,6 2 0,1-1 0,1 0 0,-1 0 0,1-1 0,0-3 0,0 0 0,0 0 0,0 0 0,1-2 0,-1-1 0,-2 1 0,3-2 0,-2-1 0,0 0 0,2-1 0,-2-3 0,-1 2 0,0-1 0,1-1 0,-1-1 0,0-1 0,-2 0 0,1-1 0,0-1 0,-1 0 0,-1 0 0,0-1 0,1 0 0,-2-2 0,0 1 0,0-1 0,5-22 0,-4 11 0,-3-4 0,1 3 0,-3-1 0,0 0 0,-1 0 0,0-2 0,-2 1 0,0-1 0,-6-51 0,-1 36 0,1 1 0,-4-1 0,1 1 0,-2 1 0,-23-59 0,31 91 0,0 0 0,-2 0 0,1 3 0,0-2 0,-3 0 0,3 2 0,-2-1 0,0 1 0,-12-14 0,17 23 0,0 0 0,1-1 0,-1 1 0,1 0 0,0-2 0,-1 2 0,0 0 0,-1 0 0,2 0 0,-1 0 0,1-1 0,-1 1 0,1 0 0,-1 0 0,0 1 0,0-1 0,1 0 0,-1 0 0,0 0 0,0 0 0,1 2 0,-1-2 0,-1 0 0,2 1 0,0-1 0,-1 0 0,0 1 0,1-1 0,-1 1 0,1-1 0,-1 2 0,1-2 0,0 1 0,0 0 0,-1-1 0,1 2 0,-1-1 0,1-1 0,-1 3 0,-8 40 0,7-21 5,1 1 1,0-2-1,1 3 0,1-2 0,0-1 0,1 1 1,0 1-1,1-3 0,1 2 0,0-1 1,2-1-1,1 2 0,-1-2 0,1-1 0,0 1 1,2-2-1,0 0 0,0 0 0,1-1 0,1-1 1,1 0-1,14 17 0,-10-14-92,2-1-1,-2-1 1,3-2 0,-1-1-1,1 0 1,0-2 0,0 0-1,1-2 1,1-1-1,-1-1 1,0-3 0,2 0-1,-1-1 1,1-1 0,-2-2-1,26-3 1,22-13-6739</inkml:trace>
  <inkml:trace contextRef="#ctx0" brushRef="#br0" timeOffset="4">4223 1078 24575,'0'-7'0,"0"1"0,0-1 0,-1 2 0,0-1 0,0 1 0,-1-2 0,2 2 0,-3-1 0,1 1 0,1-1 0,-2 1 0,1 0 0,-1 0 0,0 0 0,1 0 0,-1 1 0,0-1 0,0 1 0,-1-1 0,0 3 0,1-2 0,0 1 0,-2 0 0,1 0 0,-4-2 0,1 1 0,1 1 0,0-1 0,-1 1 0,-1 1 0,2 0 0,-2 0 0,2 1 0,-2 1 0,1 0 0,0 0 0,0 1 0,-1-1 0,2 4 0,-13 1 0,8 2 0,-1 1 0,2-1 0,0 2 0,-1 0 0,3 2 0,-2 0 0,0 0 0,2 1 0,0-1 0,-11 21 0,6-10 0,3 2 0,-1-1 0,0 2 0,2-1 0,-11 41 0,19-62 0,0-1 0,1 1 0,-1 1 0,1-2 0,-1 1 0,1 1 0,-1-2 0,1 2 0,0-1 0,0-1 0,0 2 0,0-1 0,0 1 0,0-2 0,1 2 0,-1-1 0,1-1 0,0 2 0,-1-1 0,1-1 0,0 2 0,1-1 0,-1-1 0,0 1 0,2 3 0,1-1 0,0-3 0,-1 0 0,0 3 0,2-3 0,-2-1 0,0 2 0,2-2 0,-1 1 0,0 0 0,0-1 0,0-1 0,-1 1 0,8-1 0,6 2 0,1-2 0,1-2 0,-3 0 0,2 0 0,0-4 0,-1 1 0,0-2 0,0 0 0,29-20 0,-35 19 0,-1 0 0,0 0 0,0-1 0,0-1 0,-3 0 0,3-1 0,-1 1 0,-1-3 0,-1 1 0,1-1 0,-1 0 0,-1 1 0,1-3 0,-2 1 0,0 0 0,4-19 0,-1-3 0,-2 2 0,-2-3 0,-1 2 0,-1-1 0,-2 0 0,0 0 0,0-1 0,-3 1 0,1 0 0,-2 0 0,-2 2 0,-10-40 0,13 63 0,2 2 0,-2-1 0,1 0 0,-1 1 0,-1-1 0,0 1 0,0 0 0,0 0 0,0 1 0,-1-1 0,0 2 0,-7-10 0,10 16 0,1-1 0,0 2 0,-1-1 0,0 0 0,1-1 0,0 2 0,-1-1 0,0 1 0,-1 0 0,2-1 0,0 1 0,-1 0 0,0 0 0,1 0 0,0 0 0,-2 0 0,2 1 0,-1-1 0,1 1 0,0-1 0,-1 2 0,1-2 0,0 1 0,-2 0 0,2 1 0,-1-1 0,1 0 0,-1 1 0,1-1 0,1 0 0,-2 0 0,0 2 0,0 1 0,-2 4 0,0-1 0,0 1 0,1 2 0,-1-3 0,0 2 0,-2 16 0,2-10 0,1 1 0,0 0 0,1 0 0,-1 1 0,2-1 0,0 2 0,1-4 0,0 4 0,1-2 0,3 0 0,-3 1 0,1-1 0,0 0 0,2-1 0,0 1 0,0 0 0,1-1 0,8 19 0,-6-16 0,3 0 0,-1 0 0,1-2 0,1 2 0,0-3 0,0 1 0,1-2 0,0 0 0,1-1 0,0-2 0,1 2 0,0-4 0,21 13 0,-4-8-341,0-2 0,1 0-1,58 6 1,-6-9-6485</inkml:trace>
  <inkml:trace contextRef="#ctx0" brushRef="#br0" timeOffset="5">4844 855 24575,'0'-4'0,"-2"1"0,2 0 0,-1 0 0,1 0 0,-1 0 0,0 0 0,1 0 0,-1 0 0,0 0 0,0 1 0,0 0 0,0-1 0,0 1 0,-2-1 0,2 0 0,0 2 0,-1-1 0,0 0 0,0-1 0,1 2 0,-2 0 0,1-1 0,1 0 0,-1 0 0,1 1 0,-3 1 0,2-1 0,1 0 0,-5-1 0,-5-2 0,-1 2 0,0 1 0,-1-1 0,-12 2 0,15 0 0,2 0 0,-1 2 0,-1 0 0,0 1 0,1-1 0,-1 2 0,2 1 0,0-1 0,-2 1 0,2 2 0,1 0 0,-13 9 0,16-10 0,-1 0 0,0-1 0,0 2 0,1-1 0,0 1 0,0 0 0,1 0 0,0 0 0,-2 1 0,2 0 0,1 0 0,-1 1 0,2-2 0,-2 2 0,1 0 0,2 0 0,-2-2 0,1 2 0,0 15 0,1-21 0,0 1 0,1 0 0,-1 0 0,1 0 0,0 0 0,0 0 0,-1-1 0,1 0 0,0 1 0,0 0 0,1 0 0,-1-2 0,1 3 0,-1-3 0,1 1 0,0 1 0,1-2 0,-1 0 0,0 1 0,0-1 0,-1 1 0,2 0 0,0-2 0,-1 1 0,0 0 0,1-1 0,0 0 0,0 1 0,0-1 0,-1 1 0,2-2 0,1 0 0,5 3 0,-1-1 0,-1-1 0,0-1 0,2 0 0,-1-1 0,-2-1 0,3-1 0,-1 3 0,11-9 0,-10 3 0,2-1 0,-1 2 0,-1-4 0,1 2 0,-2-2 0,1-2 0,-1 2 0,0-2 0,1 0 0,-3-2 0,2 1 0,10-24 0,-9 16 0,-2-1 0,0-1 0,-1 0 0,-1-1 0,2 1 0,-4-3 0,6-43 0,-5 8 0,-2 1 0,-1-1 0,-2 1 0,-4-1 0,0 1 0,-12-70 0,14 106 0,-3-1 0,2 1 0,-1 1 0,-3 1 0,2-2 0,-13-26 0,17 47 0,0-1 0,0 0 0,1 1 0,-1 1 0,0-2 0,-2 0 0,3 1 0,-2 1 0,1-3 0,0 4 0,-2-2 0,1-1 0,0 3 0,1-2 0,-1 0 0,1 2 0,-1-2 0,1 1 0,-3 1 0,2-2 0,1 2 0,-1 0 0,1 0 0,-1-2 0,-2 2 0,2 0 0,-2 2 0,2-2 0,-2 2 0,2 1 0,-1-1 0,1 0 0,-2 0 0,1 1 0,2-1 0,-2 2 0,2-1 0,-3 1 0,2-2 0,1 2 0,-1 0 0,1 0 0,0-2 0,-2 2 0,2 1 0,-1 3 0,-6 18 0,2-2 0,0 3 0,1 0 0,2 0 0,-2-2 0,3 2 0,1 0 0,0 2 0,1-2 0,1 0 0,0 0 0,8 37 0,-6-41 0,2 0 0,-1 1 0,1-3 0,2 1 0,0 1 0,-1-3 0,3 1 0,1 0 0,-1-2 0,0 1 0,2-1 0,0-2 0,1 1 0,21 22 0,-20-27-68,3-1 0,-1 1-1,-1-4 1,4 2 0,-4-2 0,4-1-1,-3-2 1,3 0 0,-2-1 0,1-1-1,0-2 1,-1-1 0,2 1 0,0-4-1,-2 1 1,2-1 0,-2-2 0,2 0-1,14-9 1,35-19-6758</inkml:trace>
  <inkml:trace contextRef="#ctx0" brushRef="#br0" timeOffset="6">294 3565 24575,'0'18'0,"0"1"0,1-1 0,0 0 0,1 1 0,0-1 0,2 0 0,-1 0 0,7 17 0,-8-30 0,0 1 0,0 0 0,1 0 0,0-1 0,0 0 0,-1 0 0,2 1 0,0-2 0,-1 1 0,1-1 0,-1-1 0,1 1 0,1 1 0,-1-2 0,0 0 0,1 0 0,-2-1 0,1 1 0,1-2 0,0 2 0,0-3 0,-1 2 0,2-2 0,8 2 0,-10-2 0,1-2 0,0 2 0,-1-2 0,2 2 0,-2-2 0,1 0 0,-1 0 0,0-1 0,0 1 0,1 0 0,0-3 0,-1 2 0,-1 0 0,1-2 0,0 1 0,-1 1 0,2-3 0,-2 3 0,-1-3 0,1 1 0,1-2 0,-2 2 0,2-6 0,2-1 0,-2 0 0,-1 1 0,1-1 0,-1-1 0,-1 2 0,0-3 0,-1 2 0,2-1 0,-2 0 0,-1 0 0,0-17 0,0 24 0,-1 1 0,0-2 0,-1 2 0,1-1 0,1 0 0,-2 0 0,0 0 0,1 2 0,-1-1 0,0-1 0,-1 1 0,1 0 0,0-1 0,-1 3 0,-5-8 0,3 5 0,-1-1 0,2 2 0,-3 0 0,2 0 0,-2 0 0,2 1 0,-3 0 0,2 0 0,-8-1 0,5 1 0,2 2 0,-1 0 0,0 1 0,1 0 0,-1-1 0,0 2 0,0 2 0,0-2 0,0 1 0,1 2 0,-1-1 0,0 1 0,2-1 0,-3 2 0,2 0 0,0 1 0,-10 8 0,13-8-124,0-1 0,0 1 0,2 0 0,-3 1 0,2-1 0,0 1-1,1-1 1,-2 2 0,3-1 0,-4 11 0,-4 20-6702</inkml:trace>
  <inkml:trace contextRef="#ctx0" brushRef="#br0" timeOffset="7">719 3242 24575,'3'-74'0,"-3"68"0,1 1 0,-1-1 0,2 0 0,0 0 0,-1 2 0,0-1 0,1-1 0,0 1 0,-1 0 0,5-6 0,-6 11 0,0 0 0,1 0 0,-1 0 0,0 0 0,0 0 0,0 0 0,0 0 0,0 0 0,0 0 0,0 0 0,1 0 0,-1 0 0,0 0 0,0-2 0,0 2 0,0 0 0,0 0 0,1 0 0,-1 0 0,0 0 0,0 0 0,0 0 0,0 0 0,0 0 0,0 0 0,0 0 0,0 0 0,0 2 0,0-2 0,0 0 0,0 0 0,0 0 0,1 0 0,-1 0 0,0 0 0,0 0 0,0 0 0,0 0 0,0 0 0,0 0 0,0 0 0,1 0 0,-1 0 0,0 0 0,0 0 0,0 0 0,0 0 0,0 0 0,0 2 0,0-2 0,0 0 0,0 0 0,0 0 0,5 19 0,-2 19 0,4 43 0,3 1 0,19 96 0,-29-178 0,1 4 0,0 1 0,-1-1 0,1-1 0,-1 1 0,2 0 0,-2 1 0,0 0 0,0-1 0,0-1 0,-2 1 0,2 1 0,-1-1 0,0 0 0,0 0 0,1-1 0,-1 2 0,0-1 0,-1 0 0,2-1 0,-2 0 0,-1 1 0,1 0 0,0-2 0,1 2 0,-3 3 0,-4-1 0,1 2 0,-2-3 0,3 1 0,-2-1 0,-2 1 0,-13 5 0,13-4 0,24-3 0,23-6 0,216-35 0,-195 23 0,-1-3 0,75-38 0,-126 52-92,0 0-49,0 0-1,1 0 1,0-1-1,-2 0 1,1-1-1,0 1 1,0-1-1,7-12 1,-6 0-6685</inkml:trace>
  <inkml:trace contextRef="#ctx0" brushRef="#br0" timeOffset="8">1462 3341 24575,'6'0'0,"15"0"0,17 0 0,18 0 0,17-7 0,4-5 0,-8 0 0,-13-4 0,-20-2 0,-16 3-8191</inkml:trace>
  <inkml:trace contextRef="#ctx0" brushRef="#br0" timeOffset="9">2773 3117 24575,'0'-5'0,"0"-1"0,0-1 0,0 2 0,-2-1 0,1-1 0,0 2 0,0-1 0,-1 1 0,1 0 0,-1-2 0,1 2 0,-2 0 0,2 0 0,-2-1 0,2 1 0,-5-4 0,3 7 0,1-1 0,-1 1 0,-1-1 0,2 0 0,-1 0 0,1 3 0,-2-2 0,2 0 0,-1 0 0,0 1 0,0-1 0,-1 2 0,1 0 0,-1 0 0,2 0 0,-2 0 0,2 0 0,-2 0 0,1 0 0,-1 0 0,2 2 0,-5 1 0,-3 1 0,-1 1 0,2-1 0,0 3 0,0 0 0,0 0 0,0 1 0,0 0 0,1 1 0,0 0 0,-1 1 0,-11 20 0,12-15 0,-2 3 0,1-2 0,0 2 0,3 0 0,-2 0 0,1 2 0,-6 32 0,12-48 0,0-2 0,0 2 0,1 0 0,-1-2 0,1 2 0,-1 0 0,1 0 0,0-1 0,0 1 0,1-1 0,-1 1 0,0-1 0,1 1 0,0 0 0,-1-1 0,1 0 0,0 1 0,-1-2 0,3 2 0,-1 3 0,1-3 0,-2-1 0,2 1 0,1-1 0,-1-1 0,-1 2 0,0-2 0,2 0 0,-2 1 0,2-1 0,-2 0 0,2-1 0,-1 0 0,6 4 0,2-3 0,1 1 0,-1-2 0,2 0 0,-2-1 0,1-1 0,0 0 0,22-8 0,-22 6 0,-1-3 0,1 1 0,-1-2 0,0-1 0,1 0 0,-2 0 0,1-2 0,-1 1 0,-2-1 0,13-16 0,-8 8 0,-2-1 0,0 0 0,0 0 0,-1-2 0,-1 1 0,12-40 0,-10 26 0,-4 0 0,2-2 0,-3 2 0,0-2 0,-1-1 0,-2 1 0,-1 0 0,-1-1 0,-4-59 0,3 74 0,-3 0 0,-8-39 0,10 54 0,0 2 0,-2-1 0,2-1 0,-1 2 0,0-1 0,0 1 0,-1 0 0,0-1 0,1 1 0,-2 0 0,0 1 0,1-1 0,-6-5 0,7 8 0,1 1 0,0 0 0,-1 1 0,1-1 0,-1 1 0,0-2 0,1 2 0,-1 0 0,0-1 0,1 1 0,0 0 0,-2 0 0,2 0 0,-1 1 0,1-1 0,0 0 0,-1 2 0,0-2 0,0 1 0,1-1 0,0 1 0,-1 0 0,1 1 0,0-1 0,-1 0 0,1 1 0,0-1 0,-2 0 0,2 1 0,1-1 0,-3 3 0,-1 3 0,-1 1 0,1 1 0,0-1 0,-1 1 0,-3 15 0,4-10 0,1-1 0,-1 1 0,1 0 0,1 0 0,0 0 0,2 0 0,-1 1 0,-1-1 0,2 0 0,2 2 0,-1-2 0,-1 0 0,2 0 0,1 1 0,-1-1 0,2-1 0,-1 1 0,1-1 0,1 0 0,-1 0 0,2 0 0,-1 0 0,1-2 0,0 1 0,1-2 0,0 0 0,0 1 0,1 0 0,-1-2 0,1 0 0,1-2 0,1 1 0,-2 0 0,15 7 0,-6-5-136,0-2-1,2 0 1,-3-3-1,3 0 1,0-1-1,-2 0 1,2-3-1,0 1 0,18-5 1,19-7-6690</inkml:trace>
  <inkml:trace contextRef="#ctx0" brushRef="#br0" timeOffset="10">3392 2843 24575,'0'-7'0,"0"0"0,0-3 0,0 2 0,-1-1 0,0 0 0,-1-13 0,1 20 0,-1-1 0,1 1 0,1-1 0,-1 0 0,-2 1 0,3 1 0,-1-2 0,-1 0 0,1 2 0,-1-1 0,0 0 0,1 0 0,0 0 0,-1 1 0,0-1 0,1 2 0,-2-2 0,2 0 0,-1 2 0,-4-2 0,-1-1 0,-2 1 0,2 0 0,-2 0 0,2 1 0,-2 1 0,1 0 0,0 1 0,0 1 0,-2-2 0,3 4 0,0-2 0,-2 1 0,2 1 0,-1-1 0,-11 10 0,13-9 0,0 1 0,1 0 0,-2 1 0,2-1 0,0 1 0,0 1 0,1-1 0,-2 1 0,2 0 0,-1 1 0,2 0 0,-1-1 0,0 1 0,2 2 0,-2-1 0,0-2 0,3 2 0,-4 18 0,4-23 0,1 0 0,-1-1 0,1 1 0,0 0 0,0-1 0,0 0 0,0 1 0,0 0 0,1 0 0,-1-2 0,1 2 0,0 0 0,-1-2 0,1 2 0,0-1 0,0 1 0,1-2 0,-2 1 0,3 1 0,-1 1 0,2-1 0,-2-2 0,1 3 0,0-3 0,0 0 0,0 1 0,1-1 0,-2 2 0,2-4 0,1 3 0,-3-1 0,1-1 0,6 2 0,2-3 0,0 2 0,-1-1 0,0-1 0,1-1 0,0-1 0,-2 2 0,1-3 0,1-1 0,8-4 0,-5-1 0,-1 1 0,0-2 0,0 0 0,0-2 0,-2 0 0,1 0 0,-1-1 0,1-2 0,-2 0 0,-1 0 0,1-1 0,-1-1 0,-1 0 0,-1-1 0,1 0 0,-1 0 0,6-24 0,-5 11 0,-2 1 0,1-1 0,-1-2 0,-2 1 0,-1-2 0,-1 2 0,-1-1 0,-1 0 0,0 1 0,-4-38 0,0 50 0,2-2 0,-2 2 0,-1 0 0,-9-30 0,12 43 0,0 1 0,0-1 0,-2 2 0,0-1 0,2-1 0,-1 2 0,-6-6 0,8 8 0,-2 1 0,2 0 0,-2 1 0,2-2 0,-1 2 0,0 0 0,-1 0 0,1-1 0,0 1 0,0 1 0,1-1 0,-3-1 0,3 2 0,-2 0 0,1 0 0,-5 0 0,5 0 0,-1 2 0,1-1 0,-1 0 0,1 1 0,0-1 0,0 0 0,0 2 0,-2-2 0,2 2 0,0-2 0,0 1 0,0 1 0,0 0 0,0-1 0,1 1 0,0-1 0,-1 3 0,1-3 0,0 0 0,0 3 0,-2-3 0,2 2 0,0 5 0,-3 5 0,1 2 0,-1-1 0,2-1 0,-1 22 0,2-14 0,1 1 0,0-1 0,0-2 0,2 2 0,0-1 0,0 1 0,2-1 0,0-1 0,1 1 0,1-1 0,6 20 0,-4-23 0,-2 0 0,1-2 0,0 0 0,2 0 0,-1 0 0,1-2 0,1 1 0,-1-3 0,1 2 0,1-3 0,-1 3 0,2-4 0,17 12 0,-14-12-76,1 0 1,1-2-1,-1-1 0,2 0 0,-2-1 0,2-3 0,-1 1 0,0-2 1,0-1-1,1-1 0,-1-2 0,0 1 0,0-2 0,0-1 1,0-2-1,0-1 0,27-16 0,12-22-6750</inkml:trace>
  <inkml:trace contextRef="#ctx0" brushRef="#br0" timeOffset="11">540 4634 24575,'1'0'0,"-1"0"0,0 0 0,0-2 0,0 2 0,0 0 0,2 0 0,-2 0 0,0 0 0,0 0 0,0 0 0,1-2 0,-1 2 0,0 0 0,0 0 0,1 0 0,-1-2 0,0 2 0,0 0 0,0 0 0,0 0 0,0 0 0,1 0 0,-1 0 0,0 0 0,1 0 0,-1 0 0,0 0 0,1 0 0,-1 0 0,0 0 0,0 0 0,1 0 0,-1 0 0,0 0 0,1 0 0,-1 0 0,0 0 0,1 2 0,-1-2 0,0 0 0,0 0 0,1 0 0,-1 0 0,0 2 0,0-2 0,0 0 0,2 0 0,-2 0 0,0 0 0,0 0 0,0 0 0,1 2 0,-1-2 0,0 0 0,0 0 0,0 1 0,0-1 0,0 0 0,0 2 0,0-2 0,0 0 0,0 0 0,0 0 0,0 0 0,0 2 0,0-2 0,0 0 0,0 2 0,18-33 0,-13 25 0,16-34 0,9-15 0,-30 55 0,0 0 0,0 0 0,1-2 0,-1 2 0,0 0 0,0-1 0,1 1 0,-1 0 0,1 0 0,-1 0 0,0-1 0,2 1 0,-2 0 0,0 0 0,1 0 0,-1 0 0,0-1 0,0 1 0,1 0 0,-1 0 0,0 0 0,1 0 0,-1 0 0,1 0 0,-1 0 0,0 0 0,1 1 0,-1-1 0,0 0 0,0 0 0,0 0 0,1 0 0,-1 0 0,1 1 0,-1-1 0,0 0 0,1 0 0,-1 1 0,0-1 0,1 0 0,-1 2 0,0-2 0,0 0 0,0 0 0,0 0 0,0 0 0,0 2 0,2-2 0,-2 0 0,0 2 0,0-2 0,0 1 0,0-1 0,0 0 0,0 1 0,0 0 0,4 34 0,-4-35 0,1 245 0,-2-146 0,1-86 0,0 1 0,-1 0 0,-1-1 0,1 1 0,-1-1 0,-4 17 0,4-25 0,2 0 0,-3 0 0,1-1 0,-1 1 0,1-1 0,0 1 0,-1-1 0,1 1 0,0-1 0,-1-1 0,-1 1 0,1-1 0,0 1 0,0-2 0,-1 1 0,0-1 0,-5 4 0,9-6 0,-1 0 0,1 0 0,-1 1 0,1-1 0,-1 0 0,0 0 0,1 0 0,-1 1 0,1-1 0,0 0 0,-1 1 0,-2-1 0,3 2 0,-1-2 0,1 1 0,0-1 0,0 1 0,-1-1 0,1 2 0,-1-2 0,0 2 0,16 1 0,39-11 0,-47 7 0,33-4-104,-24 3-54,1 1 1,-3-3-1,4 0 0,-3 0 1,2-2-1,-1 0 1,23-16-1,-16-1-6668</inkml:trace>
  <inkml:trace contextRef="#ctx0" brushRef="#br0" timeOffset="12">895 4610 24575,'0'-3'0,"1"0"0,-1 0 0,2 1 0,-2-1 0,0 1 0,1-1 0,0 1 0,0 0 0,0 0 0,0-1 0,0 1 0,0 0 0,2 0 0,0-2 0,22-26 0,-19 22 0,1 3 0,1-1 0,-1 1 0,1 0 0,0 1 0,0 0 0,0-1 0,1 3 0,9-3 0,-15 3 0,0 2 0,2 0 0,-2 0 0,0 0 0,1 0 0,0 0 0,-1 0 0,-1 0 0,3 2 0,-1 0 0,0-2 0,-2 2 0,2 1 0,-1-3 0,0 4 0,0-2 0,1 1 0,-2-1 0,2 1 0,-2 1 0,1-2 0,-1 2 0,1-1 0,1 6 0,-3-4 0,1-1 0,-1 0 0,1 1 0,-1-1 0,0 1 0,-1-1 0,1 1 0,-1-1 0,0 1 0,0 0 0,0-1 0,-1 1 0,1-1 0,-1 1 0,1-1 0,-1 1 0,-2-1 0,2 2 0,0-3 0,0 1 0,-3 5 0,-4 13 0,0-1 0,-19 30 0,7-15 0,-43 52 0,-9 16 0,72-103 0,-1 0 0,0-1 0,1 2 0,-1-1 0,0-1 0,1 1 0,-1 1 0,1-1 0,0 0 0,0-1 0,-2 2 0,2-1 0,0 0 0,0 0 0,-1 1 0,1-1 0,0 0 0,0 1 0,0-1 0,0 0 0,0 0 0,0 1 0,0-1 0,0 0 0,0 1 0,0-2 0,1 3 0,1-1 0,-2-1 0,2 0 0,-1 1 0,0-1 0,0-1 0,0 1 0,0 0 0,1-1 0,-1 2 0,0-2 0,0 1 0,1-1 0,-2 1 0,2-1 0,2 0 0,9 2 0,0-2 0,24-6 0,-35 6 0,271-68 0,-266 66-170,-1 0-1,1 0 0,0-1 1,-2-1-1,1 2 0,1-3 1,8-8-1,3-8-6655</inkml:trace>
  <inkml:trace contextRef="#ctx0" brushRef="#br0" timeOffset="13">1604 4560 24575,'-3'0'0,"7"-9"0,11-1 0,11-9 0,9-3 0,10 6 0,-1-5 0,3 2 0,-3 3 0,-12 6 0,-17 4 0</inkml:trace>
  <inkml:trace contextRef="#ctx0" brushRef="#br0" timeOffset="14">2541 4138 24575,'2'2'0,"2"-1"0,-3 2 0,1 0 0,0-1 0,1 2 0,-1-1 0,-1-1 0,1 2 0,-1-1 0,0 0 0,1 1 0,-1-1 0,-1 1 0,1 0 0,1 0 0,-1-1 0,-1 1 0,1 4 0,4 77 0,-5-65 0,2 45 0,-2-37 0,0-63 0,0 28 0,4-134 0,-3 123 0,1 2 0,0-1 0,0 0 0,2 2 0,-1-3 0,9-20 0,-11 35 0,0 1 0,0 0 0,0-3 0,0 3 0,1 0 0,-1-1 0,1 1 0,-2 0 0,2-1 0,0 0 0,-2 2 0,2-1 0,1 0 0,-2 1 0,1-2 0,0 2 0,1 0 0,-1 0 0,0-1 0,0 2 0,0-1 0,0 0 0,-1 1 0,3 0 0,-3-2 0,1 2 0,0 0 0,4 0 0,-2 2 0,-1-1 0,1 2 0,-1-2 0,1 1 0,0 1 0,-2 0 0,2-1 0,-1 1 0,0-1 0,0 2 0,0 1 0,-1-3 0,1 2 0,-1-1 0,5 10 0,0 3 0,-4-9 0,0-1 0,0-1 0,0 2 0,-1-2 0,8 8 0,-10-13 0,1 1 0,0 0 0,0-1 0,-1 2 0,2-2 0,-2 1 0,1-1 0,0 0 0,0 1 0,0-1 0,-1 0 0,1 0 0,0 1 0,0-1 0,0 0 0,-1 0 0,1 0 0,0 0 0,1 0 0,-1-1 0,-1 1 0,1 0 0,0 0 0,0-1 0,0 1 0,0 0 0,0-1 0,0 1 0,0-2 0,1 1 0,-2 1 0,0-1 0,1 1 0,0-2 0,0 0 0,33-55 0,4-3 0,-32 51 0,0 2 0,1-1 0,1 2 0,-2-1 0,3 1 0,6-6 0,-13 11 0,0 1 0,0-1 0,0-1 0,-1 2 0,1-2 0,0 2 0,1 0 0,-1 0 0,-1 0 0,1 0 0,0 0 0,0 0 0,1 0 0,-2 2 0,2-2 0,-2 2 0,1-2 0,-1 1 0,2 0 0,-1 0 0,-1 1 0,0-2 0,1 2 0,-1 0 0,0 0 0,3-1 0,-3 1 0,0 0 0,1 1 0,-1-2 0,-1 2 0,3 3 0,19 51 0,-17-44 0,-1-2 0,1 3 0,0-3 0,2 0 0,9 19 0,-14-27 0,0 0 0,2 0 0,-1 0 0,-1-2 0,1 2 0,1-1 0,-2 0 0,1 0 0,1 0 0,-1-1 0,1 0 0,-2-1 0,2 1 0,-1-1 0,0 2 0,1-2 0,-1 0 0,0 0 0,0-2 0,1 2 0,4-2 0,-1-2 0,1 1 0,-1 0 0,0-3 0,0 3 0,0-3 0,0 0 0,-1 1 0,0-2 0,0 0 0,1 0 0,-2 0 0,1-1 0,7-15 0,-6 9 0,0 0 0,-1 0 0,0-2 0,1 2 0,-3-1 0,1-2 0,6-30 0,-11 38 0,-4 25 0,-4 24 0,2-8 0,6-32 0,0 0 0,0 0 0,0 0 0,0 0 0,0 0 0,0 0 0,0-1 0,0 1 0,0 0 0,0 0 0,0 0 0,-1 0 0,1 0 0,0 0 0,0 0 0,0 0 0,0 0 0,0 0 0,0 0 0,0 0 0,0 0 0,0 0 0,0 0 0,0 0 0,0 0 0,0 0 0,0 0 0,0 0 0,0 0 0,0 0 0,0 0 0,0 0 0,0 0 0,0 0 0,0 0 0,0 0 0,0 0 0,0 0 0,0 0 0,-1 0 0,1 0 0,0 0 0,0 0 0,0 0 0,1-58 0,0 38 0,3 1 0,-2 0 0,10-37 0,-11 50 0,1-1 0,-1 0 0,2 1 0,-1 0 0,1 0 0,-1-1 0,2 1 0,-1 0 0,1 1 0,-1 0 0,2 0 0,-2 1 0,8-9 0,-8 12 0,-2 1 0,0-2 0,0 1 0,2 0 0,-2 1 0,0-2 0,1 2 0,-1 0 0,1-1 0,-1 1 0,1 0 0,0 0 0,0 0 0,-2 0 0,2 1 0,0-1 0,1 0 0,-2 2 0,1-2 0,-1 1 0,0-1 0,1 1 0,-2 1 0,2-1 0,1 0 0,-2 0 0,-1 1 0,2-1 0,-1 0 0,0 1 0,0-1 0,0 1 0,0 0 0,0 0 0,1 2 0,4 9 0,0 0 0,-1 2 0,-1-2 0,6 19 0,0 6 0,-10-36 0,1-1 0,0 0 0,-1 2 0,1-2 0,-1 0 0,2 1 0,-2-1 0,1 0 0,0 0 0,0 1 0,0-1 0,-1 0 0,1 1 0,0-1 0,0 0 0,0 0 0,0-1 0,2 2 0,-2-2 0,0 1 0,-1-1 0,2 1 0,-1-1 0,0 0 0,0 2 0,0-2 0,2 0 0,-2 0 0,-1 0 0,2 0 0,-1 0 0,0 0 0,0-2 0,0 2 0,0 0 0,0-1 0,1 1 0,-1-1 0,1 1 0,-1-2 0,0 1 0,0 0 0,0 1 0,0-1 0,0-2 0,7-7 0,0-1 0,-2 1 0,2 0 0,8-22 0,-6 12 0,3-7 0,4 1 0,-1 0 0,1 3 0,20-24 0,-31 43 0,-1-3 0,2 1 0,-2 3 0,2-3 0,-1 3 0,0-1 0,1 0 0,9-1 0,-13 3 0,0 2 0,2-1 0,-1 1 0,-1 0 0,2 0 0,-1 0 0,-1 1 0,1 1 0,-1-1 0,1 0 0,1 1 0,-2-1 0,0 1 0,1 1 0,7 5 0,-3 1 0,1 2 0,-1-2 0,1 2 0,-3 1 0,10 14 0,-8-11 0,2-1 0,17 21 0,-25-31-50,2-2-1,-1 1 1,0-2-1,0 2 0,0-1 1,0 0-1,1-1 1,0 0-1,-1 1 1,1-1-1,-1-1 0,1 0 1,0 2-1,-1-2 1,0-2-1,1 2 1,0 0-1,-1-1 0,1-1 1,0 1-1,-2 0 1,1-1-1,1 0 1,-1-1-1,1 2 1,3-6-1,27-22-6775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24.26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125 375 24575,'1'-42'0,"-1"-39"0,0 74 0,-1 0 0,0 0 0,-1 1 0,1-1 0,-1 1 0,-1-1 0,0 0 0,-4-10 0,6 17 0,1-1 0,0 1 0,0-1 0,-1 0 0,1 1 0,0-1 0,-1 1 0,1-1 0,-1 1 0,1 0 0,0-1 0,-1 1 0,1-1 0,-1 1 0,1 0 0,-1-1 0,1 1 0,-1 0 0,0 0 0,1-1 0,0 1 0,0 0 0,-1 0 0,1 0 0,-1 0 0,0-1 0,1 1 0,-1 0 0,1 0 0,-1 1 0,0-1 0,1 0 0,-1 0 0,0 0 0,1 0 0,-1 1 0,-1 0 0,0 0 0,0 1 0,1-1 0,0 1 0,-1 0 0,1 0 0,-1-2 0,1 2 0,-2 3 0,-3 6 0,0 0 0,0 2 0,2-2 0,0 1 0,0 0 0,-2 18 0,-8 81 0,12-89 0,-16 262 0,18-207 0,16 128 0,-11-173 0,0 1 0,3-1 0,14 39 0,-17-60 0,0 0 0,-1-1 0,2-1 0,0 2 0,11 11 0,-13-17 0,1 0 0,-1-1 0,1 0 0,0 0 0,-1-1 0,2 1 0,-1-1 0,0 1 0,1-2 0,12 5 0,-13-6 0,2 0 0,-1 0 0,0 0 0,0-1 0,0 0 0,0 0 0,0-1 0,0 1 0,0-1 0,0-1 0,0 1 0,-1-1 0,1 0 0,1 0 0,-3-1 0,2 0 0,0 0 0,-2 0 0,2 0 0,7-9 0,0 1 0,0-2 0,0 0 0,-1 0 0,0-1 0,16-28 0,-6 1 0,-1 1 0,-2-1 0,-4-2 0,0 1 0,-1-2 0,-3 0 0,8-62 0,-18 97 0,0-2 0,0 1 0,-1 0 0,0-1 0,0 1 0,-4-19 0,4 28 0,0 1 0,0 0 0,0-1 0,0 1 0,0-1 0,0 1 0,0-1 0,0 1 0,0 0 0,0-1 0,0 1 0,0-1 0,-1 1 0,1 0 0,0 0 0,0 0 0,-1-1 0,1 1 0,0 0 0,0-1 0,-1 1 0,1 0 0,0 0 0,-1-1 0,1 1 0,-1 0 0,1 0 0,0-1 0,-1 1 0,1 0 0,-1 0 0,1 0 0,0 0 0,-1 0 0,1 0 0,-1 0 0,1 0 0,-1 0 0,-8 14 0,3 5 0,2-1 0,0 1 0,1 1 0,0-1 0,2 0 0,0 1 0,2-1 0,0 0 0,1 1 0,1-2 0,1 2 0,6 19 0,-6-31 0,-2-1 0,2 0 0,0 0 0,1 0 0,-1 0 0,1-1 0,0 1 0,0-1 0,1 0 0,0-1 0,9 9 0,-11-13 0,0 2 0,0-1 0,-1 0 0,1 0 0,1 0 0,-1-1 0,-1 0 0,2 0 0,-1 0 0,0-1 0,0 1 0,1-1 0,0 0 0,-2 0 0,2 0 0,-1-1 0,0 1 0,0 0 0,1-1 0,-1-1 0,0 1 0,0-1 0,5-3 0,0 1 0,-2-1 0,1 0 0,-1 0 0,0-2 0,-1 1 0,1 0 0,0-2 0,-2 2 0,1-2 0,-1 1 0,0-1 0,6-14 0,3-8 0,-1-2 0,7-35 0,-7 24 0,-11 96 0,-2-42 0,0 0 0,1 1 0,0-2 0,0 1 0,2 0 0,-1 0 0,1-1 0,0 1 0,8 14 0,-9-21 0,1 2 0,1-1 0,-1-1 0,0 1 0,1-1 0,0 0 0,0 0 0,0 0 0,0 0 0,1-1 0,-1 1 0,1-1 0,0 0 0,0 0 0,0-2 0,1 2 0,-1-1 0,0 0 0,1-1 0,7 2 0,-9-2 0,0-1 0,0 0 0,1 0 0,-2 0 0,2 0 0,-1-1 0,0 0 0,0 0 0,0 0 0,1 0 0,-2-1 0,1 1 0,0-1 0,5-3 0,-3 1 0,0-1 0,0 1 0,0-2 0,-1 1 0,1 0 0,-2-1 0,8-9 0,-2-1 0,-1 0 0,0-1 0,-2 0 0,1 0 0,7-31 0,-10 25 0,7-44 0,-11 59 0,-1 0 0,0 0 0,0 0 0,0 0 0,-1-1 0,0 2 0,-1-2 0,0 2 0,-4-9 0,6 15 0,-1-1 0,0 0 0,1 1 0,0 0 0,-1-1 0,0 1 0,0-1 0,0 1 0,-1 0 0,1-1 0,0 1 0,-1 0 0,1 0 0,0-1 0,-1 1 0,-1 0 0,2 1 0,0 0 0,0-1 0,0 1 0,0 0 0,0 0 0,0 0 0,0 0 0,0 0 0,0 0 0,0 0 0,0 1 0,0-1 0,1 0 0,-1 0 0,0 1 0,0-1 0,0 0 0,0 0 0,1 1 0,-1-1 0,-1 2 0,-1 0 0,1 0 0,1 0 0,-1 0 0,0 1 0,1-2 0,-1 2 0,1-1 0,-1 1 0,1 0 0,0-1 0,0 0 0,0 1 0,0 0 0,1 0 0,0 0 0,-1 0 0,1-1 0,0 4 0,0-3 0,0 0 0,0-1 0,0 1 0,1 1 0,-1-1 0,0 0 0,1-1 0,0 1 0,0-1 0,0 1 0,1 0 0,-1-1 0,1 0 0,0 1 0,-1 0 0,1-1 0,0 0 0,0 0 0,0 0 0,0 0 0,3 2 0,2 0 0,1-1 0,-1 0 0,1 0 0,-1 0 0,17 3 0,-19-6 0,1 2 0,0-1 0,0 1 0,0 0 0,-1 0 0,1 1 0,-1-1 0,0 1 0,1 0 0,-2 1 0,2 0 0,5 5 0,-7-3 0,-1-1 0,1 1 0,-2-1 0,6 14 0,-6-13 0,0-1 0,0 1 0,0-1 0,1 0 0,1 0 0,3 6 0,-6-10 0,1 1 0,-1-1 0,1 0 0,0 1 0,-1-1 0,1 0 0,-1 0 0,1 0 0,0-1 0,0 1 0,0-1 0,0 1 0,0-1 0,1 1 0,-2-1 0,1 0 0,0 0 0,0 0 0,0 0 0,0 0 0,1 0 0,1-1 0,2-1 0,0 1 0,0-1 0,0-1 0,-2 1 0,2-2 0,0 1 0,-2 1 0,1-2 0,0 0 0,-1 0 0,1 0 0,-1 0 0,0-1 0,0 1 0,0-1 0,-1-1 0,0 2 0,0-2 0,0 1 0,2-8 0,3-5 0,-1-1 0,-2-1 0,1 1 0,4-38 0,-8 41 0,4-35 0,-6 47 0,0-1 0,0 2 0,0-1 0,-1 0 0,0 0 0,1 1 0,-1-1 0,-1 0 0,1 1 0,-3-5 0,4 8 0,0-1 0,0 1 0,0-1 0,-1 1 0,1 0 0,0-1 0,0 1 0,0 0 0,0-1 0,0 1 0,-1 0 0,1 0 0,0-1 0,-1 1 0,1 0 0,0 0 0,-1 0 0,1-1 0,0 1 0,-1 0 0,1 0 0,-1 0 0,1 0 0,0 0 0,-1 0 0,1 0 0,-1 0 0,1 0 0,-1 0 0,1 0 0,0 0 0,-1 0 0,1 0 0,-1 0 0,1 0 0,0 0 0,-1 1 0,1-1 0,0 0 0,-1 0 0,1 0 0,0 1 0,-1-1 0,1 0 0,0 1 0,-1-1 0,1 0 0,0 0 0,0 1 0,-1-1 0,1 0 0,0 1 0,0-1 0,0 1 0,0-1 0,0 0 0,0 1 0,0-1 0,0 1 0,-11 23 0,10-18 0,-1-1 0,2 1 0,-1 0 0,0-1 0,1 1 0,0 0 0,0 0 0,0 0 0,1-1 0,0 1 0,1 8 0,0-10 0,-1 0 0,1-2 0,0 2 0,1-1 0,-1 1 0,-1-2 0,2 1 0,0 0 0,0 0 0,0-1 0,-1 1 0,1-1 0,0 0 0,1 0 0,-1 0 0,0 0 0,0 0 0,8 1 0,2 1 0,-1-1 0,1 0 0,20 1 0,-24-4 0,1 1 0,0 1 0,-1 0 0,0 0 0,20 7 0,-26-7 0,0 1 0,1-1 0,-1 0 0,-1 1 0,1-1 0,0 1 0,0 0 0,0 0 0,-1 0 0,0-1 0,0 2 0,0-1 0,0 1 0,0 0 0,0-2 0,-1 2 0,0 0 0,0 0 0,1 6 0,1 6 0,-1-8 0,0 1 0,0-2 0,0 2 0,4 7 0,-5-14 0,1 1 0,-1 0 0,1-1 0,0 0 0,0 0 0,-1 0 0,1 0 0,0 0 0,0 0 0,1 0 0,-1 0 0,1-1 0,-2 1 0,2-2 0,0 2 0,4 1 0,-1-2 0,1 1 0,-1-1 0,1 0 0,-1-1 0,1 0 0,0 0 0,0 0 0,-1-1 0,1 0 0,0 0 0,-1-1 0,1 0 0,-2 0 0,2 0 0,-1-1 0,0 0 0,9-5 0,0-2 0,0 0 0,-1-1 0,0-1 0,0 0 0,14-18 0,-16 15 0,1 0 0,-3-1 0,0 0 0,0 1 0,11-30 0,-16 32 0,-2 2 0,1-1 0,0 0 0,-2-1 0,1 1 0,-2-1 0,0 0 0,-1 1 0,0-18 0,-1 27 0,1 0 0,-1 0 0,1-1 0,-1 0 0,0 2 0,-1-1 0,1-1 0,-1 1 0,1 0 0,-1 1 0,0-1 0,1 0 0,-1 0 0,0 0 0,-5-2 0,7 4 0,-1 0 0,0 1 0,0-1 0,0 1 0,0-1 0,0 1 0,0-1 0,0 1 0,0 0 0,0 0 0,0-1 0,0 1 0,-1 0 0,1 0 0,0 0 0,0 0 0,0 0 0,1 1 0,-3-1 0,1 1 0,0 0 0,-1 0 0,1 0 0,0 0 0,1 1 0,-1-2 0,0 2 0,0-1 0,1 1 0,-1 0 0,0-1 0,-1 4 0,-3 4 0,-1 0 0,2 1 0,0 0 0,0 0 0,1 1 0,0-1 0,1 1 0,-1-1 0,1 14 0,1-18 0,1 0 0,0 0 0,1-1 0,0 2 0,0-2 0,0 1 0,1 1 0,-1-2 0,2 1 0,-1-1 0,0 1 0,1 0 0,0-1 0,0 1 0,1 0 0,0-2 0,0 2 0,7 8 0,-6-10 0,-1-2 0,2 1 0,-1 0 0,0-1 0,0 1 0,1-1 0,0 0 0,-1-1 0,1 1 0,1-1 0,-2 0 0,1 0 0,0 0 0,0-1 0,0 1 0,0-1 0,0-1 0,0 1 0,0-1 0,0 0 0,0 0 0,6-3 0,2 1 0,-1-1 0,1-1 0,-2 0 0,1-1 0,-1-1 0,0 1 0,16-13 0,-19 12 0,0-1 0,1 0 0,-1-1 0,-1 1 0,0-1 0,0-1 0,-1 1 0,0-1 0,0-1 0,3-11 0,-9 22 0,0 0 0,1 0 0,-1 0 0,0 0 0,0 0 0,0 0 0,0 0 0,0 0 0,0 0 0,0 1 0,0-1 0,0 0 0,0 0 0,0 0 0,0 0 0,0 0 0,0 0 0,0 0 0,1 0 0,-1 0 0,0 0 0,0 0 0,0 0 0,0 0 0,0 0 0,0 0 0,0 0 0,0 0 0,0 0 0,0 0 0,0 0 0,1 0 0,-1 0 0,0 0 0,0 0 0,0 0 0,0 0 0,0 0 0,0 0 0,0 0 0,0 0 0,0 0 0,0-1 0,0 1 0,0 0 0,0 0 0,0 0 0,3 16 0,-3-10 0,0 1 0,1-1 0,0 0 0,-1 1 0,2-1 0,-1 0 0,2 0 0,-1 0 0,1 0 0,5 9 0,-5-11 0,1-2 0,-1 1 0,0 0 0,1-1 0,0 0 0,0 0 0,-1 0 0,1-1 0,0 1 0,0-1 0,0 1 0,0-1 0,1-1 0,7 2 0,-6-2 0,1-1 0,-1 0 0,1 0 0,0 0 0,-1-1 0,1 0 0,-1 0 0,11-5 0,-2-1 0,-1-1 0,-1 0 0,1-1 0,-2 0 0,2-1 0,19-24 0,-21 22 0,-10 7 0,2 2 0,-1 0 0,1-1 0,0 1 0,0 1 0,0-1 0,0 0 0,1 0 0,0 2 0,0-1 0,8-4 0,-11 7 0,1 0 0,0 1 0,0-1 0,0 1 0,-1 0 0,1 0 0,-1 0 0,1 1 0,0-1 0,-1 0 0,0 0 0,0 1 0,1-1 0,-1 1 0,0 0 0,2 3 0,17 10 0,-16-13 0,0 0 0,1 0 0,0 0 0,-1 0 0,1 0 0,0-1 0,-1 0 0,2 0 0,-2-1 0,1 0 0,0 0 0,0 0 0,0-1 0,-1 0 0,1 0 0,0 0 0,-1-1 0,7-3 0,-5 3 0,0-2 0,-1 0 0,0 0 0,0 0 0,0-1 0,-1 0 0,0 1 0,1-2 0,-2 0 0,1 1 0,-1-1 0,1 0 0,-2 0 0,5-10 0,-2 0 0,0 0 0,0 0 0,-3 0 0,1 0 0,-1-1 0,2-19 0,-4-7 0,-2-48 0,-18 162 0,9-9 0,3 0 0,0 101 0,8-156 14,0 1-1,0 0 0,0 0 0,1-1 1,0 1-1,1-1 0,0 1 1,4 9-1,-6-15-72,1 1-1,-1-1 1,1 1-1,0-1 1,-1 1 0,1-2-1,0 1 1,0 0-1,0 0 1,1 0 0,-1 0-1,0 0 1,0-1-1,1 0 1,0 0 0,0 0-1,-1 0 1,1 0-1,0 0 1,-1 0 0,2-1-1,-1 1 1,-1-1-1,6 0 1,16-4-6767</inkml:trace>
  <inkml:trace contextRef="#ctx0" brushRef="#br0" timeOffset="148.03">2840 375 24575,'3'0'0,"8"0"0,10 0 0,9-7 0,15-1 0,10-7 0,1-1 0,-8 2-8191</inkml:trace>
  <inkml:trace contextRef="#ctx0" brushRef="#br0" timeOffset="1274.59">3831 335 24575,'0'0'0,"1"0"0,1 0 0,-1-1 0,0 1 0,0-1 0,0 1 0,0-1 0,0 1 0,0-1 0,0 1 0,0 0 0,0-1 0,0 0 0,-1 0 0,0 0 0,1 0 0,0 0 0,0 0 0,-1 0 0,1 0 0,-1 0 0,1 0 0,-1 0 0,1 0 0,0-1 0,0-1 0,0 0 0,-1 0 0,1 0 0,0 0 0,-1 1 0,0-1 0,0 0 0,0-1 0,0-1 0,-1 0 0,-1-1 0,0 2 0,0-1 0,0 0 0,0 2 0,0-2 0,0 0 0,-1 2 0,0-1 0,-1-1 0,2 1 0,-2 1 0,0 0 0,0-1 0,1 1 0,-1 0 0,-1 1 0,1-1 0,0 0 0,-7-2 0,7 3 0,-1 1 0,0-1 0,1 1 0,0 0 0,-1 0 0,1 0 0,-1 0 0,0 1 0,1 0 0,-1 0 0,0 0 0,1 1 0,-1-1 0,0 1 0,1 0 0,-1 1 0,1-1 0,-1 0 0,1 1 0,0 0 0,-1 1 0,-2 2 0,-3 3 0,1 1 0,1-1 0,-1 1 0,1 1 0,0-1 0,2 1 0,-1 1 0,-7 15 0,2 1 0,1 0 0,-11 39 0,18-52 0,2 0 0,-1-1 0,2 1 0,-1 0 0,2 0 0,0 0 0,3 20 0,-3-30 0,1-1 0,0 2 0,1-1 0,-1 0 0,0-1 0,0 2 0,1-1 0,0-2 0,1 2 0,-1 0 0,1 0 0,3 4 0,-3-6 0,0 0 0,-1 0 0,0-1 0,1 1 0,0-1 0,0 0 0,0 0 0,0 0 0,-1 0 0,2 0 0,-1 0 0,0-1 0,0 1 0,0-1 0,0 0 0,0 0 0,1 0 0,-2-1 0,5 0 0,2-1 0,1-1 0,-1 1 0,0-2 0,0 0 0,-1 0 0,1 0 0,-1-1 0,1-1 0,-2 1 0,1-1 0,-1 0 0,1-1 0,-2 0 0,1 0 0,-2 0 0,6-9 0,5-8 0,-1 1 0,-1-2 0,0 0 0,11-35 0,-18 39 0,0-1 0,-2 0 0,0 0 0,-1 0 0,1-42 0,-5 49 0,0 0 0,-1 0 0,-1 0 0,-1 0 0,0 1 0,-1-1 0,0 1 0,-1 0 0,-10-20 0,14 31 0,-1 0 0,1 0 0,-1 1 0,1-1 0,-1 0 0,0 1 0,0 0 0,-1-1 0,1 1 0,-1 0 0,1 0 0,0 0 0,-1 1 0,0-1 0,-3-1 0,5 3 0,-1-1 0,0 1 0,0 0 0,1 0 0,-1 0 0,0 1 0,0-1 0,2 0 0,-2 0 0,0 1 0,1-1 0,-1 1 0,0 0 0,1-1 0,-1 1 0,1 0 0,0 0 0,0-1 0,-1 1 0,1 0 0,0 0 0,0 1 0,-1-1 0,1 0 0,0 1 0,0-1 0,0 1 0,0-1 0,-1 3 0,-2 5 0,-1-1 0,1 2 0,1-2 0,-1 1 0,1 1 0,0-1 0,1 1 0,1 0 0,0-1 0,0 1 0,1 0 0,0 0 0,0-1 0,1 2 0,0-2 0,0 1 0,2 0 0,0-1 0,5 15 0,-3-12 0,0-1 0,0 0 0,1-1 0,1 1 0,0-1 0,0-1 0,1 1 0,0-1 0,1 0 0,-1-1 0,2 0 0,-1 0 0,1-2 0,1 2 0,16 7 0,-15-10 0,1-1 0,0 1 0,0-1 0,0-1 0,1-1 0,0 0 0,-1-1 0,0 0 0,1-1 0,21-3 0,-29 2 0,0 0 0,-1 0 0,1 1 0,-1-2 0,1 0 0,0 0 0,-2-1 0,2 1 0,-1-1 0,0 0 0,0 0 0,0-1 0,-2 1 0,2 0 0,-1-2 0,1 1 0,-2-1 0,0 1 0,1-1 0,-1 0 0,0 1 0,0-1 0,-1-1 0,1 2 0,-1-2 0,0 1 0,0-8 0,-1 10 0,0-1 0,-1 0 0,1 0 0,-1 1 0,0-1 0,-1 0 0,1 0 0,0 1 0,-1-1 0,0 0 0,1 0 0,-1 2 0,-1-2 0,-1-4 0,2 7 0,0 0 0,0 0 0,0-1 0,0 1 0,0 0 0,-1 0 0,1 0 0,1-1 0,-2 1 0,1 0 0,0 1 0,-1-1 0,1 0 0,-1 0 0,0 1 0,1 0 0,-1 0 0,1-1 0,0 1 0,-1-1 0,0 1 0,1 0 0,-1 0 0,0 0 0,1 0 0,-1 0 0,0 1 0,1-1 0,0 0 0,-1 1 0,0-1 0,1 0 0,-1 1 0,-2 1 0,-1 1 0,-1 0 0,1 1 0,0-1 0,0 1 0,0 0 0,1 1 0,-1-1 0,1 1 0,1 0 0,-1-1 0,0 2 0,0 0 0,-3 9 0,1-3 0,2-2 0,0 1 0,0 0 0,1 2 0,1-2 0,-2 20 0,4-28 0,0-1 0,0 2 0,0-1 0,1 0 0,-1 0 0,1 0 0,0 0 0,0 0 0,-1 0 0,1 0 0,1-1 0,-1 1 0,1 0 0,0-1 0,0 1 0,0-1 0,0 0 0,-1 0 0,1 1 0,1-1 0,-1 0 0,1 0 0,0-1 0,-2 0 0,2 1 0,0 0 0,0-1 0,4 2 0,-3-2 0,1 1 0,-1-1 0,1 0 0,0 0 0,0-1 0,0 0 0,0 1 0,0-1 0,-1 0 0,1-1 0,0 1 0,-1 0 0,2-2 0,-2 1 0,0 0 0,1-1 0,8-4 0,-7 2 0,0-1 0,0-1 0,-1 2 0,1-2 0,-1-1 0,0 2 0,-1-2 0,1 2 0,-1-2 0,-1 0 0,1 0 0,4-14 0,13-21 0,-20 42 0,-1-1 0,1 0 0,0 1 0,0 0 0,0 0 0,0-1 0,0 1 0,0 0 0,0-1 0,-1 1 0,1 0 0,1 0 0,-1 0 0,0 0 0,0 0 0,0 0 0,0 0 0,0 0 0,0 0 0,0 0 0,0 1 0,0-1 0,0 0 0,-1 1 0,1-1 0,0 0 0,0 0 0,0 1 0,0 0 0,0-1 0,0 1 0,1 1 0,7 3 0,-3-3 0,0 0 0,0-2 0,1 2 0,-1-1 0,1-1 0,-2 1 0,2-1 0,-1-1 0,1 1 0,0-1 0,-2 0 0,2 0 0,-1 0 0,0-1 0,0 0 0,8-5 0,-4 2 0,0-1 0,0 0 0,-1-2 0,0 1 0,0-1 0,-1 0 0,0-1 0,8-11 0,-7 8 0,-1 1 0,-1-1 0,0 0 0,-1-1 0,0 1 0,4-18 0,-7 23 0,0-1 0,-2-1 0,0 2 0,1-2 0,-2 1 0,1-1 0,-1 1 0,0 0 0,-1-1 0,0 1 0,-2-12 0,-7 4 0,10 16 0,-1-1 0,1 1 0,0 0 0,-1 0 0,1 0 0,-1-1 0,1 1 0,0 0 0,-1 0 0,1 0 0,-1 0 0,1 0 0,0 0 0,0 0 0,0 0 0,-1 0 0,1 0 0,-1 0 0,1 0 0,-1 0 0,1 0 0,0 0 0,-1 1 0,1-1 0,-1 0 0,-1 2 0,0-1 0,0 1 0,1 0 0,-1-1 0,1 1 0,0-1 0,0 1 0,0 0 0,0 0 0,0 0 0,0 1 0,0-1 0,-1 3 0,-4 20 0,-1 1 0,2 0 0,3 0 0,-1 0 0,2 1 0,1-1 0,1 0 0,1 0 0,1 0 0,10 36 0,-9-49 14,2 0-1,-1-1 0,1-1 0,2 1 1,-2-1-1,2 0 0,0 0 1,13 11-1,-18-17-91,2 0 0,0-1 0,0 0-1,0 1 1,1-1 0,-1-1 0,1 1 0,-1-1 0,1 0-1,1 0 1,-2-2 0,2 2 0,-1-1 0,1-1 0,-1 1-1,1-1 1,0-1 0,6 1 0,16-8-6748</inkml:trace>
  <inkml:trace contextRef="#ctx0" brushRef="#br0" timeOffset="1599.36">4485 276 24575,'37'0'0,"34"1"0,127-16 0,-179 12 0,1 0 0,-2-2 0,1-1 0,0 1 0,-1-3 0,0 1 0,0-2 0,-1 0 0,0-1 0,0-1 0,19-18 0,-29 23 0,-1-1 0,0 1 0,-1-1 0,1 0 0,-1-1 0,5-11 0,-8 17 0,0-2 0,-1 1 0,1 0 0,-1-1 0,-1 2 0,1-2 0,0 0 0,-1 1 0,1 0 0,-1-1 0,0 1 0,0-1 0,0 1 0,-1 0 0,1-1 0,-1 0 0,0 1 0,-1-6 0,1 8 0,1 0 0,0 0 0,-1 0 0,1 0 0,-1 0 0,0 1 0,1-1 0,-1 0 0,0 1 0,1-1 0,-1 0 0,0 1 0,0-1 0,0 0 0,0 1 0,0-1 0,1 1 0,0-1 0,-1 1 0,0-1 0,0 1 0,0 0 0,0 0 0,-1-1 0,1 1 0,0 0 0,0 0 0,-1 0 0,0 1 0,0-1 0,0 1 0,-1 0 0,1 0 0,0 0 0,0 0 0,0 1 0,0-1 0,0 0 0,0 0 0,-3 4 0,-1 2 0,-2 1 0,2 0 0,-1 0 0,-8 15 0,6-4 0,0 1 0,2-1 0,-1 1 0,3 0 0,-7 30 0,11-41 0,-1 0 0,1 0 0,1 1 0,-1-2 0,2 2 0,-1-1 0,1 0 0,1 1 0,-1-2 0,1 2 0,1-2 0,0 1 0,0 0 0,9 14 0,-8-18 0,0 0 0,0-1 0,1 1 0,0 0 0,0-2 0,1 1 0,-1 0 0,0 0 0,2-2 0,-2 1 0,1 0 0,0 0 0,0-1 0,0 0 0,1-2 0,0 2 0,-1-1 0,9 0 0,9 0 0,1 0 0,-2-2 0,41-6 0,31-13-1365,-8-2-5461</inkml:trace>
  <inkml:trace contextRef="#ctx0" brushRef="#br0" timeOffset="3572.1">283 2040 24575,'0'-76'0,"0"732"0,0-1178 0,-1 633-65,-2-26-585,14 128 0,-2-161-6176</inkml:trace>
  <inkml:trace contextRef="#ctx0" brushRef="#br0" timeOffset="5236.07">521 2060 24575,'-21'-23'0,"15"17"0,0-1 0,0 1 0,0 0 0,-1 1 0,1-1 0,-2 0 0,1 2 0,-1-1 0,1 1 0,-1 0 0,-14-4 0,16 6 0,0 0 0,0 1 0,0 0 0,0 0 0,0 1 0,0 0 0,0 0 0,0 0 0,0 1 0,0 0 0,0 0 0,0 1 0,0-1 0,1 1 0,-8 4 0,5-3 0,1 2 0,0 0 0,0 0 0,0 1 0,0 0 0,1-1 0,0 2 0,0-1 0,-7 13 0,0 0 0,3-1 0,1 1 0,-1 2 0,3-2 0,-1 2 0,2 0 0,-6 39 0,6-29 0,3 1 0,1 0 0,1 0 0,2 0 0,6 46 0,-6-67 0,1 0 0,1-1 0,-1 1 0,2 0 0,0-1 0,0-1 0,0 2 0,2-2 0,0 1 0,-1-1 0,2 0 0,-1 0 0,2-1 0,-1 0 0,1 0 0,0-1 0,1 0 0,-1 0 0,16 8 0,-13-10 0,0 1 0,1-3 0,-1 1 0,2 0 0,-2-1 0,1 0 0,0-2 0,0 0 0,0 0 0,1-1 0,-1 0 0,0-1 0,0 0 0,0 0 0,0-2 0,14-4 0,-12 3 0,-1-2 0,0 0 0,0 0 0,0-2 0,-1 1 0,1-2 0,-2 1 0,0-1 0,0-1 0,0 0 0,-2 0 0,1-2 0,11-15 0,-8 5 0,0-2 0,-1 1 0,-1-1 0,-1-1 0,-2 1 0,11-50 0,-12 35 0,-2 0 0,-1 0 0,-4-76 0,0 108 0,0 1 0,0 0 0,0 0 0,-1 1 0,0-2 0,0 2 0,0-1 0,-1 0 0,0 1 0,1-1 0,-1 0 0,-5-5 0,7 10 0,0 1 0,0 0 0,0 0 0,-1 0 0,1 0 0,0-1 0,0 1 0,-1 0 0,1 0 0,0 0 0,0 0 0,-1 0 0,1 0 0,0 0 0,0 0 0,-1 0 0,1-1 0,0 1 0,-1 0 0,1 0 0,0 0 0,0 1 0,-1-1 0,1 0 0,0 0 0,0 0 0,0 0 0,0 0 0,0 0 0,0 0 0,-1 0 0,1 0 0,0 1 0,0-1 0,-1 0 0,1 0 0,0 0 0,0 1 0,0-1 0,-1 0 0,1 0 0,0 0 0,0 1 0,0-1 0,0 0 0,0 0 0,0 1 0,-1-1 0,1 0 0,0 1 0,0-1 0,-3 7 0,0-1 0,1 2 0,0-2 0,0 2 0,1-2 0,0 2 0,-1 8 0,0 56 0,2-57 0,1 16 0,1 0 0,2 0 0,14 61 0,-14-75 0,2-1 0,-1 0 0,2-1 0,0 1 0,1-1 0,0-1 0,2 1 0,-1-2 0,13 14 0,-17-21-136,1-2-1,-2 2 1,2-1-1,1-2 1,-2 2-1,2-1 1,-1-1-1,0 0 0,15 5 1,6-3-6690</inkml:trace>
  <inkml:trace contextRef="#ctx0" brushRef="#br0" timeOffset="5890.69">561 2436 24575,'16'-1'0,"1"-1"0,-1 0 0,0-2 0,0 0 0,0-1 0,-1 0 0,24-12 0,111-65 0,-130 70 0,48-27 0,0-5 0,-3-2 0,69-61 0,-126 99 0,0 1 0,-1-1 0,0 1 0,0-2 0,-1 1 0,0-2 0,9-16 0,-14 25 0,-1 0 0,0 0 0,1-1 0,-1 1 0,0 1 0,1-1 0,-1 0 0,0 0 0,0 0 0,0-1 0,0 1 0,0 0 0,0 0 0,0 0 0,0 0 0,-1-2 0,0 3 0,1 0 0,0-1 0,-1 1 0,1-1 0,-1 1 0,1 0 0,0-1 0,-1 1 0,1 0 0,-1-1 0,1 1 0,-1 0 0,1 0 0,-1-1 0,0 1 0,1 0 0,-1 0 0,1 0 0,-1 0 0,1 0 0,0 0 0,-1 0 0,0 0 0,-3 0 0,0 1 0,0 0 0,1 0 0,-1 0 0,0 0 0,0 0 0,-4 4 0,-3 2 0,0-1 0,1 2 0,0-1 0,0 2 0,0 0 0,2-1 0,-1 2 0,1 0 0,0 0 0,-7 14 0,12-19 0,0 0 0,1 0 0,-1 0 0,1 1 0,1-1 0,0 0 0,0 1 0,0-1 0,0 1 0,1 0 0,0 6 0,0-7 0,1-2 0,0 1 0,0 1 0,0-2 0,0 1 0,1 1 0,0-1 0,0-1 0,0 1 0,0-1 0,1 1 0,-2-1 0,2 0 0,0 0 0,1 1 0,3 2 0,1 0 0,-1-1 0,1-2 0,0 1 0,0 0 0,0 0 0,10 1 0,-7-1 0,0 0 0,22 11 0,-30-13 0,-1-1 0,1 1 0,-1 0 0,0 0 0,1 0 0,-1 1 0,1-1 0,-1 0 0,-1 0 0,1 1 0,-1 0 0,1 0 0,0 0 0,-1-1 0,2 7 0,-1 0 0,0 1 0,-2 0 0,2 13 0,-2-14 0,0-1 0,1 1 0,0-2 0,4 17 0,-3-21 0,-1 0 0,0 0 0,1-1 0,-2 0 0,2 1 0,0-1 0,0 1 0,0-1 0,0 1 0,0-1 0,0-1 0,0 1 0,0 0 0,1 0 0,0-1 0,-1 1 0,1-1 0,3 2 0,2-1 0,-1 0 0,2 0 0,-1-1 0,-1 1 0,2-2 0,-1 1 0,0-1 0,0 0 0,1-1 0,-2 0 0,2-1 0,-2 1 0,1-2 0,0 2 0,-1-2 0,1 0 0,-1-1 0,1 0 0,12-8 0,-3 0 0,0 0 0,0-1 0,-1-1 0,-1 0 0,0-1 0,20-28 0,-19 19 0,-1-1 0,-1 0 0,0-2 0,-2 1 0,13-41 0,-14 26 0,0-2 0,-4 1 0,4-43 0,-10 71 0,-1 1 0,0 0 0,-1-1 0,-2-18 0,2 29 0,1 0 0,-1 2 0,0-2 0,0 1 0,0-1 0,0 0 0,0 1 0,-1 0 0,1 0 0,-1 0 0,1 0 0,-4-4 0,4 5 0,0 0 0,0 1 0,-1-1 0,1 1 0,0 0 0,-1 0 0,1-1 0,0 1 0,0 0 0,-1-1 0,1 1 0,0 0 0,-1 0 0,1 0 0,-1 0 0,1 1 0,-1-1 0,1 0 0,0 1 0,0-1 0,0 0 0,-1 0 0,1 1 0,0-1 0,0 1 0,-2 1 0,-2 1 0,0 1 0,0 0 0,1-1 0,0 1 0,-1 1 0,1-1 0,1 0 0,-1 2 0,1-2 0,-1 1 0,-2 9 0,-5 8 0,-9 33 0,19-54 0,-6 19 14,2-1-1,0 1 0,1 0 0,1 0 1,1 1-1,0-1 0,2 1 1,2 22-1,-2-36-64,1-1 0,1 1-1,-2-1 1,2 1 0,0-1 0,1 1 0,-1-2-1,1 2 1,0-1 0,0 0 0,1 0 0,0-1-1,0 0 1,0 1 0,1-2 0,0 1-1,0 0 1,0-1 0,0 0 0,1 0 0,0 0-1,-1-1 1,1 0 0,0 0 0,1 0 0,-1-1-1,0 0 1,8 1 0,26 3-6775</inkml:trace>
  <inkml:trace contextRef="#ctx0" brushRef="#br0" timeOffset="6203.22">2027 2040 24575,'7'0'0,"9"0"0,8-7 0,11-2 0,9-6 0,10-1 0,3-4 0,2 1 0,-2 4 0,-11-3 0,-13 0 0,-13 2-8191</inkml:trace>
  <inkml:trace contextRef="#ctx0" brushRef="#br0" timeOffset="6438.34">2126 1683 24575,'0'7'0,"0"12"0,7 16 0,2 13 0,0 11 0,-3 9 0,6 5 0,0-6 0,5-6 0,6-14 0,-1-21 0,-3-16-8191</inkml:trace>
  <inkml:trace contextRef="#ctx0" brushRef="#br0" timeOffset="7013.29">2978 1584 24575,'-3'3'0,"-1"5"0,-7 1 0,-1 6 0,0-1-8191</inkml:trace>
  <inkml:trace contextRef="#ctx0" brushRef="#br0" timeOffset="7403.61">2899 1664 24575,'-14'-4'0,"14"4"0,0 0 0,0 0 0,-1 0 0,1 0 0,0 0 0,0 0 0,-1 0 0,1 0 0,0 0 0,0 0 0,-1-1 0,1 1 0,0 0 0,0 0 0,0 0 0,-1 0 0,1 0 0,0 0 0,0-1 0,0 1 0,-1 0 0,1 0 0,0 0 0,0 0 0,0-1 0,0 1 0,-1 0 0,1 0 0,0-1 0,0 1 0,0 0 0,0 0 0,0-1 0,0 1 0,0 0 0,0 0 0,0-1 0,0 1 0,0 0 0,0 0 0,0 0 0,0 0 0,0 0 0,0 0 0,0 0 0,0-1 0,0 1 0,0 0 0,1-1 0,-1 1 0,0 0 0,1 0 0,-1 0 0,0 1 0,1-1 0,-1 0 0,0 0 0,1 0 0,-1 0 0,0 0 0,1 0 0,-1 1 0,0-1 0,1 0 0,-1 0 0,0 0 0,0 0 0,1 0 0,-1 0 0,0 1 0,0-1 0,0 0 0,1 1 0,-1-1 0,0 0 0,0 1 0,0-1 0,0 0 0,0 1 0,0-1 0,1 0 0,-1 1 0,0-1 0,0 0 0,0 1 0,0 0 0,2 13 0,-4-2 0,-5-12 0,7-1 0,-1 0 0,1 1 0,0-1 0,-1 0 0,1 1 0,0-1 0,-1 0 0,1 0 0,0 0 0,0 0 0,0 0 0,0 0 0,0 1 0,0-1 0,0 0 0,0 0 0,0 0 0,1 0 0,-1 0 0,0 0 0,1 1 0,-1-1 0,0 1 0,1-1 0,-1 0 0,1 0 0,-1 0 0,1 1 0,1-2 0,-1 0 0,1 1 0,-1-1 0,0 1 0,1-1 0,-1 2 0,1-1 0,0 0 0,0-1 0,0 1 0,0 1 0,0-1 0,-1 0 0,1 1 0,1-1 0,-1 1 0,0-1 0,0 1 0,0 0 0,3 0 0,-4 0 0,-1 0 0,1 0 0,0 0 0,0 1 0,0-1 0,0 0 0,0 1 0,0-1 0,0 0 0,0 1 0,-1-1 0,0 1 0,1-1 0,0 1 0,0 0 0,-1-1 0,1 1 0,0 0 0,-1-1 0,1 1 0,0-1 0,-1 1 0,1 0 0,-1 0 0,0 0 0,1-1 0,-1 1 0,0 0 0,1 0 0,-1 0 0,0 0 0,0 0 0,0 0 0,0 0 0,0 0 0,0 0 0,0 0 0,0-1 0,0 1 0,-1 0 0,1 0 0,0 0 0,0 0 0,-1 0 0,0 1 0,1-1-3,0 0-1,0-1 1,-1 1 0,1 0-1,0 0 1,-1 0 0,1-1-1,0 1 1,-1-1-1,1 1 1,-1 0 0,0 0-1,1-1 1,-1 1 0,1 0-1,-1-1 1,1 1-1,0-1 1,-1 1 0,0-1-1,-1 1 1,1 0 11,1-1 1,-1 0-1,0-1 0,0 1 1,1 0-1,-1 0 1,0 0-1,1 0 1,-1 0-1,0-1 0,1 1 1,-1 0-1,0-1 1,1 1-1,-1 0 1,1-1-1,0 1 0,0-1 1,-1 1-1,1-1 1,-1 0-1,-2-2-156,1 1 1,-1-1-1,1 0 1,0-1-1,1 2 0,0-1 1,-1-1-1,1 0 1,-2-3-1,-1-21-6678</inkml:trace>
  <inkml:trace contextRef="#ctx0" brushRef="#br0" timeOffset="8162.49">2978 1902 24575,'-6'24'0,"6"-24"0,0 1 0,0-1 0,0 0 0,-1 1 0,1-1 0,0 0 0,0 1 0,0-1 0,-1 1 0,1-1 0,0 0 0,0 0 0,-1 1 0,1-1 0,0 0 0,-1 1 0,1-1 0,0 0 0,-1 0 0,1 0 0,0 1 0,-1-1 0,1 0 0,0 0 0,-1 0 0,1 0 0,-1 0 0,1 0 0,0 0 0,-1 0 0,1 0 0,0 0 0,0 0 0,0 0 0,-1 0 0,1 0 0,-1 0 0,1 0 0,0 0 0,-1 0 0,1 0 0,0 0 0,-1-1 0,1 1 0,0 0 0,-1 0 0,1-1 0,0 1 0,-1 0 0,1 0 0,0-1 0,-1 1 0,1 0 0,0-1 0,0 1 0,0 0 0,-1-1 0,1 0 0,0 0 0,-1 0 0,1 0 0,-1 0 0,1 0 0,0 0 0,-1 0 0,1 0 0,0 1 0,0-1 0,0 0 0,0 0 0,0 0 0,0 0 0,0 0 0,0 0 0,1 0 0,-1 0 0,0 0 0,0 0 0,1 0 0,-1 0 0,1 0 0,3 0 0,-7 14 0,6-12 0,-1 0 0,0 0 0,1 0 0,0-1 0,0 1 0,0 0 0,0-1 0,-1 1 0,1-1 0,1 0 0,2-1 0,-1 1 0,0 1 0,0-1 0,0 1 0,1 0 0,-2 0 0,2 1 0,-1 0 0,-1-1 0,1 1 0,0 0 0,-1 1 0,1-1 0,0 1 0,-1 1 0,0-2 0,0 2 0,0 0 0,-1 0 0,1-1 0,-1 1 0,1 0 0,3 9 0,-3-6 0,0 2 0,-1-2 0,-1 2 0,0-1 0,0 1 0,0-1 0,-1 0 0,0 1 0,-1-1 0,0 1 0,0 0 0,-1 0 0,-2 10 0,-3 6 7,0-2 0,-1-1 0,-1 2 0,-13 21 0,-51 85-1407,-19 10-5426</inkml:trace>
  <inkml:trace contextRef="#ctx0" brushRef="#br0" timeOffset="9005.41">283 1524 24575,'10'0'0,"24"0"0,46-2 0,57-20 0,69-18 0,81-20 0,68-16-3270,52-12 3270,31-1-3576,-3 4 3576,-23 16 0,-52 14-1689,-77 17 1689,-101 13 0,-94 19 0,-62 10 344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7.41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0 842 24575,'2'6'0,"-1"1"0,2 0 0,0 0 0,-1-1 0,2 1 0,-1-1 0,1 0 0,0 0 0,0 0 0,1 0 0,6 5 0,0 3 0,-6-8 0,0-1 0,1 1 0,0-1 0,-1 1 0,1-2 0,1 1 0,-1-1 0,1 1 0,0-1 0,0-1 0,15 6 0,-17-7 0,-1-1 0,2 0 0,-2 0 0,2 0 0,-2-1 0,2 0 0,-2 0 0,2 0 0,-1 0 0,0 0 0,0-1 0,0 0 0,0 0 0,0 0 0,0-1 0,-1 1 0,1-1 0,-1 0 0,1 0 0,5-4 0,5-4 0,-3 0 0,2 0 0,-2-1 0,-1-1 0,0 0 0,-1 0 0,1-1 0,-2 0 0,0 0 0,6-17 0,1-3 0,-1 0 0,-4-1 0,11-48 0,-6-7 0,-5 0 0,-4-1 0,-8-117 0,-5 135 0,3 61 0,-1 18 0,-1 29 0,3 39 0,4 1 0,4-1 0,4 0 0,28 107 0,-29-149-273,2-1 0,0 0 0,4-1 0,26 45 0,8-7-6553</inkml:trace>
  <inkml:trace contextRef="#ctx0" brushRef="#br0" timeOffset="331.45">357 757 24575,'80'-43'0,"24"-17"0,-3-3 0,180-151 0,-236 179 0,-44 34 0,-1 1 0,1-1 0,-1 1 0,1-1 0,-1 1 0,1-1 0,1 1 0,-2 0 0,1-1 0,0 1 0,-1 0 0,1-1 0,0 1 0,-1 0 0,1 0 0,0 0 0,0 0 0,-1 0 0,2 0 0,-1 0 0,0 0 0,-1 0 0,1 0 0,0 0 0,-1 0 0,1 0 0,0 1 0,0-1 0,-1 0 0,2 1 0,-1-1 0,-1 0 0,1 1 0,-1-1 0,1 1 0,-1-1 0,1 1 0,0-1 0,-1 1 0,0-1 0,1 1 0,-1 0 0,1-1 0,-1 1 0,0-1 0,2 1 0,-2 0 0,0 0 0,0-1 0,1 1 0,-1 0 0,0-1 0,0 1 0,0 0 0,0 1 0,1 6 0,0 1 0,-1 0 0,-1 15 0,1-18 0,-2 39 0,7 82 0,-3-111 0,2 0 0,-1 0 0,2-1 0,0 1 0,2-1 0,0 0 0,-1 0 0,18 23 0,-21-34 0,1 1 0,-1-1 0,2 0 0,-2 0 0,2 0 0,-1-1 0,1 1 0,-1-1 0,1 0 0,0 0 0,0 0 0,0-1 0,1 1 0,0-1 0,-1 0 0,1-1 0,-1 1 0,1-1 0,0 0 0,0 0 0,0-1 0,6 1 0,-4-2 0,-1 0 0,1 0 0,-1-1 0,0 0 0,0 0 0,0 0 0,0 0 0,-1-1 0,1 0 0,0-1 0,-1 1 0,0-1 0,0 0 0,0-1 0,-1 1 0,0-1 0,7-8 0,-4 3-341,0 1 0,-1-1-1,5-11 1,13-31-6485</inkml:trace>
  <inkml:trace contextRef="#ctx0" brushRef="#br0" timeOffset="424.37">1071 101 24575,'-8'0'0,"2"0"0</inkml:trace>
  <inkml:trace contextRef="#ctx0" brushRef="#br0" timeOffset="1188.76">1333 376 24575,'1'22'0,"3"0"0,0-1 0,11 33 0,-12-42 0,-2-8 0,2 7 0,1 1 0,-1-1 0,12 18 0,-15-27 0,1-1 0,0 1 0,-1-1 0,1 0 0,1 0 0,-2 1 0,1-1 0,0 0 0,0 0 0,0 0 0,0 0 0,0 0 0,0 0 0,1 0 0,-1 0 0,1 0 0,-1 0 0,0-1 0,1 1 0,0 0 0,-1-1 0,1 0 0,-1 1 0,1-1 0,-1 0 0,1 1 0,0-1 0,-1 0 0,1 0 0,-1 0 0,2 0 0,-2 0 0,1-1 0,-1 1 0,0 0 0,1-1 0,0 1 0,0-1 0,-1 1 0,2-2 0,6-4 0,-1-1 0,0 1 0,0-2 0,0 1 0,-1-1 0,-1 0 0,1 0 0,9-16 0,4-5 0,-2 3 0,-10 14 0,0 0 0,1 1 0,0-1 0,1 2 0,0-1 0,1 1 0,22-15 0,-33 25 0,1-1 0,0 1 0,-1-1 0,1 1 0,0 0 0,-1-1 0,1 1 0,1 0 0,-2 0 0,1-1 0,0 1 0,0 0 0,-1 0 0,1 0 0,0 0 0,0 0 0,-1 0 0,1 0 0,0 0 0,1 0 0,-1 0 0,-1 1 0,1-1 0,0 0 0,-1 0 0,1 1 0,0-1 0,1 1 0,0 1 0,-1-1 0,0 1 0,0-1 0,0 1 0,0-1 0,0 1 0,0-1 0,-1 1 0,2 0 0,-2 0 0,1-1 0,0 3 0,0 8 0,1 0 0,-2 24 0,0-30 0,0-5 0,0 13 0,1 0 0,4 23 0,-5-34 0,0-1 0,1 1 0,0-1 0,-1 1 0,1-1 0,0 1 0,0-1 0,1 0 0,-1 0 0,1 1 0,-1-1 0,1 0 0,-1 0 0,2 0 0,-1 0 0,0-1 0,-1 1 0,2 0 0,0-1 0,-1 1 0,5 1 0,-5-2 0,-1-1 0,2 0 0,-1 0 0,-1 0 0,1 0 0,-1 0 0,2 0 0,-1 0 0,-1 0 0,1-1 0,0 1 0,0-1 0,0 1 0,-1-1 0,1 1 0,-1-1 0,0 0 0,2 0 0,-2 0 0,0 0 0,1 0 0,-1 0 0,0 0 0,1 0 0,-1 0 0,1-2 0,28-39 0,-29 40 0,14-24 0,-7 12 0,0 0 0,1 0 0,1 0 0,13-15 0,-19 26 0,-2 0 0,1 1 0,0-1 0,0 1 0,0 0 0,1-1 0,-1 1 0,1 1 0,0-1 0,-1 0 0,1 1 0,0-1 0,0 1 0,0 0 0,1 1 0,-2-1 0,2 0 0,-1 1 0,-1 0 0,2 0 0,-1 0 0,0 0 0,8 2 0,12 4 0,-1 1 0,32 14 0,-30-11 0,47 13 0,-64-21 0,1 0 0,0-1 0,0 0 0,0 0 0,0-1 0,-1 0 0,1 0 0,0-1 0,14-3 0,-12 2 0,-2-1 0,1-1 0,-1 1 0,1-2 0,-1 1 0,-1-1 0,1 0 0,-2 0 0,2-1 0,-2 0 0,1-1 0,-1 1 0,0-1 0,-1-1 0,0 1 0,0-1 0,-1 0 0,1 0 0,-2 0 0,4-10 0,0-1 0,-1 0 0,-2 0 0,0-1 0,-2 1 0,1-1 0,-2 0 0,-2 0 0,-1-23 0,0 32 0,0 1 0,-1 0 0,-7-20 0,9 28 0,0 1 0,-1-1 0,1 1 0,0-1 0,-1 1 0,0 0 0,1-1 0,-1 1 0,0 0 0,0-1 0,0 1 0,-1 0 0,1 0 0,0-1 0,0 1 0,0 0 0,0 0 0,0 0 0,-2 1 0,2-1 0,0 0 0,-1 0 0,1 1 0,0-1 0,-2 1 0,2-1 0,-1 1 0,1 0 0,-1-1 0,1 1 0,-2 0 0,1 0 0,1 0 0,-4 0 0,2 1 0,1 0 0,0 0 0,-1 0 0,1 0 0,0 0 0,0 1 0,0-1 0,0 1 0,0-1 0,1 1 0,-1-1 0,-1 1 0,2 0 0,0 0 0,0 0 0,-2 2 0,-18 39 0,15-22 0,-1 1 0,2-1 0,1 1 0,0 0 0,2 0 0,1 0 0,4 39 0,-1-56 0,-1 1 0,0 0 0,1-1 0,-1 1 0,1-1 0,1 1 0,0-1 0,0 0 0,1 0 0,-1 0 0,1 0 0,-1-1 0,1 1 0,1-1 0,-1 0 0,8 4 0,-4-3 0,-1-1 0,1 1 0,1-2 0,0 1 0,-1-1 0,1 0 0,0-1 0,1 0 0,-1 0 0,10 0 0,11 0 0,0-2 0,-1 0 0,2-2 0,-2-1 0,55-12 0,-47 7-341,-1-2 0,0-2-1,59-25 1,-28 1-6485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6.42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396 498 24575,'0'-15'0,"0"-12"0,0 0 0,-3-1 0,-8-43 0,9 63 0,0 0 0,-2 1 0,1-1 0,0 1 0,-1 0 0,0 0 0,-1 0 0,0 0 0,0 1 0,-1 0 0,0 0 0,0 0 0,-1 0 0,1 1 0,-1 0 0,0 0 0,-9-4 0,13 7 0,0 0 0,-2 1 0,2-1 0,-2 0 0,2 1 0,-2 0 0,2 0 0,-1 0 0,-1 0 0,2 1 0,-2 0 0,1-1 0,0 1 0,0 0 0,-1 1 0,1-1 0,0 1 0,0 0 0,1-1 0,-2 2 0,1-1 0,0 0 0,1 1 0,-2-1 0,2 1 0,0 0 0,-1 0 0,1 1 0,-1-1 0,1 0 0,0 1 0,1 0 0,-2 0 0,2 0 0,-5 6 0,-5 9 0,-1 0 0,2 1 0,1 1 0,1 0 0,-6 20 0,-4 15 0,2 1 0,4 1 0,-11 96 0,22-112 0,1 0 0,2 0 0,2 0 0,3 0 0,21 79 0,-20-100 0,1 1 0,1-2 0,0 1 0,2-1 0,0 0 0,27 32 0,-30-43 0,-1 0 0,2 0 0,-1 0 0,1-1 0,0-1 0,1 1 0,0-1 0,0-1 0,0 1 0,0-1 0,2-1 0,-1 0 0,0 0 0,0-1 0,20 3 0,-17-5 0,1 0 0,-2-1 0,2 0 0,0-1 0,-2 0 0,2-1 0,-2 0 0,2-1 0,-2-1 0,16-5 0,-11 2 0,1-1 0,-1-1 0,-2-1 0,1 0 0,0-1 0,24-19 0,-22 13 0,0-2 0,-1 1 0,-1-2 0,-2 0 0,1-1 0,-2 0 0,-1-1 0,-2 0 0,1-1 0,10-39 0,-16 38 0,-1 0 0,-1 0 0,-1 0 0,-2 0 0,-2-25 0,-1 33 0,-1 18 0,-1 26 0,5-13 0,0 0 0,2 0 0,-1 0 0,2 0 0,0-1 0,1 0 0,1 1 0,1-2 0,-1 1 0,2-1 0,11 16 0,-14-24 0,-2 0 0,2 0 0,-1-1 0,1 1 0,0-1 0,0 0 0,1 0 0,-1-1 0,1 1 0,-1-1 0,2 0 0,-1 0 0,1-1 0,-1 0 0,0 0 0,1 0 0,-1 0 0,1-1 0,0 0 0,0-1 0,1 1 0,-2-1 0,1 0 0,0-1 0,-1 1 0,1-1 0,0 0 0,0-1 0,-1 0 0,9-3 0,-6 2 0,0-1 0,0 0 0,-1 0 0,0 0 0,0-1 0,0-1 0,-1 1 0,0-1 0,0 0 0,0 0 0,-1-1 0,0 0 0,0 0 0,-1 0 0,0 0 0,-1-1 0,1 0 0,-2 0 0,0 0 0,0 0 0,0 0 0,-1 0 0,-1-1 0,1 1 0,-1-1 0,-1-16 0,-7 3 0,7 22 0,0 0 0,0-1 0,-1 1 0,1 0 0,0-1 0,-1 1 0,1 0 0,0 0 0,-1-1 0,1 1 0,0 0 0,-2 0 0,2-1 0,0 1 0,-1 0 0,1 0 0,-1 0 0,1 0 0,0 0 0,-1 0 0,1 0 0,-1 0 0,1 0 0,0 0 0,-1 0 0,1 0 0,-1 0 0,0 0 0,-1 1 0,1-1 0,0 1 0,0 0 0,0 0 0,1 0 0,-1 0 0,0 0 0,0 0 0,-1 0 0,2 0 0,-1 1 0,1-1 0,-1 0 0,1 0 0,-1 1 0,1-1 0,0 0 0,-1 0 0,1 1 0,0-1 0,0 0 0,0 1 0,0-1 0,0 0 0,0 1 0,1 1 0,1 5 0,1-1 0,-1 1 0,0-1 0,1 0 0,1 0 0,0 0 0,0 0 0,0-1 0,2 1 0,-2-1 0,2 0 0,0 0 0,-1-1 0,2 0 0,0 1 0,-1-2 0,1 1 0,0-1 0,1 0 0,0 0 0,-2-1 0,2 0 0,15 4 0,-16-5 0,-1 0 0,2 0 0,-1 0 0,1-1 0,-2 0 0,2 0 0,0-1 0,-1 0 0,1 0 0,0 0 0,-2-1 0,2 0 0,-1 0 0,1-1 0,-1 0 0,1 0 0,-2 0 0,1-1 0,0 0 0,0 0 0,-1-1 0,0 0 0,0 0 0,0 0 0,0 0 0,-2-1 0,10-8 0,-6 2 0,0 0 0,-2 0 0,1 0 0,-1-1 0,-1 0 0,0 0 0,-1 0 0,0-1 0,-1 1 0,-1-1 0,-1 1 0,2-22 0,-3 26 0,-1-1 0,-1 1 0,1-1 0,0 1 0,-1 0 0,-1-1 0,0 1 0,0 0 0,-2 0 0,2 1 0,-1-1 0,-2 1 0,0 0 0,2 0 0,-3 0 0,1 1 0,0-1 0,-1 1 0,-12-7 0,17 11 0,-2 0 0,2 1 0,-1-1 0,0 1 0,0 0 0,0-1 0,-1 2 0,1-1 0,1 0 0,-2 0 0,1 1 0,0 0 0,-1-1 0,1 1 0,-1 0 0,1 1 0,0-1 0,-1 0 0,1 1 0,-4 1 0,5-2 0,1 1 0,-1 0 0,0 0 0,0 0 0,1 0 0,0 0 0,0 0 0,0 1 0,-2-1 0,2 0 0,0 1 0,1-1 0,-1 0 0,0 1 0,0-1 0,1 1 0,-1 0 0,0-1 0,1 1 0,0-1 0,-2 1 0,2 0 0,0-1 0,0 1 0,0 0 0,0-1 0,0 1 0,0 0 0,0-1 0,2 1 0,-2 0 0,1-1 0,-1 1 0,1-1 0,0 1 0,1 2 0,-1-2 0,0 1 0,1 0 0,0 0 0,-1-1 0,1 1 0,0-1 0,1 1 0,-1-1 0,0 0 0,0 0 0,1 0 0,0 0 0,-1 0 0,2 0 0,-2-1 0,1 1 0,1-1 0,5 2 0,3 1 0,0-2 0,2 1 0,22 0 0,-26-2 0,-1 0 0,1 0 0,-1 0 0,0 1 0,1 0 0,-1 1 0,9 3 0,-9 0 0,0 0 0,0 1 0,-1-1 0,0 2 0,0-1 0,-2 1 0,9 9 0,-8-8 0,1 0 0,-2-1 0,3 0 0,-1 0 0,13 7 0,-17-13 0,-1 0 0,1 0 0,0 0 0,0-1 0,0 1 0,0-1 0,0 0 0,1 0 0,-1 0 0,-1-1 0,2 1 0,-1-1 0,1 0 0,-1 0 0,0 0 0,0-1 0,1 1 0,-1-1 0,4-1 0,-1 0 0,0-1 0,-2 1 0,2-1 0,-1 0 0,-1-1 0,1 1 0,-1-1 0,1 0 0,-1 0 0,0 0 0,0-1 0,-1 0 0,0 0 0,0 0 0,-1 0 0,1 0 0,-1-1 0,1 1 0,-2-1 0,0 0 0,0 0 0,2-9 0,0-3 0,1 0 0,-3 0 0,0 0 0,-2 0 0,0 0 0,-3-29 0,1 37 0,-1-1 0,0 0 0,-9-20 0,12 29 0,-2 0 0,2-1 0,-1 2 0,0-1 0,0 0 0,0 0 0,0 0 0,0 0 0,-2 1 0,2-1 0,0 0 0,-1 1 0,1-1 0,-1 1 0,-1 0 0,2-1 0,-1 1 0,0 0 0,-1 0 0,1 0 0,0 0 0,0 1 0,-1-1 0,1 0 0,0 1 0,0-1 0,-5 1 0,6 0 0,-1 1 0,-1-1 0,1 1 0,1-1 0,-1 1 0,-1 0 0,2 0 0,-1-1 0,1 1 0,-1 0 0,1 1 0,-1-1 0,0 0 0,1 0 0,0 0 0,0 1 0,-1-1 0,0 1 0,1-1 0,1 1 0,-1-1 0,0 1 0,0 0 0,1-1 0,-1 1 0,1 0 0,-1 0 0,1-1 0,0 1 0,-1 0 0,1 0 0,0 0 0,0-1 0,1 4 0,-1 0 0,1 0 0,-1-1 0,1 1 0,0 0 0,0 0 0,1-1 0,0 1 0,0-1 0,0 1 0,1-1 0,4 7 0,-1-5 0,1-1 0,-2 0 0,2-1 0,0 1 0,-1-1 0,2 0 0,-1-1 0,1 1 0,0-1 0,0 0 0,0-1 0,-1 0 0,11 2 0,-4-1 0,1 1 0,-2 0 0,15 7 0,-23-8 0,-1 0 0,-1 0 0,2 1 0,-2-1 0,1 1 0,0 0 0,-2-1 0,2 1 0,-1 1 0,-1-1 0,1 0 0,-1 1 0,0-1 0,0 1 0,0-1 0,-1 1 0,0 0 0,1 5 0,-2-5 0,1 0 0,0 0 0,2 0 0,-2 0 0,1 0 0,0-1 0,0 1 0,2-1 0,-2 1 0,1-1 0,1 0 0,-1 0 0,1 0 0,0 0 0,6 5 0,-6-8 0,-2 0 0,0 0 0,1-1 0,0 1 0,0-1 0,-1 1 0,2-1 0,-2 0 0,1 0 0,0 0 0,0 0 0,-1 0 0,1-1 0,0 1 0,0-1 0,-1 1 0,1-1 0,0 0 0,-1 0 0,0 0 0,2 0 0,-2-1 0,0 1 0,3-3 0,9-4 0,-1-2 0,21-17 0,-32 25 0,9-8 0,0 0 0,-1-2 0,-1 1 0,0-1 0,0 0 0,-2 0 0,10-20 0,-14 26 0,0 1 0,-1-1 0,0 0 0,-1 1 0,0-1 0,0 0 0,1 0 0,-1 0 0,-1 0 0,0 0 0,-1 0 0,1 0 0,-2 0 0,1 0 0,0 0 0,-1 0 0,0 1 0,-1-1 0,-4-9 0,7 14 0,-2 0 0,1 0 0,1-1 0,-1 1 0,1 0 0,-1 0 0,0 0 0,0 0 0,0 0 0,0 0 0,-1 0 0,1 1 0,0-1 0,0 0 0,0 0 0,0 1 0,0-1 0,0 0 0,0 1 0,-1 0 0,0-1 0,1 1 0,0 0 0,-1-1 0,1 1 0,-1 0 0,1 0 0,-1 0 0,1 0 0,0 0 0,0 0 0,-2 1 0,2-1 0,0 0 0,-1 1 0,1-1 0,0 0 0,0 1 0,-1 0 0,1-1 0,0 1 0,0 0 0,-1-1 0,1 1 0,1 0 0,-1 0 0,-2 1 0,-1 3 0,-1-1 0,2 1 0,-2 0 0,2 0 0,0 0 0,0 1 0,1-1 0,-1 1 0,-1 6 0,2-6 0,0 0 0,1 1 0,0-1 0,1 0 0,-1 0 0,1 1 0,0-1 0,1 0 0,0 0 0,0 0 0,0 1 0,0-1 0,1 0 0,1 0 0,5 8 0,-5-8 0,1-1 0,2 1 0,-1-1 0,0 0 0,1 0 0,-1-1 0,1 1 0,1-1 0,-2-1 0,2 1 0,0-1 0,0 0 0,-1 0 0,12 3 0,-8-3 0,-1 0 0,2 0 0,-1-1 0,0 0 0,0-1 0,0 0 0,0 0 0,0-1 0,0 0 0,1 0 0,-1-1 0,0-1 0,0 1 0,0-1 0,-1-1 0,1 0 0,0 0 0,-1 0 0,0-1 0,0-1 0,0 1 0,-1-1 0,1-1 0,-1 1 0,0-1 0,-1 0 0,0-1 0,0 0 0,0 0 0,8-12 0,-5 4 0,-1-1 0,13-32 0,-14 29 0,23 77 0,-27-53 0,-1 0 0,2 0 0,-2-1 0,2 1 0,-1-1 0,2 1 0,-2-1 0,2-1 0,-2 1 0,2-1 0,1 1 0,-2-1 0,1-1 0,1 1 0,-2-1 0,2 0 0,0 0 0,-2-1 0,2 0 0,0 0 0,0 0 0,-1 0 0,1-1 0,9-1 0,-8 0 0,0 0 0,-1-1 0,1 1 0,-1-2 0,1 1 0,0-1 0,-1 0 0,-1 0 0,1-1 0,0 0 0,0 0 0,-2 0 0,2-1 0,-1 0 0,-1 0 0,1 0 0,-2 0 0,1-1 0,-1 0 0,7-10 0,-4 3 0,0-1 0,-1 0 0,-1 1 0,-1-2 0,5-27 0,-9 42 0,0 0 0,0-1 0,0 1 0,0 0 0,0 0 0,0 0 0,0-1 0,0 1 0,1 0 0,-1 0 0,0 0 0,0 0 0,0-1 0,0 1 0,0 0 0,0 0 0,0 0 0,0 0 0,0-1 0,1 1 0,-1 0 0,0 0 0,0 0 0,0 0 0,0 0 0,0 0 0,1-1 0,-1 1 0,0 0 0,0 0 0,0 0 0,0 0 0,1 0 0,-1 0 0,0 0 0,0 0 0,0 0 0,1 0 0,-1 0 0,0 0 0,0 0 0,0 0 0,13 7 0,17 26 0,-5-6 0,-15-19 0,0 0 0,0-1 0,1 1 0,0-2 0,1 1 0,0-2 0,0 1 0,1-1 0,-1-1 0,2 0 0,21 4 0,-30-7 0,2-1 0,0 1 0,-1-1 0,1 0 0,0 0 0,0-1 0,-1 0 0,1 0 0,0 0 0,0-1 0,-2 0 0,2 0 0,-1 0 0,0-1 0,0 1 0,0-1 0,-1-1 0,1 1 0,-1-1 0,0 0 0,1 0 0,-2 0 0,1 0 0,-1-1 0,5-6 0,-1-2 0,0 1 0,-1-1 0,-1 0 0,0-1 0,0 0 0,-2 0 0,-1 0 0,1 0 0,-2 0 0,0 0 0,-1-16 0,-2-5 0,0 0 0,-3 1 0,-12-48 0,11 61 0,-17-63 0,19 75 0,-1-1 0,0 1 0,-1 0 0,1 0 0,-2 1 0,-7-11 0,13 18 0,0 1 0,-2 0 0,2-1 0,0 1 0,0-1 0,0 1 0,-1 0 0,1-1 0,0 1 0,0 0 0,-1-1 0,1 1 0,0 0 0,0-1 0,-1 1 0,1 0 0,0 0 0,-1 0 0,1-1 0,-1 1 0,1 0 0,0 0 0,-1 0 0,1 0 0,-1-1 0,1 1 0,0 0 0,-2 0 0,2 0 0,-1 0 0,1 0 0,-1 0 0,1 0 0,0 0 0,-1 0 0,1 1 0,-1-1 0,1 0 0,0 0 0,-1 0 0,1 0 0,-1 1 0,1-1 0,0 0 0,-1 0 0,1 1 0,0-1 0,-2 0 0,-7 22 0,4 19 0,0 0 0,3-1 0,1 1 0,10 67 0,-8-94 0,1 0 0,2 1 0,0-1 0,1 0 0,-1-1 0,2 1 0,15 24 0,-17-32 0,0-1 0,-1 0 0,2 0 0,1 0 0,-2-1 0,2 1 0,-2-1 0,2 0 0,-1 0 0,2-1 0,-1 1 0,0-1 0,0 0 0,1-1 0,0 1 0,-1-1 0,1-1 0,0 1 0,0-1 0,9 1 0,-10-2-195,-1 1 0,0-2 0,0 1 0,0 0 0,0-1 0,8-2 0,22-10-6631</inkml:trace>
  <inkml:trace contextRef="#ctx0" brushRef="#br0" timeOffset="137.26">3465 244 24575,'4'0'0,"13"-7"0,17-3 0,17-17 0,14-11 0,11-7 0,9 4 0,2 7 0,-14 7-8191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0.2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340 171 24575,'-1'-5'0,"0"-1"0,-1 1 0,0 0 0,0 0 0,-1 0 0,0 1 0,1-1 0,-7-7 0,-4-5 0,11 13 0,0 0 0,0-1 0,-2 1 0,1 1 0,1-1 0,-3 0 0,2 1 0,-1 0 0,0-1 0,0 1 0,0 1 0,-1-1 0,1 0 0,-1 1 0,1 0 0,-1 0 0,0 0 0,0 0 0,0 1 0,0 0 0,-6-1 0,4 2 0,2 0 0,-1 0 0,0 1 0,1 0 0,-1 0 0,0 0 0,1 0 0,-1 1 0,1 0 0,0 0 0,0 0 0,-1 0 0,1 1 0,1 0 0,-1 0 0,1 0 0,-1 1 0,1-1 0,-5 6 0,-1 2 0,0 1 0,1 0 0,1 1 0,0-1 0,0 1 0,2 1 0,0-1 0,1 1 0,1 0 0,-1 0 0,0 15 0,-2 21 0,-1 89 0,8-113 0,1-1 0,1 0 0,2 1 0,0-1 0,2 0 0,15 39 0,-17-56 0,-1-1 0,1 1 0,1-1 0,-1 0 0,2-1 0,0 1 0,-1-1 0,1 0 0,1 0 0,12 9 0,-14-12 0,1 0 0,1 0 0,-2 0 0,2-1 0,0 0 0,0 0 0,-1 0 0,1-1 0,0 0 0,0 0 0,-1 0 0,1-1 0,0 0 0,0 0 0,13-2 0,-6-1 0,1 0 0,0-1 0,-2 0 0,1-1 0,-1-1 0,1 0 0,-2 0 0,0-1 0,1-1 0,-1 0 0,-1 0 0,-1-1 0,2 0 0,-2-1 0,13-17 0,-7 8 0,-1-1 0,-2 0 0,1-1 0,-3 0 0,0-1 0,-1 0 0,12-44 0,-17 46 0,-1-1 0,-1 1 0,-1-1 0,-1 0 0,-1 1 0,-1-1 0,-1 0 0,-1 1 0,-1 0 0,-14-38 0,1 33 0,17 25 0,-1-1 0,1 0 0,-1 1 0,1-1 0,-1 1 0,0 0 0,1-1 0,-1 1 0,0-1 0,1 1 0,-1 0 0,-1 0 0,2-1 0,-1 1 0,0 0 0,0 0 0,1 0 0,-1 0 0,0 0 0,-1 0 0,0 1 0,0 0 0,1 0 0,-1 0 0,1 0 0,-1 0 0,0 1 0,1-1 0,-1 0 0,1 1 0,0-1 0,0 1 0,0-1 0,-1 1 0,2 0 0,-1-1 0,0 1 0,1 0 0,-1 0 0,1 0 0,-1-1 0,1 1 0,0 3 0,-5 20 0,2-1 0,1 1 0,1 0 0,1 0 0,2 0 0,0-1 0,11 35 0,-4-24 0,1-1 0,2 0 0,3-1 0,30 52 0,-44-83-29,8 13 80,1-1 0,15 19 0,-22-30-151,0 0 1,1 0 0,-1 0 0,0 0-1,1 0 1,0 0 0,0-1 0,0 0-1,1 0 1,-2 0 0,2 0 0,-1 0-1,0-1 1,8 2 0,17-3-6727</inkml:trace>
  <inkml:trace contextRef="#ctx0" brushRef="#br0" timeOffset="666.72">317 552 24575,'-1'0'0,"1"-1"0,-1 1 0,1 0 0,-1 0 0,1 0 0,-2 0 0,2 0 0,-1 0 0,1 0 0,-1 0 0,1 0 0,-1 0 0,1 0 0,-1 0 0,1 1 0,-1-1 0,1 0 0,-1 0 0,1 0 0,-1 1 0,1-1 0,-2 0 0,2 1 0,0-1 0,-1 0 0,1 1 0,0-1 0,-1 0 0,1 1 0,0-1 0,-1 1 0,1-1 0,0 1 0,0-1 0,-1 1 0,1-1 0,0 1 0,0-1 0,0 1 0,0-1 0,0 1 0,0-1 0,0 1 0,0-1 0,0 1 0,0-1 0,0 2 0,1-1 0,-1 0 0,1 0 0,0 0 0,-1 0 0,1 0 0,1 0 0,-1-1 0,0 1 0,0 0 0,0 0 0,0-1 0,0 1 0,0 0 0,1-1 0,-1 1 0,0-1 0,1 1 0,-1-1 0,0 0 0,0 0 0,1 1 0,0-1 0,0 0 0,11 0 0,0-1 0,0 0 0,0 0 0,0-1 0,0-1 0,-1 0 0,0 0 0,21-9 0,93-47 0,-122 57 0,138-78 0,-123 68 0,-2 0 0,1-1 0,-2-1 0,1-1 0,17-22 0,-29 31 0,-2 0 0,2-1 0,-2 1 0,0-1 0,1 0 0,-2 0 0,0 0 0,2-10 0,-3 15 0,-1 1 0,1-1 0,-1 0 0,0 0 0,0 1 0,0-1 0,0 0 0,0 0 0,0 1 0,-1-1 0,1 0 0,0 0 0,-1 1 0,1-1 0,-1 0 0,-1 1 0,1-1 0,1 1 0,-1-1 0,0 1 0,0-1 0,-1 1 0,1 0 0,-1-1 0,1 1 0,-1 0 0,1 0 0,0 0 0,-1 0 0,0 0 0,0 0 0,0 0 0,1 1 0,-1-1 0,-1 1 0,2-1 0,-1 1 0,0-1 0,-3 1 0,2 0 0,-1 0 0,1 1 0,0-1 0,-2 1 0,2-1 0,0 1 0,-1 0 0,1 0 0,-1 1 0,1-1 0,0 1 0,-1-1 0,2 1 0,-1 0 0,0 0 0,0 0 0,1 0 0,0 1 0,-2-1 0,2 1 0,0-1 0,1 1 0,-2 0 0,1-1 0,1 1 0,-1 0 0,-1 5 0,0-3 0,1 0 0,1 0 0,-2 0 0,2 0 0,0 0 0,0 0 0,0 0 0,1 0 0,-1 1 0,1-1 0,1 0 0,-1 0 0,1 0 0,0 1 0,0-1 0,4 8 0,-2-9 0,1 0 0,-1 0 0,0-1 0,2 0 0,-2 1 0,2-1 0,-2 0 0,2-1 0,-1 1 0,2-1 0,-2 0 0,1 0 0,-1 0 0,2 0 0,-2-1 0,2 0 0,-1 0 0,8 1 0,5 0 0,0 0 0,0-1 0,37-3 0,-42 1 0,1-2 0,-1 1 0,0-1 0,0-1 0,0 0 0,11-6 0,-24 10 0,1-1 0,-1 1 0,2 0 0,-2-1 0,1 1 0,-1 0 0,1 0 0,-1 0 0,1-1 0,-1 1 0,1 0 0,-1 0 0,1 0 0,0 0 0,-1 0 0,1 0 0,-1 0 0,2 0 0,-2 0 0,1 1 0,-1-1 0,1 0 0,-1 0 0,1 0 0,-1 1 0,1-1 0,-1 0 0,1 0 0,-1 1 0,1-1 0,-1 0 0,0 1 0,1-1 0,-1 1 0,2-1 0,-2 0 0,0 1 0,1-1 0,-1 1 0,0-1 0,0 1 0,0-1 0,1 1 0,-1-1 0,0 1 0,0-1 0,0 1 0,0-1 0,0 1 0,0 0 0,0-1 0,0 1 0,0-1 0,0 1 0,0-1 0,0 1 0,-1 0 0,-7 44 0,3-28 0,4-10 0,1 0 0,0-1 0,0 1 0,0-1 0,1 1 0,0 0 0,1-1 0,0 0 0,0 1 0,0-1 0,1 0 0,0 0 0,0 0 0,1 0 0,-1 0 0,2-1 0,-1 1 0,1-1 0,-1 0 0,2-1 0,-2 1 0,2-1 0,1 1 0,7 4 0,-6-5 0,-1 0 0,1-1 0,-1 0 0,1 0 0,0-1 0,0 0 0,0 0 0,1 0 0,-1-1 0,0 0 0,1-1 0,-1 1 0,1-2 0,-2 1 0,2-1 0,-1 0 0,1 0 0,-1-1 0,0 0 0,0 0 0,11-6 0,-4 1 0,-1-1 0,0 0 0,-1-1 0,0-1 0,-1 0 0,-1 0 0,0-1 0,1-1 0,-2 1 0,-1-1 0,0-1 0,-1 0 0,0 0 0,-1 0 0,-1-1 0,5-15 0,-1 0 0,-2-1 0,0 1 0,-3-1 0,-1 0 0,-2-1 0,-3-56 0,1 78 0,-1 0 0,0 0 0,-1 0 0,-1 0 0,1 1 0,-1-1 0,-1 0 0,0 1 0,-1 0 0,-6-10 0,10 16 0,0 1 0,0-1 0,0 1 0,0 0 0,-1-1 0,1 1 0,-1 0 0,1-1 0,0 1 0,-1 0 0,0 0 0,0 0 0,1 0 0,-1 1 0,1-1 0,-1 0 0,-1 1 0,2-1 0,-1 1 0,0-1 0,-1 1 0,2 0 0,-5 0 0,3 0 0,1 1 0,-1 0 0,0 0 0,1 0 0,0 0 0,0 0 0,-1 1 0,1-1 0,0 0 0,0 1 0,-1 0 0,2-1 0,-1 1 0,0 0 0,-2 3 0,-3 6 0,0 0 0,0 0 0,0 1 0,2 0 0,-8 20 0,7-4 0,0 0 0,1 0 0,2 1 0,2-1 0,0 0 0,5 31 0,-1-39 0,0 1 0,0-1 0,3 0 0,0 0 0,1-1 0,1 0 0,1 0 0,1 0 0,15 21 0,-19-33-49,-1 0 1,2 0-1,0 0 0,0-1 0,1 0 1,-2 0-1,2 0 0,1-1 0,-1 0 1,1-1-1,0 1 0,0-1 0,0-1 1,0 0-1,1 0 0,-1 0 0,1-1 1,0-1-1,-1 1 0,1-1 0,1-1 1,-1 0-1,0 0 0,0-1 0,0 0 0,0 0 1,16-5-1,43-14-6777</inkml:trace>
  <inkml:trace contextRef="#ctx0" brushRef="#br0" timeOffset="886.61">1935 298 24575,'4'0'0,"5"0"0,14 0 0,18 0 0,20-7 0,10-3 0,10-10 0,3-2 0,0-4 0,-15 2-8191</inkml:trace>
  <inkml:trace contextRef="#ctx0" brushRef="#br0" timeOffset="1074.74">2101 44 24575,'4'0'0,"14"7"0,3 13 0,11 15 0,0 11 0,-6 13 0,1 10 0,-5 8 0,-5-1 0,2-4 0,-2-14-8191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7.1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 23892,'0'130'0,"130"-130"0,-130-130 0,-130 130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2.35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224 423 24575,'2'-4'0,"0"0"0,-1-1 0,1 0 0,0 1 0,-1-1 0,0 0 0,0 1 0,-1-1 0,0 0 0,0 0 0,0 1 0,-1-1 0,-1-9 0,2 13 0,-2-1 0,1 0 0,1 1 0,-1-1 0,0 1 0,1-1 0,-1 1 0,0 0 0,0-1 0,0 1 0,-1 0 0,0-1 0,1 1 0,0 0 0,0 0 0,-1 0 0,0 0 0,0 0 0,1 1 0,-1-1 0,1 0 0,-2 1 0,2-1 0,-1 1 0,0-1 0,1 1 0,-2 0 0,1 0 0,1 0 0,-1 0 0,0 0 0,0 0 0,0 0 0,0 0 0,1 1 0,-1-1 0,0 0 0,0 1 0,1 0 0,-1-1 0,-3 2 0,0 1 0,-2-1 0,0 1 0,2 0 0,-2 1 0,1-1 0,1 1 0,-1 0 0,0 1 0,2-1 0,-7 7 0,10-9 0,-2 0 0,2 0 0,-1 0 0,1 0 0,0 0 0,0 0 0,-1 1 0,1-1 0,0 0 0,1 0 0,-1 1 0,1-1 0,0 0 0,-1 1 0,1-1 0,0 1 0,0-1 0,0 0 0,1 1 0,-1-1 0,1 1 0,-1-1 0,1 0 0,0 1 0,1-1 0,-1 0 0,0 0 0,0 0 0,0 0 0,4 3 0,-1 0 0,1-1 0,0 0 0,0 0 0,0-1 0,1 1 0,0-1 0,-1 0 0,2 0 0,-1 0 0,0-1 0,0 0 0,7 2 0,15 1 0,46 6 0,-44-8 0,51 6 0,-36-5 0,-1 2 0,80 20 0,-119-25 0,1 0 0,-2 1 0,1-1 0,-1 1 0,1 0 0,-2 0 0,1 1 0,1-1 0,-2 1 0,1 0 0,0 0 0,0 0 0,-1 0 0,-1 1 0,2-1 0,2 5 0,-6-5 0,1 0 0,0 0 0,-1 0 0,2 0 0,-2 0 0,0 0 0,0 0 0,0 0 0,0 0 0,-2 0 0,2 0 0,-1 0 0,0 0 0,0 0 0,0 0 0,0 0 0,0-1 0,-1 1 0,0 0 0,0-1 0,0 1 0,1-1 0,-1 0 0,-6 5 0,-10 10 0,-1-1 0,-2 0 0,0-1 0,0-1 0,-1-1 0,-34 16 0,-153 54 0,191-76 0,13-5-36,-19 7-154,-1 0 0,-1-1 0,1-1 0,-2-1 1,2-1-1,-38 3 0,39-9-6636</inkml:trace>
  <inkml:trace contextRef="#ctx0" brushRef="#br0" timeOffset="1164.34">652 677 24575,'20'-9'0,"0"-1"0,-1-1 0,1 0 0,-2-2 0,0 0 0,29-28 0,-38 32 0,-1 0 0,-1-1 0,0 1 0,0-1 0,0-1 0,-2 1 0,0-1 0,0 0 0,-1 0 0,0 0 0,-1 0 0,-1-1 0,2-18 0,-4 23 0,-1-1 0,0 1 0,0-1 0,0 1 0,-1-1 0,-1 1 0,0 0 0,1 0 0,-2 0 0,0 0 0,0 0 0,-8-8 0,-7-8 0,0 1 0,-25-20 0,9 9 0,31 28 0,-26-21 0,29 25 0,1 1 0,-1 0 0,1-1 0,-1 1 0,1 0 0,-1-1 0,1 1 0,-1 0 0,1 0 0,-1-1 0,1 1 0,-1 0 0,1 0 0,-2 0 0,2 0 0,-1 0 0,0 0 0,1 0 0,-1 0 0,1 0 0,-1 0 0,1 0 0,-1 0 0,0 0 0,1 0 0,-1 1 0,1-1 0,-2 0 0,2 0 0,-1 1 0,1-1 0,-1 0 0,1 1 0,-1-1 0,1 0 0,0 1 0,-1-1 0,1 1 0,0-1 0,-1 1 0,1-1 0,0 1 0,-1-1 0,1 1 0,0-1 0,0 1 0,0-1 0,-1 1 0,1-1 0,0 1 0,0 0 0,0 0 0,-5 20 0,2 1 0,1-1 0,0 1 0,1-1 0,5 25 0,-3-7 0,2 50 0,4 0 0,27 125 0,-32-205 0,0 0 0,1 1 0,1-2 0,-1 1 0,2 0 0,-1-1 0,2 1 0,-1-1 0,8 8 0,-11-14 0,0 0 0,1 0 0,-1 0 0,0-1 0,1 1 0,0-1 0,-1 1 0,1-1 0,0 0 0,0 0 0,0 0 0,0 0 0,0 0 0,0 0 0,1-1 0,-2 0 0,1 1 0,1-1 0,-1 0 0,0 0 0,0-1 0,0 1 0,0 0 0,1-1 0,-2 0 0,1 0 0,1 0 0,-2 0 0,1 0 0,0 0 0,0-1 0,4-2 0,6-5 0,0 0 0,-2 0 0,1-1 0,-2 0 0,2-1 0,-3 0 0,1 0 0,-1-1 0,11-22 0,-9 16 0,2 0 0,0 1 0,20-19 0,-32 35 0,0 0 0,0 0 0,-1 0 0,1 1 0,0-1 0,1 0 0,0 0 0,-1 1 0,0-1 0,0 1 0,0-1 0,0 1 0,1 0 0,0-1 0,-1 1 0,0 0 0,0 0 0,1 0 0,-1 0 0,0 0 0,1 0 0,0 0 0,-1 0 0,0 0 0,0 1 0,1-1 0,0 1 0,1 0 0,32 21 0,-26-15 0,10 8 0,1-1 0,1-1 0,2-1 0,-1-1 0,1 0 0,34 10 0,-50-19 0,0 0 0,1 0 0,-2-1 0,2 0 0,0 0 0,-1-1 0,1 0 0,0 0 0,-1-1 0,0 0 0,12-2 0,-13 1 0,0 0 0,-1 0 0,0-1 0,0 1 0,1-1 0,-2 0 0,1 0 0,-1-1 0,1 1 0,-1-1 0,1 0 0,-2 0 0,2-1 0,-2 1 0,1 0 0,2-8 0,2-5 0,0 0 0,-2-1 0,-1 1 0,1-1 0,-3-1 0,1 1 0,-2 0 0,-1-1 0,-2-23 0,1 46 0,1 0 0,-1 0 0,1 0 0,0 0 0,0 0 0,2 0 0,-2 0 0,1 0 0,0 0 0,0 0 0,1-1 0,-1 1 0,0-1 0,2 0 0,-1 0 0,5 4 0,-1-2 0,-1 0 0,1 0 0,1-1 0,0 0 0,0 0 0,0-1 0,-1 0 0,15 3 0,-8-2 0,0-1 0,0-1 0,1 0 0,-1-1 0,0-1 0,1 0 0,-1 0 0,1-1 0,-1-1 0,0 0 0,23-6 0,-26 4 0,0 0 0,0-1 0,-1 0 0,0-1 0,0 0 0,-1 0 0,0-1 0,0 0 0,0 0 0,-1-1 0,10-11 0,-9 6 0,1 1 0,-2-2 0,0 1 0,-1-1 0,-1 0 0,0 0 0,5-22 0,-6 16 0,-1 0 0,-2 0 0,1 0 0,-3-1 0,0 1 0,-1 0 0,-2-1 0,0 1 0,0 0 0,-3 0 0,-1 1 0,-7-20 0,-12 0 0,26 37 0,-1 1 0,0 0 0,-1 0 0,1 0 0,0 0 0,0 0 0,0 0 0,-1 1 0,1-1 0,-1 0 0,1 0 0,-3 0 0,4 1 0,-1 0 0,0 0 0,1 0 0,-2 0 0,1 0 0,1 0 0,-1 0 0,1 0 0,-1 1 0,0-1 0,1 0 0,-1 0 0,1 1 0,-1-1 0,1 0 0,-1 1 0,1-1 0,-2 0 0,2 1 0,-1-1 0,1 1 0,-1-1 0,1 1 0,0-1 0,-1 1 0,1-1 0,0 1 0,-1-1 0,1 2 0,-5 6 0,2 0 0,0 0 0,0 0 0,1 0 0,0 0 0,1 0 0,-1 14 0,2 64 0,1-70 0,5 75 0,41 173 0,50 84 0,-47-180 0,-28-86 0,-6-20 0,2-1 0,45 96 0,-55-146 0,-3-11 0,2-19 0,-7 15 0,14-67 0,-5 0 0,-3-1 0,-3 0 0,-4 0 0,-4 0 0,-3 1 0,-3-1 0,-42-129 0,44 174 0,-1 0 0,-1 1 0,-17-26 0,23 46 0,1-1 0,-2 0 0,2 1 0,-2 0 0,-1 0 0,-10-8 0,14 12 0,0 0 0,-1-1 0,1 2 0,-2-1 0,2 0 0,0 1 0,-2 0 0,2-1 0,-2 1 0,2 1 0,-2-1 0,1 0 0,0 1 0,-8 0 0,11 0 0,-1 0 0,1 0 0,-1 0 0,1 0 0,0 1 0,-1-1 0,1 0 0,0 1 0,0-1 0,-1 1 0,1-1 0,-1 1 0,1 0 0,0-1 0,0 1 0,0 0 0,-1 0 0,2 0 0,-1 0 0,0 0 0,0 0 0,0 1 0,0-1 0,1-1 0,0 1 0,0 0 0,0 0 0,0-1 0,0 1 0,0 0 0,0 0 0,0-1 0,0 1 0,0 0 0,0 0 0,1-1 0,-1 1 0,0 0 0,0-1 0,1 1 0,-1 0 0,0-1 0,1 1 0,-1 0 0,1-1 0,-1 1 0,1-1 0,-1 1 0,2-1 0,-1 1 0,-1-1 0,1 1 0,-1-1 0,1 1 0,0-1 0,-1 0 0,1 1 0,0-1 0,0 0 0,6 2 0,1 0 0,-1 0 0,0-1 0,-1 0 0,2 0 0,-1 0 0,1-1 0,-1 0 0,0 0 0,0-1 0,0 0 0,1 0 0,-1 0 0,-1-1 0,1 0 0,11-4 0,0-1 0,-1 0 0,0-1 0,0-1 0,-1 0 0,16-13 0,-19 12 0,0-1 0,-1 0 0,0-1 0,0 0 0,-2-1 0,0 0 0,0-1 0,-2 0 0,12-25 0,-15 29 0,-1-1 0,0 0 0,-2 0 0,1 0 0,-2 0 0,2 0 0,-3 0 0,1-1 0,-2 1 0,1 0 0,-3 0 0,2 0 0,-2 0 0,-4-12 0,7 21 0,-1 0 0,1 1 0,-1-1 0,1 1 0,-1-1 0,0 1 0,-1-1 0,1 1 0,0-1 0,0 1 0,0 0 0,0 0 0,0-1 0,0 1 0,-2 0 0,2 0 0,0 0 0,-2 0 0,2 0 0,1 1 0,0 0 0,-2 0 0,2 0 0,-1 0 0,1 1 0,0-1 0,-1 0 0,1 0 0,0 0 0,-1 0 0,1 0 0,0 0 0,-1 1 0,1-1 0,0 0 0,-1 0 0,1 0 0,0 1 0,0-1 0,-1 0 0,1 0 0,0 1 0,0-1 0,-1 0 0,1 1 0,0-1 0,0 1 0,-7 21 0,7-6 0,1 1 0,0-1 0,1 1 0,2-1 0,-1 0 0,12 29 0,48 94 0,-59-130 0,1 0-59,12 25 152,31 46 1,-44-72-219,2-1 1,0 0-1,0 0 1,0 0 0,1-1-1,1 1 1,-2-2 0,2 1-1,0-1 1,0 0-1,18 8 1,3-6-6702</inkml:trace>
  <inkml:trace contextRef="#ctx0" brushRef="#br0" timeOffset="1306.45">2412 381 24575,'5'0'0,"8"0"0,11 0 0,18-7 0,17-3 0,11-6 0,-3-1 0,-12-8 0,-3 0 0,-10 4-8191</inkml:trace>
  <inkml:trace contextRef="#ctx0" brushRef="#br0" timeOffset="1446.55">1389 191 24575,'0'7'0,"8"2"0,16 0 0,14-1 0,1-3-8191</inkml:trace>
  <inkml:trace contextRef="#ctx0" brushRef="#br0" timeOffset="1884.37">2960 296 24575,'8'0'0,"11"0"0,22-7 0,25-2 0,21-8 0,20 0 0,8-4 0,-7 1 0,-15-4 0,-22 3-8191</inkml:trace>
  <inkml:trace contextRef="#ctx0" brushRef="#br0" timeOffset="2054.33">3269 0 24575,'0'11'0,"0"10"0,4 17 0,2 16 0,15 13 0,5 9 0,9 7 0,0 0 0,1-7 0,-5-17-8191</inkml:trace>
  <inkml:trace contextRef="#ctx0" brushRef="#br0" timeOffset="3991.85">1127 1461 24575,'0'-4'0,"5"-1"0,1 8 0,-2 10 0,-7-1 0,-5-9 0,3-5 0,8-3 0,1 4 0,2 5 0,-10 2 0,2 0 0,3-1 0,4 2 0,-10 8 0,-2-3 0</inkml:trace>
  <inkml:trace contextRef="#ctx0" brushRef="#br0" timeOffset="5749.59">1080 1609 24575,'0'-8'0,"5"-1"0,-1 3 0,2 7 0,-6 4 0,-7 0 0,-1-8 0,-1-7 0,10-1 0,9 0 0,4 10 0,-11 5 0,-4-1 0,-3-17 0,0-9 0,4 0 0,3 3-8191</inkml:trace>
  <inkml:trace contextRef="#ctx0" brushRef="#br0" timeOffset="6943.21">1127 1884 24575,'0'0'0,"-1"1"0,1-1 0,-1 1 0,0-1 0,1 0 0,-1 1 0,0-1 0,1 0 0,-1 0 0,0 1 0,1-1 0,-2 0 0,1 0 0,1 0 0,-1 0 0,0 0 0,0 0 0,1 0 0,-1 0 0,0 0 0,-2 0 0,5 0 0,-2-1 0,0 1 0,0 0 0,0 0 0,0 0 0,1 0 0,-1 0 0,0-1 0,0 1 0,0 0 0,0 0 0,0 0 0,0 0 0,1-1 0,-1 1 0,0 0 0,0 0 0,0 0 0,0-1 0,0 1 0,0 0 0,0 0 0,0 0 0,0-1 0,0 1 0,0 0 0,0 0 0,0 0 0,0-1 0,0 1 0,0 0 0,0 0 0,0 0 0,0-1 0,-1 1 0,1 0 0,0 0 0,0 0 0,0 0 0,0-1 0,0 1 0,0 0 0,-1 0 0,1 0 0,0 0 0,0 0 0,0-1 0,0 1 0,-2 0 0,2 0 0,0 0 0,3-1 0,-1 0 0,1 1 0,0-1 0,-1 1 0,1 0 0,-1-1 0,1 1 0,0 0 0,-1 0 0,2 1 0,-2-1 0,0 0 0,2 1 0,-2-1 0,3 2 0,-3-2 0,-1 1 0,0-1 0,0 0 0,0 1 0,0-1 0,-1 1 0,1-1 0,0 1 0,1 0 0,-1-1 0,0 1 0,-1 0 0,1-1 0,0 1 0,-1 0 0,1 0 0,-1 0 0,1 0 0,0 0 0,-1-1 0,0 1 0,1 0 0,-1 0 0,0 0 0,2 0 0,-2 0 0,0 0 0,0 0 0,0 1 0,0-1 0,0 0 0,0 0 0,0 0 0,0 0 0,-2 0 0,2 0 0,-1 1 0,1-1 0,0-1 0,-1 1 0,1 0 0,0-1 0,-1 1 0,1-1 0,0 1 0,-1-1 0,1 1 0,-1-1 0,1 1 0,-1-1 0,0 1 0,1-1 0,-1 0 0,1 1 0,-2-1 0,1 0 0,1 0 0,-1 1 0,0-1 0,1 0 0,-1 0 0,0 0 0,1 0 0,-1 0 0,0 0 0,1 0 0,-2 0 0,1 0 0,1 0 0,-1 0 0,0 0 0,1 0 0,-1-1 0,0 1 0,1 0 0,-1-1 0,0 1 0,1 0 0,-2-1 0,2 1 0,-1 0 0,1-1 0,-1 1 0,0-2 0,1 2 0,-1 0 0,1 0 0,0-1 0,-1 1 0,1-1 0,0 1 0,-1 0 0,1-1 0,0 1 0,-1-1 0,1 1 0,0-1 0,0 1 0,0 0 0,0-1 0,-2 1 0,2-1 0,0 1 0,0-1 0,0 1 0,0-1 0,0 1 0,0-1 0,0 1 0,0-1 0,2 0 0,-2 0 0,1 1 0,0-1 0,-1 0 0,1 1 0,-1-1 0,1 1 0,0-1 0,-1 1 0,1-1 0,0 1 0,1 0 0,-2-1 0,1 1 0,0 0 0,0 0 0,0-1 0,-1 1 0,1 0 0,0 0 0,0 0 0,2 0 0,6 0 14,-8-2-416,-3-2-575</inkml:trace>
  <inkml:trace contextRef="#ctx0" brushRef="#br0" timeOffset="8154.63">961 1503 24575,'0'-2'0,"1"0"0,-1 1 0,0-1 0,1 0 0,0 1 0,-1-1 0,2 0 0,-1 1 0,0-1 0,-1 1 0,1-1 0,1 1 0,-1 0 0,0-1 0,1 1 0,-1 0 0,1 0 0,-1 0 0,0 0 0,1 0 0,0 0 0,0 0 0,0 0 0,-1 0 0,1 1 0,0-1 0,0 1 0,0-1 0,0 1 0,-1 0 0,2 0 0,-1 0 0,0-1 0,3 2 0,0-2 0,1 1 0,1 0 0,-2 1 0,1-1 0,-1 1 0,1 0 0,0 0 0,-1 1 0,0-1 0,0 1 0,7 3 0,-10-4 0,0 1 0,-1-1 0,2 1 0,-1-1 0,-1 1 0,0-1 0,1 1 0,-1 0 0,1 0 0,-1-1 0,0 1 0,0 0 0,0 0 0,0 0 0,-1 0 0,1 0 0,0 1 0,-1-1 0,0 0 0,0 0 0,2 0 0,-2 0 0,-2 0 0,2 1 0,0-1 0,0 0 0,-1 0 0,1 0 0,-1 0 0,0 0 0,0 0 0,1 0 0,-1 0 0,-1 0 0,0 0 0,1-1 0,0 1 0,-1 0 0,1-1 0,-1 1 0,0-1 0,0 1 0,1-1 0,-1 0 0,0 1 0,-1-1 0,1 0 0,0 0 0,0-1 0,-1 1 0,1 0 0,0-1 0,-4 1 0,-12-2 0,18 1 0,-1 0 0,1-1 0,0 1 0,0 0 0,0 0 0,0-1 0,-1 1 0,1 0 0,0-1 0,0 1 0,0 0 0,0 0 0,0-1 0,0 1 0,0 0 0,0-1 0,0 1 0,0 0 0,0-1 0,0 1 0,0 0 0,0-1 0,0 1 0,0 0 0,0 0 0,0-1 0,0 1 0,1 0 0,-1-1 0,1 0 0,0-1 0,-1 1 0,1-1 0,2 1 0,-2 0 0,0 0 0,0 0 0,0 0 0,1 0 0,0 0 0,-1 0 0,1 0 0,-1 0 0,1 0 0,-1 1 0,5-2 0,-4 2 0,1-1 0,-1 1 0,0 0 0,0 0 0,1 0 0,-1 0 0,0 0 0,0 0 0,1 0 0,-2 1 0,1-1 0,0 1 0,0-1 0,1 1 0,-1 0 0,0 0 0,0 0 0,0 0 0,0 0 0,0 0 0,-1 0 0,3 2 0,-3-2 0,0 0 0,-1 0 0,1 0 0,-1 0 0,1 0 0,-1 0 0,1 0 0,-1 1 0,0-1 0,0 0 0,1 0 0,-1 0 0,0 0 0,0 0 0,0 1 0,0-1 0,-1 0 0,1 0 0,0 0 0,0 0 0,-1 1 0,1-1 0,0 0 0,-1 0 0,1 0 0,-1 0 0,0 0 0,1 0 0,-1 0 0,-1 0 0,1-1 0,1 1 0,-1 0 0,0 0 0,0 0 0,0-1 0,0 1 0,-3 0 0,1 2 0,-2-1 0,1 0 0,-1 0 0,1 0 0,-1-1 0,1 1 0,-2-1 0,2 0 0,-7 0 0,9 0 0,1-1 0,-1 0 0,1 0 0,0 1 0,-1-1 0,0 0 0,1 0 0,0 0 0,-1-1 0,1 1 0,0 0 0,-2 0 0,2-1 0,0 1 0,0-1 0,0 1 0,-1-1 0,1 1 0,-1-1 0,1 0 0,0 0 0,0 1 0,0-1 0,0 0 0,0 0 0,0 0 0,1 0 0,-2 0 0,1 0 0,0 0 0,1-1 0,-1 1 0,1 0 0,-1 0 0,0-2 0,1 1 0,1 1 0,-1-1 0,0 1 0,1 0 0,-1-1 0,1 1 0,-1-1 0,1 1 0,0 0 0,-1 0 0,2-1 0,-1 1 0,0 0 0,0 0 0,0 0 0,0 0 0,0 0 0,0 0 0,1 0 0,0 0 0,-1 1 0,0-1 0,0 0 0,1 1 0,0-1 0,0 1 0,-1-1 0,0 1 0,1 0 0,-1 0 0,3-1 0,4 0 0,-2-1 0,2 1 0,-1 0 0,1 1 0,11-1 0,-16 2 0,0-1 0,0 1 0,-1 0 0,1 0 0,0 0 0,-1 0 0,0 0 0,1 0 0,0 1 0,-1-1 0,1 1 0,-2-1 0,1 1 0,0 0 0,3 2 0,-5-3 0,1-1 0,-1 1 0,1 0 0,-1 0 0,1-1 0,-1 1 0,0 0 0,1 0 0,-1-1 0,0 1 0,0 0 0,0 0 0,1 0 0,-1-1 0,0 1 0,0 0 0,0 0 0,0 0 0,0-1 0,-1 1 0,1 0 0,0 0 0,0 0 0,0 0 0,-1-1 0,1 1 0,0 0 0,-1 0 0,1-1 0,-1 1 0,1 0 0,-1-1 0,1 1 0,-1-1 0,1 1 0,-2 0 0,1-1 0,1 1 0,-1-1 0,0 1 0,0-1 0,1 0 0,-1 1 0,0-1 0,0 0 0,-1 1 0,0-1 0,1 0 0,0 1 0,-1-1 0,1 0 0,-2 0 0,2 0 0,0 0 0,-1 0 0,1 0 0,-2-1 0,2 1 0,0 0 0,-1-1 0,1 1 0,0-1 0,-2 1 0,2-1 0,0 1 0,0-1 0,-1 0 0,1 0 0,0 0 0,-1 0 0,1 0 0,0 0 0,0 0 0,0 0 0,1 0 0,-1 0 0,0 0 0,0-1 0,1 1 0,-2 0 0,2-1 0,-1 1 0,1 0 0,0-1 0,-1 1 0,1 0 0,0-1 0,0 1 0,0-1 0,0 1 0,0 0 0,0-1 0,1 1 0,-1-1 0,0 1 0,1 0 0,-1-1 0,2 1 0,-2 0 0,2-2 0,0 0 0,0 1 0,2 1 0,-2-1 0,0 0 0,2 0 0,-2 1 0,1 0 0,1-1 0,-1 1 0,-1 0 0,6-1 0,-7 2 0,0-1 0,0 1 0,1 0 0,-1 0 0,0-1 0,0 1 0,0 0 0,0 0 0,0 0 0,0 0 0,1 0 0,-1 0 0,0 0 0,0 1 0,0-1 0,0 0 0,0 0 0,0 1 0,1-1 0,-1 1 0,0-1 0,0 1 0,0-1 0,0 1 0,0 0 0,-1-1 0,1 1 0,1 0 0,-2-1 0,1 1 0,0 0 0,-1 0 0,1 0 0,-1 0 0,1 0 0,0 1 0,-3 9-1365,-5-1-5461</inkml:trace>
  <inkml:trace contextRef="#ctx0" brushRef="#br0" timeOffset="51151.45">1199 1080 24575,'0'-1'0,"-1"0"0,1 0 0,0 1 0,-1-1 0,1 0 0,0 1 0,-1-1 0,1 0 0,-1 1 0,1-1 0,-1 1 0,1-1 0,-1 1 0,-1-1 0,2 1 0,-1-1 0,1 1 0,-1-1 0,0 1 0,0 0 0,1 0 0,-1-1 0,0 1 0,0 0 0,1 0 0,-2 0 0,1 0 0,-1-1 0,-27 0 0,6 4 0,1 1 0,-1 1 0,2 1 0,-1 1 0,-31 14 0,26-10 0,0-1 0,-1-1 0,-32 6 0,-39-6 0,79-9 0,1 1 0,-1 1 0,1 1 0,-2 0 0,2 1 0,0 1 0,-25 10 0,39-13 0,-1 2 0,0-1 0,1 1 0,0-1 0,0 1 0,0 0 0,1 1 0,0-1 0,0 1 0,-1 0 0,2 0 0,-1 0 0,2 0 0,-1 0 0,1 1 0,-1-1 0,1 1 0,0-1 0,1 1 0,0 0 0,0 0 0,1 0 0,-2-1 0,2 1 0,2 7 0,1 16 0,0-1 0,3-1 0,19 55 0,-18-58 0,23 70-1365,-19-57-5461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20:36.57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833 0 24575,'0'2'0,"15"362"0,-9-171 0,-1-36 0,-1-121 0,4 0 0,1 0 0,23 56 0,-10-28 0,5 52 0,-23-91 0,0 0 0,2 0 0,2-1 0,-1 1 0,17 28 0,-5-28 120,-19-25-149,0 1 0,1-1 0,-1 1 0,0-1-1,0 0 1,1 1 0,-1-1 0,0 1 0,0-1 0,1 0 0,-1 1 0,0-1-1,2 0 1,-2 1 0,0-1 0,1 0 0,-1 1 0,1-1 0,-1 0 0,1 0 0,-1 0-1,0 1 1,1-1 0,-1 0 0,1 0 0,-1 0 0,1 0 0,-1 0 0,1 0-1,-1 0 1,2 0 0,-2 0 0,1 0 0,-1 0 0,1 0 0,-1 0 0,1-1-1,-1 1 1,1 0 0,-1 0 0,0 0 0,1-1 0,-1 1 0,1 0 0,-1 0 0,0-1-1,1 1 1,-1 0 0,0-1 0,2 0 0,1-10-6797</inkml:trace>
  <inkml:trace contextRef="#ctx0" brushRef="#br0" timeOffset="1159.24">0 445 24575,'0'1'0,"1"25"0,7 38 0,34 160 0,-12-79 0,-19-95 0,20 56 0,-18-61 0,-2 0 0,8 61 0,-18-88 0,2-2 0,-1 1 0,1 0 0,2 0 0,0-1 0,1 0 0,2 0 0,12 24 0,-16-38 0,-2 1 0,1-1 0,1 1 0,-1-1 0,-1 0 0,2 0 0,0 0 0,-1-1 0,1 1 0,-1-1 0,2 0 0,-2 0 0,0 0 0,2 0 0,-2 0 0,2-1 0,-2 1 0,2-1 0,-1 0 0,6-1 0,11 0 0,-1-2 0,34-6 0,-48 7 0,105-15 0,0 4 0,183-1 0,-178 11 0,-83 0-1365,-11-1-5461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3.2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78 8192,'2'0'18022,"20"-6"-18022,21-3 0,19 1 0,19-6 0,9 1-2971,-8 2 2971,-24 2-15051,-25 4 15051,-19 2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2.3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17 182 8192,'-17'0'18022,"28"0"-18022,16 0 0,12 0 0,9 0 0,1 0 0,-9 0 0</inkml:trace>
  <inkml:trace contextRef="#ctx0" brushRef="#br0" timeOffset="121.99">94 316 8192,'7'0'2971,"11"0"-2971,14-3 5848,0-1-5848</inkml:trace>
  <inkml:trace contextRef="#ctx0" brushRef="#br0" timeOffset="356.07">344 28 8192,'-16'-20'18022,"19"12"-18022,10 9 0,11 10 0,6 11 0,6 7 0,-4 6 0,-1 6 0,-5 4 0,-8 3 0,-22 3 0,-25 0 0,-23-2 0,-12-3 0,-3-10 0,11-10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0.9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6 463 8192,'-5'0'18022,"20"0"-18022,10 0 0,21-10 0,19-3 0,15-6 0,6 1 0,-1 2 0,-11 5 0,-23 4 0,-25 3 0,-22 2 0,-17 2 0,-13 1 0,-2 0 0</inkml:trace>
  <inkml:trace contextRef="#ctx0" brushRef="#br0" timeOffset="325.45">218 59 8192,'8'-30'16796,"2"15"-16796,9 2 1226,0 13-1226,8 16 0,-2 19 0,2 20 0,-4 23 0,-5 15 0,-7 4 0,-4-7 0,-4-9 0,-2-12 0,-2-15 0,0-23 0,0-16 0</inkml:trace>
  <inkml:trace contextRef="#ctx0" brushRef="#br0" timeOffset="905.25">815 348 8192,'13'0'18022,"11"0"-18022,11 3 0,13 1 0,7 0 0,-1 0 0,-4-2 0,-7 0 0,-11-2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0 366 8192,'14'0'2971,"16"0"2877,20-3-5848,19-2 7957,16-5-7957,3-2 1246,-2-6-1246,-7 2 0,-17-5 0,-18 2 0</inkml:trace>
  <inkml:trace contextRef="#ctx0" brushRef="#br0" timeOffset="220.14">289 0 8192,'3'10'18022,"2"13"-18022,-1 16 0,6 14 0,1 8 0,-1 3 0,4 1 0,-1-4 0,5-13 0,-1-11 0,-3-11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0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1 236 8192,'1'8'18022,"23"-4"-18022,19-1 0,23-7 0,13-3 0,-1-1 0,-6-5 0,-17 0 0</inkml:trace>
  <inkml:trace contextRef="#ctx0" brushRef="#br0" timeOffset="139.95">232 294 8192,'9'0'2971,"17"0"2877,14 0-5848,13 0 0,10-7-3356,8-2 3356,2-5-5463,-12-2 5463</inkml:trace>
  <inkml:trace contextRef="#ctx0" brushRef="#br0" timeOffset="328.97">636 24 8192,'-2'-23'18022,"22"33"-18022,16 14 0,12 12 0,8 10 0,1 7 0,-10 1 0,-12 2 0,-16 0-3356,-21-3 3356,-16-3-5484,-12-10 5484,-8-10-7956,4-8 7956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4.9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0 443 8192,'4'0'11332,"6"0"-11332,16-3 6690,16-2-6690,18-9 0,14-2 0,8-9 0,0 1 0,-7 3 0,-17 6 0</inkml:trace>
  <inkml:trace contextRef="#ctx0" brushRef="#br0" timeOffset="231.54">289 116 8192,'0'18'8839,"0"1"-8839,3 11 7957,2 6-7957,-1 10 1226,2 7-1226,1 2 0,5-3 0,11-10 0,7-12 0,0-11 0</inkml:trace>
  <inkml:trace contextRef="#ctx0" brushRef="#br0" timeOffset="543.52">828 250 8192,'9'0'11332,"18"-6"-11332,9-3 6690,9 1-6690,10-5 0,9-1 0,3-4 0,-4 1 0,-5-3 0,-13-5 0,-14 2 0</inkml:trace>
  <inkml:trace contextRef="#ctx0" brushRef="#br0" timeOffset="744.8">1155 0 8192,'6'14'18022,"3"9"-18022,-1 12 0,-1 9 0,-2 11 0,-2 9 0,-2 0 0,0-4 0,-1-6 0,6-12 0,3-14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4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33 8192,'2'0'18022,"13"0"-18022,16 0 0,16-3 0,12-1 0,3-1 0,-2-4 0,-12-3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1 158 8192,'13'0'11332,"21"-9"-4642,30-11-6690,25-1-3356,23-10 3356,8-1-5996,-5 6 5996,-24 8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0.5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1 301 8192,'6'0'18022,"16"0"-18022,20 0 0,29 0 0,32-10-3356,28-3 3356,15-9-5484,-5-1 5484,-23 3-7956,-34-1 11312,-32 3-3356</inkml:trace>
  <inkml:trace contextRef="#ctx0" brushRef="#br0" timeOffset="326.17">366 12 8192,'3'-7'11991,"12"2"-11991,8 9 6031,2 15-6031,2 22 0,-3 19 0,-6 24-3356,-5 12 3356,-6 4-5484,-4-8 5484,-2-21 3356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9.3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1 213 8192,'6'7'11332,"19"-3"-11332,25 0 0,33-5 6690,32-2-6690,19-7-2971,4-2 2971,-13 2-5849,-26-5 5849,-32 0-7349</inkml:trace>
  <inkml:trace contextRef="#ctx0" brushRef="#br0" timeOffset="235.27">559 1 8192,'6'0'3356,"9"0"2127,9 0-5483,10 0 0,8 0 7957,11 6-6731,6 10-1226,-4 7 0,-11 7 0,-6 9 0,-10 3 0,-14 2 0,-11-4 0,-16-2 0,-17-1-2971,-12-6 2971,1-9-5849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7.8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501 93 8192,'0'-5'1053,"0"1"-1,0-1 1,-1 1 0,1-1 0,-1 1 0,0-1 0,0 1 0,-1 0 0,1 0-1,-1-1 1,0 1 0,-3-6 0,3 8-798,-1-1 0,1 1 0,-1-1 0,0 1 0,0 0 0,0 0 0,0 0 0,0 0 0,0 1 0,0-1 0,0 1 0,-1 0 0,1 0 0,0 0 0,-1 0 0,-5 0 0,2 1-255,-1-1 0,1 2 0,-1-1 0,1 1 0,-1 0 0,1 0 0,0 1 0,-1 0 0,1 1 0,0 0 0,0 0 0,0 0 0,1 0 0,-1 1 0,1 1 0,0-1 0,-9 9 0,-4 5 0,0 1 0,1 0 0,-24 35 0,23-27 40,1 1 1,0 0 0,2 1 0,2 1 0,-13 35 0,23-54-201,1 0 0,0 0 0,1 0-1,0 1 1,0-1 0,1 1 0,1 0 0,0-1 0,1 1 0,0-1 0,1 1 0,0-1 0,0 1-1,2-1 1,-1 0 0,1 0 0,1-1 0,5 11 0,10 8-1630,0-1 1,38 38-1,-32-36 575,36 49 1,-41-46-329,-2 0 0,-2 2 0,17 47 0,-19-39 1162,-2 2 1,-3 0-1,-1 0 0,5 79 0,-12-73 462,-3 1 1,-1 0-1,-3-1 0,-2 0 0,-3 0 0,-1-1 0,-35 93 0,29-104-147,0-1 1,-25 37-1,33-59 440,-2-1 1,1-1-1,-2 0 0,0 0 0,-1-1 0,0-1 0,-17 13 0,27-22-469,-1-1 0,1 0 0,-1 0-1,1 0 1,-1 0 0,1-1 0,-1 1 0,0-1-1,0 0 1,0 0 0,0-1 0,0 1-1,0-1 1,1 0 0,-1 0 0,-7 0 0,7-1 226,0-1 0,0 1 0,1 0 0,-1-1 1,1 0-1,-1 0 0,1 0 0,0 0 1,-1-1-1,1 1 0,0-1 0,1 0 1,-1 1-1,-2-5 0,-2-2 505,1-1 1,0 0-1,1 0 0,0 0 1,1-1-1,0 1 0,1-1 1,0 0-1,1 0 0,-2-17 1,3 19 250,1 0 0,0 1 0,1-1 0,0 1 0,0-1 0,1 1 0,5-16 0,-6 21-848,1-1 0,-1 0 0,1 1 0,0-1 0,0 1 0,0 0 0,0 0 0,0 0 0,1 0 0,0 0 0,-1 0 0,1 1 0,0-1 0,0 1 0,1 0 0,-1 0 0,0 0 0,1 0 0,5-2 0,-7 4-39,0-1 0,0 1 0,0 0 0,0 0 0,0 0 0,1 0 0,-1 0 0,0 0 0,0 0 0,0 1 0,0-1 0,0 1 0,0 0 0,0 0 0,0-1 0,0 1 0,0 0 0,-1 0 0,1 1 0,0-1 0,-1 0 0,1 1 0,0-1 0,-1 1 0,0-1 0,1 1 0,-1 0 0,0-1 0,0 1 0,0 0 0,0 0 0,1 3 0,2 5 0,0 0 0,0 1 0,-1-1 0,0 1 0,1 13 0,5 76-1272,-6 170 1,-4-159 2933,12 384-3436,-1-368 2661,48 234 0,-49-324-1327,0-1-1,3 0 1,28 61-1,-35-87 567,0 0 1,1 0-1,1-1 0,-1 0 1,1 0-1,1-1 0,0 0 1,0 0-1,0-1 0,1 0 1,0 0-1,1-1 0,-1 0 0,1-1 1,0 0-1,20 7 0,-13-8-579,0-1 0,1 0-1,-1-1 1,1-1 0,0-1-1,-1 0 1,1-1 0,0-1-1,29-8 1,-10 0-495,-1-1 0,0-3 1,46-23-1,7-10 948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9.2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1 159 8192,'0'-2'463,"1"-1"1,-1 1 0,1 0-1,0 0 1,0-1 0,0 1 0,0 0-1,0 0 1,1 0 0,-1 0-1,0 1 1,1-1 0,0 0-1,-1 0 1,4-1 0,34-27 4646,-26 20-2189,3 0-2616,-1 1 1,1 0-1,1 0 1,-1 2-1,1 0 1,1 1-1,-1 1 1,32-5-1,-5 4-364,0 2 0,65 2 0,-91 2 59,0 1 0,0 1 0,0 1 0,0 1 0,-1 0 0,0 1 0,1 1 0,-2 0 0,1 1 0,20 13 0,-24-12 0,-1 1 0,-1 1 0,1-1 0,-1 2 0,-1 0 0,0 0 0,0 0 0,-1 2 0,-1-1 0,0 1 0,-1 0 0,11 27 0,-7-8-952,-2 0 1,-1 0-1,-1 1 1,4 59-1,-7 139-6855,-4-174 4902,-1 41 1561,1 140 128,4-174 1220,19 108 0,-12-118-4,2 0 0,3-1 0,42 95 0,-50-129 0,2-1 0,0 0 0,1-1 0,1 0 0,0-1 0,2 0 0,0-1 0,0-1 0,1 0 0,1-1 0,0 0 0,1-2 0,32 18 0,-38-25-3,0 0 1,1 0-1,-1-1 1,1-1-1,-1 0 0,1 0 1,0-2-1,0 1 1,-1-1-1,1-1 1,0 0-1,0-1 1,-1 0-1,1-1 0,-1 0 1,20-8-1,-6 0 80,0-2 0,-2 0 0,0-1 0,0-1 0,-1-2 0,24-22 0,-34 27 1430,0 0 0,17-23 0,-24 28-45,0-1 0,0 0 1,-1 0-1,0-1 1,0 1-1,3-12 1,-7 18-1341,1 0 1,0 0-1,-1 0 1,0 0 0,1 1-1,-1-1 1,0 0-1,0 0 1,0 0 0,0 0-1,0 0 1,-1 0-1,1 0 1,0 1 0,-1-1-1,0 0 1,1 0-1,-1 0 1,0 1 0,-1-3-1,1 3-99,0 0-1,-1 0 0,1 0 0,-1 0 1,1 0-1,0 0 0,-1 0 1,1 1-1,-1-1 0,0 0 1,1 1-1,-1 0 0,0-1 0,1 1 1,-1 0-1,0 0 0,1 0 1,-3 0-1,-1 0-39,0 1 1,-1 0 0,1 0-1,0 0 1,0 0 0,0 1-1,0 0 1,0 0-1,1 0 1,-1 1 0,1 0-1,-1-1 1,-4 6 0,3-2 16,1 0 0,-1 0 0,1 1 0,1 0 0,-1 0 0,1 0 0,1 0 0,-1 1 0,1 0 0,0-1 0,1 1 0,0 0 0,0 0 0,1 1 0,0-1 0,0 0 0,1 0 0,0 1 0,0-1 0,1 0 0,0 1 0,1-1 0,-1 0 0,2 0 0,-1 0 0,1-1 0,6 12 0,17 19-455,2 0-1,59 60 1,16 21-655,-66-68 1291,-2 1 0,-2 2 1,-3 1-1,-2 2 0,-3 1 0,23 75 1,-38-94-517,-1 0 1,-2 1-1,-1 0 1,-1 58 0,-5-69-503,-2 1 0,-1-1 0,-1 0 0,-2-1 0,-1 1 0,-18 48 0,14-54 82,0 0 0,-1-1-1,-2-1 1,0 0 0,-1-1-1,-1 0 1,-1-2 0,-1 0 0,-1 0-1,-27 19 1,23-20 657,0-2 1,-2 0-1,1-2 1,-2-1-1,0 0 0,0-2 1,-1-1-1,0-2 0,-30 6 1,51-12 97,0 0 0,0 0 0,0-1 0,-1 0 0,1 0 0,0 0 0,0-1 0,0 0 0,0 0 0,0 0 0,0-1 0,0 0 0,0 0 0,1 0 0,-1-1 0,1 0 0,0 0 0,-1 0 0,1-1 0,1 0 0,-1 0 0,0 0 0,-3-5 0,-20-29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FBF9E-22BE-4A2B-AAE3-4783F1F1A663}" name="Table1" displayName="Table1" ref="G2:J23" totalsRowCount="1" headerRowDxfId="23" dataDxfId="21" headerRowBorderDxfId="22" tableBorderDxfId="20" headerRowCellStyle="Normal 2">
  <autoFilter ref="G2:J22" xr:uid="{11EFBF9E-22BE-4A2B-AAE3-4783F1F1A663}"/>
  <sortState xmlns:xlrd2="http://schemas.microsoft.com/office/spreadsheetml/2017/richdata2" ref="G6:J22">
    <sortCondition ref="H2:H22"/>
  </sortState>
  <tableColumns count="4">
    <tableColumn id="1" xr3:uid="{E29CF269-F31E-4D59-8C48-EEAD20EE21B4}" name="Items" totalsRowLabel="TOTAL" dataDxfId="19" totalsRowDxfId="18" dataCellStyle="Normal 2"/>
    <tableColumn id="2" xr3:uid="{ABFEAB7D-A5BE-40A6-9E15-73F96A1C06BC}" name="Prices" totalsRowFunction="sum" dataDxfId="17" totalsRowDxfId="16"/>
    <tableColumn id="3" xr3:uid="{A7627D7A-2B8F-4F11-88FD-95115D881FE4}" name="Dates" dataDxfId="15" totalsRowDxfId="14"/>
    <tableColumn id="4" xr3:uid="{B3DFCEE8-C4DC-4239-A525-A09050944C1D}" name="Regions" dataDxfId="13" totalsRowDxfId="12" dataCellStyle="Normal 2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7BB0F-C47D-4BC2-9CD0-C9E7268A2404}" name="Table2" displayName="Table2" ref="B39:E60" totalsRowCount="1" headerRowDxfId="7" dataDxfId="6" headerRowBorderDxfId="10" tableBorderDxfId="11" headerRowCellStyle="Normal 2">
  <autoFilter ref="B39:E59" xr:uid="{1557BB0F-C47D-4BC2-9CD0-C9E7268A2404}"/>
  <tableColumns count="4">
    <tableColumn id="1" xr3:uid="{2AFDCA8A-B029-444E-9250-365C019E30F6}" name="Items" totalsRowLabel="Total" dataDxfId="9" totalsRowDxfId="4" dataCellStyle="Normal 2"/>
    <tableColumn id="2" xr3:uid="{D1155343-72A1-4CAB-BC21-AD8252247E19}" name="Prices" totalsRowFunction="sum" dataDxfId="1" totalsRowDxfId="0"/>
    <tableColumn id="3" xr3:uid="{2B41A9C2-DF08-4770-BD88-C4D54DB16DE1}" name="Dates" dataDxfId="8" totalsRowDxfId="3"/>
    <tableColumn id="4" xr3:uid="{B6121D8E-3830-42C2-ABD9-65D10E85FB37}" name="Regions" dataDxfId="5" totalsRowDxfId="2" dataCellStyle="Normal 2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B74F-E2A0-4F9F-87C6-071423942B7D}">
  <dimension ref="A2:T48"/>
  <sheetViews>
    <sheetView workbookViewId="0">
      <selection activeCell="U9" sqref="U9"/>
    </sheetView>
  </sheetViews>
  <sheetFormatPr defaultRowHeight="14.4" x14ac:dyDescent="0.3"/>
  <cols>
    <col min="4" max="4" width="10.33203125" bestFit="1" customWidth="1"/>
  </cols>
  <sheetData>
    <row r="2" spans="1:20" x14ac:dyDescent="0.3"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20" x14ac:dyDescent="0.3">
      <c r="H3" t="s">
        <v>14</v>
      </c>
      <c r="J3">
        <v>1</v>
      </c>
      <c r="L3">
        <v>1</v>
      </c>
    </row>
    <row r="4" spans="1:20" x14ac:dyDescent="0.3">
      <c r="F4" t="s">
        <v>1</v>
      </c>
      <c r="H4" t="s">
        <v>15</v>
      </c>
      <c r="J4">
        <v>2</v>
      </c>
      <c r="L4">
        <v>1</v>
      </c>
    </row>
    <row r="5" spans="1:20" x14ac:dyDescent="0.3">
      <c r="F5" t="s">
        <v>2</v>
      </c>
      <c r="H5" t="s">
        <v>16</v>
      </c>
      <c r="J5">
        <v>3</v>
      </c>
      <c r="L5">
        <v>1</v>
      </c>
    </row>
    <row r="6" spans="1:20" x14ac:dyDescent="0.3">
      <c r="F6" t="s">
        <v>3</v>
      </c>
      <c r="H6" t="s">
        <v>17</v>
      </c>
      <c r="J6">
        <v>4</v>
      </c>
      <c r="L6">
        <v>1</v>
      </c>
    </row>
    <row r="7" spans="1:20" x14ac:dyDescent="0.3">
      <c r="F7" t="s">
        <v>4</v>
      </c>
      <c r="H7" t="s">
        <v>18</v>
      </c>
      <c r="J7">
        <v>5</v>
      </c>
      <c r="L7">
        <v>1</v>
      </c>
    </row>
    <row r="8" spans="1:20" x14ac:dyDescent="0.3">
      <c r="B8">
        <v>1551</v>
      </c>
      <c r="F8" t="s">
        <v>5</v>
      </c>
      <c r="H8" t="s">
        <v>19</v>
      </c>
      <c r="J8">
        <v>6</v>
      </c>
      <c r="L8">
        <v>1</v>
      </c>
    </row>
    <row r="9" spans="1:20" ht="21" x14ac:dyDescent="0.4">
      <c r="B9" t="s">
        <v>21</v>
      </c>
      <c r="F9" t="s">
        <v>6</v>
      </c>
      <c r="J9">
        <v>7</v>
      </c>
      <c r="L9">
        <v>1</v>
      </c>
      <c r="S9" s="4" t="s">
        <v>0</v>
      </c>
      <c r="T9" t="s">
        <v>47</v>
      </c>
    </row>
    <row r="10" spans="1:20" x14ac:dyDescent="0.3">
      <c r="A10" s="2">
        <v>4</v>
      </c>
      <c r="B10">
        <v>3</v>
      </c>
      <c r="F10" t="s">
        <v>7</v>
      </c>
      <c r="J10">
        <v>8</v>
      </c>
      <c r="L10">
        <v>1</v>
      </c>
    </row>
    <row r="11" spans="1:20" x14ac:dyDescent="0.3">
      <c r="A11" s="2">
        <v>9</v>
      </c>
      <c r="B11">
        <v>6</v>
      </c>
      <c r="F11" t="s">
        <v>8</v>
      </c>
      <c r="I11" t="s">
        <v>20</v>
      </c>
      <c r="J11">
        <v>9</v>
      </c>
      <c r="L11">
        <v>1</v>
      </c>
    </row>
    <row r="12" spans="1:20" x14ac:dyDescent="0.3">
      <c r="A12" s="2">
        <v>16</v>
      </c>
      <c r="B12">
        <v>9</v>
      </c>
      <c r="D12" s="1">
        <v>45850</v>
      </c>
      <c r="F12" t="s">
        <v>9</v>
      </c>
      <c r="I12">
        <v>10</v>
      </c>
      <c r="J12">
        <v>10</v>
      </c>
      <c r="L12">
        <v>1</v>
      </c>
    </row>
    <row r="13" spans="1:20" x14ac:dyDescent="0.3">
      <c r="A13" s="2">
        <v>25</v>
      </c>
      <c r="B13">
        <v>12</v>
      </c>
      <c r="D13" s="1">
        <v>45850</v>
      </c>
      <c r="F13" t="s">
        <v>10</v>
      </c>
      <c r="I13">
        <v>20</v>
      </c>
      <c r="J13">
        <v>11</v>
      </c>
      <c r="L13">
        <v>1</v>
      </c>
    </row>
    <row r="14" spans="1:20" x14ac:dyDescent="0.3">
      <c r="A14" s="2">
        <v>36</v>
      </c>
      <c r="B14">
        <v>15</v>
      </c>
      <c r="D14" s="1">
        <v>45850</v>
      </c>
      <c r="F14" t="s">
        <v>11</v>
      </c>
      <c r="I14">
        <v>30</v>
      </c>
      <c r="J14">
        <v>12</v>
      </c>
      <c r="L14">
        <v>1</v>
      </c>
    </row>
    <row r="15" spans="1:20" x14ac:dyDescent="0.3">
      <c r="A15" s="2">
        <v>49</v>
      </c>
      <c r="B15">
        <v>18</v>
      </c>
      <c r="D15" s="1">
        <v>45850</v>
      </c>
      <c r="F15" t="s">
        <v>12</v>
      </c>
      <c r="I15">
        <v>40</v>
      </c>
      <c r="J15">
        <v>13</v>
      </c>
      <c r="L15">
        <v>1</v>
      </c>
      <c r="O15" t="s">
        <v>33</v>
      </c>
      <c r="P15">
        <v>5</v>
      </c>
    </row>
    <row r="16" spans="1:20" x14ac:dyDescent="0.3">
      <c r="A16" s="2">
        <v>54.6666666666667</v>
      </c>
      <c r="B16">
        <v>21</v>
      </c>
      <c r="D16" s="1">
        <v>45850</v>
      </c>
      <c r="I16">
        <v>50</v>
      </c>
      <c r="J16">
        <v>14</v>
      </c>
      <c r="L16">
        <v>1</v>
      </c>
      <c r="O16" t="s">
        <v>35</v>
      </c>
      <c r="P16">
        <v>10</v>
      </c>
    </row>
    <row r="17" spans="1:16" x14ac:dyDescent="0.3">
      <c r="A17" s="2">
        <v>63.6666666666667</v>
      </c>
      <c r="B17">
        <v>24</v>
      </c>
      <c r="D17" s="1">
        <v>45850</v>
      </c>
      <c r="I17">
        <v>60</v>
      </c>
      <c r="J17">
        <v>15</v>
      </c>
      <c r="L17">
        <v>1</v>
      </c>
      <c r="O17" t="s">
        <v>36</v>
      </c>
      <c r="P17">
        <v>15</v>
      </c>
    </row>
    <row r="18" spans="1:16" x14ac:dyDescent="0.3">
      <c r="A18" s="2">
        <v>72.6666666666667</v>
      </c>
      <c r="B18">
        <v>27</v>
      </c>
      <c r="D18" s="1">
        <v>45850</v>
      </c>
      <c r="I18">
        <v>70</v>
      </c>
      <c r="J18">
        <v>16</v>
      </c>
      <c r="L18">
        <v>1</v>
      </c>
      <c r="O18" t="s">
        <v>37</v>
      </c>
      <c r="P18">
        <v>20</v>
      </c>
    </row>
    <row r="19" spans="1:16" x14ac:dyDescent="0.3">
      <c r="A19" s="2">
        <v>81.6666666666667</v>
      </c>
      <c r="B19">
        <v>30</v>
      </c>
      <c r="D19" s="1">
        <v>45850</v>
      </c>
      <c r="I19">
        <v>80</v>
      </c>
      <c r="J19">
        <v>17</v>
      </c>
      <c r="L19">
        <v>1</v>
      </c>
      <c r="O19" t="s">
        <v>38</v>
      </c>
      <c r="P19">
        <v>25</v>
      </c>
    </row>
    <row r="20" spans="1:16" x14ac:dyDescent="0.3">
      <c r="A20" s="2">
        <v>90.6666666666667</v>
      </c>
      <c r="B20">
        <v>33</v>
      </c>
      <c r="D20" s="1">
        <v>45850</v>
      </c>
      <c r="I20">
        <v>90</v>
      </c>
      <c r="J20">
        <v>18</v>
      </c>
      <c r="L20">
        <v>1</v>
      </c>
      <c r="O20" t="s">
        <v>39</v>
      </c>
      <c r="P20">
        <v>30</v>
      </c>
    </row>
    <row r="21" spans="1:16" x14ac:dyDescent="0.3">
      <c r="A21" s="2">
        <v>99.6666666666667</v>
      </c>
      <c r="B21">
        <v>36</v>
      </c>
      <c r="D21" s="1">
        <v>45850</v>
      </c>
      <c r="I21">
        <v>100</v>
      </c>
      <c r="J21">
        <v>19</v>
      </c>
      <c r="L21">
        <v>1</v>
      </c>
      <c r="O21" t="s">
        <v>40</v>
      </c>
      <c r="P21">
        <v>35</v>
      </c>
    </row>
    <row r="22" spans="1:16" x14ac:dyDescent="0.3">
      <c r="A22" s="2">
        <v>108.666666666667</v>
      </c>
      <c r="B22">
        <v>39</v>
      </c>
      <c r="D22" s="1">
        <v>45850</v>
      </c>
      <c r="I22">
        <v>110</v>
      </c>
      <c r="J22">
        <v>20</v>
      </c>
      <c r="L22">
        <v>1</v>
      </c>
      <c r="O22" t="s">
        <v>41</v>
      </c>
      <c r="P22">
        <v>40</v>
      </c>
    </row>
    <row r="23" spans="1:16" x14ac:dyDescent="0.3">
      <c r="A23" s="2">
        <v>117.666666666667</v>
      </c>
      <c r="B23">
        <v>42</v>
      </c>
      <c r="D23" s="1">
        <v>45850</v>
      </c>
      <c r="I23">
        <v>120</v>
      </c>
      <c r="J23">
        <v>21</v>
      </c>
      <c r="L23">
        <v>1</v>
      </c>
      <c r="O23" t="s">
        <v>42</v>
      </c>
      <c r="P23">
        <v>45</v>
      </c>
    </row>
    <row r="24" spans="1:16" x14ac:dyDescent="0.3">
      <c r="A24" s="2">
        <v>126.666666666667</v>
      </c>
      <c r="B24">
        <v>45</v>
      </c>
      <c r="D24" s="1">
        <v>45850</v>
      </c>
      <c r="I24">
        <v>130</v>
      </c>
      <c r="J24">
        <v>22</v>
      </c>
      <c r="L24">
        <v>1</v>
      </c>
      <c r="O24" t="s">
        <v>43</v>
      </c>
      <c r="P24">
        <v>50</v>
      </c>
    </row>
    <row r="25" spans="1:16" x14ac:dyDescent="0.3">
      <c r="A25" s="2"/>
      <c r="B25">
        <v>48</v>
      </c>
      <c r="I25">
        <v>140</v>
      </c>
      <c r="J25">
        <v>23</v>
      </c>
      <c r="L25">
        <v>1</v>
      </c>
      <c r="O25" t="s">
        <v>44</v>
      </c>
      <c r="P25">
        <v>55</v>
      </c>
    </row>
    <row r="26" spans="1:16" x14ac:dyDescent="0.3">
      <c r="A26" s="2"/>
      <c r="B26">
        <v>51</v>
      </c>
      <c r="I26">
        <v>150</v>
      </c>
      <c r="J26">
        <v>24</v>
      </c>
      <c r="L26">
        <v>1</v>
      </c>
      <c r="O26" t="s">
        <v>45</v>
      </c>
      <c r="P26">
        <v>60</v>
      </c>
    </row>
    <row r="27" spans="1:16" x14ac:dyDescent="0.3">
      <c r="A27" s="2"/>
      <c r="B27">
        <v>54</v>
      </c>
      <c r="J27">
        <v>25</v>
      </c>
      <c r="L27">
        <v>1</v>
      </c>
      <c r="O27" t="s">
        <v>46</v>
      </c>
      <c r="P27">
        <v>65</v>
      </c>
    </row>
    <row r="28" spans="1:16" x14ac:dyDescent="0.3">
      <c r="O28" t="s">
        <v>34</v>
      </c>
      <c r="P28">
        <v>70</v>
      </c>
    </row>
    <row r="29" spans="1:16" x14ac:dyDescent="0.3">
      <c r="C29" t="s">
        <v>22</v>
      </c>
      <c r="D29" t="s">
        <v>23</v>
      </c>
      <c r="E29" t="s">
        <v>24</v>
      </c>
      <c r="F29" t="s">
        <v>25</v>
      </c>
      <c r="G29" t="s">
        <v>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P29">
        <v>75</v>
      </c>
    </row>
    <row r="32" spans="1:16" x14ac:dyDescent="0.3"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</v>
      </c>
    </row>
    <row r="33" spans="2:9" x14ac:dyDescent="0.3">
      <c r="B33">
        <v>8</v>
      </c>
      <c r="C33">
        <v>7</v>
      </c>
      <c r="D33">
        <v>6</v>
      </c>
      <c r="E33">
        <v>5</v>
      </c>
      <c r="F33">
        <v>4</v>
      </c>
      <c r="G33">
        <v>3</v>
      </c>
      <c r="H33">
        <v>2</v>
      </c>
      <c r="I33">
        <v>1</v>
      </c>
    </row>
    <row r="38" spans="2:9" x14ac:dyDescent="0.3">
      <c r="E38" t="s">
        <v>49</v>
      </c>
    </row>
    <row r="44" spans="2:9" x14ac:dyDescent="0.3">
      <c r="B44" t="s">
        <v>47</v>
      </c>
    </row>
    <row r="46" spans="2:9" x14ac:dyDescent="0.3">
      <c r="B46" t="s">
        <v>48</v>
      </c>
      <c r="F46" t="s">
        <v>47</v>
      </c>
    </row>
    <row r="48" spans="2:9" x14ac:dyDescent="0.3">
      <c r="F48" t="s">
        <v>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EFC8-CA7C-49A1-8CD7-7FC6724377D5}">
  <dimension ref="B2:O49"/>
  <sheetViews>
    <sheetView zoomScale="90" zoomScaleNormal="90" workbookViewId="0">
      <selection activeCell="D5" sqref="D5"/>
    </sheetView>
  </sheetViews>
  <sheetFormatPr defaultRowHeight="14.4" x14ac:dyDescent="0.3"/>
  <cols>
    <col min="2" max="2" width="17.6640625" bestFit="1" customWidth="1"/>
    <col min="3" max="3" width="13.77734375" bestFit="1" customWidth="1"/>
    <col min="4" max="4" width="17.6640625" bestFit="1" customWidth="1"/>
    <col min="5" max="5" width="15.44140625" bestFit="1" customWidth="1"/>
    <col min="6" max="6" width="12.44140625" bestFit="1" customWidth="1"/>
    <col min="7" max="7" width="15.109375" bestFit="1" customWidth="1"/>
    <col min="8" max="8" width="14.5546875" bestFit="1" customWidth="1"/>
    <col min="9" max="10" width="12.44140625" bestFit="1" customWidth="1"/>
    <col min="11" max="12" width="14.5546875" bestFit="1" customWidth="1"/>
    <col min="13" max="13" width="55.44140625" customWidth="1"/>
    <col min="14" max="14" width="12.44140625" bestFit="1" customWidth="1"/>
  </cols>
  <sheetData>
    <row r="2" spans="2:15" ht="18" x14ac:dyDescent="0.35">
      <c r="B2" s="10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</row>
    <row r="3" spans="2:15" ht="18" x14ac:dyDescent="0.35">
      <c r="B3" s="10" t="s">
        <v>14</v>
      </c>
      <c r="C3" s="3"/>
      <c r="D3" s="9">
        <v>1</v>
      </c>
      <c r="E3" s="3"/>
      <c r="F3" s="5"/>
      <c r="G3" s="3"/>
      <c r="H3" s="3"/>
    </row>
    <row r="4" spans="2:15" ht="18" x14ac:dyDescent="0.35">
      <c r="B4" s="10" t="s">
        <v>15</v>
      </c>
      <c r="C4" s="3"/>
      <c r="D4" s="9">
        <v>2</v>
      </c>
      <c r="E4" s="3"/>
      <c r="F4" s="5"/>
      <c r="G4" s="3"/>
      <c r="H4" s="3"/>
    </row>
    <row r="5" spans="2:15" ht="25.2" x14ac:dyDescent="0.5">
      <c r="B5" s="10" t="s">
        <v>16</v>
      </c>
      <c r="C5" s="3"/>
      <c r="D5" s="9">
        <v>3</v>
      </c>
      <c r="E5" s="3"/>
      <c r="F5" s="5"/>
      <c r="G5" s="3"/>
      <c r="H5" s="3"/>
      <c r="K5" s="6">
        <v>100</v>
      </c>
    </row>
    <row r="6" spans="2:15" ht="25.2" x14ac:dyDescent="0.5">
      <c r="B6" s="10" t="s">
        <v>17</v>
      </c>
      <c r="C6" s="3"/>
      <c r="D6" s="9">
        <v>4</v>
      </c>
      <c r="E6" s="3"/>
      <c r="F6" s="5"/>
      <c r="G6" s="3"/>
      <c r="H6" s="3"/>
      <c r="K6" s="6">
        <v>200</v>
      </c>
    </row>
    <row r="7" spans="2:15" s="14" customFormat="1" ht="214.8" x14ac:dyDescent="0.3">
      <c r="B7" s="15" t="s">
        <v>18</v>
      </c>
      <c r="C7" s="16"/>
      <c r="D7" s="9">
        <v>5</v>
      </c>
      <c r="E7" s="16"/>
      <c r="F7" s="17"/>
      <c r="G7" s="16"/>
      <c r="H7" s="16"/>
      <c r="K7" s="18">
        <v>300</v>
      </c>
      <c r="M7" s="19" t="s">
        <v>55</v>
      </c>
    </row>
    <row r="8" spans="2:15" ht="18" x14ac:dyDescent="0.35">
      <c r="B8" s="10" t="s">
        <v>19</v>
      </c>
      <c r="C8" s="3"/>
      <c r="D8" s="9">
        <v>6</v>
      </c>
      <c r="E8" s="3"/>
      <c r="F8" s="5"/>
      <c r="G8" s="3"/>
      <c r="H8" s="3"/>
    </row>
    <row r="9" spans="2:15" ht="15" thickBot="1" x14ac:dyDescent="0.35"/>
    <row r="10" spans="2:15" ht="29.4" thickTop="1" thickBot="1" x14ac:dyDescent="0.35">
      <c r="H10" s="212" t="s">
        <v>54</v>
      </c>
      <c r="I10" s="212"/>
      <c r="J10" s="212"/>
      <c r="K10" s="212"/>
      <c r="L10" s="212"/>
    </row>
    <row r="11" spans="2:15" ht="16.8" thickTop="1" thickBot="1" x14ac:dyDescent="0.35">
      <c r="H11" s="20" t="s">
        <v>52</v>
      </c>
      <c r="I11" s="20" t="s">
        <v>47</v>
      </c>
      <c r="J11" s="20" t="s">
        <v>47</v>
      </c>
      <c r="K11" s="20" t="s">
        <v>47</v>
      </c>
      <c r="L11" s="20" t="s">
        <v>47</v>
      </c>
      <c r="M11" s="11"/>
      <c r="N11" s="11"/>
      <c r="O11" s="11"/>
    </row>
    <row r="12" spans="2:15" ht="16.8" thickTop="1" thickBot="1" x14ac:dyDescent="0.35">
      <c r="H12" s="20" t="s">
        <v>52</v>
      </c>
      <c r="I12" s="20" t="s">
        <v>50</v>
      </c>
      <c r="J12" s="20" t="s">
        <v>47</v>
      </c>
      <c r="K12" s="20" t="s">
        <v>47</v>
      </c>
      <c r="L12" s="20" t="s">
        <v>47</v>
      </c>
      <c r="M12" s="11"/>
      <c r="N12" s="11"/>
      <c r="O12" s="11"/>
    </row>
    <row r="13" spans="2:15" ht="16.8" thickTop="1" thickBot="1" x14ac:dyDescent="0.35">
      <c r="H13" s="20" t="s">
        <v>52</v>
      </c>
      <c r="I13" s="20" t="s">
        <v>47</v>
      </c>
      <c r="J13" s="20" t="s">
        <v>47</v>
      </c>
      <c r="K13" s="20" t="s">
        <v>47</v>
      </c>
      <c r="L13" s="20" t="s">
        <v>47</v>
      </c>
      <c r="M13" s="11"/>
      <c r="N13" s="11"/>
      <c r="O13" s="11"/>
    </row>
    <row r="14" spans="2:15" ht="16.8" thickTop="1" thickBot="1" x14ac:dyDescent="0.35">
      <c r="H14" s="20" t="s">
        <v>52</v>
      </c>
      <c r="I14" s="20" t="s">
        <v>47</v>
      </c>
      <c r="J14" s="20" t="s">
        <v>51</v>
      </c>
      <c r="K14" s="20" t="s">
        <v>47</v>
      </c>
      <c r="L14" s="20" t="s">
        <v>47</v>
      </c>
      <c r="M14" s="11"/>
      <c r="N14" s="11"/>
      <c r="O14" s="11"/>
    </row>
    <row r="15" spans="2:15" ht="16.8" thickTop="1" thickBot="1" x14ac:dyDescent="0.35">
      <c r="H15" s="20" t="s">
        <v>52</v>
      </c>
      <c r="I15" s="20" t="s">
        <v>47</v>
      </c>
      <c r="J15" s="20" t="s">
        <v>47</v>
      </c>
      <c r="K15" s="20" t="s">
        <v>47</v>
      </c>
      <c r="L15" s="20" t="s">
        <v>47</v>
      </c>
      <c r="M15" s="11"/>
      <c r="N15" s="11"/>
      <c r="O15" s="11"/>
    </row>
    <row r="16" spans="2:15" ht="16.8" thickTop="1" thickBot="1" x14ac:dyDescent="0.35">
      <c r="H16" s="20" t="s">
        <v>52</v>
      </c>
      <c r="I16" s="20" t="s">
        <v>50</v>
      </c>
      <c r="J16" s="20" t="s">
        <v>50</v>
      </c>
      <c r="K16" s="20" t="s">
        <v>47</v>
      </c>
      <c r="L16" s="20" t="s">
        <v>47</v>
      </c>
      <c r="M16" s="11"/>
      <c r="N16" s="11"/>
      <c r="O16" s="11"/>
    </row>
    <row r="17" spans="5:15" ht="16.8" thickTop="1" thickBot="1" x14ac:dyDescent="0.35">
      <c r="H17" s="20" t="s">
        <v>52</v>
      </c>
      <c r="I17" s="20" t="s">
        <v>50</v>
      </c>
      <c r="J17" s="20" t="s">
        <v>50</v>
      </c>
      <c r="K17" s="20" t="s">
        <v>47</v>
      </c>
      <c r="L17" s="20" t="s">
        <v>52</v>
      </c>
      <c r="M17" s="11"/>
      <c r="N17" s="11"/>
      <c r="O17" s="11"/>
    </row>
    <row r="18" spans="5:15" ht="16.8" thickTop="1" thickBot="1" x14ac:dyDescent="0.35">
      <c r="H18" s="20" t="s">
        <v>47</v>
      </c>
      <c r="I18" s="20" t="s">
        <v>50</v>
      </c>
      <c r="J18" s="20" t="s">
        <v>50</v>
      </c>
      <c r="K18" s="20" t="s">
        <v>47</v>
      </c>
      <c r="L18" s="20" t="s">
        <v>47</v>
      </c>
      <c r="M18" s="11"/>
      <c r="N18" s="11"/>
      <c r="O18" s="11"/>
    </row>
    <row r="19" spans="5:15" ht="16.8" thickTop="1" thickBot="1" x14ac:dyDescent="0.35"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11"/>
      <c r="N19" s="11"/>
      <c r="O19" s="11"/>
    </row>
    <row r="20" spans="5:15" ht="16.8" thickTop="1" thickBot="1" x14ac:dyDescent="0.35">
      <c r="H20" s="20" t="s">
        <v>47</v>
      </c>
      <c r="I20" s="20" t="s">
        <v>47</v>
      </c>
      <c r="J20" s="20" t="s">
        <v>47</v>
      </c>
      <c r="K20" s="20" t="s">
        <v>47</v>
      </c>
      <c r="L20" s="20" t="s">
        <v>47</v>
      </c>
      <c r="M20" s="11"/>
      <c r="N20" s="11"/>
      <c r="O20" s="11"/>
    </row>
    <row r="21" spans="5:15" ht="16.8" thickTop="1" thickBot="1" x14ac:dyDescent="0.35">
      <c r="H21" s="20" t="s">
        <v>47</v>
      </c>
      <c r="I21" s="20" t="s">
        <v>53</v>
      </c>
      <c r="J21" s="20" t="s">
        <v>47</v>
      </c>
      <c r="K21" s="20" t="s">
        <v>52</v>
      </c>
      <c r="L21" s="20" t="s">
        <v>51</v>
      </c>
      <c r="M21" s="11"/>
      <c r="N21" s="11"/>
      <c r="O21" s="11"/>
    </row>
    <row r="22" spans="5:15" ht="16.8" thickTop="1" thickBot="1" x14ac:dyDescent="0.35">
      <c r="H22" s="20" t="s">
        <v>47</v>
      </c>
      <c r="I22" s="20" t="s">
        <v>47</v>
      </c>
      <c r="J22" s="20" t="s">
        <v>47</v>
      </c>
      <c r="K22" s="20" t="s">
        <v>47</v>
      </c>
      <c r="L22" s="20" t="s">
        <v>51</v>
      </c>
      <c r="M22" s="11"/>
      <c r="N22" s="11"/>
      <c r="O22" s="11"/>
    </row>
    <row r="23" spans="5:15" ht="16.8" thickTop="1" thickBot="1" x14ac:dyDescent="0.35">
      <c r="H23" s="20" t="s">
        <v>47</v>
      </c>
      <c r="I23" s="20" t="s">
        <v>47</v>
      </c>
      <c r="J23" s="20" t="s">
        <v>47</v>
      </c>
      <c r="K23" s="20" t="s">
        <v>47</v>
      </c>
      <c r="L23" s="20" t="s">
        <v>51</v>
      </c>
      <c r="M23" s="11"/>
      <c r="N23" s="11"/>
      <c r="O23" s="11"/>
    </row>
    <row r="24" spans="5:15" ht="16.2" thickTop="1" x14ac:dyDescent="0.3">
      <c r="H24" s="11"/>
      <c r="I24" s="11"/>
      <c r="J24" s="11"/>
      <c r="K24" s="11"/>
      <c r="L24" s="11"/>
      <c r="M24" s="11"/>
      <c r="N24" s="11"/>
      <c r="O24" s="11"/>
    </row>
    <row r="25" spans="5:15" ht="15.6" x14ac:dyDescent="0.3">
      <c r="H25" s="11"/>
      <c r="I25" s="11"/>
      <c r="J25" s="11"/>
      <c r="K25" s="11"/>
      <c r="L25" s="11"/>
      <c r="M25" s="11"/>
      <c r="N25" s="11"/>
      <c r="O25" s="11"/>
    </row>
    <row r="26" spans="5:15" ht="15.6" x14ac:dyDescent="0.3">
      <c r="H26" s="11"/>
      <c r="I26" s="11"/>
      <c r="J26" s="11"/>
      <c r="K26" s="11"/>
      <c r="L26" s="11"/>
      <c r="M26" s="11"/>
      <c r="N26" s="11"/>
      <c r="O26" s="11"/>
    </row>
    <row r="27" spans="5:15" ht="15.6" x14ac:dyDescent="0.3">
      <c r="H27" s="11"/>
      <c r="I27" s="11"/>
      <c r="J27" s="11"/>
      <c r="K27" s="11"/>
      <c r="L27" s="11"/>
      <c r="M27" s="11"/>
      <c r="N27" s="11"/>
      <c r="O27" s="11"/>
    </row>
    <row r="28" spans="5:15" ht="15.6" x14ac:dyDescent="0.3">
      <c r="E28" s="12" t="s">
        <v>50</v>
      </c>
      <c r="F28" s="12" t="s">
        <v>50</v>
      </c>
      <c r="H28" s="11"/>
      <c r="I28" s="11"/>
      <c r="J28" s="11"/>
      <c r="K28" s="11"/>
      <c r="L28" s="11"/>
      <c r="M28" s="11"/>
      <c r="N28" s="11"/>
      <c r="O28" s="11"/>
    </row>
    <row r="29" spans="5:15" ht="15.6" x14ac:dyDescent="0.3">
      <c r="E29" s="12" t="s">
        <v>50</v>
      </c>
      <c r="F29" s="12" t="s">
        <v>50</v>
      </c>
      <c r="G29" s="12" t="s">
        <v>50</v>
      </c>
    </row>
    <row r="30" spans="5:15" ht="15.6" x14ac:dyDescent="0.3">
      <c r="E30" s="12" t="s">
        <v>47</v>
      </c>
      <c r="F30" s="12" t="s">
        <v>50</v>
      </c>
      <c r="G30" s="12" t="s">
        <v>50</v>
      </c>
      <c r="H30" s="12" t="s">
        <v>50</v>
      </c>
    </row>
    <row r="31" spans="5:15" ht="15.6" x14ac:dyDescent="0.3">
      <c r="E31" s="12" t="s">
        <v>47</v>
      </c>
      <c r="F31" s="12" t="s">
        <v>47</v>
      </c>
      <c r="G31" s="12" t="s">
        <v>50</v>
      </c>
      <c r="H31" s="12" t="s">
        <v>50</v>
      </c>
      <c r="I31" s="12" t="s">
        <v>50</v>
      </c>
    </row>
    <row r="32" spans="5:15" ht="15.6" x14ac:dyDescent="0.3">
      <c r="E32" s="12" t="s">
        <v>53</v>
      </c>
      <c r="F32" s="12" t="s">
        <v>47</v>
      </c>
      <c r="G32" s="12" t="s">
        <v>47</v>
      </c>
      <c r="H32" s="12" t="s">
        <v>50</v>
      </c>
      <c r="I32" s="12" t="s">
        <v>50</v>
      </c>
      <c r="J32" s="12" t="s">
        <v>50</v>
      </c>
    </row>
    <row r="33" spans="2:14" ht="15.6" x14ac:dyDescent="0.3">
      <c r="F33" s="12" t="s">
        <v>53</v>
      </c>
      <c r="G33" s="12" t="s">
        <v>47</v>
      </c>
      <c r="H33" s="12" t="s">
        <v>47</v>
      </c>
      <c r="I33" s="12" t="s">
        <v>50</v>
      </c>
      <c r="J33" s="12" t="s">
        <v>50</v>
      </c>
      <c r="K33" s="12" t="s">
        <v>50</v>
      </c>
    </row>
    <row r="34" spans="2:14" ht="15.6" x14ac:dyDescent="0.3">
      <c r="G34" s="12" t="s">
        <v>53</v>
      </c>
      <c r="H34" s="12" t="s">
        <v>47</v>
      </c>
      <c r="I34" s="12" t="s">
        <v>47</v>
      </c>
      <c r="J34" s="12" t="s">
        <v>50</v>
      </c>
      <c r="K34" s="12" t="s">
        <v>50</v>
      </c>
      <c r="L34" s="12" t="s">
        <v>50</v>
      </c>
    </row>
    <row r="35" spans="2:14" ht="15.6" x14ac:dyDescent="0.3">
      <c r="H35" s="12" t="s">
        <v>53</v>
      </c>
      <c r="I35" s="12" t="s">
        <v>47</v>
      </c>
      <c r="J35" s="12" t="s">
        <v>47</v>
      </c>
      <c r="K35" s="12" t="s">
        <v>50</v>
      </c>
      <c r="L35" s="12" t="s">
        <v>50</v>
      </c>
      <c r="M35" s="12" t="s">
        <v>50</v>
      </c>
    </row>
    <row r="36" spans="2:14" ht="15.6" x14ac:dyDescent="0.3">
      <c r="I36" s="12" t="s">
        <v>53</v>
      </c>
      <c r="J36" s="12" t="s">
        <v>47</v>
      </c>
      <c r="K36" s="12" t="s">
        <v>47</v>
      </c>
      <c r="L36" s="12" t="s">
        <v>50</v>
      </c>
      <c r="M36" s="12" t="s">
        <v>50</v>
      </c>
      <c r="N36" s="12" t="s">
        <v>50</v>
      </c>
    </row>
    <row r="37" spans="2:14" ht="15.6" x14ac:dyDescent="0.3">
      <c r="B37" s="12" t="s">
        <v>47</v>
      </c>
      <c r="J37" s="12" t="s">
        <v>53</v>
      </c>
      <c r="K37" s="12" t="s">
        <v>47</v>
      </c>
      <c r="L37" s="12" t="s">
        <v>47</v>
      </c>
      <c r="M37" s="12" t="s">
        <v>50</v>
      </c>
      <c r="N37" s="12" t="s">
        <v>50</v>
      </c>
    </row>
    <row r="38" spans="2:14" ht="15.6" x14ac:dyDescent="0.3">
      <c r="C38" s="12" t="s">
        <v>47</v>
      </c>
      <c r="K38" s="12" t="s">
        <v>53</v>
      </c>
      <c r="L38" s="12" t="s">
        <v>47</v>
      </c>
      <c r="M38" s="12" t="s">
        <v>47</v>
      </c>
      <c r="N38" s="12" t="s">
        <v>47</v>
      </c>
    </row>
    <row r="39" spans="2:14" ht="15.6" x14ac:dyDescent="0.3">
      <c r="D39" s="12" t="s">
        <v>47</v>
      </c>
      <c r="L39" s="12" t="s">
        <v>53</v>
      </c>
      <c r="M39" s="12" t="s">
        <v>47</v>
      </c>
      <c r="N39" s="12" t="s">
        <v>47</v>
      </c>
    </row>
    <row r="40" spans="2:14" ht="15.6" x14ac:dyDescent="0.3">
      <c r="E40" s="12" t="s">
        <v>47</v>
      </c>
      <c r="M40" s="12" t="s">
        <v>53</v>
      </c>
      <c r="N40" s="12" t="s">
        <v>47</v>
      </c>
    </row>
    <row r="41" spans="2:14" ht="15.6" x14ac:dyDescent="0.3">
      <c r="F41" s="12" t="s">
        <v>47</v>
      </c>
    </row>
    <row r="42" spans="2:14" ht="15.6" x14ac:dyDescent="0.3">
      <c r="G42" s="12" t="s">
        <v>47</v>
      </c>
    </row>
    <row r="43" spans="2:14" ht="16.2" thickBot="1" x14ac:dyDescent="0.35">
      <c r="H43" s="12" t="s">
        <v>47</v>
      </c>
    </row>
    <row r="44" spans="2:14" ht="19.2" thickTop="1" thickBot="1" x14ac:dyDescent="0.4">
      <c r="B44" s="21" t="s">
        <v>56</v>
      </c>
      <c r="I44" s="12" t="s">
        <v>47</v>
      </c>
    </row>
    <row r="45" spans="2:14" ht="16.8" thickTop="1" thickBot="1" x14ac:dyDescent="0.35">
      <c r="J45" s="12" t="s">
        <v>47</v>
      </c>
    </row>
    <row r="46" spans="2:14" ht="22.2" thickTop="1" thickBot="1" x14ac:dyDescent="0.45">
      <c r="C46" s="22">
        <v>1</v>
      </c>
    </row>
    <row r="47" spans="2:14" ht="22.2" thickTop="1" thickBot="1" x14ac:dyDescent="0.45">
      <c r="C47" s="22">
        <v>2</v>
      </c>
    </row>
    <row r="48" spans="2:14" ht="22.2" thickTop="1" thickBot="1" x14ac:dyDescent="0.45">
      <c r="C48" s="22">
        <v>3</v>
      </c>
    </row>
    <row r="49" ht="15" thickTop="1" x14ac:dyDescent="0.3"/>
  </sheetData>
  <mergeCells count="1">
    <mergeCell ref="H10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D0D-4AF3-4256-8027-A5B26E089621}">
  <dimension ref="B1:N26"/>
  <sheetViews>
    <sheetView workbookViewId="0">
      <selection activeCell="J2" sqref="J2:J9"/>
    </sheetView>
  </sheetViews>
  <sheetFormatPr defaultRowHeight="18" x14ac:dyDescent="0.35"/>
  <cols>
    <col min="1" max="1" width="8.88671875" style="13"/>
    <col min="2" max="2" width="9.6640625" style="13" bestFit="1" customWidth="1"/>
    <col min="3" max="5" width="8.88671875" style="13"/>
    <col min="6" max="6" width="13.44140625" style="13" bestFit="1" customWidth="1"/>
    <col min="7" max="7" width="8.88671875" style="13"/>
    <col min="8" max="8" width="14.33203125" style="13" bestFit="1" customWidth="1"/>
    <col min="9" max="9" width="8.88671875" style="13"/>
    <col min="10" max="10" width="13.44140625" style="13" bestFit="1" customWidth="1"/>
    <col min="11" max="11" width="8.88671875" style="13"/>
    <col min="12" max="12" width="17.44140625" style="13" bestFit="1" customWidth="1"/>
    <col min="13" max="13" width="8.88671875" style="13"/>
    <col min="14" max="14" width="13.33203125" style="13" bestFit="1" customWidth="1"/>
    <col min="15" max="16384" width="8.88671875" style="13"/>
  </cols>
  <sheetData>
    <row r="1" spans="2:14" ht="19.2" thickTop="1" thickBot="1" x14ac:dyDescent="0.4">
      <c r="B1" s="26">
        <v>1</v>
      </c>
    </row>
    <row r="2" spans="2:14" ht="19.2" thickTop="1" thickBot="1" x14ac:dyDescent="0.4">
      <c r="B2" s="26">
        <v>2</v>
      </c>
      <c r="F2" s="23">
        <v>46204</v>
      </c>
      <c r="H2" s="25">
        <v>100</v>
      </c>
      <c r="J2" s="23">
        <v>45879</v>
      </c>
      <c r="L2" s="27">
        <v>0.52</v>
      </c>
    </row>
    <row r="3" spans="2:14" ht="19.2" thickTop="1" thickBot="1" x14ac:dyDescent="0.4">
      <c r="B3" s="26">
        <v>3</v>
      </c>
      <c r="D3" s="24" t="s">
        <v>22</v>
      </c>
      <c r="F3" s="23">
        <v>46205</v>
      </c>
      <c r="H3" s="25">
        <v>150</v>
      </c>
      <c r="J3" s="23">
        <v>45880</v>
      </c>
      <c r="L3" s="27">
        <v>0.3</v>
      </c>
      <c r="N3" s="29">
        <v>46204</v>
      </c>
    </row>
    <row r="4" spans="2:14" ht="19.2" thickTop="1" thickBot="1" x14ac:dyDescent="0.4">
      <c r="B4" s="26">
        <v>4</v>
      </c>
      <c r="D4" s="24" t="s">
        <v>23</v>
      </c>
      <c r="F4" s="23">
        <v>46206</v>
      </c>
      <c r="H4" s="25">
        <v>250</v>
      </c>
      <c r="J4" s="23">
        <v>45881</v>
      </c>
      <c r="L4" s="27">
        <v>0.5</v>
      </c>
      <c r="N4" s="29">
        <v>46205</v>
      </c>
    </row>
    <row r="5" spans="2:14" ht="19.2" thickTop="1" thickBot="1" x14ac:dyDescent="0.4">
      <c r="B5" s="26">
        <v>5</v>
      </c>
      <c r="D5" s="24" t="s">
        <v>24</v>
      </c>
      <c r="F5" s="23">
        <v>46207</v>
      </c>
      <c r="H5" s="25">
        <v>300</v>
      </c>
      <c r="J5" s="23">
        <v>45882</v>
      </c>
      <c r="L5" s="27">
        <v>0.9</v>
      </c>
      <c r="N5" s="29">
        <v>46206</v>
      </c>
    </row>
    <row r="6" spans="2:14" ht="19.2" thickTop="1" thickBot="1" x14ac:dyDescent="0.4">
      <c r="B6" s="26">
        <v>6</v>
      </c>
      <c r="D6" s="24" t="s">
        <v>25</v>
      </c>
      <c r="F6" s="23">
        <v>46208</v>
      </c>
      <c r="H6" s="25">
        <v>400</v>
      </c>
      <c r="J6" s="23">
        <v>45883</v>
      </c>
      <c r="L6" s="27">
        <v>0.85</v>
      </c>
      <c r="N6" s="29">
        <v>46207</v>
      </c>
    </row>
    <row r="7" spans="2:14" ht="19.2" thickTop="1" thickBot="1" x14ac:dyDescent="0.4">
      <c r="B7" s="26">
        <v>7</v>
      </c>
      <c r="D7" s="24" t="s">
        <v>5</v>
      </c>
      <c r="F7" s="23">
        <v>46209</v>
      </c>
      <c r="H7" s="25">
        <v>500</v>
      </c>
      <c r="J7" s="23">
        <v>45884</v>
      </c>
      <c r="L7" s="21"/>
      <c r="N7" s="29">
        <v>46208</v>
      </c>
    </row>
    <row r="8" spans="2:14" ht="19.2" thickTop="1" thickBot="1" x14ac:dyDescent="0.4">
      <c r="B8" s="26">
        <v>8</v>
      </c>
      <c r="D8" s="24" t="s">
        <v>26</v>
      </c>
      <c r="F8" s="23">
        <v>46210</v>
      </c>
      <c r="H8" s="25">
        <v>600</v>
      </c>
      <c r="J8" s="23">
        <v>45885</v>
      </c>
      <c r="N8" s="29">
        <v>46209</v>
      </c>
    </row>
    <row r="9" spans="2:14" ht="19.2" thickTop="1" thickBot="1" x14ac:dyDescent="0.4">
      <c r="B9" s="26">
        <v>9</v>
      </c>
      <c r="D9" s="24" t="s">
        <v>27</v>
      </c>
      <c r="F9" s="23">
        <v>46211</v>
      </c>
      <c r="H9" s="25">
        <v>650</v>
      </c>
      <c r="J9" s="23">
        <v>45886</v>
      </c>
      <c r="L9" s="28">
        <v>45879</v>
      </c>
      <c r="N9" s="29">
        <v>46210</v>
      </c>
    </row>
    <row r="10" spans="2:14" ht="19.2" thickTop="1" thickBot="1" x14ac:dyDescent="0.4">
      <c r="B10" s="26">
        <v>10</v>
      </c>
      <c r="D10" s="24" t="s">
        <v>28</v>
      </c>
      <c r="F10" s="23">
        <v>46212</v>
      </c>
      <c r="H10" s="25">
        <v>700</v>
      </c>
      <c r="J10" s="23">
        <v>45887</v>
      </c>
      <c r="L10" s="28">
        <v>45880</v>
      </c>
      <c r="N10" s="29">
        <v>46211</v>
      </c>
    </row>
    <row r="11" spans="2:14" ht="19.2" thickTop="1" thickBot="1" x14ac:dyDescent="0.4">
      <c r="B11" s="26">
        <v>11</v>
      </c>
      <c r="D11" s="24" t="s">
        <v>29</v>
      </c>
      <c r="F11" s="23">
        <v>46213</v>
      </c>
      <c r="H11" s="25">
        <v>850</v>
      </c>
      <c r="J11" s="23">
        <v>45888</v>
      </c>
      <c r="L11" s="28">
        <v>45881</v>
      </c>
      <c r="N11" s="29">
        <v>46212</v>
      </c>
    </row>
    <row r="12" spans="2:14" ht="19.2" thickTop="1" thickBot="1" x14ac:dyDescent="0.4">
      <c r="B12" s="26">
        <v>12</v>
      </c>
      <c r="D12" s="24" t="s">
        <v>30</v>
      </c>
      <c r="F12" s="23">
        <v>46214</v>
      </c>
      <c r="J12" s="23">
        <v>45889</v>
      </c>
      <c r="L12" s="28">
        <v>45882</v>
      </c>
      <c r="N12" s="29">
        <v>46213</v>
      </c>
    </row>
    <row r="13" spans="2:14" ht="19.2" thickTop="1" thickBot="1" x14ac:dyDescent="0.4">
      <c r="B13" s="26">
        <v>13</v>
      </c>
      <c r="D13" s="24" t="s">
        <v>31</v>
      </c>
      <c r="F13" s="23">
        <v>46215</v>
      </c>
      <c r="J13" s="23">
        <v>45890</v>
      </c>
      <c r="L13" s="28">
        <v>45883</v>
      </c>
      <c r="N13" s="29">
        <v>46214</v>
      </c>
    </row>
    <row r="14" spans="2:14" ht="19.2" thickTop="1" thickBot="1" x14ac:dyDescent="0.4">
      <c r="B14" s="26">
        <v>14</v>
      </c>
      <c r="D14" s="24" t="s">
        <v>32</v>
      </c>
      <c r="F14" s="23">
        <v>46216</v>
      </c>
      <c r="J14" s="23">
        <v>45891</v>
      </c>
      <c r="L14" s="28">
        <v>45884</v>
      </c>
      <c r="N14" s="29">
        <v>46215</v>
      </c>
    </row>
    <row r="15" spans="2:14" ht="19.2" thickTop="1" thickBot="1" x14ac:dyDescent="0.4">
      <c r="B15" s="26">
        <v>15</v>
      </c>
      <c r="F15" s="23">
        <v>46217</v>
      </c>
      <c r="J15" s="23">
        <v>45892</v>
      </c>
      <c r="L15" s="28">
        <v>45885</v>
      </c>
      <c r="N15" s="29">
        <v>46216</v>
      </c>
    </row>
    <row r="16" spans="2:14" ht="19.2" thickTop="1" thickBot="1" x14ac:dyDescent="0.4">
      <c r="B16" s="26">
        <v>16</v>
      </c>
      <c r="F16" s="23">
        <v>46218</v>
      </c>
      <c r="J16" s="23">
        <v>45893</v>
      </c>
      <c r="L16" s="28">
        <v>45886</v>
      </c>
      <c r="N16" s="29">
        <v>46217</v>
      </c>
    </row>
    <row r="17" spans="2:14" ht="19.2" thickTop="1" thickBot="1" x14ac:dyDescent="0.4">
      <c r="B17" s="26">
        <v>17</v>
      </c>
      <c r="F17" s="23">
        <v>46219</v>
      </c>
      <c r="J17" s="23">
        <v>45894</v>
      </c>
      <c r="L17" s="28">
        <v>45887</v>
      </c>
      <c r="N17" s="29">
        <v>46218</v>
      </c>
    </row>
    <row r="18" spans="2:14" ht="19.2" thickTop="1" thickBot="1" x14ac:dyDescent="0.4">
      <c r="B18" s="26">
        <v>18</v>
      </c>
      <c r="F18" s="23">
        <v>46220</v>
      </c>
      <c r="L18" s="28">
        <v>45888</v>
      </c>
      <c r="N18" s="29">
        <v>46219</v>
      </c>
    </row>
    <row r="19" spans="2:14" ht="19.2" thickTop="1" thickBot="1" x14ac:dyDescent="0.4">
      <c r="B19" s="26">
        <v>19</v>
      </c>
      <c r="L19" s="28">
        <v>45889</v>
      </c>
      <c r="N19" s="29">
        <v>46220</v>
      </c>
    </row>
    <row r="20" spans="2:14" ht="19.2" thickTop="1" thickBot="1" x14ac:dyDescent="0.4">
      <c r="B20" s="26">
        <v>20</v>
      </c>
      <c r="L20" s="28">
        <v>45890</v>
      </c>
    </row>
    <row r="21" spans="2:14" ht="19.2" thickTop="1" thickBot="1" x14ac:dyDescent="0.4">
      <c r="B21" s="26">
        <v>21</v>
      </c>
      <c r="L21" s="28">
        <v>45891</v>
      </c>
    </row>
    <row r="22" spans="2:14" ht="19.2" thickTop="1" thickBot="1" x14ac:dyDescent="0.4">
      <c r="B22" s="26">
        <v>22</v>
      </c>
      <c r="L22" s="28">
        <v>45892</v>
      </c>
    </row>
    <row r="23" spans="2:14" ht="19.2" thickTop="1" thickBot="1" x14ac:dyDescent="0.4">
      <c r="B23" s="26">
        <v>23</v>
      </c>
      <c r="L23" s="28">
        <v>45893</v>
      </c>
    </row>
    <row r="24" spans="2:14" ht="19.2" thickTop="1" thickBot="1" x14ac:dyDescent="0.4">
      <c r="B24" s="26">
        <v>24</v>
      </c>
      <c r="L24" s="28">
        <v>45894</v>
      </c>
    </row>
    <row r="25" spans="2:14" ht="19.2" thickTop="1" thickBot="1" x14ac:dyDescent="0.4">
      <c r="B25" s="26">
        <v>25</v>
      </c>
    </row>
    <row r="26" spans="2:14" ht="18.600000000000001" thickTop="1" x14ac:dyDescent="0.3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065C-1704-49EC-AFA9-BD82C34DFB74}">
  <dimension ref="B1:I14"/>
  <sheetViews>
    <sheetView workbookViewId="0">
      <selection activeCell="F2" sqref="F2:F7"/>
    </sheetView>
  </sheetViews>
  <sheetFormatPr defaultRowHeight="18" x14ac:dyDescent="0.3"/>
  <cols>
    <col min="1" max="1" width="8.88671875" style="30"/>
    <col min="2" max="2" width="15.5546875" style="30" bestFit="1" customWidth="1"/>
    <col min="3" max="4" width="8.88671875" style="30"/>
    <col min="5" max="5" width="12.44140625" style="30" customWidth="1"/>
    <col min="6" max="6" width="8.88671875" style="30"/>
    <col min="7" max="7" width="11.77734375" style="30" customWidth="1"/>
    <col min="8" max="8" width="13.44140625" style="30" customWidth="1"/>
    <col min="9" max="9" width="12.44140625" style="30" customWidth="1"/>
    <col min="10" max="16384" width="8.88671875" style="30"/>
  </cols>
  <sheetData>
    <row r="1" spans="2:9" ht="22.2" thickTop="1" thickBot="1" x14ac:dyDescent="0.45">
      <c r="B1" s="36">
        <v>45886</v>
      </c>
      <c r="C1" s="213" t="s">
        <v>64</v>
      </c>
    </row>
    <row r="2" spans="2:9" ht="19.2" customHeight="1" thickTop="1" thickBot="1" x14ac:dyDescent="0.45">
      <c r="B2" s="36">
        <v>45885</v>
      </c>
      <c r="C2" s="213"/>
      <c r="D2" s="31">
        <v>850</v>
      </c>
      <c r="E2" s="213" t="s">
        <v>64</v>
      </c>
      <c r="F2" s="33">
        <v>0.3</v>
      </c>
      <c r="G2" s="213" t="s">
        <v>63</v>
      </c>
      <c r="H2" s="32" t="s">
        <v>57</v>
      </c>
      <c r="I2" s="213" t="s">
        <v>63</v>
      </c>
    </row>
    <row r="3" spans="2:9" ht="22.2" thickTop="1" thickBot="1" x14ac:dyDescent="0.45">
      <c r="B3" s="36">
        <v>45884</v>
      </c>
      <c r="C3" s="213"/>
      <c r="D3" s="31">
        <v>700</v>
      </c>
      <c r="E3" s="213"/>
      <c r="F3" s="33">
        <v>0.5</v>
      </c>
      <c r="G3" s="213"/>
      <c r="H3" s="32" t="s">
        <v>59</v>
      </c>
      <c r="I3" s="213"/>
    </row>
    <row r="4" spans="2:9" ht="22.2" thickTop="1" thickBot="1" x14ac:dyDescent="0.45">
      <c r="B4" s="36">
        <v>45883</v>
      </c>
      <c r="C4" s="213"/>
      <c r="D4" s="31">
        <v>650</v>
      </c>
      <c r="E4" s="213"/>
      <c r="F4" s="33">
        <v>0.52</v>
      </c>
      <c r="G4" s="213"/>
      <c r="H4" s="32" t="s">
        <v>60</v>
      </c>
      <c r="I4" s="213"/>
    </row>
    <row r="5" spans="2:9" ht="22.2" thickTop="1" thickBot="1" x14ac:dyDescent="0.45">
      <c r="B5" s="36">
        <v>45882</v>
      </c>
      <c r="C5" s="213"/>
      <c r="D5" s="31">
        <v>600</v>
      </c>
      <c r="E5" s="213"/>
      <c r="F5" s="33">
        <v>0.85</v>
      </c>
      <c r="G5" s="213"/>
      <c r="H5" s="32" t="s">
        <v>62</v>
      </c>
      <c r="I5" s="213"/>
    </row>
    <row r="6" spans="2:9" ht="22.2" thickTop="1" thickBot="1" x14ac:dyDescent="0.45">
      <c r="B6" s="36">
        <v>45881</v>
      </c>
      <c r="C6" s="213"/>
      <c r="D6" s="31">
        <v>500</v>
      </c>
      <c r="E6" s="213"/>
      <c r="F6" s="33">
        <v>0.9</v>
      </c>
      <c r="G6" s="213"/>
      <c r="H6" s="32" t="s">
        <v>58</v>
      </c>
      <c r="I6" s="213"/>
    </row>
    <row r="7" spans="2:9" ht="22.2" thickTop="1" thickBot="1" x14ac:dyDescent="0.45">
      <c r="B7" s="36">
        <v>45880</v>
      </c>
      <c r="C7" s="213"/>
      <c r="D7" s="31">
        <v>400</v>
      </c>
      <c r="E7" s="213"/>
      <c r="F7" s="34"/>
      <c r="G7" s="213"/>
      <c r="H7" s="32" t="s">
        <v>61</v>
      </c>
      <c r="I7" s="213"/>
    </row>
    <row r="8" spans="2:9" ht="22.2" thickTop="1" thickBot="1" x14ac:dyDescent="0.45">
      <c r="B8" s="36">
        <v>45879</v>
      </c>
      <c r="C8" s="213"/>
      <c r="D8" s="31">
        <v>300</v>
      </c>
      <c r="E8" s="213"/>
    </row>
    <row r="9" spans="2:9" ht="22.2" thickTop="1" thickBot="1" x14ac:dyDescent="0.45">
      <c r="B9" s="36">
        <v>45878</v>
      </c>
      <c r="C9" s="213"/>
      <c r="D9" s="31">
        <v>250</v>
      </c>
      <c r="E9" s="213"/>
    </row>
    <row r="10" spans="2:9" ht="22.2" thickTop="1" thickBot="1" x14ac:dyDescent="0.45">
      <c r="B10" s="36">
        <v>45877</v>
      </c>
      <c r="C10" s="213"/>
      <c r="D10" s="31">
        <v>150</v>
      </c>
      <c r="E10" s="213"/>
    </row>
    <row r="11" spans="2:9" ht="19.2" thickTop="1" thickBot="1" x14ac:dyDescent="0.35">
      <c r="B11" s="35"/>
      <c r="D11" s="31">
        <v>100</v>
      </c>
      <c r="E11" s="213"/>
    </row>
    <row r="12" spans="2:9" ht="19.2" thickTop="1" thickBot="1" x14ac:dyDescent="0.35">
      <c r="B12" s="35"/>
    </row>
    <row r="13" spans="2:9" ht="19.2" thickTop="1" thickBot="1" x14ac:dyDescent="0.35">
      <c r="B13" s="35"/>
    </row>
    <row r="14" spans="2:9" ht="18.600000000000001" thickTop="1" x14ac:dyDescent="0.3"/>
  </sheetData>
  <sortState xmlns:xlrd2="http://schemas.microsoft.com/office/spreadsheetml/2017/richdata2" ref="B1:B8">
    <sortCondition descending="1" ref="B1:B8"/>
  </sortState>
  <mergeCells count="4">
    <mergeCell ref="I2:I7"/>
    <mergeCell ref="G2:G7"/>
    <mergeCell ref="E2:E11"/>
    <mergeCell ref="C1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1300-7851-4D32-BD28-254005FAC635}">
  <dimension ref="B2:I38"/>
  <sheetViews>
    <sheetView topLeftCell="B1" zoomScale="120" zoomScaleNormal="120" workbookViewId="0">
      <selection activeCell="B2" sqref="B2:E22"/>
    </sheetView>
  </sheetViews>
  <sheetFormatPr defaultRowHeight="13.8" x14ac:dyDescent="0.3"/>
  <cols>
    <col min="1" max="1" width="8.88671875" style="46"/>
    <col min="2" max="2" width="27.109375" style="46" customWidth="1"/>
    <col min="3" max="3" width="18.44140625" style="46" customWidth="1"/>
    <col min="4" max="4" width="19.21875" style="46" customWidth="1"/>
    <col min="5" max="5" width="12.33203125" style="46" customWidth="1"/>
    <col min="6" max="6" width="8.88671875" style="46"/>
    <col min="7" max="7" width="55.21875" style="46" bestFit="1" customWidth="1"/>
    <col min="8" max="8" width="37.6640625" style="46" customWidth="1"/>
    <col min="9" max="9" width="3.6640625" style="46" bestFit="1" customWidth="1"/>
    <col min="10" max="16384" width="8.88671875" style="46"/>
  </cols>
  <sheetData>
    <row r="2" spans="2:9" x14ac:dyDescent="0.3">
      <c r="B2" s="43" t="s">
        <v>65</v>
      </c>
      <c r="C2" s="43" t="s">
        <v>66</v>
      </c>
      <c r="D2" s="43" t="s">
        <v>67</v>
      </c>
      <c r="E2" s="43" t="s">
        <v>68</v>
      </c>
      <c r="F2" s="44"/>
      <c r="G2" s="45" t="s">
        <v>69</v>
      </c>
      <c r="H2" s="44"/>
      <c r="I2" s="44"/>
    </row>
    <row r="3" spans="2:9" x14ac:dyDescent="0.3">
      <c r="B3" s="47" t="s">
        <v>70</v>
      </c>
      <c r="C3" s="48">
        <v>5000</v>
      </c>
      <c r="D3" s="49">
        <v>45299</v>
      </c>
      <c r="E3" s="47" t="s">
        <v>71</v>
      </c>
      <c r="F3" s="44"/>
      <c r="G3" s="44"/>
      <c r="H3" s="44"/>
      <c r="I3" s="44"/>
    </row>
    <row r="4" spans="2:9" ht="19.2" customHeight="1" x14ac:dyDescent="0.3">
      <c r="B4" s="47" t="s">
        <v>72</v>
      </c>
      <c r="C4" s="48">
        <v>6000</v>
      </c>
      <c r="D4" s="49">
        <v>45297</v>
      </c>
      <c r="E4" s="47" t="s">
        <v>73</v>
      </c>
      <c r="F4" s="44"/>
      <c r="G4" s="50">
        <f>SUM(C3,C4,C5,C6,C7,C8,C9)</f>
        <v>55000</v>
      </c>
      <c r="H4" s="214" t="s">
        <v>74</v>
      </c>
      <c r="I4" s="51"/>
    </row>
    <row r="5" spans="2:9" x14ac:dyDescent="0.3">
      <c r="B5" s="47" t="s">
        <v>75</v>
      </c>
      <c r="C5" s="48">
        <v>7000</v>
      </c>
      <c r="D5" s="49">
        <v>45308</v>
      </c>
      <c r="E5" s="47" t="s">
        <v>73</v>
      </c>
      <c r="F5" s="44"/>
      <c r="G5" s="52">
        <f>SUM(C3:C9)</f>
        <v>55000</v>
      </c>
      <c r="H5" s="215"/>
      <c r="I5" s="51"/>
    </row>
    <row r="6" spans="2:9" x14ac:dyDescent="0.3">
      <c r="B6" s="47" t="s">
        <v>76</v>
      </c>
      <c r="C6" s="48">
        <v>8000</v>
      </c>
      <c r="D6" s="49">
        <v>45301</v>
      </c>
      <c r="E6" s="47" t="s">
        <v>73</v>
      </c>
      <c r="F6" s="44"/>
      <c r="G6" s="53"/>
      <c r="H6" s="54"/>
      <c r="I6" s="51"/>
    </row>
    <row r="7" spans="2:9" x14ac:dyDescent="0.3">
      <c r="B7" s="47" t="s">
        <v>77</v>
      </c>
      <c r="C7" s="48">
        <v>9000</v>
      </c>
      <c r="D7" s="49">
        <v>45297</v>
      </c>
      <c r="E7" s="47" t="s">
        <v>78</v>
      </c>
      <c r="F7" s="44"/>
      <c r="G7" s="50">
        <f>SUM(C3:C22)</f>
        <v>444000</v>
      </c>
      <c r="H7" s="55" t="s">
        <v>79</v>
      </c>
      <c r="I7" s="51"/>
    </row>
    <row r="8" spans="2:9" x14ac:dyDescent="0.3">
      <c r="B8" s="47" t="s">
        <v>80</v>
      </c>
      <c r="C8" s="48">
        <v>10000</v>
      </c>
      <c r="D8" s="49">
        <v>45292</v>
      </c>
      <c r="E8" s="47" t="s">
        <v>81</v>
      </c>
      <c r="F8" s="44"/>
      <c r="G8" s="44"/>
      <c r="H8" s="44"/>
      <c r="I8" s="44"/>
    </row>
    <row r="9" spans="2:9" x14ac:dyDescent="0.3">
      <c r="B9" s="47" t="s">
        <v>75</v>
      </c>
      <c r="C9" s="48">
        <v>10000</v>
      </c>
      <c r="D9" s="49">
        <v>45313</v>
      </c>
      <c r="E9" s="47" t="s">
        <v>71</v>
      </c>
      <c r="F9" s="44"/>
      <c r="G9" s="56">
        <f>PRODUCT(C3:C9)</f>
        <v>1.512E+27</v>
      </c>
      <c r="H9" s="55" t="s">
        <v>82</v>
      </c>
      <c r="I9" s="44"/>
    </row>
    <row r="10" spans="2:9" x14ac:dyDescent="0.3">
      <c r="B10" s="47" t="s">
        <v>83</v>
      </c>
      <c r="C10" s="57">
        <v>15000</v>
      </c>
      <c r="D10" s="49">
        <v>45294</v>
      </c>
      <c r="E10" s="47" t="s">
        <v>81</v>
      </c>
      <c r="F10" s="44"/>
      <c r="G10" s="58"/>
      <c r="H10" s="59"/>
      <c r="I10" s="44"/>
    </row>
    <row r="11" spans="2:9" x14ac:dyDescent="0.3">
      <c r="B11" s="47" t="s">
        <v>84</v>
      </c>
      <c r="C11" s="57">
        <v>18000</v>
      </c>
      <c r="D11" s="49">
        <v>45310</v>
      </c>
      <c r="E11" s="47" t="s">
        <v>81</v>
      </c>
      <c r="F11" s="44"/>
      <c r="G11" s="60"/>
      <c r="H11" s="44"/>
      <c r="I11" s="44"/>
    </row>
    <row r="12" spans="2:9" x14ac:dyDescent="0.3">
      <c r="B12" s="47" t="s">
        <v>85</v>
      </c>
      <c r="C12" s="57">
        <v>25000</v>
      </c>
      <c r="D12" s="49">
        <v>45311</v>
      </c>
      <c r="E12" s="47" t="s">
        <v>78</v>
      </c>
      <c r="F12" s="44"/>
      <c r="G12" s="44"/>
      <c r="H12" s="44"/>
      <c r="I12" s="44"/>
    </row>
    <row r="13" spans="2:9" x14ac:dyDescent="0.3">
      <c r="B13" s="47" t="s">
        <v>86</v>
      </c>
      <c r="C13" s="57">
        <v>25000</v>
      </c>
      <c r="D13" s="49">
        <v>45301</v>
      </c>
      <c r="E13" s="47" t="s">
        <v>81</v>
      </c>
      <c r="F13" s="44"/>
      <c r="G13" s="79" t="str">
        <f>IMSUB(C9,C3)</f>
        <v>5000</v>
      </c>
      <c r="H13" s="55" t="s">
        <v>87</v>
      </c>
      <c r="I13" s="44"/>
    </row>
    <row r="14" spans="2:9" x14ac:dyDescent="0.3">
      <c r="B14" s="47" t="s">
        <v>88</v>
      </c>
      <c r="C14" s="57">
        <v>30000</v>
      </c>
      <c r="D14" s="49">
        <v>45306</v>
      </c>
      <c r="E14" s="47" t="s">
        <v>71</v>
      </c>
      <c r="F14" s="44"/>
      <c r="G14" s="61">
        <f>C9-C3</f>
        <v>5000</v>
      </c>
      <c r="H14" s="55" t="s">
        <v>87</v>
      </c>
      <c r="I14" s="44"/>
    </row>
    <row r="15" spans="2:9" x14ac:dyDescent="0.3">
      <c r="B15" s="47" t="s">
        <v>89</v>
      </c>
      <c r="C15" s="57">
        <v>30000</v>
      </c>
      <c r="D15" s="49">
        <v>45304</v>
      </c>
      <c r="E15" s="47" t="s">
        <v>71</v>
      </c>
      <c r="F15" s="44"/>
      <c r="G15" s="44"/>
      <c r="H15" s="44"/>
      <c r="I15" s="44"/>
    </row>
    <row r="16" spans="2:9" x14ac:dyDescent="0.3">
      <c r="B16" s="47" t="s">
        <v>90</v>
      </c>
      <c r="C16" s="57">
        <v>35000</v>
      </c>
      <c r="D16" s="49">
        <v>45304</v>
      </c>
      <c r="E16" s="47" t="s">
        <v>71</v>
      </c>
      <c r="F16" s="44"/>
      <c r="H16" s="59"/>
      <c r="I16" s="44"/>
    </row>
    <row r="17" spans="2:9" ht="14.4" thickBot="1" x14ac:dyDescent="0.35">
      <c r="B17" s="47" t="s">
        <v>91</v>
      </c>
      <c r="C17" s="62">
        <v>36000</v>
      </c>
      <c r="D17" s="49">
        <v>45302</v>
      </c>
      <c r="E17" s="47" t="s">
        <v>78</v>
      </c>
      <c r="F17" s="44"/>
      <c r="G17" s="80">
        <f>AVERAGE(C3:C22)</f>
        <v>24666.666666666668</v>
      </c>
      <c r="H17" s="55" t="s">
        <v>92</v>
      </c>
      <c r="I17" s="44"/>
    </row>
    <row r="18" spans="2:9" ht="14.4" thickBot="1" x14ac:dyDescent="0.35">
      <c r="B18" s="63" t="s">
        <v>93</v>
      </c>
      <c r="C18" s="64"/>
      <c r="D18" s="65">
        <v>45303</v>
      </c>
      <c r="E18" s="47" t="s">
        <v>78</v>
      </c>
      <c r="F18" s="44"/>
      <c r="G18" s="55"/>
      <c r="H18" s="59"/>
      <c r="I18" s="44"/>
    </row>
    <row r="19" spans="2:9" x14ac:dyDescent="0.3">
      <c r="B19" s="47" t="s">
        <v>70</v>
      </c>
      <c r="C19" s="66">
        <v>45000</v>
      </c>
      <c r="D19" s="49">
        <v>45298</v>
      </c>
      <c r="E19" s="47" t="s">
        <v>73</v>
      </c>
      <c r="F19" s="44"/>
      <c r="G19" s="50">
        <f>MIN(C3:C22)</f>
        <v>5000</v>
      </c>
      <c r="H19" s="55" t="s">
        <v>94</v>
      </c>
      <c r="I19" s="44"/>
    </row>
    <row r="20" spans="2:9" ht="14.4" thickBot="1" x14ac:dyDescent="0.35">
      <c r="B20" s="47" t="s">
        <v>77</v>
      </c>
      <c r="C20" s="62">
        <v>50000</v>
      </c>
      <c r="D20" s="67">
        <v>45313</v>
      </c>
      <c r="E20" s="68" t="s">
        <v>81</v>
      </c>
      <c r="F20" s="44"/>
      <c r="G20" s="50">
        <f>MAX(C3:C22)</f>
        <v>80000</v>
      </c>
      <c r="H20" s="55" t="s">
        <v>95</v>
      </c>
      <c r="I20" s="44"/>
    </row>
    <row r="21" spans="2:9" ht="14.4" thickBot="1" x14ac:dyDescent="0.35">
      <c r="B21" s="63" t="s">
        <v>84</v>
      </c>
      <c r="C21" s="69" t="s">
        <v>96</v>
      </c>
      <c r="D21" s="70">
        <v>45295</v>
      </c>
      <c r="E21" s="71" t="s">
        <v>78</v>
      </c>
      <c r="F21" s="44"/>
      <c r="G21" s="55">
        <f>COUNT(C3:C22)</f>
        <v>18</v>
      </c>
      <c r="H21" s="55" t="s">
        <v>97</v>
      </c>
      <c r="I21" s="44"/>
    </row>
    <row r="22" spans="2:9" x14ac:dyDescent="0.3">
      <c r="B22" s="47" t="s">
        <v>86</v>
      </c>
      <c r="C22" s="66">
        <v>80000</v>
      </c>
      <c r="D22" s="72">
        <v>45296</v>
      </c>
      <c r="E22" s="71" t="s">
        <v>78</v>
      </c>
      <c r="F22" s="44"/>
      <c r="G22" s="55">
        <f>COUNTA(C3:C22)</f>
        <v>19</v>
      </c>
      <c r="H22" s="55" t="s">
        <v>98</v>
      </c>
      <c r="I22" s="44"/>
    </row>
    <row r="23" spans="2:9" ht="30" customHeight="1" x14ac:dyDescent="0.3">
      <c r="B23" s="73" t="s">
        <v>99</v>
      </c>
      <c r="C23" s="81">
        <f>SUM(C3:C22)</f>
        <v>444000</v>
      </c>
      <c r="D23" s="44"/>
      <c r="E23" s="44"/>
      <c r="F23" s="44"/>
      <c r="G23" s="55">
        <f>COUNTBLANK(C3:C22)</f>
        <v>1</v>
      </c>
      <c r="H23" s="55" t="s">
        <v>100</v>
      </c>
      <c r="I23" s="74"/>
    </row>
    <row r="24" spans="2:9" ht="26.4" x14ac:dyDescent="0.3">
      <c r="B24" s="44"/>
      <c r="C24" s="44"/>
      <c r="D24" s="75" t="s">
        <v>131</v>
      </c>
      <c r="E24" s="44"/>
      <c r="F24" s="44"/>
      <c r="G24" s="74"/>
      <c r="H24" s="53"/>
      <c r="I24" s="74"/>
    </row>
    <row r="25" spans="2:9" ht="26.4" x14ac:dyDescent="0.3">
      <c r="B25" s="57">
        <v>5000</v>
      </c>
      <c r="C25" s="58">
        <f>5000+6000+7000+8000+9000</f>
        <v>35000</v>
      </c>
      <c r="D25" s="76" t="s">
        <v>124</v>
      </c>
      <c r="E25" s="216" t="s">
        <v>126</v>
      </c>
    </row>
    <row r="26" spans="2:9" ht="26.4" x14ac:dyDescent="0.3">
      <c r="B26" s="57">
        <v>10000</v>
      </c>
      <c r="C26" s="77">
        <f>B25+B26+B27+B28+B29</f>
        <v>45000</v>
      </c>
      <c r="D26" s="76" t="s">
        <v>125</v>
      </c>
      <c r="E26" s="217"/>
    </row>
    <row r="27" spans="2:9" ht="21" customHeight="1" x14ac:dyDescent="0.3">
      <c r="B27" s="57">
        <v>7000</v>
      </c>
      <c r="C27" s="77">
        <f>B26-B27</f>
        <v>3000</v>
      </c>
      <c r="D27" s="76" t="s">
        <v>127</v>
      </c>
      <c r="E27" s="217"/>
      <c r="G27" s="52"/>
    </row>
    <row r="28" spans="2:9" ht="21" customHeight="1" x14ac:dyDescent="0.3">
      <c r="B28" s="57">
        <v>8000</v>
      </c>
      <c r="C28" s="58">
        <f>B26/B25</f>
        <v>2</v>
      </c>
      <c r="D28" s="76" t="s">
        <v>128</v>
      </c>
      <c r="E28" s="217"/>
    </row>
    <row r="29" spans="2:9" x14ac:dyDescent="0.3">
      <c r="B29" s="57">
        <v>15000</v>
      </c>
      <c r="C29" s="58">
        <f>B25*B26</f>
        <v>50000000</v>
      </c>
      <c r="D29" s="76" t="s">
        <v>129</v>
      </c>
      <c r="E29" s="217"/>
      <c r="G29" s="52"/>
    </row>
    <row r="30" spans="2:9" x14ac:dyDescent="0.3">
      <c r="B30" s="78"/>
      <c r="C30" s="77">
        <f>B25*B26*B28</f>
        <v>400000000000</v>
      </c>
      <c r="D30" s="76" t="s">
        <v>130</v>
      </c>
      <c r="E30" s="218"/>
    </row>
    <row r="33" spans="7:7" x14ac:dyDescent="0.3">
      <c r="G33" s="52"/>
    </row>
    <row r="38" spans="7:7" x14ac:dyDescent="0.3">
      <c r="G38" s="52"/>
    </row>
  </sheetData>
  <mergeCells count="2">
    <mergeCell ref="H4:H5"/>
    <mergeCell ref="E25:E30"/>
  </mergeCells>
  <pageMargins left="0.7" right="0.7" top="0.75" bottom="0.75" header="0.3" footer="0.3"/>
  <ignoredErrors>
    <ignoredError sqref="G9 G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F212-F5C1-4687-BDD6-555F015070A4}">
  <dimension ref="B2:J23"/>
  <sheetViews>
    <sheetView workbookViewId="0">
      <selection activeCell="B2" sqref="B2:E22"/>
    </sheetView>
  </sheetViews>
  <sheetFormatPr defaultColWidth="21.77734375" defaultRowHeight="15.6" x14ac:dyDescent="0.3"/>
  <cols>
    <col min="1" max="1" width="10.6640625" style="107" customWidth="1"/>
    <col min="2" max="4" width="21.77734375" style="107"/>
    <col min="5" max="5" width="14.88671875" style="107" customWidth="1"/>
    <col min="6" max="6" width="13.21875" style="107" customWidth="1"/>
    <col min="7" max="9" width="21.77734375" style="107"/>
    <col min="10" max="10" width="16.109375" style="107" customWidth="1"/>
    <col min="11" max="16384" width="21.77734375" style="107"/>
  </cols>
  <sheetData>
    <row r="2" spans="2:10" s="13" customFormat="1" ht="18" x14ac:dyDescent="0.35">
      <c r="B2" s="171" t="s">
        <v>65</v>
      </c>
      <c r="C2" s="171" t="s">
        <v>66</v>
      </c>
      <c r="D2" s="171" t="s">
        <v>67</v>
      </c>
      <c r="E2" s="171" t="s">
        <v>68</v>
      </c>
      <c r="G2" s="172" t="s">
        <v>65</v>
      </c>
      <c r="H2" s="173" t="s">
        <v>66</v>
      </c>
      <c r="I2" s="173" t="s">
        <v>67</v>
      </c>
      <c r="J2" s="173" t="s">
        <v>68</v>
      </c>
    </row>
    <row r="3" spans="2:10" x14ac:dyDescent="0.3">
      <c r="B3" s="156" t="s">
        <v>70</v>
      </c>
      <c r="C3" s="157">
        <v>5000</v>
      </c>
      <c r="D3" s="158">
        <v>46030</v>
      </c>
      <c r="E3" s="156" t="s">
        <v>71</v>
      </c>
      <c r="G3" s="174" t="s">
        <v>72</v>
      </c>
      <c r="H3" s="175">
        <v>6000</v>
      </c>
      <c r="I3" s="176">
        <v>46028</v>
      </c>
      <c r="J3" s="177" t="s">
        <v>73</v>
      </c>
    </row>
    <row r="4" spans="2:10" ht="16.2" thickBot="1" x14ac:dyDescent="0.35">
      <c r="B4" s="156" t="s">
        <v>72</v>
      </c>
      <c r="C4" s="157">
        <v>6000</v>
      </c>
      <c r="D4" s="158">
        <v>46028</v>
      </c>
      <c r="E4" s="156" t="s">
        <v>73</v>
      </c>
      <c r="G4" s="174" t="s">
        <v>75</v>
      </c>
      <c r="H4" s="175">
        <v>7000</v>
      </c>
      <c r="I4" s="176">
        <v>46039</v>
      </c>
      <c r="J4" s="177" t="s">
        <v>73</v>
      </c>
    </row>
    <row r="5" spans="2:10" ht="16.2" thickBot="1" x14ac:dyDescent="0.35">
      <c r="B5" s="156" t="s">
        <v>75</v>
      </c>
      <c r="C5" s="157">
        <v>7000</v>
      </c>
      <c r="D5" s="158">
        <v>46039</v>
      </c>
      <c r="E5" s="156" t="s">
        <v>73</v>
      </c>
      <c r="G5" s="174" t="s">
        <v>76</v>
      </c>
      <c r="H5" s="175">
        <v>8000</v>
      </c>
      <c r="I5" s="176">
        <v>46032</v>
      </c>
      <c r="J5" s="177" t="s">
        <v>73</v>
      </c>
    </row>
    <row r="6" spans="2:10" ht="16.2" thickBot="1" x14ac:dyDescent="0.35">
      <c r="B6" s="156" t="s">
        <v>76</v>
      </c>
      <c r="C6" s="157">
        <v>8000</v>
      </c>
      <c r="D6" s="158">
        <v>46032</v>
      </c>
      <c r="E6" s="156" t="s">
        <v>73</v>
      </c>
      <c r="G6" s="174" t="s">
        <v>83</v>
      </c>
      <c r="H6" s="175">
        <v>15000</v>
      </c>
      <c r="I6" s="176">
        <v>46025</v>
      </c>
      <c r="J6" s="177" t="s">
        <v>81</v>
      </c>
    </row>
    <row r="7" spans="2:10" ht="16.2" thickBot="1" x14ac:dyDescent="0.35">
      <c r="B7" s="156" t="s">
        <v>77</v>
      </c>
      <c r="C7" s="157">
        <v>9000</v>
      </c>
      <c r="D7" s="158">
        <v>46028</v>
      </c>
      <c r="E7" s="156" t="s">
        <v>78</v>
      </c>
      <c r="G7" s="174" t="s">
        <v>77</v>
      </c>
      <c r="H7" s="175">
        <v>9000</v>
      </c>
      <c r="I7" s="176">
        <v>46028</v>
      </c>
      <c r="J7" s="177" t="s">
        <v>78</v>
      </c>
    </row>
    <row r="8" spans="2:10" ht="16.2" thickBot="1" x14ac:dyDescent="0.35">
      <c r="B8" s="156" t="s">
        <v>80</v>
      </c>
      <c r="C8" s="157">
        <v>10000</v>
      </c>
      <c r="D8" s="158">
        <v>46023</v>
      </c>
      <c r="E8" s="156" t="s">
        <v>81</v>
      </c>
      <c r="G8" s="174" t="s">
        <v>80</v>
      </c>
      <c r="H8" s="175">
        <v>10000</v>
      </c>
      <c r="I8" s="176">
        <v>46023</v>
      </c>
      <c r="J8" s="177" t="s">
        <v>81</v>
      </c>
    </row>
    <row r="9" spans="2:10" ht="16.2" thickBot="1" x14ac:dyDescent="0.35">
      <c r="B9" s="156" t="s">
        <v>75</v>
      </c>
      <c r="C9" s="157">
        <v>10000</v>
      </c>
      <c r="D9" s="158">
        <v>46044</v>
      </c>
      <c r="E9" s="156" t="s">
        <v>71</v>
      </c>
      <c r="G9" s="174" t="s">
        <v>70</v>
      </c>
      <c r="H9" s="175">
        <v>5000</v>
      </c>
      <c r="I9" s="176">
        <v>46030</v>
      </c>
      <c r="J9" s="177" t="s">
        <v>71</v>
      </c>
    </row>
    <row r="10" spans="2:10" ht="16.2" thickBot="1" x14ac:dyDescent="0.35">
      <c r="B10" s="156" t="s">
        <v>83</v>
      </c>
      <c r="C10" s="159">
        <v>15000</v>
      </c>
      <c r="D10" s="158">
        <v>46025</v>
      </c>
      <c r="E10" s="156" t="s">
        <v>81</v>
      </c>
      <c r="G10" s="174" t="s">
        <v>84</v>
      </c>
      <c r="H10" s="175">
        <v>18000</v>
      </c>
      <c r="I10" s="176">
        <v>46041</v>
      </c>
      <c r="J10" s="177" t="s">
        <v>81</v>
      </c>
    </row>
    <row r="11" spans="2:10" ht="16.2" thickBot="1" x14ac:dyDescent="0.35">
      <c r="B11" s="156" t="s">
        <v>84</v>
      </c>
      <c r="C11" s="159">
        <v>18000</v>
      </c>
      <c r="D11" s="158">
        <v>46041</v>
      </c>
      <c r="E11" s="156" t="s">
        <v>81</v>
      </c>
      <c r="G11" s="174" t="s">
        <v>85</v>
      </c>
      <c r="H11" s="175">
        <v>25000</v>
      </c>
      <c r="I11" s="176">
        <v>46042</v>
      </c>
      <c r="J11" s="177" t="s">
        <v>78</v>
      </c>
    </row>
    <row r="12" spans="2:10" ht="16.2" thickBot="1" x14ac:dyDescent="0.35">
      <c r="B12" s="156" t="s">
        <v>85</v>
      </c>
      <c r="C12" s="159">
        <v>25000</v>
      </c>
      <c r="D12" s="158">
        <v>46042</v>
      </c>
      <c r="E12" s="156" t="s">
        <v>78</v>
      </c>
      <c r="G12" s="174" t="s">
        <v>86</v>
      </c>
      <c r="H12" s="175">
        <v>25000</v>
      </c>
      <c r="I12" s="176">
        <v>46032</v>
      </c>
      <c r="J12" s="177" t="s">
        <v>81</v>
      </c>
    </row>
    <row r="13" spans="2:10" ht="16.2" thickBot="1" x14ac:dyDescent="0.35">
      <c r="B13" s="156" t="s">
        <v>86</v>
      </c>
      <c r="C13" s="159">
        <v>25000</v>
      </c>
      <c r="D13" s="158">
        <v>46032</v>
      </c>
      <c r="E13" s="156" t="s">
        <v>81</v>
      </c>
      <c r="G13" s="174" t="s">
        <v>88</v>
      </c>
      <c r="H13" s="175">
        <v>30000</v>
      </c>
      <c r="I13" s="176">
        <v>46037</v>
      </c>
      <c r="J13" s="177" t="s">
        <v>71</v>
      </c>
    </row>
    <row r="14" spans="2:10" ht="16.2" thickBot="1" x14ac:dyDescent="0.35">
      <c r="B14" s="156" t="s">
        <v>88</v>
      </c>
      <c r="C14" s="159">
        <v>30000</v>
      </c>
      <c r="D14" s="158">
        <v>46037</v>
      </c>
      <c r="E14" s="156" t="s">
        <v>71</v>
      </c>
      <c r="G14" s="174" t="s">
        <v>75</v>
      </c>
      <c r="H14" s="175">
        <v>10000</v>
      </c>
      <c r="I14" s="176">
        <v>46044</v>
      </c>
      <c r="J14" s="177" t="s">
        <v>71</v>
      </c>
    </row>
    <row r="15" spans="2:10" ht="16.2" thickBot="1" x14ac:dyDescent="0.35">
      <c r="B15" s="156" t="s">
        <v>89</v>
      </c>
      <c r="C15" s="159">
        <v>30000</v>
      </c>
      <c r="D15" s="158">
        <v>46035</v>
      </c>
      <c r="E15" s="156" t="s">
        <v>71</v>
      </c>
      <c r="G15" s="174" t="s">
        <v>89</v>
      </c>
      <c r="H15" s="175">
        <v>30000</v>
      </c>
      <c r="I15" s="176">
        <v>46035</v>
      </c>
      <c r="J15" s="177" t="s">
        <v>71</v>
      </c>
    </row>
    <row r="16" spans="2:10" ht="16.2" thickBot="1" x14ac:dyDescent="0.35">
      <c r="B16" s="156" t="s">
        <v>90</v>
      </c>
      <c r="C16" s="159">
        <v>35000</v>
      </c>
      <c r="D16" s="158">
        <v>46035</v>
      </c>
      <c r="E16" s="156" t="s">
        <v>71</v>
      </c>
      <c r="G16" s="174" t="s">
        <v>90</v>
      </c>
      <c r="H16" s="175">
        <v>35000</v>
      </c>
      <c r="I16" s="176">
        <v>46035</v>
      </c>
      <c r="J16" s="177" t="s">
        <v>71</v>
      </c>
    </row>
    <row r="17" spans="2:10" ht="16.2" thickBot="1" x14ac:dyDescent="0.35">
      <c r="B17" s="156" t="s">
        <v>91</v>
      </c>
      <c r="C17" s="160">
        <v>36000</v>
      </c>
      <c r="D17" s="158">
        <v>46033</v>
      </c>
      <c r="E17" s="156" t="s">
        <v>78</v>
      </c>
      <c r="G17" s="174" t="s">
        <v>91</v>
      </c>
      <c r="H17" s="178">
        <v>36000</v>
      </c>
      <c r="I17" s="176">
        <v>46033</v>
      </c>
      <c r="J17" s="177" t="s">
        <v>78</v>
      </c>
    </row>
    <row r="18" spans="2:10" ht="16.2" thickBot="1" x14ac:dyDescent="0.35">
      <c r="B18" s="161" t="s">
        <v>93</v>
      </c>
      <c r="C18" s="162"/>
      <c r="D18" s="163">
        <v>46034</v>
      </c>
      <c r="E18" s="156" t="s">
        <v>78</v>
      </c>
      <c r="G18" s="179"/>
      <c r="H18" s="180"/>
      <c r="I18" s="181"/>
      <c r="J18" s="177" t="s">
        <v>71</v>
      </c>
    </row>
    <row r="19" spans="2:10" x14ac:dyDescent="0.3">
      <c r="B19" s="156" t="s">
        <v>70</v>
      </c>
      <c r="C19" s="164">
        <v>45000</v>
      </c>
      <c r="D19" s="158">
        <v>46029</v>
      </c>
      <c r="E19" s="156" t="s">
        <v>73</v>
      </c>
      <c r="G19" s="174" t="s">
        <v>70</v>
      </c>
      <c r="H19" s="182">
        <v>45000</v>
      </c>
      <c r="I19" s="176">
        <v>46029</v>
      </c>
      <c r="J19" s="177" t="s">
        <v>73</v>
      </c>
    </row>
    <row r="20" spans="2:10" x14ac:dyDescent="0.3">
      <c r="B20" s="156" t="s">
        <v>77</v>
      </c>
      <c r="C20" s="160">
        <v>50000</v>
      </c>
      <c r="D20" s="165">
        <v>46044</v>
      </c>
      <c r="E20" s="166" t="s">
        <v>81</v>
      </c>
      <c r="G20" s="174" t="s">
        <v>77</v>
      </c>
      <c r="H20" s="178">
        <v>50000</v>
      </c>
      <c r="I20" s="183">
        <v>46044</v>
      </c>
      <c r="J20" s="184" t="s">
        <v>81</v>
      </c>
    </row>
    <row r="21" spans="2:10" ht="16.2" thickBot="1" x14ac:dyDescent="0.35">
      <c r="B21" s="161" t="s">
        <v>84</v>
      </c>
      <c r="C21" s="167" t="s">
        <v>96</v>
      </c>
      <c r="D21" s="168">
        <v>46026</v>
      </c>
      <c r="E21" s="169" t="s">
        <v>78</v>
      </c>
      <c r="G21" s="179" t="s">
        <v>84</v>
      </c>
      <c r="H21" s="185" t="s">
        <v>96</v>
      </c>
      <c r="I21" s="186">
        <v>46026</v>
      </c>
      <c r="J21" s="187" t="s">
        <v>78</v>
      </c>
    </row>
    <row r="22" spans="2:10" x14ac:dyDescent="0.3">
      <c r="B22" s="156" t="s">
        <v>86</v>
      </c>
      <c r="C22" s="164">
        <v>80000</v>
      </c>
      <c r="D22" s="170">
        <v>46027</v>
      </c>
      <c r="E22" s="169" t="s">
        <v>78</v>
      </c>
      <c r="G22" s="174" t="s">
        <v>86</v>
      </c>
      <c r="H22" s="182">
        <v>80000</v>
      </c>
      <c r="I22" s="188">
        <v>46027</v>
      </c>
      <c r="J22" s="187" t="s">
        <v>78</v>
      </c>
    </row>
    <row r="23" spans="2:10" x14ac:dyDescent="0.3">
      <c r="G23" s="189" t="s">
        <v>265</v>
      </c>
      <c r="H23" s="190">
        <f>SUBTOTAL(109,Table1[Prices])</f>
        <v>444000</v>
      </c>
      <c r="I2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A4D7-BCE6-4D30-BAD4-A17D2E4B9BBC}">
  <dimension ref="B2:L26"/>
  <sheetViews>
    <sheetView zoomScaleNormal="100" workbookViewId="0">
      <selection activeCell="B24" sqref="B24"/>
    </sheetView>
  </sheetViews>
  <sheetFormatPr defaultColWidth="15.5546875" defaultRowHeight="14.4" x14ac:dyDescent="0.3"/>
  <cols>
    <col min="1" max="1" width="9.33203125" customWidth="1"/>
    <col min="3" max="3" width="16.88671875" customWidth="1"/>
    <col min="7" max="7" width="13.77734375" customWidth="1"/>
    <col min="8" max="8" width="13.33203125" customWidth="1"/>
    <col min="9" max="9" width="14.44140625" customWidth="1"/>
    <col min="10" max="10" width="12.88671875" customWidth="1"/>
    <col min="11" max="11" width="13.21875" customWidth="1"/>
    <col min="12" max="12" width="12.6640625" customWidth="1"/>
  </cols>
  <sheetData>
    <row r="2" spans="2:12" ht="31.2" x14ac:dyDescent="0.3">
      <c r="B2" s="37" t="s">
        <v>101</v>
      </c>
      <c r="C2" s="37" t="s">
        <v>102</v>
      </c>
      <c r="D2" s="37" t="s">
        <v>103</v>
      </c>
      <c r="E2" s="37" t="s">
        <v>104</v>
      </c>
      <c r="F2" s="37" t="s">
        <v>105</v>
      </c>
      <c r="G2" s="37" t="s">
        <v>106</v>
      </c>
      <c r="H2" s="37" t="s">
        <v>107</v>
      </c>
      <c r="I2" s="37" t="s">
        <v>108</v>
      </c>
      <c r="J2" s="37" t="s">
        <v>109</v>
      </c>
      <c r="K2" s="88" t="s">
        <v>168</v>
      </c>
      <c r="L2" s="37" t="s">
        <v>109</v>
      </c>
    </row>
    <row r="3" spans="2:12" ht="15.6" x14ac:dyDescent="0.3">
      <c r="B3" s="38">
        <v>1</v>
      </c>
      <c r="C3" s="38" t="s">
        <v>110</v>
      </c>
      <c r="D3" s="39">
        <v>10</v>
      </c>
      <c r="E3" s="39">
        <v>100</v>
      </c>
      <c r="F3" s="39">
        <v>90</v>
      </c>
      <c r="G3" s="39">
        <f>SUM(D3:F3)</f>
        <v>200</v>
      </c>
      <c r="H3" s="39">
        <v>300</v>
      </c>
      <c r="I3" s="87">
        <f>G3/H3</f>
        <v>0.66666666666666663</v>
      </c>
      <c r="J3" s="40">
        <f>G3/H3*K3</f>
        <v>66.666666666666657</v>
      </c>
      <c r="K3" s="89">
        <v>100</v>
      </c>
      <c r="L3" s="40">
        <f>G3/H3*$E$18</f>
        <v>66.666666666666657</v>
      </c>
    </row>
    <row r="4" spans="2:12" ht="15.6" x14ac:dyDescent="0.3">
      <c r="B4" s="38">
        <v>2</v>
      </c>
      <c r="C4" s="38" t="s">
        <v>111</v>
      </c>
      <c r="D4" s="39">
        <v>20</v>
      </c>
      <c r="E4" s="39">
        <v>90</v>
      </c>
      <c r="F4" s="39">
        <v>70</v>
      </c>
      <c r="G4" s="39">
        <f t="shared" ref="G4:G16" si="0">SUM(D4:F4)</f>
        <v>180</v>
      </c>
      <c r="H4" s="39">
        <v>300</v>
      </c>
      <c r="I4" s="87">
        <f t="shared" ref="I4:I16" si="1">G4/H4</f>
        <v>0.6</v>
      </c>
      <c r="J4" s="40">
        <f t="shared" ref="J4:J16" si="2">G4/H4*K4</f>
        <v>60</v>
      </c>
      <c r="K4" s="89">
        <v>100</v>
      </c>
      <c r="L4" s="40">
        <f t="shared" ref="L4:L16" si="3">G4/H4*$E$18</f>
        <v>60</v>
      </c>
    </row>
    <row r="5" spans="2:12" ht="15.6" x14ac:dyDescent="0.3">
      <c r="B5" s="38">
        <v>3</v>
      </c>
      <c r="C5" s="38" t="s">
        <v>112</v>
      </c>
      <c r="D5" s="39">
        <v>30</v>
      </c>
      <c r="E5" s="39">
        <v>80</v>
      </c>
      <c r="F5" s="39">
        <v>50</v>
      </c>
      <c r="G5" s="39">
        <f t="shared" si="0"/>
        <v>160</v>
      </c>
      <c r="H5" s="39">
        <v>300</v>
      </c>
      <c r="I5" s="87">
        <f t="shared" si="1"/>
        <v>0.53333333333333333</v>
      </c>
      <c r="J5" s="40">
        <f t="shared" si="2"/>
        <v>53.333333333333336</v>
      </c>
      <c r="K5" s="89">
        <v>100</v>
      </c>
      <c r="L5" s="40">
        <f t="shared" si="3"/>
        <v>53.333333333333336</v>
      </c>
    </row>
    <row r="6" spans="2:12" ht="15.6" x14ac:dyDescent="0.3">
      <c r="B6" s="38">
        <v>4</v>
      </c>
      <c r="C6" s="38" t="s">
        <v>113</v>
      </c>
      <c r="D6" s="39">
        <v>40</v>
      </c>
      <c r="E6" s="39">
        <v>70</v>
      </c>
      <c r="F6" s="39">
        <v>20</v>
      </c>
      <c r="G6" s="39">
        <f t="shared" si="0"/>
        <v>130</v>
      </c>
      <c r="H6" s="39">
        <v>300</v>
      </c>
      <c r="I6" s="87">
        <f t="shared" si="1"/>
        <v>0.43333333333333335</v>
      </c>
      <c r="J6" s="40">
        <f t="shared" si="2"/>
        <v>43.333333333333336</v>
      </c>
      <c r="K6" s="89">
        <v>100</v>
      </c>
      <c r="L6" s="40">
        <f t="shared" si="3"/>
        <v>43.333333333333336</v>
      </c>
    </row>
    <row r="7" spans="2:12" ht="15.6" x14ac:dyDescent="0.3">
      <c r="B7" s="38">
        <v>5</v>
      </c>
      <c r="C7" s="38" t="s">
        <v>114</v>
      </c>
      <c r="D7" s="39">
        <v>50</v>
      </c>
      <c r="E7" s="39">
        <v>60</v>
      </c>
      <c r="F7" s="39">
        <v>40</v>
      </c>
      <c r="G7" s="39">
        <f t="shared" si="0"/>
        <v>150</v>
      </c>
      <c r="H7" s="39">
        <v>300</v>
      </c>
      <c r="I7" s="87">
        <f t="shared" si="1"/>
        <v>0.5</v>
      </c>
      <c r="J7" s="40">
        <f t="shared" si="2"/>
        <v>50</v>
      </c>
      <c r="K7" s="89">
        <v>100</v>
      </c>
      <c r="L7" s="40">
        <f t="shared" si="3"/>
        <v>50</v>
      </c>
    </row>
    <row r="8" spans="2:12" ht="15.6" x14ac:dyDescent="0.3">
      <c r="B8" s="38">
        <v>6</v>
      </c>
      <c r="C8" s="38" t="s">
        <v>115</v>
      </c>
      <c r="D8" s="39">
        <v>60</v>
      </c>
      <c r="E8" s="39">
        <v>50</v>
      </c>
      <c r="F8" s="39">
        <v>80</v>
      </c>
      <c r="G8" s="39">
        <f t="shared" si="0"/>
        <v>190</v>
      </c>
      <c r="H8" s="39">
        <v>300</v>
      </c>
      <c r="I8" s="87">
        <f t="shared" si="1"/>
        <v>0.6333333333333333</v>
      </c>
      <c r="J8" s="40">
        <f t="shared" si="2"/>
        <v>63.333333333333329</v>
      </c>
      <c r="K8" s="89">
        <v>100</v>
      </c>
      <c r="L8" s="40">
        <f t="shared" si="3"/>
        <v>63.333333333333329</v>
      </c>
    </row>
    <row r="9" spans="2:12" ht="15.6" x14ac:dyDescent="0.3">
      <c r="B9" s="38">
        <v>7</v>
      </c>
      <c r="C9" s="38" t="s">
        <v>116</v>
      </c>
      <c r="D9" s="39">
        <v>70</v>
      </c>
      <c r="E9" s="39">
        <v>40</v>
      </c>
      <c r="F9" s="39">
        <v>100</v>
      </c>
      <c r="G9" s="39">
        <f t="shared" si="0"/>
        <v>210</v>
      </c>
      <c r="H9" s="39">
        <v>300</v>
      </c>
      <c r="I9" s="87">
        <f t="shared" si="1"/>
        <v>0.7</v>
      </c>
      <c r="J9" s="40">
        <f t="shared" si="2"/>
        <v>70</v>
      </c>
      <c r="K9" s="89">
        <v>100</v>
      </c>
      <c r="L9" s="40">
        <f t="shared" si="3"/>
        <v>70</v>
      </c>
    </row>
    <row r="10" spans="2:12" ht="15.6" x14ac:dyDescent="0.3">
      <c r="B10" s="38">
        <v>8</v>
      </c>
      <c r="C10" s="38" t="s">
        <v>117</v>
      </c>
      <c r="D10" s="39">
        <v>80</v>
      </c>
      <c r="E10" s="39">
        <v>80</v>
      </c>
      <c r="F10" s="39">
        <v>75</v>
      </c>
      <c r="G10" s="39">
        <f t="shared" si="0"/>
        <v>235</v>
      </c>
      <c r="H10" s="39">
        <v>300</v>
      </c>
      <c r="I10" s="87">
        <f t="shared" si="1"/>
        <v>0.78333333333333333</v>
      </c>
      <c r="J10" s="40">
        <f t="shared" si="2"/>
        <v>78.333333333333329</v>
      </c>
      <c r="K10" s="89">
        <v>100</v>
      </c>
      <c r="L10" s="40">
        <f t="shared" si="3"/>
        <v>78.333333333333329</v>
      </c>
    </row>
    <row r="11" spans="2:12" ht="15.6" x14ac:dyDescent="0.3">
      <c r="B11" s="38">
        <v>9</v>
      </c>
      <c r="C11" s="38" t="s">
        <v>119</v>
      </c>
      <c r="D11" s="39">
        <v>90</v>
      </c>
      <c r="E11" s="39">
        <v>90</v>
      </c>
      <c r="F11" s="39">
        <v>35</v>
      </c>
      <c r="G11" s="39">
        <f t="shared" si="0"/>
        <v>215</v>
      </c>
      <c r="H11" s="39">
        <v>300</v>
      </c>
      <c r="I11" s="87">
        <f t="shared" si="1"/>
        <v>0.71666666666666667</v>
      </c>
      <c r="J11" s="40">
        <f t="shared" si="2"/>
        <v>71.666666666666671</v>
      </c>
      <c r="K11" s="89">
        <v>100</v>
      </c>
      <c r="L11" s="40">
        <f t="shared" si="3"/>
        <v>71.666666666666671</v>
      </c>
    </row>
    <row r="12" spans="2:12" ht="15.6" x14ac:dyDescent="0.3">
      <c r="B12" s="38">
        <v>10</v>
      </c>
      <c r="C12" s="38" t="s">
        <v>118</v>
      </c>
      <c r="D12" s="39">
        <v>100</v>
      </c>
      <c r="E12" s="39">
        <v>20</v>
      </c>
      <c r="F12" s="39">
        <v>90</v>
      </c>
      <c r="G12" s="39">
        <f t="shared" si="0"/>
        <v>210</v>
      </c>
      <c r="H12" s="39">
        <v>300</v>
      </c>
      <c r="I12" s="87">
        <f t="shared" si="1"/>
        <v>0.7</v>
      </c>
      <c r="J12" s="40">
        <f t="shared" si="2"/>
        <v>70</v>
      </c>
      <c r="K12" s="89">
        <v>100</v>
      </c>
      <c r="L12" s="40">
        <f t="shared" si="3"/>
        <v>70</v>
      </c>
    </row>
    <row r="13" spans="2:12" ht="15.6" x14ac:dyDescent="0.3">
      <c r="B13" s="38">
        <v>11</v>
      </c>
      <c r="C13" s="38" t="s">
        <v>120</v>
      </c>
      <c r="D13" s="39">
        <v>67</v>
      </c>
      <c r="E13" s="39">
        <v>30</v>
      </c>
      <c r="F13" s="39">
        <v>25</v>
      </c>
      <c r="G13" s="39">
        <f t="shared" si="0"/>
        <v>122</v>
      </c>
      <c r="H13" s="39">
        <v>300</v>
      </c>
      <c r="I13" s="87">
        <f t="shared" si="1"/>
        <v>0.40666666666666668</v>
      </c>
      <c r="J13" s="40">
        <f t="shared" si="2"/>
        <v>40.666666666666664</v>
      </c>
      <c r="K13" s="89">
        <v>100</v>
      </c>
      <c r="L13" s="40">
        <f t="shared" si="3"/>
        <v>40.666666666666664</v>
      </c>
    </row>
    <row r="14" spans="2:12" ht="15.6" x14ac:dyDescent="0.3">
      <c r="B14" s="38">
        <v>12</v>
      </c>
      <c r="C14" s="38" t="s">
        <v>121</v>
      </c>
      <c r="D14" s="39">
        <v>80</v>
      </c>
      <c r="E14" s="39">
        <v>50</v>
      </c>
      <c r="F14" s="39">
        <v>85</v>
      </c>
      <c r="G14" s="39">
        <f t="shared" si="0"/>
        <v>215</v>
      </c>
      <c r="H14" s="39">
        <v>300</v>
      </c>
      <c r="I14" s="87">
        <f t="shared" si="1"/>
        <v>0.71666666666666667</v>
      </c>
      <c r="J14" s="40">
        <f t="shared" si="2"/>
        <v>71.666666666666671</v>
      </c>
      <c r="K14" s="89">
        <v>100</v>
      </c>
      <c r="L14" s="40">
        <f t="shared" si="3"/>
        <v>71.666666666666671</v>
      </c>
    </row>
    <row r="15" spans="2:12" ht="15.6" x14ac:dyDescent="0.3">
      <c r="B15" s="38">
        <v>13</v>
      </c>
      <c r="C15" s="38" t="s">
        <v>122</v>
      </c>
      <c r="D15" s="39">
        <v>90</v>
      </c>
      <c r="E15" s="39">
        <v>100</v>
      </c>
      <c r="F15" s="39">
        <v>50</v>
      </c>
      <c r="G15" s="39">
        <f t="shared" si="0"/>
        <v>240</v>
      </c>
      <c r="H15" s="39">
        <v>300</v>
      </c>
      <c r="I15" s="87">
        <f t="shared" si="1"/>
        <v>0.8</v>
      </c>
      <c r="J15" s="40">
        <f t="shared" si="2"/>
        <v>80</v>
      </c>
      <c r="K15" s="89">
        <v>100</v>
      </c>
      <c r="L15" s="40">
        <f t="shared" si="3"/>
        <v>80</v>
      </c>
    </row>
    <row r="16" spans="2:12" ht="15.6" x14ac:dyDescent="0.3">
      <c r="B16" s="38">
        <v>14</v>
      </c>
      <c r="C16" s="38" t="s">
        <v>123</v>
      </c>
      <c r="D16" s="39">
        <v>40</v>
      </c>
      <c r="E16" s="39">
        <v>70</v>
      </c>
      <c r="F16" s="39">
        <v>60</v>
      </c>
      <c r="G16" s="39">
        <f t="shared" si="0"/>
        <v>170</v>
      </c>
      <c r="H16" s="39">
        <v>300</v>
      </c>
      <c r="I16" s="87">
        <f t="shared" si="1"/>
        <v>0.56666666666666665</v>
      </c>
      <c r="J16" s="40">
        <f t="shared" si="2"/>
        <v>56.666666666666664</v>
      </c>
      <c r="K16" s="89">
        <v>100</v>
      </c>
      <c r="L16" s="40">
        <f t="shared" si="3"/>
        <v>56.666666666666664</v>
      </c>
    </row>
    <row r="17" spans="2:10" ht="15" thickBot="1" x14ac:dyDescent="0.35">
      <c r="B17" s="41"/>
      <c r="C17" s="41"/>
      <c r="D17" s="41"/>
      <c r="E17" s="41"/>
      <c r="F17" s="41"/>
      <c r="G17" s="41"/>
      <c r="H17" s="41"/>
      <c r="I17" s="86"/>
      <c r="J17" s="41"/>
    </row>
    <row r="18" spans="2:10" ht="21.6" thickBot="1" x14ac:dyDescent="0.35">
      <c r="B18" s="41"/>
      <c r="C18" s="41"/>
      <c r="D18" s="42" t="s">
        <v>169</v>
      </c>
      <c r="E18" s="42">
        <v>100</v>
      </c>
      <c r="F18" s="41"/>
      <c r="G18" s="41"/>
      <c r="H18" s="41"/>
      <c r="I18" s="41"/>
      <c r="J18" s="41"/>
    </row>
    <row r="22" spans="2:10" ht="18" thickBot="1" x14ac:dyDescent="0.35">
      <c r="D22" s="194" t="s">
        <v>106</v>
      </c>
      <c r="E22" s="194" t="s">
        <v>107</v>
      </c>
      <c r="F22" s="194" t="s">
        <v>109</v>
      </c>
      <c r="G22" s="194" t="s">
        <v>109</v>
      </c>
    </row>
    <row r="23" spans="2:10" ht="21.6" thickBot="1" x14ac:dyDescent="0.35">
      <c r="D23" s="195">
        <v>122</v>
      </c>
      <c r="E23" s="195">
        <v>300</v>
      </c>
      <c r="F23" s="196">
        <f>D23/E23</f>
        <v>0.40666666666666668</v>
      </c>
      <c r="G23" s="197">
        <f>D23/E23*$J$23</f>
        <v>40.666666666666664</v>
      </c>
      <c r="I23" s="42" t="s">
        <v>169</v>
      </c>
      <c r="J23" s="42">
        <v>100</v>
      </c>
    </row>
    <row r="24" spans="2:10" ht="17.399999999999999" x14ac:dyDescent="0.3">
      <c r="D24" s="195">
        <v>215</v>
      </c>
      <c r="E24" s="195">
        <v>300</v>
      </c>
      <c r="F24" s="196">
        <f t="shared" ref="F24:F26" si="4">D24/E24</f>
        <v>0.71666666666666667</v>
      </c>
      <c r="G24" s="197">
        <f t="shared" ref="G24:G26" si="5">D24/E24*$J$23</f>
        <v>71.666666666666671</v>
      </c>
    </row>
    <row r="25" spans="2:10" ht="17.399999999999999" x14ac:dyDescent="0.3">
      <c r="D25" s="195">
        <v>240</v>
      </c>
      <c r="E25" s="195">
        <v>300</v>
      </c>
      <c r="F25" s="196">
        <f t="shared" si="4"/>
        <v>0.8</v>
      </c>
      <c r="G25" s="197">
        <f t="shared" si="5"/>
        <v>80</v>
      </c>
    </row>
    <row r="26" spans="2:10" ht="17.399999999999999" x14ac:dyDescent="0.3">
      <c r="D26" s="195">
        <v>170</v>
      </c>
      <c r="E26" s="195">
        <v>300</v>
      </c>
      <c r="F26" s="196">
        <f t="shared" si="4"/>
        <v>0.56666666666666665</v>
      </c>
      <c r="G26" s="197">
        <f t="shared" si="5"/>
        <v>56.666666666666664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D0F9-B210-4D13-A12A-FDEC613406F7}">
  <dimension ref="B1:I45"/>
  <sheetViews>
    <sheetView topLeftCell="A25" zoomScale="90" zoomScaleNormal="90" workbookViewId="0">
      <selection activeCell="C46" sqref="C46"/>
    </sheetView>
  </sheetViews>
  <sheetFormatPr defaultColWidth="11.109375" defaultRowHeight="18" x14ac:dyDescent="0.3"/>
  <cols>
    <col min="1" max="1" width="11.109375" style="96"/>
    <col min="2" max="2" width="26.44140625" style="96" customWidth="1"/>
    <col min="3" max="3" width="27.5546875" style="96" customWidth="1"/>
    <col min="4" max="4" width="25.44140625" style="96" customWidth="1"/>
    <col min="5" max="5" width="23.88671875" style="96" customWidth="1"/>
    <col min="6" max="6" width="23.109375" style="96" customWidth="1"/>
    <col min="7" max="7" width="21.109375" style="96" customWidth="1"/>
    <col min="8" max="8" width="29.21875" style="96" bestFit="1" customWidth="1"/>
    <col min="9" max="16384" width="11.109375" style="96"/>
  </cols>
  <sheetData>
    <row r="1" spans="2:9" x14ac:dyDescent="0.3">
      <c r="B1" s="92" t="s">
        <v>132</v>
      </c>
      <c r="C1" s="92" t="s">
        <v>133</v>
      </c>
      <c r="D1" s="92" t="s">
        <v>134</v>
      </c>
      <c r="E1" s="92" t="s">
        <v>135</v>
      </c>
      <c r="F1" s="92" t="s">
        <v>136</v>
      </c>
      <c r="G1" s="92" t="s">
        <v>137</v>
      </c>
      <c r="H1" s="92" t="s">
        <v>138</v>
      </c>
      <c r="I1" s="91"/>
    </row>
    <row r="2" spans="2:9" x14ac:dyDescent="0.3">
      <c r="B2" s="90" t="s">
        <v>139</v>
      </c>
      <c r="C2" s="90" t="str">
        <f>UPPER(B2)</f>
        <v>ANANYA SHROFF</v>
      </c>
      <c r="D2" s="90" t="str">
        <f>LOWER(B2)</f>
        <v>ananya shroff</v>
      </c>
      <c r="E2" s="90" t="str">
        <f>PROPER(C2)</f>
        <v>Ananya Shroff</v>
      </c>
      <c r="F2" s="90" t="str">
        <f>LEFT(B2, 4)</f>
        <v>Anan</v>
      </c>
      <c r="G2" s="90" t="str">
        <f>RIGHT(B2, 3)</f>
        <v>off</v>
      </c>
      <c r="H2" s="90" t="str">
        <f>MID(B2, 3, 4)</f>
        <v>anya</v>
      </c>
      <c r="I2" s="91"/>
    </row>
    <row r="3" spans="2:9" x14ac:dyDescent="0.3">
      <c r="B3" s="90" t="s">
        <v>140</v>
      </c>
      <c r="C3" s="90" t="str">
        <f t="shared" ref="C3:C10" si="0">UPPER(B3)</f>
        <v>AROHI SHARMA</v>
      </c>
      <c r="D3" s="90" t="str">
        <f t="shared" ref="D3:D10" si="1">LOWER(B3)</f>
        <v>arohi sharma</v>
      </c>
      <c r="E3" s="90" t="str">
        <f t="shared" ref="E3:E10" si="2">PROPER(C3)</f>
        <v>Arohi Sharma</v>
      </c>
      <c r="F3" s="90" t="str">
        <f>LEFT(B3, 5)</f>
        <v>Arohi</v>
      </c>
      <c r="G3" s="90" t="str">
        <f>RIGHT(B3, 4)</f>
        <v>arma</v>
      </c>
      <c r="H3" s="90" t="str">
        <f>MID(B3, 2, 6)</f>
        <v>rohi S</v>
      </c>
      <c r="I3" s="91"/>
    </row>
    <row r="4" spans="2:9" ht="52.2" x14ac:dyDescent="0.3">
      <c r="B4" s="90" t="s">
        <v>141</v>
      </c>
      <c r="C4" s="90" t="str">
        <f t="shared" si="0"/>
        <v>MOHANDAS KARAMCHAND GANDHI</v>
      </c>
      <c r="D4" s="90" t="str">
        <f t="shared" si="1"/>
        <v>mohandas karamchand gandhi</v>
      </c>
      <c r="E4" s="90" t="str">
        <f t="shared" si="2"/>
        <v>Mohandas Karamchand Gandhi</v>
      </c>
      <c r="F4" s="90" t="str">
        <f t="shared" ref="F4:F10" si="3">LEFT(B4, 5)</f>
        <v>Mohan</v>
      </c>
      <c r="G4" s="90" t="str">
        <f t="shared" ref="G4:G10" si="4">RIGHT(B4, 4)</f>
        <v>ndhi</v>
      </c>
      <c r="H4" s="90" t="str">
        <f t="shared" ref="H4:H10" si="5">MID(B4, 2, 6)</f>
        <v>ohanda</v>
      </c>
      <c r="I4" s="91"/>
    </row>
    <row r="5" spans="2:9" x14ac:dyDescent="0.3">
      <c r="B5" s="90" t="s">
        <v>142</v>
      </c>
      <c r="C5" s="90" t="str">
        <f t="shared" si="0"/>
        <v>MILIND KUMAR KALRA</v>
      </c>
      <c r="D5" s="90" t="str">
        <f t="shared" si="1"/>
        <v>milind kumar kalra</v>
      </c>
      <c r="E5" s="90" t="str">
        <f t="shared" si="2"/>
        <v>Milind Kumar Kalra</v>
      </c>
      <c r="F5" s="90" t="str">
        <f t="shared" si="3"/>
        <v>Milin</v>
      </c>
      <c r="G5" s="90" t="str">
        <f t="shared" si="4"/>
        <v>alra</v>
      </c>
      <c r="H5" s="90" t="str">
        <f t="shared" si="5"/>
        <v xml:space="preserve">ilind </v>
      </c>
      <c r="I5" s="91"/>
    </row>
    <row r="6" spans="2:9" x14ac:dyDescent="0.3">
      <c r="B6" s="90" t="s">
        <v>143</v>
      </c>
      <c r="C6" s="90" t="str">
        <f t="shared" si="0"/>
        <v>ANSHU POONAWALA</v>
      </c>
      <c r="D6" s="90" t="str">
        <f t="shared" si="1"/>
        <v>anshu poonawala</v>
      </c>
      <c r="E6" s="90" t="str">
        <f t="shared" si="2"/>
        <v>Anshu Poonawala</v>
      </c>
      <c r="F6" s="90" t="str">
        <f t="shared" si="3"/>
        <v>Anshu</v>
      </c>
      <c r="G6" s="90" t="str">
        <f t="shared" si="4"/>
        <v>wala</v>
      </c>
      <c r="H6" s="90" t="str">
        <f t="shared" si="5"/>
        <v>nshu P</v>
      </c>
      <c r="I6" s="91"/>
    </row>
    <row r="7" spans="2:9" x14ac:dyDescent="0.3">
      <c r="B7" s="90" t="s">
        <v>144</v>
      </c>
      <c r="C7" s="90" t="str">
        <f t="shared" si="0"/>
        <v>RAHUL SINGH SHARMA</v>
      </c>
      <c r="D7" s="90" t="str">
        <f t="shared" si="1"/>
        <v>rahul singh sharma</v>
      </c>
      <c r="E7" s="90" t="str">
        <f t="shared" si="2"/>
        <v>Rahul Singh Sharma</v>
      </c>
      <c r="F7" s="90" t="str">
        <f t="shared" si="3"/>
        <v>Rahul</v>
      </c>
      <c r="G7" s="90" t="str">
        <f t="shared" si="4"/>
        <v>arma</v>
      </c>
      <c r="H7" s="90" t="str">
        <f t="shared" si="5"/>
        <v>ahul S</v>
      </c>
      <c r="I7" s="91"/>
    </row>
    <row r="8" spans="2:9" x14ac:dyDescent="0.3">
      <c r="B8" s="90" t="s">
        <v>145</v>
      </c>
      <c r="C8" s="90" t="str">
        <f t="shared" si="0"/>
        <v>NEIL ARMSTRONG</v>
      </c>
      <c r="D8" s="90" t="str">
        <f t="shared" si="1"/>
        <v>neil armstrong</v>
      </c>
      <c r="E8" s="90" t="str">
        <f t="shared" si="2"/>
        <v>Neil Armstrong</v>
      </c>
      <c r="F8" s="90" t="str">
        <f t="shared" si="3"/>
        <v xml:space="preserve">Neil </v>
      </c>
      <c r="G8" s="90" t="str">
        <f t="shared" si="4"/>
        <v>rong</v>
      </c>
      <c r="H8" s="90" t="str">
        <f t="shared" si="5"/>
        <v>eil Ar</v>
      </c>
      <c r="I8" s="91"/>
    </row>
    <row r="9" spans="2:9" x14ac:dyDescent="0.3">
      <c r="B9" s="90" t="s">
        <v>146</v>
      </c>
      <c r="C9" s="90" t="str">
        <f t="shared" si="0"/>
        <v>AVNISH AGRAWAL</v>
      </c>
      <c r="D9" s="90" t="str">
        <f t="shared" si="1"/>
        <v>avnish agrawal</v>
      </c>
      <c r="E9" s="90" t="str">
        <f t="shared" si="2"/>
        <v>Avnish Agrawal</v>
      </c>
      <c r="F9" s="90" t="str">
        <f t="shared" si="3"/>
        <v>Avnis</v>
      </c>
      <c r="G9" s="90" t="str">
        <f t="shared" si="4"/>
        <v>awal</v>
      </c>
      <c r="H9" s="90" t="str">
        <f t="shared" si="5"/>
        <v xml:space="preserve">vnish </v>
      </c>
      <c r="I9" s="91"/>
    </row>
    <row r="10" spans="2:9" x14ac:dyDescent="0.3">
      <c r="B10" s="90" t="s">
        <v>147</v>
      </c>
      <c r="C10" s="90" t="str">
        <f t="shared" si="0"/>
        <v>SHASHANK KHAN</v>
      </c>
      <c r="D10" s="90" t="str">
        <f t="shared" si="1"/>
        <v>shashank khan</v>
      </c>
      <c r="E10" s="90" t="str">
        <f t="shared" si="2"/>
        <v>Shashank Khan</v>
      </c>
      <c r="F10" s="90" t="str">
        <f t="shared" si="3"/>
        <v>Shash</v>
      </c>
      <c r="G10" s="90" t="str">
        <f t="shared" si="4"/>
        <v>Khan</v>
      </c>
      <c r="H10" s="90" t="str">
        <f t="shared" si="5"/>
        <v>hashan</v>
      </c>
      <c r="I10" s="91"/>
    </row>
    <row r="11" spans="2:9" x14ac:dyDescent="0.3">
      <c r="B11" s="91"/>
      <c r="C11" s="91"/>
      <c r="D11" s="91"/>
      <c r="E11" s="91"/>
      <c r="F11" s="91"/>
      <c r="G11" s="91"/>
      <c r="H11" s="91"/>
      <c r="I11" s="91"/>
    </row>
    <row r="12" spans="2:9" x14ac:dyDescent="0.3">
      <c r="B12" s="91"/>
      <c r="C12" s="91"/>
      <c r="D12" s="91"/>
      <c r="E12" s="91"/>
      <c r="F12" s="91"/>
      <c r="G12" s="91"/>
      <c r="H12" s="91"/>
      <c r="I12" s="91"/>
    </row>
    <row r="13" spans="2:9" ht="18.600000000000001" thickBot="1" x14ac:dyDescent="0.35">
      <c r="B13" s="91"/>
      <c r="C13" s="91"/>
      <c r="D13" s="91"/>
      <c r="E13" s="91"/>
      <c r="F13" s="93"/>
      <c r="G13" s="91"/>
      <c r="H13" s="91"/>
      <c r="I13" s="91"/>
    </row>
    <row r="14" spans="2:9" ht="18.600000000000001" thickTop="1" x14ac:dyDescent="0.3">
      <c r="B14" s="92" t="s">
        <v>132</v>
      </c>
      <c r="C14" s="82" t="s">
        <v>148</v>
      </c>
      <c r="D14" s="82" t="s">
        <v>149</v>
      </c>
      <c r="E14" s="82" t="s">
        <v>148</v>
      </c>
      <c r="F14" s="82" t="s">
        <v>150</v>
      </c>
      <c r="G14" s="84" t="s">
        <v>151</v>
      </c>
      <c r="H14" s="91"/>
      <c r="I14" s="91"/>
    </row>
    <row r="15" spans="2:9" x14ac:dyDescent="0.3">
      <c r="B15" s="90" t="s">
        <v>152</v>
      </c>
      <c r="C15" s="83">
        <f>LEN(B15)</f>
        <v>17</v>
      </c>
      <c r="D15" s="83" t="str">
        <f>TRIM(B15)</f>
        <v>Ananya Pandey</v>
      </c>
      <c r="E15" s="83">
        <f>LEN(D15)</f>
        <v>13</v>
      </c>
      <c r="F15" s="83">
        <f>FIND("an", D15, 1)</f>
        <v>3</v>
      </c>
      <c r="G15" s="83">
        <f>SEARCH("an", D15)</f>
        <v>1</v>
      </c>
      <c r="H15" s="91"/>
      <c r="I15" s="91"/>
    </row>
    <row r="16" spans="2:9" x14ac:dyDescent="0.3">
      <c r="B16" s="90" t="s">
        <v>153</v>
      </c>
      <c r="C16" s="83">
        <f t="shared" ref="C16:C23" si="6">LEN(B16)</f>
        <v>19</v>
      </c>
      <c r="D16" s="83" t="str">
        <f t="shared" ref="D16:D23" si="7">TRIM(B16)</f>
        <v>Arohi Sharma</v>
      </c>
      <c r="E16" s="83">
        <f t="shared" ref="E16:E23" si="8">LEN(D16)</f>
        <v>12</v>
      </c>
      <c r="F16" s="83">
        <f>FIND("ar", D16, 1)</f>
        <v>9</v>
      </c>
      <c r="G16" s="83">
        <f>SEARCH("ar", D16)</f>
        <v>1</v>
      </c>
      <c r="H16" s="91"/>
      <c r="I16" s="91"/>
    </row>
    <row r="17" spans="2:9" ht="34.799999999999997" x14ac:dyDescent="0.3">
      <c r="B17" s="90" t="s">
        <v>154</v>
      </c>
      <c r="C17" s="83">
        <f t="shared" si="6"/>
        <v>33</v>
      </c>
      <c r="D17" s="83" t="str">
        <f t="shared" si="7"/>
        <v>Mohandas Karamchand G andhi</v>
      </c>
      <c r="E17" s="83">
        <f t="shared" si="8"/>
        <v>27</v>
      </c>
      <c r="F17" s="83" t="e">
        <f>FIND("An", D17, 3)</f>
        <v>#VALUE!</v>
      </c>
      <c r="G17" s="83">
        <f>SEARCH("An", D17)</f>
        <v>4</v>
      </c>
      <c r="H17" s="91"/>
      <c r="I17" s="91"/>
    </row>
    <row r="18" spans="2:9" x14ac:dyDescent="0.3">
      <c r="B18" s="90" t="s">
        <v>155</v>
      </c>
      <c r="C18" s="83">
        <f t="shared" si="6"/>
        <v>27</v>
      </c>
      <c r="D18" s="83" t="str">
        <f t="shared" si="7"/>
        <v>Milind Kalra</v>
      </c>
      <c r="E18" s="83">
        <f t="shared" si="8"/>
        <v>12</v>
      </c>
      <c r="F18" s="85"/>
      <c r="G18" s="85"/>
      <c r="H18" s="219" t="s">
        <v>215</v>
      </c>
      <c r="I18" s="91"/>
    </row>
    <row r="19" spans="2:9" x14ac:dyDescent="0.3">
      <c r="B19" s="90" t="s">
        <v>156</v>
      </c>
      <c r="C19" s="83">
        <f t="shared" si="6"/>
        <v>30</v>
      </c>
      <c r="D19" s="83" t="str">
        <f t="shared" si="7"/>
        <v>Anshu Poonawala</v>
      </c>
      <c r="E19" s="83">
        <f t="shared" si="8"/>
        <v>15</v>
      </c>
      <c r="F19" s="85"/>
      <c r="G19" s="85"/>
      <c r="H19" s="219"/>
      <c r="I19" s="91"/>
    </row>
    <row r="20" spans="2:9" x14ac:dyDescent="0.3">
      <c r="B20" s="90" t="s">
        <v>157</v>
      </c>
      <c r="C20" s="83">
        <f t="shared" si="6"/>
        <v>24</v>
      </c>
      <c r="D20" s="83" t="str">
        <f t="shared" si="7"/>
        <v>Rahul Singh Sharma</v>
      </c>
      <c r="E20" s="83">
        <f t="shared" si="8"/>
        <v>18</v>
      </c>
      <c r="F20" s="85"/>
      <c r="G20" s="85"/>
      <c r="H20" s="219"/>
      <c r="I20" s="91"/>
    </row>
    <row r="21" spans="2:9" x14ac:dyDescent="0.3">
      <c r="B21" s="90" t="s">
        <v>158</v>
      </c>
      <c r="C21" s="83">
        <f t="shared" si="6"/>
        <v>18</v>
      </c>
      <c r="D21" s="83" t="str">
        <f t="shared" si="7"/>
        <v>Neil Armstrong</v>
      </c>
      <c r="E21" s="83">
        <f t="shared" si="8"/>
        <v>14</v>
      </c>
      <c r="F21" s="85"/>
      <c r="G21" s="85"/>
      <c r="H21" s="219"/>
      <c r="I21" s="91"/>
    </row>
    <row r="22" spans="2:9" x14ac:dyDescent="0.3">
      <c r="B22" s="90" t="s">
        <v>146</v>
      </c>
      <c r="C22" s="83">
        <f t="shared" si="6"/>
        <v>14</v>
      </c>
      <c r="D22" s="83" t="str">
        <f t="shared" si="7"/>
        <v>Avnish Agrawal</v>
      </c>
      <c r="E22" s="83">
        <f t="shared" si="8"/>
        <v>14</v>
      </c>
      <c r="F22" s="85"/>
      <c r="G22" s="85"/>
      <c r="H22" s="219"/>
      <c r="I22" s="91"/>
    </row>
    <row r="23" spans="2:9" x14ac:dyDescent="0.3">
      <c r="B23" s="90" t="s">
        <v>159</v>
      </c>
      <c r="C23" s="83">
        <f t="shared" si="6"/>
        <v>18</v>
      </c>
      <c r="D23" s="83" t="str">
        <f t="shared" si="7"/>
        <v>Shashank Khan</v>
      </c>
      <c r="E23" s="83">
        <f t="shared" si="8"/>
        <v>13</v>
      </c>
      <c r="F23" s="85"/>
      <c r="G23" s="85"/>
      <c r="H23" s="219"/>
      <c r="I23" s="91"/>
    </row>
    <row r="24" spans="2:9" x14ac:dyDescent="0.3">
      <c r="B24" s="91"/>
      <c r="C24" s="91"/>
      <c r="D24" s="91"/>
      <c r="E24" s="91"/>
      <c r="F24" s="91"/>
      <c r="G24" s="91"/>
      <c r="H24" s="91"/>
      <c r="I24" s="91"/>
    </row>
    <row r="25" spans="2:9" x14ac:dyDescent="0.3">
      <c r="B25" s="90"/>
      <c r="C25" s="91"/>
      <c r="D25" s="91"/>
      <c r="E25" s="91"/>
      <c r="F25" s="91"/>
      <c r="G25" s="91"/>
      <c r="H25" s="91"/>
      <c r="I25" s="91"/>
    </row>
    <row r="26" spans="2:9" x14ac:dyDescent="0.3">
      <c r="B26" s="91"/>
      <c r="C26" s="92" t="s">
        <v>132</v>
      </c>
      <c r="D26" s="92" t="s">
        <v>160</v>
      </c>
      <c r="E26" s="92" t="s">
        <v>161</v>
      </c>
      <c r="F26" s="91"/>
      <c r="G26" s="91"/>
      <c r="H26" s="91"/>
      <c r="I26" s="91"/>
    </row>
    <row r="27" spans="2:9" x14ac:dyDescent="0.3">
      <c r="B27" s="91"/>
      <c r="C27" s="90" t="s">
        <v>162</v>
      </c>
      <c r="D27" s="90" t="str">
        <f>SUBSTITUTE(C27, "an", "tu")</f>
        <v>Antuya Ptudey</v>
      </c>
      <c r="E27" s="90" t="str">
        <f>REPLACE(C27, 1, 3, "tul")</f>
        <v>tulnya Pandey</v>
      </c>
      <c r="F27" s="91"/>
      <c r="G27" s="91"/>
      <c r="H27" s="91"/>
      <c r="I27" s="91"/>
    </row>
    <row r="28" spans="2:9" x14ac:dyDescent="0.3">
      <c r="B28" s="91"/>
      <c r="C28" s="90" t="s">
        <v>140</v>
      </c>
      <c r="D28" s="90" t="str">
        <f>SUBSTITUTE(C28, "Ar", "LT")</f>
        <v>LTohi Sharma</v>
      </c>
      <c r="E28" s="90" t="str">
        <f>REPLACE(C28, 6, 4, "LTUS")</f>
        <v>ArohiLTUSrma</v>
      </c>
      <c r="F28" s="91"/>
      <c r="G28" s="91"/>
      <c r="H28" s="91"/>
      <c r="I28" s="91"/>
    </row>
    <row r="29" spans="2:9" ht="34.799999999999997" x14ac:dyDescent="0.3">
      <c r="B29" s="91"/>
      <c r="C29" s="90" t="s">
        <v>141</v>
      </c>
      <c r="D29" s="90" t="str">
        <f>SUBSTITUTE(C29, "nd", "tul")</f>
        <v>Mohatulas Karamchatul Gatulhi</v>
      </c>
      <c r="E29" s="90" t="str">
        <f>REPLACE(C29, 17, 3, "ul")</f>
        <v>Mohandas Karamchul Gandhi</v>
      </c>
      <c r="F29" s="91"/>
      <c r="G29" s="91"/>
      <c r="H29" s="91"/>
      <c r="I29" s="91"/>
    </row>
    <row r="30" spans="2:9" ht="18" customHeight="1" x14ac:dyDescent="0.3">
      <c r="B30" s="91"/>
      <c r="C30" s="90" t="s">
        <v>142</v>
      </c>
      <c r="D30" s="94"/>
      <c r="E30" s="206"/>
      <c r="F30" s="220" t="s">
        <v>215</v>
      </c>
      <c r="G30" s="91"/>
      <c r="H30" s="91"/>
      <c r="I30" s="91"/>
    </row>
    <row r="31" spans="2:9" ht="18" customHeight="1" x14ac:dyDescent="0.3">
      <c r="B31" s="91"/>
      <c r="C31" s="90" t="s">
        <v>143</v>
      </c>
      <c r="D31" s="94"/>
      <c r="E31" s="206"/>
      <c r="F31" s="220"/>
      <c r="G31" s="91"/>
      <c r="H31" s="91"/>
      <c r="I31" s="91"/>
    </row>
    <row r="32" spans="2:9" ht="18" customHeight="1" x14ac:dyDescent="0.3">
      <c r="B32" s="91"/>
      <c r="C32" s="90" t="s">
        <v>144</v>
      </c>
      <c r="D32" s="94"/>
      <c r="E32" s="206"/>
      <c r="F32" s="220"/>
      <c r="G32" s="91"/>
      <c r="H32" s="91"/>
      <c r="I32" s="91"/>
    </row>
    <row r="33" spans="2:9" ht="18" customHeight="1" x14ac:dyDescent="0.3">
      <c r="B33" s="91"/>
      <c r="C33" s="90" t="s">
        <v>145</v>
      </c>
      <c r="D33" s="94"/>
      <c r="E33" s="206"/>
      <c r="F33" s="220"/>
      <c r="G33" s="91"/>
      <c r="H33" s="91"/>
      <c r="I33" s="91"/>
    </row>
    <row r="34" spans="2:9" ht="18" customHeight="1" x14ac:dyDescent="0.3">
      <c r="B34" s="91"/>
      <c r="C34" s="90" t="s">
        <v>146</v>
      </c>
      <c r="D34" s="94"/>
      <c r="E34" s="206"/>
      <c r="F34" s="220"/>
      <c r="G34" s="91"/>
      <c r="H34" s="91"/>
      <c r="I34" s="91"/>
    </row>
    <row r="35" spans="2:9" ht="18" customHeight="1" x14ac:dyDescent="0.3">
      <c r="B35" s="91"/>
      <c r="C35" s="90" t="s">
        <v>147</v>
      </c>
      <c r="D35" s="94"/>
      <c r="E35" s="206"/>
      <c r="F35" s="220"/>
      <c r="G35" s="91"/>
      <c r="H35" s="91"/>
      <c r="I35" s="91"/>
    </row>
    <row r="36" spans="2:9" ht="34.799999999999997" x14ac:dyDescent="0.3">
      <c r="B36" s="91"/>
      <c r="C36" s="95" t="s">
        <v>163</v>
      </c>
      <c r="D36" s="94"/>
      <c r="E36" s="206"/>
      <c r="F36" s="220"/>
      <c r="G36" s="91"/>
      <c r="H36" s="91"/>
      <c r="I36" s="91"/>
    </row>
    <row r="37" spans="2:9" x14ac:dyDescent="0.3">
      <c r="B37" s="91"/>
      <c r="C37" s="91"/>
      <c r="D37" s="198"/>
      <c r="E37" s="91"/>
      <c r="F37" s="91"/>
      <c r="G37" s="91"/>
      <c r="H37" s="91"/>
      <c r="I37" s="91"/>
    </row>
    <row r="38" spans="2:9" ht="39.6" customHeight="1" x14ac:dyDescent="0.3">
      <c r="B38" s="91"/>
      <c r="C38" s="91"/>
      <c r="D38" s="91"/>
      <c r="E38" s="205" t="s">
        <v>33</v>
      </c>
      <c r="F38" s="205" t="s">
        <v>35</v>
      </c>
      <c r="G38" s="201" t="s">
        <v>268</v>
      </c>
      <c r="H38" s="201" t="s">
        <v>269</v>
      </c>
      <c r="I38" s="91"/>
    </row>
    <row r="39" spans="2:9" ht="19.2" x14ac:dyDescent="0.3">
      <c r="B39" s="91"/>
      <c r="C39" s="91"/>
      <c r="D39" s="91"/>
      <c r="E39" s="202" t="s">
        <v>164</v>
      </c>
      <c r="F39" s="202" t="s">
        <v>165</v>
      </c>
      <c r="G39" s="202" t="str">
        <f>CONCATENATE(E39, " ", F39)</f>
        <v>abc xyz</v>
      </c>
      <c r="H39" s="202" t="str">
        <f>_xlfn.CONCAT(E39, " &amp; ", F39)</f>
        <v>abc &amp; xyz</v>
      </c>
      <c r="I39" s="91"/>
    </row>
    <row r="40" spans="2:9" ht="19.2" x14ac:dyDescent="0.3">
      <c r="B40" s="91"/>
      <c r="C40" s="91"/>
      <c r="D40" s="91"/>
      <c r="E40" s="202" t="s">
        <v>166</v>
      </c>
      <c r="F40" s="202" t="s">
        <v>167</v>
      </c>
      <c r="G40" s="202" t="str">
        <f t="shared" ref="G40:G42" si="9">CONCATENATE(E40, " ", F40)</f>
        <v>def uvw</v>
      </c>
      <c r="H40" s="202" t="str">
        <f>_xlfn.CONCAT(E40, " * ", F40)</f>
        <v>def * uvw</v>
      </c>
      <c r="I40" s="91"/>
    </row>
    <row r="41" spans="2:9" ht="19.2" x14ac:dyDescent="0.3">
      <c r="B41" s="91"/>
      <c r="C41" s="91"/>
      <c r="D41" s="91"/>
      <c r="E41" s="203">
        <v>123</v>
      </c>
      <c r="F41" s="203">
        <v>456</v>
      </c>
      <c r="G41" s="202" t="str">
        <f t="shared" si="9"/>
        <v>123 456</v>
      </c>
      <c r="H41" s="202" t="str">
        <f t="shared" ref="H41:H42" si="10">_xlfn.CONCAT(E41, " &amp; ", F41)</f>
        <v>123 &amp; 456</v>
      </c>
      <c r="I41" s="91"/>
    </row>
    <row r="42" spans="2:9" ht="19.2" x14ac:dyDescent="0.3">
      <c r="B42" s="91"/>
      <c r="C42" s="91"/>
      <c r="D42" s="91"/>
      <c r="E42" s="202">
        <v>567</v>
      </c>
      <c r="F42" s="202">
        <v>789</v>
      </c>
      <c r="G42" s="202" t="str">
        <f t="shared" si="9"/>
        <v>567 789</v>
      </c>
      <c r="H42" s="202" t="str">
        <f t="shared" si="10"/>
        <v>567 &amp; 789</v>
      </c>
      <c r="I42" s="91"/>
    </row>
    <row r="43" spans="2:9" ht="19.2" x14ac:dyDescent="0.3">
      <c r="B43" s="91"/>
      <c r="C43" s="91"/>
      <c r="D43" s="91"/>
      <c r="E43" s="202">
        <v>567</v>
      </c>
      <c r="F43" s="202" t="s">
        <v>165</v>
      </c>
      <c r="G43" s="204" t="str">
        <f>CONCATENATE(E43, " ", F43)</f>
        <v>567 xyz</v>
      </c>
      <c r="H43" s="204" t="str">
        <f>_xlfn.CONCAT(E43, " # ", F43)</f>
        <v>567 # xyz</v>
      </c>
      <c r="I43" s="91"/>
    </row>
    <row r="44" spans="2:9" x14ac:dyDescent="0.3">
      <c r="B44" s="91"/>
      <c r="C44" s="91"/>
      <c r="D44" s="91"/>
      <c r="E44" s="91"/>
      <c r="F44" s="91"/>
      <c r="G44" s="200"/>
      <c r="H44" s="200"/>
      <c r="I44" s="91"/>
    </row>
    <row r="45" spans="2:9" x14ac:dyDescent="0.3">
      <c r="G45" s="199"/>
      <c r="H45" s="199"/>
    </row>
  </sheetData>
  <mergeCells count="2">
    <mergeCell ref="H18:H23"/>
    <mergeCell ref="F30:F36"/>
  </mergeCells>
  <pageMargins left="0.7" right="0.7" top="0.75" bottom="0.75" header="0.3" footer="0.3"/>
  <ignoredErrors>
    <ignoredError sqref="D15:D23 H40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643-E41D-4F96-91B2-C8E3FC04E98D}">
  <dimension ref="B1:M77"/>
  <sheetViews>
    <sheetView topLeftCell="A47" zoomScaleNormal="100" workbookViewId="0">
      <selection activeCell="E61" sqref="E61"/>
    </sheetView>
  </sheetViews>
  <sheetFormatPr defaultColWidth="17.33203125" defaultRowHeight="15.6" x14ac:dyDescent="0.3"/>
  <cols>
    <col min="1" max="1" width="13.77734375" style="145" customWidth="1"/>
    <col min="2" max="2" width="20.21875" style="145" customWidth="1"/>
    <col min="3" max="3" width="30.33203125" style="145" customWidth="1"/>
    <col min="4" max="8" width="17.33203125" style="145"/>
    <col min="9" max="9" width="20" style="145" customWidth="1"/>
    <col min="10" max="10" width="19.6640625" style="145" customWidth="1"/>
    <col min="11" max="16384" width="17.33203125" style="145"/>
  </cols>
  <sheetData>
    <row r="1" spans="2:13" x14ac:dyDescent="0.3">
      <c r="C1" s="100"/>
      <c r="D1" s="100"/>
      <c r="E1" s="100"/>
      <c r="F1" s="100"/>
      <c r="G1" s="100"/>
      <c r="H1" s="100"/>
      <c r="I1" s="100"/>
      <c r="J1" s="100"/>
    </row>
    <row r="2" spans="2:13" ht="16.2" x14ac:dyDescent="0.3">
      <c r="B2" s="100"/>
      <c r="C2" s="100"/>
      <c r="D2" s="100"/>
      <c r="E2" s="99"/>
      <c r="F2" s="99"/>
      <c r="G2" s="99"/>
      <c r="H2" s="99"/>
      <c r="I2" s="100"/>
      <c r="J2" s="100"/>
      <c r="K2" s="100"/>
      <c r="L2" s="100"/>
      <c r="M2" s="100"/>
    </row>
    <row r="3" spans="2:13" ht="18" x14ac:dyDescent="0.3">
      <c r="B3" s="108" t="s">
        <v>170</v>
      </c>
      <c r="C3" s="191">
        <v>2025</v>
      </c>
      <c r="D3" s="191" t="s">
        <v>173</v>
      </c>
      <c r="E3" s="111"/>
      <c r="F3" s="112"/>
      <c r="G3" s="113"/>
      <c r="H3" s="100"/>
      <c r="I3" s="100"/>
      <c r="J3" s="100"/>
      <c r="K3" s="100"/>
      <c r="L3" s="100"/>
      <c r="M3" s="100"/>
    </row>
    <row r="4" spans="2:13" ht="18" x14ac:dyDescent="0.3">
      <c r="B4" s="109" t="s">
        <v>171</v>
      </c>
      <c r="C4" s="191">
        <v>8</v>
      </c>
      <c r="D4" s="191" t="s">
        <v>46</v>
      </c>
      <c r="E4" s="114" t="s">
        <v>175</v>
      </c>
      <c r="F4" s="104" t="s">
        <v>176</v>
      </c>
      <c r="G4" s="115" t="s">
        <v>171</v>
      </c>
      <c r="H4" s="115" t="s">
        <v>172</v>
      </c>
      <c r="I4" s="115" t="s">
        <v>177</v>
      </c>
      <c r="J4" s="100"/>
      <c r="K4" s="100"/>
      <c r="L4" s="100"/>
      <c r="M4" s="100"/>
    </row>
    <row r="5" spans="2:13" ht="18" x14ac:dyDescent="0.3">
      <c r="B5" s="110" t="s">
        <v>172</v>
      </c>
      <c r="C5" s="191">
        <v>13</v>
      </c>
      <c r="D5" s="191" t="s">
        <v>37</v>
      </c>
      <c r="E5" s="116">
        <v>46228</v>
      </c>
      <c r="F5" s="117">
        <v>0.78402777777777777</v>
      </c>
      <c r="G5" s="118">
        <f ca="1">TODAY()</f>
        <v>46229</v>
      </c>
      <c r="H5" s="119">
        <f ca="1">NOW()</f>
        <v>46229.835446296296</v>
      </c>
      <c r="I5" s="118">
        <f>DATE(C3, C4, C5)</f>
        <v>45882</v>
      </c>
      <c r="J5" s="100"/>
      <c r="K5" s="100"/>
      <c r="L5" s="100"/>
      <c r="M5" s="100"/>
    </row>
    <row r="6" spans="2:13" x14ac:dyDescent="0.3">
      <c r="B6" s="110" t="s">
        <v>174</v>
      </c>
      <c r="C6" s="100"/>
      <c r="D6" s="100"/>
      <c r="E6" s="100"/>
      <c r="F6" s="100"/>
      <c r="G6" s="100"/>
      <c r="H6" s="100"/>
      <c r="I6" s="141"/>
      <c r="J6" s="100"/>
      <c r="K6" s="100"/>
      <c r="L6" s="100"/>
      <c r="M6" s="100"/>
    </row>
    <row r="7" spans="2:13" ht="16.2" x14ac:dyDescent="0.3">
      <c r="B7" s="110" t="s">
        <v>178</v>
      </c>
      <c r="C7" s="100"/>
      <c r="D7" s="100"/>
      <c r="E7" s="100"/>
      <c r="F7" s="100"/>
      <c r="G7" s="100"/>
      <c r="H7" s="97" t="s">
        <v>181</v>
      </c>
      <c r="I7" s="97">
        <f>DAY(I5)</f>
        <v>13</v>
      </c>
      <c r="J7" s="100"/>
      <c r="K7" s="100"/>
      <c r="L7" s="100"/>
      <c r="M7" s="100"/>
    </row>
    <row r="8" spans="2:13" ht="16.2" x14ac:dyDescent="0.3">
      <c r="B8" s="109" t="s">
        <v>179</v>
      </c>
      <c r="C8" s="100"/>
      <c r="D8" s="100"/>
      <c r="E8" s="100"/>
      <c r="F8" s="100"/>
      <c r="G8" s="100"/>
      <c r="H8" s="97" t="s">
        <v>183</v>
      </c>
      <c r="I8" s="97">
        <f>MONTH(I5)</f>
        <v>8</v>
      </c>
      <c r="J8" s="100"/>
      <c r="K8" s="100"/>
      <c r="L8" s="100"/>
      <c r="M8" s="100"/>
    </row>
    <row r="9" spans="2:13" ht="31.2" x14ac:dyDescent="0.3">
      <c r="B9" s="109" t="s">
        <v>180</v>
      </c>
      <c r="C9" s="100"/>
      <c r="D9" s="100"/>
      <c r="E9" s="100"/>
      <c r="F9" s="100"/>
      <c r="G9" s="100"/>
      <c r="H9" s="97" t="s">
        <v>185</v>
      </c>
      <c r="I9" s="97">
        <f>YEAR(I5)</f>
        <v>2025</v>
      </c>
      <c r="J9" s="100"/>
      <c r="K9" s="100"/>
      <c r="L9" s="100"/>
      <c r="M9" s="100"/>
    </row>
    <row r="10" spans="2:13" x14ac:dyDescent="0.3">
      <c r="B10" s="109" t="s">
        <v>182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2:13" ht="32.4" x14ac:dyDescent="0.3">
      <c r="B11" s="109" t="s">
        <v>184</v>
      </c>
      <c r="C11" s="100"/>
      <c r="D11" s="100"/>
      <c r="E11" s="104" t="s">
        <v>188</v>
      </c>
      <c r="F11" s="104" t="s">
        <v>189</v>
      </c>
      <c r="G11" s="104" t="s">
        <v>190</v>
      </c>
      <c r="H11" s="105" t="s">
        <v>191</v>
      </c>
      <c r="I11" s="138" t="s">
        <v>266</v>
      </c>
      <c r="J11" s="100"/>
      <c r="K11" s="100"/>
      <c r="L11" s="100"/>
      <c r="M11" s="100"/>
    </row>
    <row r="12" spans="2:13" x14ac:dyDescent="0.3">
      <c r="B12" s="109" t="s">
        <v>186</v>
      </c>
      <c r="C12" s="100"/>
      <c r="D12" s="100"/>
      <c r="E12" s="120">
        <v>44927</v>
      </c>
      <c r="F12" s="120">
        <v>45240</v>
      </c>
      <c r="G12" s="121">
        <v>2</v>
      </c>
      <c r="H12" s="134">
        <v>2</v>
      </c>
      <c r="I12" s="132">
        <f>E12+H12</f>
        <v>44929</v>
      </c>
      <c r="J12" s="192">
        <f>E12+G12</f>
        <v>44929</v>
      </c>
      <c r="K12" s="100"/>
      <c r="L12" s="100"/>
      <c r="M12" s="100"/>
    </row>
    <row r="13" spans="2:13" ht="16.2" x14ac:dyDescent="0.3">
      <c r="B13" s="109" t="s">
        <v>187</v>
      </c>
      <c r="C13" s="98"/>
      <c r="D13" s="100"/>
      <c r="E13" s="120">
        <v>45507</v>
      </c>
      <c r="F13" s="120">
        <v>44908</v>
      </c>
      <c r="G13" s="101">
        <v>5</v>
      </c>
      <c r="H13" s="134">
        <v>5</v>
      </c>
      <c r="I13" s="132">
        <f>F13+H13</f>
        <v>44913</v>
      </c>
      <c r="J13" s="100"/>
      <c r="K13" s="100"/>
      <c r="L13" s="100"/>
      <c r="M13" s="100"/>
    </row>
    <row r="14" spans="2:13" ht="16.2" x14ac:dyDescent="0.3">
      <c r="B14" s="109" t="s">
        <v>192</v>
      </c>
      <c r="C14" s="111"/>
      <c r="D14" s="100"/>
      <c r="E14" s="120">
        <v>42257</v>
      </c>
      <c r="F14" s="120">
        <v>42298</v>
      </c>
      <c r="G14" s="104">
        <v>-5</v>
      </c>
      <c r="H14" s="105">
        <v>-5</v>
      </c>
      <c r="I14" s="132">
        <f>F14+H14</f>
        <v>42293</v>
      </c>
      <c r="J14" s="100"/>
      <c r="K14" s="100"/>
      <c r="L14" s="100"/>
      <c r="M14" s="100"/>
    </row>
    <row r="15" spans="2:13" ht="16.2" x14ac:dyDescent="0.3">
      <c r="B15" s="109" t="s">
        <v>193</v>
      </c>
      <c r="C15" s="99"/>
      <c r="D15" s="100"/>
      <c r="E15" s="120">
        <v>45782</v>
      </c>
      <c r="F15" s="120">
        <v>46757</v>
      </c>
      <c r="G15" s="104">
        <v>-12</v>
      </c>
      <c r="H15" s="105">
        <v>-12</v>
      </c>
      <c r="I15" s="132">
        <f>E15+H15</f>
        <v>45770</v>
      </c>
      <c r="J15" s="100"/>
      <c r="K15" s="100"/>
      <c r="L15" s="100"/>
      <c r="M15" s="100"/>
    </row>
    <row r="16" spans="2:13" x14ac:dyDescent="0.3">
      <c r="B16" s="109" t="s">
        <v>194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</row>
    <row r="17" spans="2:13" x14ac:dyDescent="0.3">
      <c r="B17" s="109" t="s">
        <v>195</v>
      </c>
      <c r="K17" s="100"/>
      <c r="L17" s="100"/>
      <c r="M17" s="100"/>
    </row>
    <row r="18" spans="2:13" x14ac:dyDescent="0.3">
      <c r="B18" s="109" t="s">
        <v>196</v>
      </c>
      <c r="K18" s="100"/>
      <c r="L18" s="100"/>
      <c r="M18" s="100"/>
    </row>
    <row r="19" spans="2:13" ht="16.2" thickBot="1" x14ac:dyDescent="0.35">
      <c r="B19" s="109" t="s">
        <v>197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2:13" ht="33" thickBot="1" x14ac:dyDescent="0.35">
      <c r="B20" s="100"/>
      <c r="C20" s="100"/>
      <c r="D20" s="100"/>
      <c r="E20" s="122" t="s">
        <v>193</v>
      </c>
      <c r="F20" s="123" t="s">
        <v>267</v>
      </c>
      <c r="G20" s="124" t="s">
        <v>199</v>
      </c>
      <c r="H20" s="125" t="s">
        <v>200</v>
      </c>
      <c r="I20" s="126"/>
      <c r="J20" s="100"/>
      <c r="K20" s="100"/>
      <c r="L20" s="100"/>
      <c r="M20" s="100"/>
    </row>
    <row r="21" spans="2:13" x14ac:dyDescent="0.3">
      <c r="B21" s="100"/>
      <c r="C21" s="111"/>
      <c r="D21" s="221" t="s">
        <v>201</v>
      </c>
      <c r="E21" s="118">
        <f>E12+H12</f>
        <v>44929</v>
      </c>
      <c r="F21" s="118">
        <f>EDATE(E21, G12)</f>
        <v>44988</v>
      </c>
      <c r="G21" s="102">
        <v>44988</v>
      </c>
      <c r="H21" s="127">
        <v>44988</v>
      </c>
      <c r="I21" s="224" t="s">
        <v>202</v>
      </c>
      <c r="J21" s="100"/>
      <c r="K21" s="100"/>
      <c r="L21" s="100"/>
      <c r="M21" s="100"/>
    </row>
    <row r="22" spans="2:13" x14ac:dyDescent="0.3">
      <c r="B22" s="100"/>
      <c r="C22" s="111"/>
      <c r="D22" s="222"/>
      <c r="E22" s="118">
        <f>E13+H13</f>
        <v>45512</v>
      </c>
      <c r="F22" s="118">
        <f t="shared" ref="F22:F24" si="0">EDATE(E22, G13)</f>
        <v>45665</v>
      </c>
      <c r="G22" s="102">
        <v>45665</v>
      </c>
      <c r="H22" s="127">
        <v>45665</v>
      </c>
      <c r="I22" s="225"/>
      <c r="J22" s="100"/>
      <c r="K22" s="100"/>
      <c r="L22" s="100"/>
      <c r="M22" s="100"/>
    </row>
    <row r="23" spans="2:13" x14ac:dyDescent="0.3">
      <c r="B23" s="100"/>
      <c r="C23" s="111"/>
      <c r="D23" s="222"/>
      <c r="E23" s="118">
        <f>E14+H14</f>
        <v>42252</v>
      </c>
      <c r="F23" s="118">
        <f t="shared" si="0"/>
        <v>42099</v>
      </c>
      <c r="G23" s="102">
        <v>42099</v>
      </c>
      <c r="H23" s="127">
        <v>42099</v>
      </c>
      <c r="I23" s="225"/>
      <c r="J23" s="100"/>
      <c r="K23" s="100"/>
      <c r="L23" s="100"/>
      <c r="M23" s="100"/>
    </row>
    <row r="24" spans="2:13" ht="16.2" thickBot="1" x14ac:dyDescent="0.35">
      <c r="B24" s="100"/>
      <c r="C24" s="111"/>
      <c r="D24" s="223"/>
      <c r="E24" s="118">
        <f>E15+H15</f>
        <v>45770</v>
      </c>
      <c r="F24" s="118">
        <f t="shared" si="0"/>
        <v>45405</v>
      </c>
      <c r="G24" s="102">
        <v>45405</v>
      </c>
      <c r="H24" s="127">
        <v>45405</v>
      </c>
      <c r="I24" s="226"/>
      <c r="J24" s="100"/>
      <c r="K24" s="100"/>
      <c r="L24" s="100"/>
      <c r="M24" s="100"/>
    </row>
    <row r="25" spans="2:13" x14ac:dyDescent="0.3">
      <c r="B25" s="100"/>
      <c r="C25" s="100"/>
      <c r="D25" s="100"/>
      <c r="E25" s="100"/>
      <c r="F25" s="100"/>
      <c r="G25" s="128"/>
      <c r="H25" s="100"/>
      <c r="I25" s="100"/>
      <c r="J25" s="100"/>
      <c r="K25" s="100"/>
      <c r="L25" s="100"/>
      <c r="M25" s="100"/>
    </row>
    <row r="26" spans="2:13" x14ac:dyDescent="0.3">
      <c r="B26" s="100"/>
      <c r="C26" s="227" t="s">
        <v>203</v>
      </c>
      <c r="D26" s="228" t="s">
        <v>204</v>
      </c>
      <c r="E26" s="102">
        <f>EOMONTH(G21, G12)</f>
        <v>45077</v>
      </c>
      <c r="F26" s="100"/>
      <c r="G26" s="100"/>
      <c r="H26" s="100"/>
      <c r="I26" s="100"/>
      <c r="J26" s="100"/>
      <c r="K26" s="100"/>
      <c r="L26" s="100"/>
      <c r="M26" s="100"/>
    </row>
    <row r="27" spans="2:13" x14ac:dyDescent="0.3">
      <c r="B27" s="100"/>
      <c r="C27" s="227"/>
      <c r="D27" s="229"/>
      <c r="E27" s="102">
        <f t="shared" ref="E27:E29" si="1">EOMONTH(G22, G13)</f>
        <v>45838</v>
      </c>
      <c r="F27" s="100"/>
      <c r="G27" s="118">
        <v>43836</v>
      </c>
      <c r="H27" s="100"/>
      <c r="I27" s="100"/>
      <c r="J27" s="100"/>
      <c r="K27" s="100"/>
      <c r="L27" s="100"/>
      <c r="M27" s="100"/>
    </row>
    <row r="28" spans="2:13" x14ac:dyDescent="0.3">
      <c r="B28" s="100"/>
      <c r="C28" s="227"/>
      <c r="D28" s="229"/>
      <c r="E28" s="102">
        <f t="shared" si="1"/>
        <v>41973</v>
      </c>
      <c r="F28" s="100"/>
      <c r="G28" s="100"/>
      <c r="H28" s="100"/>
      <c r="I28" s="100"/>
      <c r="J28" s="100"/>
      <c r="K28" s="100"/>
      <c r="L28" s="100"/>
      <c r="M28" s="100"/>
    </row>
    <row r="29" spans="2:13" x14ac:dyDescent="0.3">
      <c r="B29" s="100"/>
      <c r="C29" s="227"/>
      <c r="D29" s="230"/>
      <c r="E29" s="102">
        <f t="shared" si="1"/>
        <v>45046</v>
      </c>
      <c r="F29" s="100"/>
      <c r="G29" s="100"/>
      <c r="H29" s="100"/>
      <c r="I29" s="100"/>
      <c r="J29" s="100"/>
      <c r="K29" s="100"/>
      <c r="L29" s="100"/>
      <c r="M29" s="100"/>
    </row>
    <row r="30" spans="2:13" x14ac:dyDescent="0.3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</row>
    <row r="31" spans="2:13" x14ac:dyDescent="0.3">
      <c r="B31" s="100"/>
      <c r="C31" s="227" t="s">
        <v>205</v>
      </c>
      <c r="D31" s="231" t="s">
        <v>187</v>
      </c>
      <c r="E31" s="129">
        <f>WEEKDAY(F31,2)</f>
        <v>5</v>
      </c>
      <c r="F31" s="102">
        <v>44988</v>
      </c>
      <c r="G31" s="127">
        <v>44988</v>
      </c>
      <c r="H31" s="100"/>
      <c r="I31" s="100"/>
      <c r="J31" s="100"/>
      <c r="K31" s="100"/>
      <c r="L31" s="100"/>
      <c r="M31" s="100"/>
    </row>
    <row r="32" spans="2:13" x14ac:dyDescent="0.3">
      <c r="B32" s="100"/>
      <c r="C32" s="227"/>
      <c r="D32" s="232"/>
      <c r="E32" s="129">
        <f t="shared" ref="E32:E34" si="2">WEEKDAY(F32,2)</f>
        <v>3</v>
      </c>
      <c r="F32" s="102">
        <v>45665</v>
      </c>
      <c r="G32" s="127">
        <v>45665</v>
      </c>
      <c r="H32" s="100"/>
      <c r="I32" s="100"/>
      <c r="J32" s="100"/>
      <c r="K32" s="100"/>
      <c r="L32" s="100"/>
      <c r="M32" s="100"/>
    </row>
    <row r="33" spans="2:13" x14ac:dyDescent="0.3">
      <c r="B33" s="100"/>
      <c r="C33" s="227"/>
      <c r="D33" s="232"/>
      <c r="E33" s="129">
        <f t="shared" si="2"/>
        <v>7</v>
      </c>
      <c r="F33" s="102">
        <v>42099</v>
      </c>
      <c r="G33" s="127">
        <v>42099</v>
      </c>
      <c r="H33" s="100"/>
      <c r="I33" s="100"/>
      <c r="J33" s="100"/>
      <c r="K33" s="100"/>
      <c r="L33" s="100"/>
      <c r="M33" s="100"/>
    </row>
    <row r="34" spans="2:13" x14ac:dyDescent="0.3">
      <c r="B34" s="100"/>
      <c r="C34" s="227"/>
      <c r="D34" s="233"/>
      <c r="E34" s="129">
        <f t="shared" si="2"/>
        <v>2</v>
      </c>
      <c r="F34" s="102">
        <v>45405</v>
      </c>
      <c r="G34" s="127">
        <v>45405</v>
      </c>
      <c r="H34" s="100"/>
      <c r="I34" s="100"/>
      <c r="J34" s="100"/>
      <c r="K34" s="100"/>
      <c r="L34" s="100"/>
      <c r="M34" s="100"/>
    </row>
    <row r="35" spans="2:13" x14ac:dyDescent="0.3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</row>
    <row r="36" spans="2:13" x14ac:dyDescent="0.3">
      <c r="B36" s="100"/>
      <c r="C36" s="227" t="s">
        <v>206</v>
      </c>
      <c r="D36" s="231" t="s">
        <v>192</v>
      </c>
      <c r="E36" s="129">
        <f>WEEKNUM(F36,11)</f>
        <v>10</v>
      </c>
      <c r="F36" s="102">
        <v>44988</v>
      </c>
      <c r="G36" s="100"/>
      <c r="H36" s="100"/>
      <c r="I36" s="100"/>
      <c r="J36" s="100"/>
      <c r="K36" s="100"/>
      <c r="L36" s="100"/>
      <c r="M36" s="100"/>
    </row>
    <row r="37" spans="2:13" x14ac:dyDescent="0.3">
      <c r="B37" s="100"/>
      <c r="C37" s="227"/>
      <c r="D37" s="232"/>
      <c r="E37" s="129">
        <f t="shared" ref="E37:E39" si="3">WEEKNUM(F37,11)</f>
        <v>2</v>
      </c>
      <c r="F37" s="102">
        <v>45665</v>
      </c>
      <c r="G37" s="100"/>
      <c r="H37" s="100"/>
      <c r="I37" s="100"/>
      <c r="J37" s="100"/>
      <c r="K37" s="100"/>
      <c r="L37" s="100"/>
      <c r="M37" s="100"/>
    </row>
    <row r="38" spans="2:13" x14ac:dyDescent="0.3">
      <c r="B38" s="100"/>
      <c r="C38" s="227"/>
      <c r="D38" s="232"/>
      <c r="E38" s="129">
        <f t="shared" si="3"/>
        <v>14</v>
      </c>
      <c r="F38" s="102">
        <v>42099</v>
      </c>
      <c r="G38" s="100"/>
      <c r="H38" s="100"/>
      <c r="I38" s="100"/>
      <c r="J38" s="100"/>
      <c r="K38" s="100"/>
      <c r="L38" s="100"/>
      <c r="M38" s="100"/>
    </row>
    <row r="39" spans="2:13" x14ac:dyDescent="0.3">
      <c r="B39" s="100"/>
      <c r="C39" s="227"/>
      <c r="D39" s="233"/>
      <c r="E39" s="129">
        <f t="shared" si="3"/>
        <v>34</v>
      </c>
      <c r="F39" s="102">
        <v>45527</v>
      </c>
      <c r="G39" s="100"/>
      <c r="H39" s="100"/>
      <c r="I39" s="100"/>
      <c r="J39" s="100"/>
      <c r="K39" s="100"/>
      <c r="L39" s="100"/>
      <c r="M39" s="100"/>
    </row>
    <row r="40" spans="2:13" x14ac:dyDescent="0.3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2:13" ht="32.4" x14ac:dyDescent="0.3">
      <c r="B41" s="100"/>
      <c r="C41" s="100"/>
      <c r="D41" s="141"/>
      <c r="E41" s="130" t="s">
        <v>207</v>
      </c>
      <c r="F41" s="130" t="s">
        <v>188</v>
      </c>
      <c r="G41" s="130" t="s">
        <v>189</v>
      </c>
      <c r="H41" s="130" t="s">
        <v>208</v>
      </c>
      <c r="I41" s="130" t="s">
        <v>209</v>
      </c>
      <c r="J41" s="100"/>
      <c r="K41" s="100"/>
      <c r="L41" s="100"/>
      <c r="M41" s="100"/>
    </row>
    <row r="42" spans="2:13" x14ac:dyDescent="0.3">
      <c r="B42" s="100"/>
      <c r="C42" s="100"/>
      <c r="D42" s="237" t="s">
        <v>191</v>
      </c>
      <c r="E42" s="131">
        <f>DATEDIF(F42, G42, "M")</f>
        <v>10</v>
      </c>
      <c r="F42" s="118">
        <v>44927</v>
      </c>
      <c r="G42" s="118">
        <v>45240</v>
      </c>
      <c r="H42" s="131">
        <f>DATEDIF(F42, G42, "D")</f>
        <v>313</v>
      </c>
      <c r="I42" s="131">
        <f>DATEDIF(F42, G42, "Y")</f>
        <v>0</v>
      </c>
      <c r="J42" s="100"/>
      <c r="K42" s="100"/>
      <c r="L42" s="100"/>
      <c r="M42" s="100"/>
    </row>
    <row r="43" spans="2:13" x14ac:dyDescent="0.3">
      <c r="B43" s="100"/>
      <c r="C43" s="100"/>
      <c r="D43" s="238"/>
      <c r="E43" s="131">
        <f t="shared" ref="E43:E45" si="4">DATEDIF(F43, G43, "M")</f>
        <v>28</v>
      </c>
      <c r="F43" s="118">
        <v>44776</v>
      </c>
      <c r="G43" s="118">
        <v>45639</v>
      </c>
      <c r="H43" s="131">
        <f t="shared" ref="H43:H45" si="5">DATEDIF(F43, G43, "D")</f>
        <v>863</v>
      </c>
      <c r="I43" s="131">
        <f t="shared" ref="I43:I45" si="6">DATEDIF(F43, G43, "Y")</f>
        <v>2</v>
      </c>
      <c r="J43" s="100"/>
      <c r="K43" s="100"/>
      <c r="L43" s="100"/>
      <c r="M43" s="100"/>
    </row>
    <row r="44" spans="2:13" x14ac:dyDescent="0.3">
      <c r="B44" s="100"/>
      <c r="C44" s="100"/>
      <c r="D44" s="238"/>
      <c r="E44" s="131">
        <f t="shared" si="4"/>
        <v>10</v>
      </c>
      <c r="F44" s="118">
        <v>42348</v>
      </c>
      <c r="G44" s="118">
        <v>42664</v>
      </c>
      <c r="H44" s="131">
        <f t="shared" si="5"/>
        <v>316</v>
      </c>
      <c r="I44" s="131">
        <f t="shared" si="6"/>
        <v>0</v>
      </c>
      <c r="J44" s="100"/>
      <c r="K44" s="100"/>
      <c r="L44" s="100"/>
      <c r="M44" s="100"/>
    </row>
    <row r="45" spans="2:13" x14ac:dyDescent="0.3">
      <c r="B45" s="100"/>
      <c r="C45" s="100"/>
      <c r="D45" s="239"/>
      <c r="E45" s="131">
        <f t="shared" si="4"/>
        <v>44</v>
      </c>
      <c r="F45" s="118">
        <v>45417</v>
      </c>
      <c r="G45" s="118">
        <v>46757</v>
      </c>
      <c r="H45" s="131">
        <f t="shared" si="5"/>
        <v>1340</v>
      </c>
      <c r="I45" s="131">
        <f t="shared" si="6"/>
        <v>3</v>
      </c>
      <c r="J45" s="100"/>
      <c r="K45" s="100"/>
      <c r="L45" s="100"/>
      <c r="M45" s="100"/>
    </row>
    <row r="46" spans="2:13" x14ac:dyDescent="0.3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2:13" ht="16.2" x14ac:dyDescent="0.3">
      <c r="B47" s="100"/>
      <c r="C47" s="100"/>
      <c r="D47" s="133" t="s">
        <v>210</v>
      </c>
      <c r="E47" s="105" t="s">
        <v>211</v>
      </c>
      <c r="F47" s="193">
        <f ca="1">DATEDIF($D$48, $I$48, "Y" )</f>
        <v>34</v>
      </c>
      <c r="G47" s="240" t="s">
        <v>212</v>
      </c>
      <c r="H47" s="100"/>
      <c r="I47" s="100"/>
      <c r="J47" s="100"/>
      <c r="K47" s="100"/>
      <c r="L47" s="100"/>
      <c r="M47" s="100"/>
    </row>
    <row r="48" spans="2:13" ht="16.2" x14ac:dyDescent="0.3">
      <c r="B48" s="100"/>
      <c r="C48" s="100"/>
      <c r="D48" s="136">
        <v>33463</v>
      </c>
      <c r="E48" s="105" t="s">
        <v>198</v>
      </c>
      <c r="F48" s="193">
        <f ca="1">DATEDIF($D$48, $I$48, "M" )</f>
        <v>419</v>
      </c>
      <c r="G48" s="240"/>
      <c r="H48" s="135" t="s">
        <v>213</v>
      </c>
      <c r="I48" s="137">
        <f ca="1">TODAY()</f>
        <v>46229</v>
      </c>
      <c r="J48" s="100"/>
      <c r="K48" s="100"/>
      <c r="L48" s="100"/>
      <c r="M48" s="100"/>
    </row>
    <row r="49" spans="2:13" ht="16.2" x14ac:dyDescent="0.3">
      <c r="B49" s="100"/>
      <c r="C49" s="100"/>
      <c r="D49" s="100"/>
      <c r="E49" s="105" t="s">
        <v>193</v>
      </c>
      <c r="F49" s="193">
        <f ca="1">DATEDIF($D$48, $I$48, "D" )</f>
        <v>12766</v>
      </c>
      <c r="G49" s="240"/>
      <c r="H49" s="100"/>
      <c r="I49" s="100"/>
      <c r="J49" s="100"/>
      <c r="K49" s="100"/>
      <c r="L49" s="100"/>
      <c r="M49" s="100"/>
    </row>
    <row r="50" spans="2:13" x14ac:dyDescent="0.3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</row>
    <row r="51" spans="2:13" x14ac:dyDescent="0.3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2:13" x14ac:dyDescent="0.3">
      <c r="B52" s="241" t="s">
        <v>214</v>
      </c>
      <c r="C52" s="242"/>
      <c r="D52" s="242"/>
      <c r="E52" s="242"/>
      <c r="F52" s="242"/>
      <c r="G52" s="242"/>
      <c r="H52" s="242"/>
      <c r="I52" s="243" t="s">
        <v>215</v>
      </c>
      <c r="J52" s="100"/>
      <c r="K52" s="100"/>
      <c r="L52" s="100"/>
      <c r="M52" s="100"/>
    </row>
    <row r="53" spans="2:13" x14ac:dyDescent="0.3">
      <c r="B53" s="101" t="s">
        <v>188</v>
      </c>
      <c r="C53" s="102">
        <v>43832</v>
      </c>
      <c r="D53" s="102">
        <v>43832</v>
      </c>
      <c r="E53" s="102">
        <v>43832</v>
      </c>
      <c r="F53" s="102">
        <v>43832</v>
      </c>
      <c r="G53" s="102">
        <v>43832</v>
      </c>
      <c r="H53" s="103">
        <v>43832</v>
      </c>
      <c r="I53" s="243"/>
      <c r="J53" s="100"/>
      <c r="K53" s="100"/>
      <c r="L53" s="100"/>
      <c r="M53" s="100"/>
    </row>
    <row r="54" spans="2:13" x14ac:dyDescent="0.3">
      <c r="B54" s="101" t="s">
        <v>189</v>
      </c>
      <c r="C54" s="102">
        <v>44531</v>
      </c>
      <c r="D54" s="102">
        <v>44531</v>
      </c>
      <c r="E54" s="102">
        <v>44531</v>
      </c>
      <c r="F54" s="102">
        <v>44531</v>
      </c>
      <c r="G54" s="102">
        <v>44531</v>
      </c>
      <c r="H54" s="103">
        <v>44531</v>
      </c>
      <c r="I54" s="243"/>
      <c r="J54" s="100"/>
      <c r="K54" s="100"/>
      <c r="L54" s="100"/>
      <c r="M54" s="100"/>
    </row>
    <row r="55" spans="2:13" ht="16.2" x14ac:dyDescent="0.3">
      <c r="B55" s="101" t="s">
        <v>216</v>
      </c>
      <c r="C55" s="104" t="s">
        <v>173</v>
      </c>
      <c r="D55" s="104" t="s">
        <v>46</v>
      </c>
      <c r="E55" s="104" t="s">
        <v>37</v>
      </c>
      <c r="F55" s="104" t="s">
        <v>217</v>
      </c>
      <c r="G55" s="104" t="s">
        <v>218</v>
      </c>
      <c r="H55" s="105" t="s">
        <v>219</v>
      </c>
      <c r="I55" s="243"/>
      <c r="J55" s="100"/>
      <c r="K55" s="100"/>
      <c r="L55" s="100"/>
      <c r="M55" s="100"/>
    </row>
    <row r="56" spans="2:13" ht="16.2" x14ac:dyDescent="0.3">
      <c r="B56" s="104" t="s">
        <v>220</v>
      </c>
      <c r="C56" s="104">
        <f>DATEDIF(C53, C54, "Y")</f>
        <v>1</v>
      </c>
      <c r="D56" s="104">
        <f>DATEDIF(D53, D54, "M")</f>
        <v>22</v>
      </c>
      <c r="E56" s="104">
        <f>DATEDIF(E53, E54, "D")</f>
        <v>699</v>
      </c>
      <c r="F56" s="104">
        <f>DATEDIF(F53,  F54, "MD")</f>
        <v>29</v>
      </c>
      <c r="G56" s="104">
        <f>DATEDIF(G53,G54, "YM")</f>
        <v>10</v>
      </c>
      <c r="H56" s="105">
        <f>DATEDIF(H53, H54, "YD")</f>
        <v>334</v>
      </c>
      <c r="I56" s="243"/>
      <c r="J56" s="100"/>
      <c r="K56" s="100"/>
      <c r="L56" s="100"/>
      <c r="M56" s="100"/>
    </row>
    <row r="57" spans="2:13" x14ac:dyDescent="0.3"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</row>
    <row r="58" spans="2:13" ht="16.2" x14ac:dyDescent="0.3">
      <c r="B58" s="108" t="s">
        <v>173</v>
      </c>
      <c r="C58" s="108" t="s">
        <v>221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</row>
    <row r="59" spans="2:13" ht="37.799999999999997" thickBot="1" x14ac:dyDescent="0.35">
      <c r="B59" s="108" t="s">
        <v>46</v>
      </c>
      <c r="C59" s="108" t="s">
        <v>222</v>
      </c>
      <c r="D59" s="100"/>
      <c r="E59" s="262" t="s">
        <v>188</v>
      </c>
      <c r="F59" s="263" t="s">
        <v>189</v>
      </c>
      <c r="G59" s="264" t="s">
        <v>223</v>
      </c>
      <c r="H59" s="265" t="s">
        <v>224</v>
      </c>
      <c r="I59" s="100"/>
      <c r="J59" s="100"/>
      <c r="K59" s="100"/>
      <c r="L59" s="100"/>
      <c r="M59" s="100"/>
    </row>
    <row r="60" spans="2:13" ht="20.399999999999999" thickBot="1" x14ac:dyDescent="0.35">
      <c r="B60" s="108" t="s">
        <v>37</v>
      </c>
      <c r="C60" s="108" t="s">
        <v>225</v>
      </c>
      <c r="D60" s="100"/>
      <c r="E60" s="256">
        <v>44927</v>
      </c>
      <c r="F60" s="257">
        <v>45291</v>
      </c>
      <c r="G60" s="258">
        <f>NETWORKDAYS(E60, F60)</f>
        <v>260</v>
      </c>
      <c r="H60" s="259">
        <f>NETWORKDAYS(E60, F60, D67:D69)</f>
        <v>257</v>
      </c>
      <c r="I60" s="260" t="s">
        <v>196</v>
      </c>
      <c r="J60" s="100"/>
      <c r="K60" s="100"/>
      <c r="L60" s="100"/>
      <c r="M60" s="100"/>
    </row>
    <row r="61" spans="2:13" ht="48.6" x14ac:dyDescent="0.3">
      <c r="B61" s="108" t="s">
        <v>217</v>
      </c>
      <c r="C61" s="108" t="s">
        <v>226</v>
      </c>
      <c r="D61" s="100"/>
      <c r="E61" s="256">
        <v>45292</v>
      </c>
      <c r="F61" s="257">
        <v>45657</v>
      </c>
      <c r="G61" s="258">
        <f>NETWORKDAYS(E61, F61)</f>
        <v>262</v>
      </c>
      <c r="H61" s="259">
        <f>NETWORKDAYS(E61,F61,D70:D72)</f>
        <v>259</v>
      </c>
      <c r="I61" s="261"/>
      <c r="J61" s="106" t="s">
        <v>227</v>
      </c>
      <c r="K61" s="100"/>
      <c r="L61" s="100"/>
      <c r="M61" s="100"/>
    </row>
    <row r="62" spans="2:13" ht="48.6" x14ac:dyDescent="0.3">
      <c r="B62" s="108" t="s">
        <v>218</v>
      </c>
      <c r="C62" s="108" t="s">
        <v>228</v>
      </c>
      <c r="D62" s="100"/>
      <c r="E62" s="248">
        <v>42005</v>
      </c>
      <c r="F62" s="249">
        <v>42369</v>
      </c>
      <c r="G62" s="250">
        <f>NETWORKDAYS.INTL(E62, F62,1)</f>
        <v>261</v>
      </c>
      <c r="H62" s="251">
        <f>NETWORKDAYS.INTL(E62, F62, 1, G67:G69)</f>
        <v>259</v>
      </c>
      <c r="I62" s="252" t="s">
        <v>197</v>
      </c>
      <c r="J62" s="106">
        <f>NETWORKDAYS.INTL(E63, F63,11)</f>
        <v>313</v>
      </c>
      <c r="K62" s="100"/>
      <c r="L62" s="100"/>
      <c r="M62" s="100"/>
    </row>
    <row r="63" spans="2:13" ht="32.4" x14ac:dyDescent="0.3">
      <c r="B63" s="108" t="s">
        <v>219</v>
      </c>
      <c r="C63" s="108" t="s">
        <v>229</v>
      </c>
      <c r="D63" s="100"/>
      <c r="E63" s="253">
        <v>45658</v>
      </c>
      <c r="F63" s="254">
        <v>46022</v>
      </c>
      <c r="G63" s="250">
        <f>NETWORKDAYS.INTL(E63, F63,1)</f>
        <v>261</v>
      </c>
      <c r="H63" s="251">
        <f>NETWORKDAYS.INTL(E63, F63, 1, G70:G72)</f>
        <v>258</v>
      </c>
      <c r="I63" s="255"/>
      <c r="J63" s="100"/>
      <c r="K63" s="100"/>
      <c r="L63" s="100"/>
      <c r="M63" s="100"/>
    </row>
    <row r="64" spans="2:13" x14ac:dyDescent="0.3"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2:13" x14ac:dyDescent="0.3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 spans="2:13" ht="16.2" x14ac:dyDescent="0.3">
      <c r="B66" s="138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2:13" ht="31.2" x14ac:dyDescent="0.3">
      <c r="B67" s="244"/>
      <c r="C67" s="247" t="s">
        <v>270</v>
      </c>
      <c r="D67" s="245">
        <v>44952</v>
      </c>
      <c r="E67" s="142" t="s">
        <v>230</v>
      </c>
      <c r="F67" s="234" t="s">
        <v>231</v>
      </c>
      <c r="G67" s="143">
        <v>42052</v>
      </c>
      <c r="H67" s="144" t="s">
        <v>232</v>
      </c>
      <c r="I67" s="236" t="s">
        <v>233</v>
      </c>
      <c r="J67" s="100"/>
      <c r="K67" s="100"/>
      <c r="L67" s="100"/>
      <c r="M67" s="100"/>
    </row>
    <row r="68" spans="2:13" ht="31.2" x14ac:dyDescent="0.3">
      <c r="B68" s="244"/>
      <c r="C68" s="247"/>
      <c r="D68" s="246">
        <v>45153</v>
      </c>
      <c r="E68" s="101" t="s">
        <v>234</v>
      </c>
      <c r="F68" s="235"/>
      <c r="G68" s="139">
        <v>42189</v>
      </c>
      <c r="H68" s="140" t="s">
        <v>234</v>
      </c>
      <c r="I68" s="236"/>
      <c r="J68" s="100"/>
      <c r="K68" s="100"/>
      <c r="L68" s="100"/>
      <c r="M68" s="100"/>
    </row>
    <row r="69" spans="2:13" ht="16.2" x14ac:dyDescent="0.3">
      <c r="B69" s="244"/>
      <c r="C69" s="247"/>
      <c r="D69" s="245">
        <v>45201</v>
      </c>
      <c r="E69" s="142" t="s">
        <v>235</v>
      </c>
      <c r="F69" s="235"/>
      <c r="G69" s="143">
        <v>42248</v>
      </c>
      <c r="H69" s="144" t="s">
        <v>236</v>
      </c>
      <c r="I69" s="236"/>
      <c r="J69" s="100"/>
      <c r="K69" s="100"/>
      <c r="L69" s="100"/>
      <c r="M69" s="100"/>
    </row>
    <row r="70" spans="2:13" ht="31.2" x14ac:dyDescent="0.3">
      <c r="B70" s="100"/>
      <c r="C70" s="247"/>
      <c r="D70" s="245">
        <v>45317</v>
      </c>
      <c r="E70" s="142" t="s">
        <v>230</v>
      </c>
      <c r="F70" s="235"/>
      <c r="G70" s="143">
        <v>45705</v>
      </c>
      <c r="H70" s="144" t="s">
        <v>232</v>
      </c>
      <c r="I70" s="100"/>
      <c r="J70" s="100"/>
      <c r="K70" s="100"/>
      <c r="L70" s="100"/>
      <c r="M70" s="100"/>
    </row>
    <row r="71" spans="2:13" ht="31.2" x14ac:dyDescent="0.3">
      <c r="B71" s="100"/>
      <c r="C71" s="247"/>
      <c r="D71" s="246">
        <v>45519</v>
      </c>
      <c r="E71" s="101" t="s">
        <v>234</v>
      </c>
      <c r="F71" s="235"/>
      <c r="G71" s="139">
        <v>45842</v>
      </c>
      <c r="H71" s="140" t="s">
        <v>234</v>
      </c>
      <c r="I71" s="100"/>
      <c r="J71" s="100"/>
      <c r="K71" s="100"/>
      <c r="L71" s="100"/>
      <c r="M71" s="100"/>
    </row>
    <row r="72" spans="2:13" ht="15.6" customHeight="1" x14ac:dyDescent="0.3">
      <c r="B72" s="100"/>
      <c r="C72" s="247"/>
      <c r="D72" s="245">
        <v>45567</v>
      </c>
      <c r="E72" s="142" t="s">
        <v>235</v>
      </c>
      <c r="F72" s="235"/>
      <c r="G72" s="143">
        <v>45901</v>
      </c>
      <c r="H72" s="144" t="s">
        <v>236</v>
      </c>
      <c r="I72" s="100"/>
      <c r="J72" s="100"/>
      <c r="K72" s="100"/>
      <c r="L72" s="100"/>
      <c r="M72" s="100"/>
    </row>
    <row r="73" spans="2:13" ht="15.6" customHeight="1" x14ac:dyDescent="0.3">
      <c r="B73" s="100"/>
      <c r="C73" s="247"/>
      <c r="D73" s="245">
        <v>42030</v>
      </c>
      <c r="E73" s="142" t="s">
        <v>230</v>
      </c>
      <c r="F73" s="235"/>
      <c r="G73" s="100"/>
      <c r="H73" s="100"/>
      <c r="I73" s="100"/>
      <c r="J73" s="100"/>
      <c r="K73" s="100"/>
      <c r="L73" s="100"/>
      <c r="M73" s="100"/>
    </row>
    <row r="74" spans="2:13" ht="31.2" x14ac:dyDescent="0.3">
      <c r="B74" s="100"/>
      <c r="C74" s="247"/>
      <c r="D74" s="246">
        <v>42231</v>
      </c>
      <c r="E74" s="101" t="s">
        <v>234</v>
      </c>
      <c r="F74" s="235"/>
      <c r="G74" s="100"/>
      <c r="H74" s="100"/>
      <c r="I74" s="100"/>
      <c r="J74" s="100"/>
      <c r="K74" s="100"/>
      <c r="L74" s="100"/>
      <c r="M74" s="100"/>
    </row>
    <row r="75" spans="2:13" ht="15.6" customHeight="1" x14ac:dyDescent="0.3">
      <c r="B75" s="100"/>
      <c r="C75" s="247"/>
      <c r="D75" s="245">
        <v>42279</v>
      </c>
      <c r="E75" s="142" t="s">
        <v>235</v>
      </c>
      <c r="F75" s="235"/>
      <c r="G75" s="100"/>
      <c r="H75" s="100"/>
      <c r="I75" s="100"/>
      <c r="J75" s="100"/>
      <c r="K75" s="100"/>
      <c r="L75" s="100"/>
      <c r="M75" s="100"/>
    </row>
    <row r="76" spans="2:13" x14ac:dyDescent="0.3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</row>
    <row r="77" spans="2:13" x14ac:dyDescent="0.3"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</row>
  </sheetData>
  <mergeCells count="17">
    <mergeCell ref="I60:I61"/>
    <mergeCell ref="I62:I63"/>
    <mergeCell ref="F67:F75"/>
    <mergeCell ref="I67:I69"/>
    <mergeCell ref="C36:C39"/>
    <mergeCell ref="D36:D39"/>
    <mergeCell ref="D42:D45"/>
    <mergeCell ref="G47:G49"/>
    <mergeCell ref="B52:H52"/>
    <mergeCell ref="I52:I56"/>
    <mergeCell ref="C67:C75"/>
    <mergeCell ref="D21:D24"/>
    <mergeCell ref="I21:I24"/>
    <mergeCell ref="C26:C29"/>
    <mergeCell ref="D26:D29"/>
    <mergeCell ref="C31:C34"/>
    <mergeCell ref="D31:D34"/>
  </mergeCells>
  <pageMargins left="0.7" right="0.7" top="0.75" bottom="0.75" header="0.3" footer="0.3"/>
  <ignoredErrors>
    <ignoredError sqref="H60:H63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520-AD68-4F01-8ACF-48FDA2B3544F}">
  <dimension ref="A1:K60"/>
  <sheetViews>
    <sheetView tabSelected="1" topLeftCell="A2" workbookViewId="0">
      <selection activeCell="I11" sqref="I11:I13"/>
    </sheetView>
  </sheetViews>
  <sheetFormatPr defaultColWidth="8.6640625" defaultRowHeight="15.6" x14ac:dyDescent="0.3"/>
  <cols>
    <col min="1" max="1" width="8.6640625" style="107"/>
    <col min="2" max="2" width="15.88671875" style="107" customWidth="1"/>
    <col min="3" max="3" width="18.88671875" style="107" customWidth="1"/>
    <col min="4" max="4" width="25" style="107" customWidth="1"/>
    <col min="5" max="5" width="14.77734375" style="107" customWidth="1"/>
    <col min="6" max="6" width="30.5546875" style="107" customWidth="1"/>
    <col min="7" max="7" width="8.6640625" style="107"/>
    <col min="8" max="8" width="19.77734375" style="107" customWidth="1"/>
    <col min="9" max="9" width="19" style="107" customWidth="1"/>
    <col min="10" max="10" width="13.109375" style="107" bestFit="1" customWidth="1"/>
    <col min="11" max="11" width="8.6640625" style="107"/>
    <col min="12" max="12" width="14.109375" style="107" bestFit="1" customWidth="1"/>
    <col min="13" max="16384" width="8.6640625" style="107"/>
  </cols>
  <sheetData>
    <row r="1" spans="1:1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s="13" customFormat="1" ht="18" x14ac:dyDescent="0.35">
      <c r="A2" s="146"/>
      <c r="B2" s="147" t="s">
        <v>101</v>
      </c>
      <c r="C2" s="147" t="s">
        <v>237</v>
      </c>
      <c r="D2" s="147" t="s">
        <v>238</v>
      </c>
      <c r="E2" s="147" t="s">
        <v>239</v>
      </c>
      <c r="F2" s="30"/>
      <c r="G2" s="30"/>
      <c r="H2" s="30"/>
      <c r="I2" s="30"/>
      <c r="J2" s="30"/>
      <c r="K2" s="146"/>
    </row>
    <row r="3" spans="1:11" ht="18" x14ac:dyDescent="0.3">
      <c r="A3" s="148"/>
      <c r="B3" s="150">
        <v>1</v>
      </c>
      <c r="C3" s="151" t="s">
        <v>33</v>
      </c>
      <c r="D3" s="151">
        <v>200</v>
      </c>
      <c r="E3" s="266" t="str">
        <f>IF(D3&gt;=180,"Excellent","Good")</f>
        <v>Excellent</v>
      </c>
      <c r="F3" s="208" t="s">
        <v>240</v>
      </c>
      <c r="G3" s="149"/>
      <c r="H3" s="268" t="s">
        <v>241</v>
      </c>
      <c r="I3" s="266" t="str" cm="1">
        <f t="array" ref="I3">_xlfn.IFS(D3&lt;150, "POOR", D3&gt;=150, "Good")</f>
        <v>Good</v>
      </c>
      <c r="J3" s="267" t="s">
        <v>242</v>
      </c>
      <c r="K3" s="148"/>
    </row>
    <row r="4" spans="1:11" ht="18" x14ac:dyDescent="0.3">
      <c r="A4" s="148"/>
      <c r="B4" s="150">
        <v>2</v>
      </c>
      <c r="C4" s="151" t="s">
        <v>35</v>
      </c>
      <c r="D4" s="151">
        <v>180</v>
      </c>
      <c r="E4" s="266" t="str">
        <f t="shared" ref="E4:E35" si="0">IF(D4&gt;=180,"Excellent","Good")</f>
        <v>Excellent</v>
      </c>
      <c r="F4" s="209"/>
      <c r="G4" s="149"/>
      <c r="H4" s="268"/>
      <c r="I4" s="266" t="str" cm="1">
        <f t="array" ref="I4">_xlfn.IFS(D4&lt;150, "POOR", D4&gt;=150, "Good")</f>
        <v>Good</v>
      </c>
      <c r="J4" s="267"/>
      <c r="K4" s="148"/>
    </row>
    <row r="5" spans="1:11" ht="18" x14ac:dyDescent="0.3">
      <c r="A5" s="148"/>
      <c r="B5" s="150">
        <v>3</v>
      </c>
      <c r="C5" s="151" t="s">
        <v>36</v>
      </c>
      <c r="D5" s="151">
        <v>140</v>
      </c>
      <c r="E5" s="266" t="str">
        <f t="shared" si="0"/>
        <v>Good</v>
      </c>
      <c r="F5" s="209"/>
      <c r="G5" s="149"/>
      <c r="H5" s="268"/>
      <c r="I5" s="266" t="str" cm="1">
        <f t="array" ref="I5">_xlfn.IFS(D5&lt;150, "POOR", D5&gt;=150, "Good")</f>
        <v>POOR</v>
      </c>
      <c r="J5" s="267"/>
      <c r="K5" s="148"/>
    </row>
    <row r="6" spans="1:11" ht="24" x14ac:dyDescent="0.3">
      <c r="A6" s="148"/>
      <c r="B6" s="150">
        <v>4</v>
      </c>
      <c r="C6" s="152" t="s">
        <v>37</v>
      </c>
      <c r="D6" s="152">
        <v>120</v>
      </c>
      <c r="E6" s="266" t="str">
        <f t="shared" si="0"/>
        <v>Good</v>
      </c>
      <c r="F6" s="209"/>
      <c r="G6" s="149"/>
      <c r="H6" s="269"/>
      <c r="I6" s="266"/>
      <c r="J6" s="267"/>
      <c r="K6" s="148"/>
    </row>
    <row r="7" spans="1:11" ht="18" x14ac:dyDescent="0.3">
      <c r="A7" s="148"/>
      <c r="B7" s="150">
        <v>5</v>
      </c>
      <c r="C7" s="152" t="s">
        <v>38</v>
      </c>
      <c r="D7" s="152">
        <v>140</v>
      </c>
      <c r="E7" s="266" t="str">
        <f t="shared" si="0"/>
        <v>Good</v>
      </c>
      <c r="F7" s="209"/>
      <c r="G7" s="149"/>
      <c r="H7" s="270" t="s">
        <v>243</v>
      </c>
      <c r="I7" s="266" t="str" cm="1">
        <f t="array" ref="I7">_xlfn.IFS(D6&lt;100, "Very poor", D6&lt;=150, "Average", D6&gt;=150, "Good")</f>
        <v>Average</v>
      </c>
      <c r="J7" s="267"/>
      <c r="K7" s="148"/>
    </row>
    <row r="8" spans="1:11" ht="18" x14ac:dyDescent="0.3">
      <c r="A8" s="148"/>
      <c r="B8" s="150">
        <v>6</v>
      </c>
      <c r="C8" s="152" t="s">
        <v>39</v>
      </c>
      <c r="D8" s="152">
        <v>190</v>
      </c>
      <c r="E8" s="266" t="str">
        <f t="shared" si="0"/>
        <v>Excellent</v>
      </c>
      <c r="F8" s="209"/>
      <c r="G8" s="149"/>
      <c r="H8" s="270"/>
      <c r="I8" s="266" t="str" cm="1">
        <f t="array" ref="I8">_xlfn.IFS(D7&lt;100, "Very poor", D7&lt;=150, "Average", D7&gt;=150, "Good")</f>
        <v>Average</v>
      </c>
      <c r="J8" s="267"/>
      <c r="K8" s="148"/>
    </row>
    <row r="9" spans="1:11" ht="18" x14ac:dyDescent="0.3">
      <c r="A9" s="148"/>
      <c r="B9" s="150">
        <v>7</v>
      </c>
      <c r="C9" s="150" t="s">
        <v>40</v>
      </c>
      <c r="D9" s="150">
        <v>200</v>
      </c>
      <c r="E9" s="266" t="str">
        <f t="shared" si="0"/>
        <v>Excellent</v>
      </c>
      <c r="F9" s="209"/>
      <c r="G9" s="149"/>
      <c r="H9" s="270"/>
      <c r="I9" s="266" t="str" cm="1">
        <f t="array" ref="I9">_xlfn.IFS(D8&lt;100, "Very poor", D8&lt;=150, "Average", D8&gt;=150, "Good")</f>
        <v>Good</v>
      </c>
      <c r="J9" s="267"/>
      <c r="K9" s="148"/>
    </row>
    <row r="10" spans="1:11" ht="24" x14ac:dyDescent="0.35">
      <c r="A10" s="148"/>
      <c r="B10" s="150">
        <v>8</v>
      </c>
      <c r="C10" s="150" t="s">
        <v>41</v>
      </c>
      <c r="D10" s="150">
        <v>90</v>
      </c>
      <c r="E10" s="266" t="str">
        <f t="shared" si="0"/>
        <v>Good</v>
      </c>
      <c r="F10" s="209"/>
      <c r="G10" s="149"/>
      <c r="H10" s="269"/>
      <c r="I10" s="146"/>
      <c r="J10" s="267"/>
      <c r="K10" s="148"/>
    </row>
    <row r="11" spans="1:11" ht="18" x14ac:dyDescent="0.3">
      <c r="A11" s="148"/>
      <c r="B11" s="150">
        <v>9</v>
      </c>
      <c r="C11" s="150" t="s">
        <v>42</v>
      </c>
      <c r="D11" s="150">
        <v>150</v>
      </c>
      <c r="E11" s="266" t="str">
        <f t="shared" si="0"/>
        <v>Good</v>
      </c>
      <c r="F11" s="209"/>
      <c r="G11" s="153"/>
      <c r="H11" s="271" t="s">
        <v>244</v>
      </c>
      <c r="I11" s="266"/>
      <c r="J11" s="267"/>
      <c r="K11" s="148"/>
    </row>
    <row r="12" spans="1:11" ht="18" x14ac:dyDescent="0.3">
      <c r="A12" s="148"/>
      <c r="B12" s="150">
        <v>10</v>
      </c>
      <c r="C12" s="150" t="s">
        <v>43</v>
      </c>
      <c r="D12" s="150">
        <v>200</v>
      </c>
      <c r="E12" s="266" t="str">
        <f t="shared" si="0"/>
        <v>Excellent</v>
      </c>
      <c r="F12" s="209"/>
      <c r="G12" s="153"/>
      <c r="H12" s="271"/>
      <c r="I12" s="266"/>
      <c r="J12" s="267"/>
      <c r="K12" s="148"/>
    </row>
    <row r="13" spans="1:11" ht="18" x14ac:dyDescent="0.3">
      <c r="A13" s="148"/>
      <c r="B13" s="150">
        <v>11</v>
      </c>
      <c r="C13" s="150" t="s">
        <v>44</v>
      </c>
      <c r="D13" s="150">
        <v>170</v>
      </c>
      <c r="E13" s="266" t="str">
        <f t="shared" si="0"/>
        <v>Good</v>
      </c>
      <c r="F13" s="209"/>
      <c r="G13" s="153"/>
      <c r="H13" s="271"/>
      <c r="I13" s="266"/>
      <c r="J13" s="267"/>
      <c r="K13" s="148"/>
    </row>
    <row r="14" spans="1:11" ht="18.600000000000001" x14ac:dyDescent="0.3">
      <c r="A14" s="148"/>
      <c r="B14" s="150">
        <v>12</v>
      </c>
      <c r="C14" s="150" t="s">
        <v>45</v>
      </c>
      <c r="D14" s="150">
        <v>180</v>
      </c>
      <c r="E14" s="266" t="str">
        <f t="shared" si="0"/>
        <v>Excellent</v>
      </c>
      <c r="F14" s="209"/>
      <c r="G14" s="153"/>
      <c r="H14" s="211" t="s">
        <v>215</v>
      </c>
      <c r="I14" s="211"/>
      <c r="J14" s="149"/>
      <c r="K14" s="148"/>
    </row>
    <row r="15" spans="1:11" ht="18" x14ac:dyDescent="0.3">
      <c r="A15" s="148"/>
      <c r="B15" s="150">
        <v>13</v>
      </c>
      <c r="C15" s="150" t="s">
        <v>46</v>
      </c>
      <c r="D15" s="150">
        <v>190</v>
      </c>
      <c r="E15" s="266" t="str">
        <f t="shared" si="0"/>
        <v>Excellent</v>
      </c>
      <c r="F15" s="209"/>
      <c r="G15" s="149"/>
      <c r="H15" s="149"/>
      <c r="I15" s="149"/>
      <c r="J15" s="149"/>
      <c r="K15" s="148"/>
    </row>
    <row r="16" spans="1:11" ht="18" x14ac:dyDescent="0.3">
      <c r="A16" s="148"/>
      <c r="B16" s="150">
        <v>14</v>
      </c>
      <c r="C16" s="150" t="s">
        <v>34</v>
      </c>
      <c r="D16" s="150">
        <v>160</v>
      </c>
      <c r="E16" s="266" t="str">
        <f t="shared" si="0"/>
        <v>Good</v>
      </c>
      <c r="F16" s="209"/>
      <c r="G16" s="149"/>
      <c r="H16" s="149"/>
      <c r="I16" s="149"/>
      <c r="J16" s="149"/>
      <c r="K16" s="148"/>
    </row>
    <row r="17" spans="1:11" ht="18" x14ac:dyDescent="0.3">
      <c r="A17" s="148"/>
      <c r="B17" s="150">
        <v>15</v>
      </c>
      <c r="C17" s="150" t="s">
        <v>245</v>
      </c>
      <c r="D17" s="150">
        <v>100</v>
      </c>
      <c r="E17" s="266" t="str">
        <f t="shared" si="0"/>
        <v>Good</v>
      </c>
      <c r="F17" s="209"/>
      <c r="G17" s="149"/>
      <c r="H17" s="149"/>
      <c r="I17" s="149"/>
      <c r="J17" s="149"/>
      <c r="K17" s="148"/>
    </row>
    <row r="18" spans="1:11" ht="18" x14ac:dyDescent="0.3">
      <c r="A18" s="148"/>
      <c r="B18" s="150">
        <v>16</v>
      </c>
      <c r="C18" s="150" t="s">
        <v>246</v>
      </c>
      <c r="D18" s="150">
        <v>140</v>
      </c>
      <c r="E18" s="266" t="str">
        <f t="shared" si="0"/>
        <v>Good</v>
      </c>
      <c r="F18" s="209"/>
      <c r="G18" s="149"/>
      <c r="H18" s="149"/>
      <c r="I18" s="149"/>
      <c r="J18" s="149"/>
      <c r="K18" s="148"/>
    </row>
    <row r="19" spans="1:11" ht="18" x14ac:dyDescent="0.3">
      <c r="A19" s="148"/>
      <c r="B19" s="150">
        <v>17</v>
      </c>
      <c r="C19" s="150" t="s">
        <v>247</v>
      </c>
      <c r="D19" s="150">
        <v>130</v>
      </c>
      <c r="E19" s="266" t="str">
        <f t="shared" si="0"/>
        <v>Good</v>
      </c>
      <c r="F19" s="209"/>
      <c r="G19" s="149"/>
      <c r="H19" s="149"/>
      <c r="I19" s="149"/>
      <c r="J19" s="149"/>
      <c r="K19" s="148"/>
    </row>
    <row r="20" spans="1:11" ht="18" x14ac:dyDescent="0.3">
      <c r="A20" s="148"/>
      <c r="B20" s="150">
        <v>18</v>
      </c>
      <c r="C20" s="150" t="s">
        <v>248</v>
      </c>
      <c r="D20" s="150">
        <v>200</v>
      </c>
      <c r="E20" s="266" t="str">
        <f t="shared" si="0"/>
        <v>Excellent</v>
      </c>
      <c r="F20" s="209"/>
      <c r="G20" s="149"/>
      <c r="H20" s="149"/>
      <c r="I20" s="149"/>
      <c r="J20" s="149"/>
      <c r="K20" s="148"/>
    </row>
    <row r="21" spans="1:11" ht="18" x14ac:dyDescent="0.3">
      <c r="A21" s="148"/>
      <c r="B21" s="150">
        <v>19</v>
      </c>
      <c r="C21" s="150" t="s">
        <v>249</v>
      </c>
      <c r="D21" s="150">
        <v>150</v>
      </c>
      <c r="E21" s="266" t="str">
        <f t="shared" si="0"/>
        <v>Good</v>
      </c>
      <c r="F21" s="210"/>
      <c r="G21" s="149"/>
      <c r="H21" s="149"/>
      <c r="I21" s="149"/>
      <c r="J21" s="149"/>
      <c r="K21" s="148"/>
    </row>
    <row r="22" spans="1:11" ht="18" x14ac:dyDescent="0.3">
      <c r="A22" s="148"/>
      <c r="B22" s="150">
        <v>20</v>
      </c>
      <c r="C22" s="150" t="s">
        <v>250</v>
      </c>
      <c r="D22" s="150">
        <v>120</v>
      </c>
      <c r="E22" s="266" t="str">
        <f t="shared" si="0"/>
        <v>Good</v>
      </c>
      <c r="F22" s="207" t="s">
        <v>240</v>
      </c>
      <c r="G22" s="149"/>
      <c r="H22" s="149"/>
      <c r="I22" s="149"/>
      <c r="J22" s="149"/>
      <c r="K22" s="148"/>
    </row>
    <row r="23" spans="1:11" ht="18" x14ac:dyDescent="0.3">
      <c r="A23" s="148"/>
      <c r="B23" s="150">
        <v>21</v>
      </c>
      <c r="C23" s="150" t="s">
        <v>251</v>
      </c>
      <c r="D23" s="150">
        <v>140</v>
      </c>
      <c r="E23" s="266" t="str">
        <f t="shared" si="0"/>
        <v>Good</v>
      </c>
      <c r="F23" s="207"/>
      <c r="G23" s="149"/>
      <c r="H23" s="149"/>
      <c r="I23" s="149"/>
      <c r="J23" s="149"/>
      <c r="K23" s="148"/>
    </row>
    <row r="24" spans="1:11" ht="18" x14ac:dyDescent="0.3">
      <c r="A24" s="148"/>
      <c r="B24" s="150">
        <v>22</v>
      </c>
      <c r="C24" s="150" t="s">
        <v>252</v>
      </c>
      <c r="D24" s="150">
        <v>80</v>
      </c>
      <c r="E24" s="266" t="str">
        <f t="shared" si="0"/>
        <v>Good</v>
      </c>
      <c r="F24" s="207"/>
      <c r="G24" s="149"/>
      <c r="H24" s="149"/>
      <c r="I24" s="149"/>
      <c r="J24" s="149"/>
      <c r="K24" s="148"/>
    </row>
    <row r="25" spans="1:11" ht="18" x14ac:dyDescent="0.3">
      <c r="A25" s="148"/>
      <c r="B25" s="150">
        <v>23</v>
      </c>
      <c r="C25" s="150" t="s">
        <v>253</v>
      </c>
      <c r="D25" s="150">
        <v>130</v>
      </c>
      <c r="E25" s="266" t="str">
        <f t="shared" si="0"/>
        <v>Good</v>
      </c>
      <c r="F25" s="207"/>
      <c r="G25" s="149"/>
      <c r="H25" s="149"/>
      <c r="I25" s="149"/>
      <c r="J25" s="149"/>
      <c r="K25" s="148"/>
    </row>
    <row r="26" spans="1:11" ht="18" x14ac:dyDescent="0.3">
      <c r="A26" s="148"/>
      <c r="B26" s="150">
        <v>24</v>
      </c>
      <c r="C26" s="150" t="s">
        <v>254</v>
      </c>
      <c r="D26" s="150">
        <v>190</v>
      </c>
      <c r="E26" s="266" t="str">
        <f t="shared" si="0"/>
        <v>Excellent</v>
      </c>
      <c r="F26" s="207"/>
      <c r="G26" s="149"/>
      <c r="H26" s="149"/>
      <c r="I26" s="149"/>
      <c r="J26" s="149"/>
      <c r="K26" s="148"/>
    </row>
    <row r="27" spans="1:11" ht="18" x14ac:dyDescent="0.3">
      <c r="A27" s="148"/>
      <c r="B27" s="150">
        <v>25</v>
      </c>
      <c r="C27" s="150" t="s">
        <v>173</v>
      </c>
      <c r="D27" s="150">
        <v>190</v>
      </c>
      <c r="E27" s="266" t="str">
        <f t="shared" si="0"/>
        <v>Excellent</v>
      </c>
      <c r="F27" s="207"/>
      <c r="G27" s="149"/>
      <c r="H27" s="149"/>
      <c r="I27" s="149"/>
      <c r="J27" s="149"/>
      <c r="K27" s="148"/>
    </row>
    <row r="28" spans="1:11" ht="18" x14ac:dyDescent="0.3">
      <c r="A28" s="148"/>
      <c r="B28" s="150">
        <v>26</v>
      </c>
      <c r="C28" s="150" t="s">
        <v>255</v>
      </c>
      <c r="D28" s="150">
        <v>150</v>
      </c>
      <c r="E28" s="266" t="str">
        <f t="shared" si="0"/>
        <v>Good</v>
      </c>
      <c r="F28" s="207"/>
      <c r="G28" s="149"/>
      <c r="H28" s="149"/>
      <c r="I28" s="149"/>
      <c r="J28" s="149"/>
      <c r="K28" s="148"/>
    </row>
    <row r="29" spans="1:11" ht="18" x14ac:dyDescent="0.3">
      <c r="A29" s="148"/>
      <c r="B29" s="150">
        <v>27</v>
      </c>
      <c r="C29" s="150" t="s">
        <v>256</v>
      </c>
      <c r="D29" s="150">
        <v>200</v>
      </c>
      <c r="E29" s="266" t="str">
        <f t="shared" si="0"/>
        <v>Excellent</v>
      </c>
      <c r="F29" s="207"/>
      <c r="G29" s="149"/>
      <c r="H29" s="149"/>
      <c r="I29" s="149"/>
      <c r="J29" s="149"/>
      <c r="K29" s="148"/>
    </row>
    <row r="30" spans="1:11" ht="18" x14ac:dyDescent="0.3">
      <c r="A30" s="148"/>
      <c r="B30" s="150">
        <v>28</v>
      </c>
      <c r="C30" s="150" t="s">
        <v>257</v>
      </c>
      <c r="D30" s="150">
        <v>170</v>
      </c>
      <c r="E30" s="266" t="str">
        <f t="shared" si="0"/>
        <v>Good</v>
      </c>
      <c r="F30" s="207"/>
      <c r="G30" s="149"/>
      <c r="H30" s="149"/>
      <c r="I30" s="149"/>
      <c r="J30" s="149"/>
      <c r="K30" s="148"/>
    </row>
    <row r="31" spans="1:11" ht="18" x14ac:dyDescent="0.3">
      <c r="A31" s="148"/>
      <c r="B31" s="150">
        <v>29</v>
      </c>
      <c r="C31" s="150" t="s">
        <v>258</v>
      </c>
      <c r="D31" s="150">
        <v>180</v>
      </c>
      <c r="E31" s="266" t="str">
        <f t="shared" si="0"/>
        <v>Excellent</v>
      </c>
      <c r="F31" s="207"/>
      <c r="G31" s="149"/>
      <c r="H31" s="149"/>
      <c r="I31" s="149"/>
      <c r="J31" s="149"/>
      <c r="K31" s="148"/>
    </row>
    <row r="32" spans="1:11" ht="18" x14ac:dyDescent="0.3">
      <c r="A32" s="148"/>
      <c r="B32" s="150">
        <v>30</v>
      </c>
      <c r="C32" s="150" t="s">
        <v>259</v>
      </c>
      <c r="D32" s="150">
        <v>190</v>
      </c>
      <c r="E32" s="266" t="str">
        <f t="shared" si="0"/>
        <v>Excellent</v>
      </c>
      <c r="F32" s="207"/>
      <c r="G32" s="149"/>
      <c r="H32" s="149"/>
      <c r="I32" s="149"/>
      <c r="J32" s="149"/>
      <c r="K32" s="148"/>
    </row>
    <row r="33" spans="1:11" ht="18" x14ac:dyDescent="0.3">
      <c r="A33" s="148"/>
      <c r="B33" s="150">
        <v>31</v>
      </c>
      <c r="C33" s="150" t="s">
        <v>260</v>
      </c>
      <c r="D33" s="150">
        <v>160</v>
      </c>
      <c r="E33" s="266" t="str">
        <f t="shared" si="0"/>
        <v>Good</v>
      </c>
      <c r="F33" s="207"/>
      <c r="G33" s="149"/>
      <c r="H33" s="149"/>
      <c r="I33" s="149"/>
      <c r="J33" s="149"/>
      <c r="K33" s="148"/>
    </row>
    <row r="34" spans="1:11" ht="18" x14ac:dyDescent="0.3">
      <c r="A34" s="148"/>
      <c r="B34" s="150">
        <v>32</v>
      </c>
      <c r="C34" s="150" t="s">
        <v>261</v>
      </c>
      <c r="D34" s="150">
        <v>100</v>
      </c>
      <c r="E34" s="266" t="str">
        <f t="shared" si="0"/>
        <v>Good</v>
      </c>
      <c r="F34" s="207"/>
      <c r="G34" s="149"/>
      <c r="H34" s="149"/>
      <c r="I34" s="149"/>
      <c r="J34" s="149"/>
      <c r="K34" s="148"/>
    </row>
    <row r="35" spans="1:11" ht="18" x14ac:dyDescent="0.3">
      <c r="A35" s="148"/>
      <c r="B35" s="150">
        <v>33</v>
      </c>
      <c r="C35" s="150" t="s">
        <v>262</v>
      </c>
      <c r="D35" s="150">
        <v>140</v>
      </c>
      <c r="E35" s="266" t="str">
        <f t="shared" si="0"/>
        <v>Good</v>
      </c>
      <c r="F35" s="207"/>
      <c r="G35" s="149"/>
      <c r="H35" s="149"/>
      <c r="I35" s="149"/>
      <c r="J35" s="149"/>
      <c r="K35" s="148"/>
    </row>
    <row r="36" spans="1:11" ht="18" x14ac:dyDescent="0.3">
      <c r="A36" s="148"/>
      <c r="B36" s="148"/>
      <c r="C36" s="148"/>
      <c r="D36" s="148"/>
      <c r="E36" s="154"/>
      <c r="F36" s="155"/>
      <c r="H36" s="149"/>
      <c r="I36" s="149"/>
      <c r="J36" s="149"/>
      <c r="K36" s="148"/>
    </row>
    <row r="37" spans="1:11" ht="18" x14ac:dyDescent="0.3">
      <c r="A37" s="148"/>
      <c r="B37" s="148"/>
      <c r="C37" s="148"/>
      <c r="D37" s="148"/>
      <c r="E37" s="154"/>
      <c r="F37" s="155"/>
      <c r="H37" s="149"/>
      <c r="I37" s="149"/>
      <c r="J37" s="149"/>
      <c r="K37" s="148"/>
    </row>
    <row r="38" spans="1:11" ht="25.2" x14ac:dyDescent="0.3">
      <c r="A38" s="148"/>
      <c r="B38" s="149"/>
      <c r="C38" s="149"/>
      <c r="D38" s="149"/>
      <c r="E38" s="154"/>
      <c r="F38" s="294" t="s">
        <v>263</v>
      </c>
      <c r="G38" s="150"/>
      <c r="H38" s="149"/>
      <c r="I38" s="149"/>
      <c r="J38" s="149"/>
      <c r="K38" s="148"/>
    </row>
    <row r="39" spans="1:11" ht="25.2" x14ac:dyDescent="0.3">
      <c r="A39" s="148"/>
      <c r="B39" s="272" t="s">
        <v>65</v>
      </c>
      <c r="C39" s="273" t="s">
        <v>66</v>
      </c>
      <c r="D39" s="273" t="s">
        <v>67</v>
      </c>
      <c r="E39" s="273" t="s">
        <v>68</v>
      </c>
      <c r="F39" s="294" t="s">
        <v>264</v>
      </c>
      <c r="G39" s="148"/>
      <c r="H39" s="148"/>
      <c r="I39" s="148"/>
      <c r="J39" s="148"/>
      <c r="K39" s="148"/>
    </row>
    <row r="40" spans="1:11" ht="31.2" x14ac:dyDescent="0.45">
      <c r="B40" s="275" t="s">
        <v>70</v>
      </c>
      <c r="C40" s="276">
        <v>5000</v>
      </c>
      <c r="D40" s="277">
        <v>46030</v>
      </c>
      <c r="E40" s="289" t="s">
        <v>71</v>
      </c>
      <c r="F40" s="293">
        <f ca="1">SUMIF(E40:E59, "South", C40:C54)</f>
        <v>110000</v>
      </c>
    </row>
    <row r="41" spans="1:11" ht="31.2" x14ac:dyDescent="0.45">
      <c r="B41" s="275" t="s">
        <v>72</v>
      </c>
      <c r="C41" s="276">
        <v>6000</v>
      </c>
      <c r="D41" s="277">
        <v>46028</v>
      </c>
      <c r="E41" s="289" t="s">
        <v>73</v>
      </c>
      <c r="F41" s="293"/>
    </row>
    <row r="42" spans="1:11" ht="22.8" x14ac:dyDescent="0.45">
      <c r="B42" s="275" t="s">
        <v>75</v>
      </c>
      <c r="C42" s="276">
        <v>7000</v>
      </c>
      <c r="D42" s="277">
        <v>46039</v>
      </c>
      <c r="E42" s="289" t="s">
        <v>73</v>
      </c>
      <c r="F42" s="293">
        <f ca="1">SUMIF(Table2[Regions], "West", C40:C54)</f>
        <v>150000</v>
      </c>
    </row>
    <row r="43" spans="1:11" ht="31.2" x14ac:dyDescent="0.45">
      <c r="B43" s="275" t="s">
        <v>76</v>
      </c>
      <c r="C43" s="276">
        <v>8000</v>
      </c>
      <c r="D43" s="277">
        <v>46032</v>
      </c>
      <c r="E43" s="289" t="s">
        <v>73</v>
      </c>
      <c r="F43" s="293"/>
    </row>
    <row r="44" spans="1:11" ht="31.2" x14ac:dyDescent="0.45">
      <c r="B44" s="275" t="s">
        <v>77</v>
      </c>
      <c r="C44" s="276">
        <v>9000</v>
      </c>
      <c r="D44" s="277">
        <v>46028</v>
      </c>
      <c r="E44" s="289" t="s">
        <v>78</v>
      </c>
      <c r="F44" s="293">
        <f>AVERAGEIF(Table2[Items], "Beverages", Table2[Prices])</f>
        <v>36000</v>
      </c>
    </row>
    <row r="45" spans="1:11" ht="31.2" x14ac:dyDescent="0.45">
      <c r="B45" s="275" t="s">
        <v>80</v>
      </c>
      <c r="C45" s="276">
        <v>10000</v>
      </c>
      <c r="D45" s="277">
        <v>46023</v>
      </c>
      <c r="E45" s="289" t="s">
        <v>81</v>
      </c>
      <c r="F45" s="293"/>
    </row>
    <row r="46" spans="1:11" ht="22.8" x14ac:dyDescent="0.45">
      <c r="B46" s="275" t="s">
        <v>75</v>
      </c>
      <c r="C46" s="276">
        <v>10000</v>
      </c>
      <c r="D46" s="277">
        <v>46044</v>
      </c>
      <c r="E46" s="289" t="s">
        <v>71</v>
      </c>
      <c r="F46" s="293"/>
    </row>
    <row r="47" spans="1:11" ht="22.8" x14ac:dyDescent="0.45">
      <c r="B47" s="275" t="s">
        <v>83</v>
      </c>
      <c r="C47" s="276">
        <v>15000</v>
      </c>
      <c r="D47" s="277">
        <v>46025</v>
      </c>
      <c r="E47" s="289" t="s">
        <v>81</v>
      </c>
      <c r="F47" s="293">
        <f>AVERAGEIF(Table2[Items], "Wrist Watch", Table2[Prices])</f>
        <v>52500</v>
      </c>
    </row>
    <row r="48" spans="1:11" ht="23.4" x14ac:dyDescent="0.45">
      <c r="B48" s="275" t="s">
        <v>84</v>
      </c>
      <c r="C48" s="276">
        <v>18000</v>
      </c>
      <c r="D48" s="277">
        <v>46041</v>
      </c>
      <c r="E48" s="289" t="s">
        <v>81</v>
      </c>
      <c r="F48" s="292"/>
    </row>
    <row r="49" spans="2:6" ht="31.2" x14ac:dyDescent="0.45">
      <c r="B49" s="275" t="s">
        <v>85</v>
      </c>
      <c r="C49" s="276">
        <v>25000</v>
      </c>
      <c r="D49" s="277">
        <v>46042</v>
      </c>
      <c r="E49" s="289" t="s">
        <v>78</v>
      </c>
      <c r="F49" s="292"/>
    </row>
    <row r="50" spans="2:6" ht="23.4" x14ac:dyDescent="0.45">
      <c r="B50" s="275" t="s">
        <v>86</v>
      </c>
      <c r="C50" s="276">
        <v>25000</v>
      </c>
      <c r="D50" s="277">
        <v>46032</v>
      </c>
      <c r="E50" s="289" t="s">
        <v>81</v>
      </c>
      <c r="F50" s="292"/>
    </row>
    <row r="51" spans="2:6" ht="31.2" x14ac:dyDescent="0.45">
      <c r="B51" s="275" t="s">
        <v>88</v>
      </c>
      <c r="C51" s="276">
        <v>30000</v>
      </c>
      <c r="D51" s="277">
        <v>46037</v>
      </c>
      <c r="E51" s="289" t="s">
        <v>71</v>
      </c>
      <c r="F51" s="292"/>
    </row>
    <row r="52" spans="2:6" ht="23.4" x14ac:dyDescent="0.45">
      <c r="B52" s="275" t="s">
        <v>89</v>
      </c>
      <c r="C52" s="276">
        <v>30000</v>
      </c>
      <c r="D52" s="277">
        <v>46035</v>
      </c>
      <c r="E52" s="289" t="s">
        <v>71</v>
      </c>
      <c r="F52" s="292"/>
    </row>
    <row r="53" spans="2:6" ht="31.2" x14ac:dyDescent="0.45">
      <c r="B53" s="275" t="s">
        <v>90</v>
      </c>
      <c r="C53" s="276">
        <v>35000</v>
      </c>
      <c r="D53" s="277">
        <v>46035</v>
      </c>
      <c r="E53" s="289" t="s">
        <v>71</v>
      </c>
      <c r="F53" s="292"/>
    </row>
    <row r="54" spans="2:6" ht="24" x14ac:dyDescent="0.45">
      <c r="B54" s="275" t="s">
        <v>91</v>
      </c>
      <c r="C54" s="278">
        <v>36000</v>
      </c>
      <c r="D54" s="277">
        <v>46033</v>
      </c>
      <c r="E54" s="289" t="s">
        <v>78</v>
      </c>
      <c r="F54" s="292"/>
    </row>
    <row r="55" spans="2:6" ht="24" thickBot="1" x14ac:dyDescent="0.5">
      <c r="B55" s="279" t="s">
        <v>93</v>
      </c>
      <c r="C55" s="280"/>
      <c r="D55" s="281">
        <v>46034</v>
      </c>
      <c r="E55" s="289" t="s">
        <v>78</v>
      </c>
      <c r="F55" s="292"/>
    </row>
    <row r="56" spans="2:6" ht="31.2" x14ac:dyDescent="0.45">
      <c r="B56" s="275" t="s">
        <v>70</v>
      </c>
      <c r="C56" s="282">
        <v>45000</v>
      </c>
      <c r="D56" s="277">
        <v>46029</v>
      </c>
      <c r="E56" s="289" t="s">
        <v>73</v>
      </c>
      <c r="F56" s="292"/>
    </row>
    <row r="57" spans="2:6" ht="31.8" x14ac:dyDescent="0.45">
      <c r="B57" s="275" t="s">
        <v>77</v>
      </c>
      <c r="C57" s="278">
        <v>50000</v>
      </c>
      <c r="D57" s="283">
        <v>46044</v>
      </c>
      <c r="E57" s="290" t="s">
        <v>81</v>
      </c>
      <c r="F57" s="292"/>
    </row>
    <row r="58" spans="2:6" ht="24" thickBot="1" x14ac:dyDescent="0.5">
      <c r="B58" s="279" t="s">
        <v>84</v>
      </c>
      <c r="C58" s="274" t="s">
        <v>96</v>
      </c>
      <c r="D58" s="284">
        <v>46026</v>
      </c>
      <c r="E58" s="291" t="s">
        <v>78</v>
      </c>
      <c r="F58" s="292"/>
    </row>
    <row r="59" spans="2:6" ht="23.4" x14ac:dyDescent="0.45">
      <c r="B59" s="275" t="s">
        <v>86</v>
      </c>
      <c r="C59" s="282">
        <v>80000</v>
      </c>
      <c r="D59" s="285">
        <v>46027</v>
      </c>
      <c r="E59" s="291" t="s">
        <v>78</v>
      </c>
      <c r="F59" s="292"/>
    </row>
    <row r="60" spans="2:6" ht="23.4" x14ac:dyDescent="0.45">
      <c r="B60" s="286" t="s">
        <v>271</v>
      </c>
      <c r="C60" s="288">
        <f>SUBTOTAL(109,Table2[Prices])</f>
        <v>444000</v>
      </c>
      <c r="D60" s="287"/>
      <c r="F60" s="292"/>
    </row>
  </sheetData>
  <mergeCells count="7">
    <mergeCell ref="F22:F35"/>
    <mergeCell ref="F3:F21"/>
    <mergeCell ref="H3:H5"/>
    <mergeCell ref="J3:J13"/>
    <mergeCell ref="H7:H9"/>
    <mergeCell ref="H11:H13"/>
    <mergeCell ref="H14:I1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Formatting</vt:lpstr>
      <vt:lpstr>Data Types</vt:lpstr>
      <vt:lpstr>Sorting of Data</vt:lpstr>
      <vt:lpstr>Basic formulas and functions</vt:lpstr>
      <vt:lpstr>Filtering of Data</vt:lpstr>
      <vt:lpstr>Cell referencing and Percentage</vt:lpstr>
      <vt:lpstr>TEXT functions</vt:lpstr>
      <vt:lpstr>Date Time functions</vt:lpstr>
      <vt:lpstr>IF and 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DR. NISHTHA JAIN</cp:lastModifiedBy>
  <cp:lastPrinted>2026-07-17T12:47:57Z</cp:lastPrinted>
  <dcterms:created xsi:type="dcterms:W3CDTF">2026-07-12T10:55:47Z</dcterms:created>
  <dcterms:modified xsi:type="dcterms:W3CDTF">2026-07-26T14:36:58Z</dcterms:modified>
</cp:coreProperties>
</file>